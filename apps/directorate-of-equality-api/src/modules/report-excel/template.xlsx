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ðbeiningar" sheetId="1" state="visible" r:id="rId1"/>
    <sheet xmlns:r="http://schemas.openxmlformats.org/officeDocument/2006/relationships" name="Viðmið" sheetId="2" state="visible" r:id="rId2"/>
    <sheet xmlns:r="http://schemas.openxmlformats.org/officeDocument/2006/relationships" name="Undirviðmið" sheetId="3" state="visible" r:id="rId3"/>
    <sheet xmlns:r="http://schemas.openxmlformats.org/officeDocument/2006/relationships" name="Starfsmenn" sheetId="4" state="visible" r:id="rId4"/>
    <sheet xmlns:r="http://schemas.openxmlformats.org/officeDocument/2006/relationships" name="Flokkun starfa" sheetId="5" state="visible" r:id="rId5"/>
    <sheet xmlns:r="http://schemas.openxmlformats.org/officeDocument/2006/relationships" name="Flokkun starfsmanna" sheetId="6" state="visible" r:id="rId6"/>
    <sheet xmlns:r="http://schemas.openxmlformats.org/officeDocument/2006/relationships" name="Yfirlit" sheetId="7" state="visible" r:id="rId7"/>
  </sheets>
  <definedNames>
    <definedName name="KVARDI">Leiðbeiningar!$C$50</definedName>
    <definedName name="VIDMID_TABLE">Viðmið!$C$6:$E$19</definedName>
    <definedName name="VIDMID_NAMES">Viðmið!$C$6:$C$19</definedName>
    <definedName name="SUB_PARENT">Undirviðmið!$B$6:$B$45</definedName>
    <definedName name="SUB_NAME">Undirviðmið!$C$6:$C$45</definedName>
    <definedName name="SUB_WEIGHT">Undirviðmið!$E$6:$E$45</definedName>
    <definedName name="SUB_NSTEPS">Undirviðmið!$F$6:$F$45</definedName>
    <definedName name="SUB_TYPE">Undirviðmið!$G$6:$G$45</definedName>
    <definedName name="EMP_NUM">Starfsmenn!$A$6:$A$55</definedName>
    <definedName name="EMP_NAME">Starfsmenn!$B$6:$B$55</definedName>
    <definedName name="EMP_JOB">Starfsmenn!$C$6:$C$55</definedName>
    <definedName name="EMP_KYN">Starfsmenn!$D$6:$D$55</definedName>
    <definedName name="JOB_TITLES">'Flokkun starfa'!$G$5,'Flokkun starfa'!$I$5,'Flokkun starfa'!$K$5,'Flokkun starfa'!$M$5,'Flokkun starfa'!$O$5,'Flokkun starfa'!$Q$5,'Flokkun starfa'!$S$5,'Flokkun starfa'!$U$5</definedName>
    <definedName name="JOB_TOTALS">'Flokkun starfa'!$H$48,'Flokkun starfa'!$J$48,'Flokkun starfa'!$L$48,'Flokkun starfa'!$N$48,'Flokkun starfa'!$P$48,'Flokkun starfa'!$R$48,'Flokkun starfa'!$T$48,'Flokkun starfa'!$V$48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 &quot;kr.&quot;"/>
    <numFmt numFmtId="165" formatCode="d.m.yyyy"/>
    <numFmt numFmtId="166" formatCode="0.##"/>
    <numFmt numFmtId="167" formatCode="0.0"/>
  </numFmts>
  <fonts count="18">
    <font>
      <name val="Calibri"/>
      <family val="2"/>
      <color theme="1"/>
      <sz val="11"/>
      <scheme val="minor"/>
    </font>
    <font>
      <name val="Arial"/>
      <b val="1"/>
      <color rgb="001F3A68"/>
      <sz val="20"/>
    </font>
    <font>
      <name val="Arial"/>
      <i val="1"/>
      <color rgb="00666666"/>
      <sz val="11"/>
    </font>
    <font>
      <name val="Arial"/>
      <b val="1"/>
      <color rgb="001F3A68"/>
      <sz val="13"/>
    </font>
    <font>
      <name val="Arial"/>
      <b val="1"/>
      <sz val="11"/>
    </font>
    <font>
      <name val="Arial"/>
      <sz val="11"/>
    </font>
    <font>
      <name val="Arial"/>
      <color rgb="000000FF"/>
      <sz val="11"/>
    </font>
    <font>
      <name val="Arial"/>
      <b val="1"/>
      <color rgb="001F3A68"/>
      <sz val="16"/>
    </font>
    <font>
      <name val="Arial"/>
      <i val="1"/>
      <color rgb="00666666"/>
      <sz val="10"/>
    </font>
    <font>
      <name val="Arial"/>
      <b val="1"/>
      <color rgb="00FFFFFF"/>
      <sz val="11"/>
    </font>
    <font>
      <name val="Arial"/>
      <color rgb="00666666"/>
      <sz val="11"/>
    </font>
    <font>
      <name val="Arial"/>
      <color rgb="00008000"/>
      <sz val="11"/>
    </font>
    <font>
      <name val="Arial"/>
      <color rgb="00000000"/>
      <sz val="11"/>
    </font>
    <font>
      <name val="Arial"/>
      <b val="1"/>
      <color rgb="001F3A68"/>
      <sz val="11"/>
    </font>
    <font>
      <name val="Arial"/>
      <b val="1"/>
    </font>
    <font>
      <name val="Arial"/>
      <b val="1"/>
      <color rgb="00000000"/>
      <sz val="11"/>
    </font>
    <font>
      <name val="Arial"/>
      <i val="1"/>
      <color rgb="00AAAAAA"/>
      <sz val="8"/>
    </font>
    <font>
      <name val="Arial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F3A68"/>
      </patternFill>
    </fill>
    <fill>
      <patternFill patternType="solid">
        <fgColor rgb="00F4F4F4"/>
      </patternFill>
    </fill>
    <fill>
      <patternFill patternType="solid">
        <fgColor rgb="00E4ECF7"/>
      </patternFill>
    </fill>
  </fills>
  <borders count="8">
    <border>
      <left/>
      <right/>
      <top/>
      <bottom/>
      <diagonal/>
    </border>
    <border>
      <left style="thin">
        <color rgb="00B0B7C3"/>
      </left>
      <right style="thin">
        <color rgb="00B0B7C3"/>
      </right>
      <top style="thin">
        <color rgb="00B0B7C3"/>
      </top>
      <bottom style="thin">
        <color rgb="00B0B7C3"/>
      </bottom>
    </border>
    <border>
      <left/>
      <right/>
      <top style="thin">
        <color rgb="00B0B7C3"/>
      </top>
      <bottom/>
      <diagonal/>
    </border>
    <border>
      <left/>
      <right style="thin">
        <color rgb="00B0B7C3"/>
      </right>
      <top style="thin">
        <color rgb="00B0B7C3"/>
      </top>
      <bottom/>
      <diagonal/>
    </border>
    <border>
      <left/>
      <right style="thin">
        <color rgb="00B0B7C3"/>
      </right>
      <top style="thin">
        <color rgb="00B0B7C3"/>
      </top>
      <bottom style="thin">
        <color rgb="00B0B7C3"/>
      </bottom>
      <diagonal/>
    </border>
    <border>
      <left style="thin">
        <color rgb="00B0B7C3"/>
      </left>
      <right/>
      <top/>
      <bottom/>
      <diagonal/>
    </border>
    <border>
      <left style="thin">
        <color rgb="00B0B7C3"/>
      </left>
      <right style="thin">
        <color rgb="00B0B7C3"/>
      </right>
      <top/>
      <bottom/>
      <diagonal/>
    </border>
    <border>
      <left style="thin">
        <color rgb="00B0B7C3"/>
      </left>
      <right style="thin">
        <color rgb="00B0B7C3"/>
      </right>
      <top/>
      <bottom style="thin">
        <color rgb="00B0B7C3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4" fillId="0" borderId="0" pivotButton="0" quotePrefix="0" xfId="0"/>
    <xf numFmtId="1" fontId="6" fillId="2" borderId="1" applyAlignment="1" applyProtection="1" pivotButton="0" quotePrefix="0" xfId="0">
      <alignment horizontal="center" vertical="center" wrapText="1"/>
      <protection locked="0" hidden="0"/>
    </xf>
    <xf numFmtId="0" fontId="7" fillId="0" borderId="0" pivotButton="0" quotePrefix="0" xfId="0"/>
    <xf numFmtId="0" fontId="8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/>
    </xf>
    <xf numFmtId="1" fontId="6" fillId="0" borderId="1" applyAlignment="1" applyProtection="1" pivotButton="0" quotePrefix="0" xfId="0">
      <alignment horizontal="center" vertical="center" wrapText="1"/>
      <protection locked="0" hidden="0"/>
    </xf>
    <xf numFmtId="0" fontId="11" fillId="0" borderId="1" applyAlignment="1" pivotButton="0" quotePrefix="0" xfId="0">
      <alignment horizontal="center" vertical="center" wrapText="1"/>
    </xf>
    <xf numFmtId="0" fontId="6" fillId="0" borderId="1" applyAlignment="1" applyProtection="1" pivotButton="0" quotePrefix="0" xfId="0">
      <alignment horizontal="left" vertical="center" wrapText="1"/>
      <protection locked="0" hidden="0"/>
    </xf>
    <xf numFmtId="0" fontId="6" fillId="0" borderId="1" applyAlignment="1" applyProtection="1" pivotButton="0" quotePrefix="0" xfId="0">
      <alignment horizontal="left" vertical="top" wrapText="1"/>
      <protection locked="0" hidden="0"/>
    </xf>
    <xf numFmtId="0" fontId="4" fillId="0" borderId="0" applyAlignment="1" pivotButton="0" quotePrefix="0" xfId="0">
      <alignment horizontal="right" vertical="center"/>
    </xf>
    <xf numFmtId="1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6" fillId="0" borderId="1" applyAlignment="1" applyProtection="1" pivotButton="0" quotePrefix="0" xfId="0">
      <alignment horizontal="center" vertical="center" wrapText="1"/>
      <protection locked="0" hidden="0"/>
    </xf>
    <xf numFmtId="0" fontId="11" fillId="0" borderId="1" applyAlignment="1" pivotButton="0" quotePrefix="0" xfId="0">
      <alignment horizontal="left" vertical="center" wrapText="1"/>
    </xf>
    <xf numFmtId="1" fontId="12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164" fontId="6" fillId="0" borderId="1" applyAlignment="1" applyProtection="1" pivotButton="0" quotePrefix="0" xfId="0">
      <alignment horizontal="left" vertical="center" wrapText="1"/>
      <protection locked="0" hidden="0"/>
    </xf>
    <xf numFmtId="165" fontId="6" fillId="0" borderId="1" applyAlignment="1" applyProtection="1" pivotButton="0" quotePrefix="0" xfId="0">
      <alignment horizontal="left" vertical="center" wrapText="1"/>
      <protection locked="0" hidden="0"/>
    </xf>
    <xf numFmtId="0" fontId="13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13" fillId="5" borderId="1" applyAlignment="1" pivotButton="0" quotePrefix="0" xfId="0">
      <alignment horizontal="left" vertical="center" wrapText="1"/>
    </xf>
    <xf numFmtId="0" fontId="13" fillId="5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166" fontId="12" fillId="0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right" vertical="center"/>
    </xf>
    <xf numFmtId="1" fontId="15" fillId="5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7" fillId="3" borderId="1" applyAlignment="1" pivotButton="0" quotePrefix="0" xfId="0">
      <alignment horizontal="center" vertical="center" wrapText="1"/>
    </xf>
    <xf numFmtId="0" fontId="0" fillId="0" borderId="7" pivotButton="0" quotePrefix="0" xfId="0"/>
    <xf numFmtId="1" fontId="14" fillId="0" borderId="1" applyAlignment="1" pivotButton="0" quotePrefix="0" xfId="0">
      <alignment horizontal="center" vertical="center" wrapText="1"/>
    </xf>
    <xf numFmtId="164" fontId="11" fillId="0" borderId="1" applyAlignment="1" pivotButton="0" quotePrefix="0" xfId="0">
      <alignment horizontal="center" vertical="center" wrapText="1"/>
    </xf>
    <xf numFmtId="164" fontId="14" fillId="0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right" vertical="center"/>
    </xf>
    <xf numFmtId="167" fontId="14" fillId="5" borderId="1" applyAlignment="1" pivotButton="0" quotePrefix="0" xfId="0">
      <alignment horizontal="center" vertical="center" wrapText="1"/>
    </xf>
    <xf numFmtId="164" fontId="14" fillId="5" borderId="1" applyAlignment="1" pivotButton="0" quotePrefix="0" xfId="0">
      <alignment horizontal="center" vertical="center" wrapText="1"/>
    </xf>
    <xf numFmtId="1" fontId="14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ill>
        <patternFill patternType="solid">
          <fgColor rgb="00D4EDDA"/>
        </patternFill>
      </fill>
    </dxf>
    <dxf>
      <fill>
        <patternFill patternType="solid">
          <fgColor rgb="00F8D7DA"/>
        </patternFill>
      </fill>
    </dxf>
    <dxf>
      <fill>
        <patternFill patternType="solid">
          <fgColor rgb="00F4F4F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A68"/>
    <outlinePr summaryBelow="1" summaryRight="1"/>
    <pageSetUpPr/>
  </sheetPr>
  <dimension ref="B2:C5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80" customWidth="1" min="3" max="3"/>
  </cols>
  <sheetData>
    <row r="2">
      <c r="B2" s="1" t="inlineStr">
        <is>
          <t>Launagreiningar-sniðmát</t>
        </is>
      </c>
    </row>
    <row r="3">
      <c r="B3" s="2" t="inlineStr">
        <is>
          <t>Jafnréttisstofa • Skýrsluferli – Innsláttarskjal</t>
        </is>
      </c>
    </row>
    <row r="5">
      <c r="B5" s="3" t="inlineStr">
        <is>
          <t>Flipaskipan</t>
        </is>
      </c>
    </row>
    <row r="6">
      <c r="B6" s="4" t="inlineStr">
        <is>
          <t>Viðmið</t>
        </is>
      </c>
      <c r="C6" s="5" t="inlineStr">
        <is>
          <t>Yfirflokkarnir (starfsbundnir og persónubundnir). Vægi verður að summast í 100%.</t>
        </is>
      </c>
    </row>
    <row r="7">
      <c r="B7" s="4" t="inlineStr">
        <is>
          <t>Undirviðmið</t>
        </is>
      </c>
      <c r="C7" s="5" t="inlineStr">
        <is>
          <t>Undirflokkar hvers viðmiðs, með þrepalýsingum. Vægi undirviðmiða verður að summast í vægi foreldra-viðmiðs.</t>
        </is>
      </c>
    </row>
    <row r="8">
      <c r="B8" s="4" t="inlineStr">
        <is>
          <t>Starfsmenn</t>
        </is>
      </c>
      <c r="C8" s="5" t="inlineStr">
        <is>
          <t>Listi yfir starfsfólk með laun, menntun og starfsupplýsingar.</t>
        </is>
      </c>
    </row>
    <row r="9">
      <c r="B9" s="4" t="inlineStr">
        <is>
          <t>Flokkun starfa</t>
        </is>
      </c>
      <c r="C9" s="5" t="inlineStr">
        <is>
          <t>Stigagjöf per starfsheiti á starfsbundnum (skylda) undirviðmiðum.</t>
        </is>
      </c>
    </row>
    <row r="10">
      <c r="B10" s="4" t="inlineStr">
        <is>
          <t>Flokkun starfsmanna</t>
        </is>
      </c>
      <c r="C10" s="5" t="inlineStr">
        <is>
          <t>Stigagjöf per starfsmann á persónubundnum (valfrjálsum) undirviðmiðum.</t>
        </is>
      </c>
    </row>
    <row r="11">
      <c r="B11" s="4" t="inlineStr">
        <is>
          <t>Yfirlit</t>
        </is>
      </c>
      <c r="C11" s="5" t="inlineStr">
        <is>
          <t>Samantekt: heildarstig á starfsmann (starfsbundið + persónubundið) og launatölur.</t>
        </is>
      </c>
    </row>
    <row r="13">
      <c r="B13" s="3" t="inlineStr">
        <is>
          <t>Reiknilíkan – Stigagjöf</t>
        </is>
      </c>
    </row>
    <row r="14">
      <c r="B14" s="4" t="inlineStr">
        <is>
          <t>Formúla</t>
        </is>
      </c>
      <c r="C14" s="5" t="inlineStr">
        <is>
          <t>stig = (þrep / fjöldi þrepa) × vægi × KVARÐI</t>
        </is>
      </c>
    </row>
    <row r="15">
      <c r="B15" s="4" t="inlineStr">
        <is>
          <t>KVARÐI</t>
        </is>
      </c>
      <c r="C15" s="5" t="inlineStr">
        <is>
          <t>Sjálfgefið 10  →  hámark heildarstig = 1000 á starfsmann (100% × 10).</t>
        </is>
      </c>
    </row>
    <row r="16">
      <c r="B16" s="4" t="inlineStr">
        <is>
          <t>Dæmi</t>
        </is>
      </c>
      <c r="C16" s="5" t="inlineStr">
        <is>
          <t>Undirviðmið með 10% vægi og 5 þrepum: hámark = 100 stig, þrep 3 = 60 stig.</t>
        </is>
      </c>
    </row>
    <row r="17">
      <c r="B17" s="4" t="inlineStr">
        <is>
          <t>Dæmi 2</t>
        </is>
      </c>
      <c r="C17" s="5" t="inlineStr">
        <is>
          <t>Undirviðmið með 5% vægi og 5 þrepum: hámark = 50 stig, þrep 3 = 30 stig.</t>
        </is>
      </c>
    </row>
    <row r="19">
      <c r="B19" s="3" t="inlineStr">
        <is>
          <t>Litakóðun</t>
        </is>
      </c>
    </row>
    <row r="20">
      <c r="B20" s="4" t="inlineStr">
        <is>
          <t>Blátt letur</t>
        </is>
      </c>
      <c r="C20" s="5" t="inlineStr">
        <is>
          <t>Innsláttarreitir (notandi fyllir út).</t>
        </is>
      </c>
    </row>
    <row r="21">
      <c r="B21" s="4" t="inlineStr">
        <is>
          <t>Svart letur</t>
        </is>
      </c>
      <c r="C21" s="5" t="inlineStr">
        <is>
          <t>Reiknaðir reitir (formúlur) – má ekki breyta.</t>
        </is>
      </c>
    </row>
    <row r="22">
      <c r="B22" s="4" t="inlineStr">
        <is>
          <t>Grænt letur</t>
        </is>
      </c>
      <c r="C22" s="5" t="inlineStr">
        <is>
          <t>Tilvísanir í aðra flipa – má ekki breyta.</t>
        </is>
      </c>
    </row>
    <row r="23">
      <c r="B23" s="4" t="inlineStr">
        <is>
          <t>Grár bakgrunnur</t>
        </is>
      </c>
      <c r="C23" s="5" t="inlineStr">
        <is>
          <t>Læstir reitir (t.d. lögboðnir flokkar sem ekki má endurnefna).</t>
        </is>
      </c>
    </row>
    <row r="24">
      <c r="B24" s="4" t="inlineStr">
        <is>
          <t>Gulur bakgrunnur</t>
        </is>
      </c>
      <c r="C24" s="5" t="inlineStr">
        <is>
          <t>Reitir sem þurfa athygli eða eru sjálfvirkir villuvísar.</t>
        </is>
      </c>
    </row>
    <row r="25">
      <c r="B25" s="4" t="inlineStr">
        <is>
          <t>Rauður bakgrunnur</t>
        </is>
      </c>
      <c r="C25" s="5" t="inlineStr">
        <is>
          <t>Villa – t.d. vægi summast ekki í 100%.</t>
        </is>
      </c>
    </row>
    <row r="27">
      <c r="B27" s="3" t="inlineStr">
        <is>
          <t>Valideringsreglur</t>
        </is>
      </c>
    </row>
    <row r="28">
      <c r="B28" s="4" t="inlineStr">
        <is>
          <t>Viðmið</t>
        </is>
      </c>
      <c r="C28" s="5" t="inlineStr">
        <is>
          <t>Summa vægis (starfsbundið + persónubundið) = nákvæmlega 100%.</t>
        </is>
      </c>
    </row>
    <row r="29">
      <c r="B29" s="4" t="inlineStr">
        <is>
          <t>Undirviðmið</t>
        </is>
      </c>
      <c r="C29" s="5" t="inlineStr">
        <is>
          <t>Summa vægis undirviðmiða innan hvers foreldra-viðmiðs = vægi þess foreldris.</t>
        </is>
      </c>
    </row>
    <row r="30">
      <c r="B30" s="4" t="inlineStr">
        <is>
          <t>Þrep</t>
        </is>
      </c>
      <c r="C30" s="5" t="inlineStr">
        <is>
          <t>Aðeins heilar tölur 1…fjöldi_þrepa eru leyfðar.</t>
        </is>
      </c>
    </row>
    <row r="31">
      <c r="B31" s="4" t="inlineStr">
        <is>
          <t>Starfshlutfall</t>
        </is>
      </c>
      <c r="C31" s="5" t="inlineStr">
        <is>
          <t>Gildi á bilinu 0–100 (%). Athugið: gagnagrunnur geymir þetta sem hlutfall (0–1); innflutningur deilir sjálfvirkt með 100.</t>
        </is>
      </c>
    </row>
    <row r="32">
      <c r="B32" s="4" t="inlineStr">
        <is>
          <t>Hlunnindi</t>
        </is>
      </c>
      <c r="C32" s="5" t="inlineStr">
        <is>
          <t>Má vera autt ef á ekki við — gagnagrunnsreiturinn er valfrjáls (nullable).</t>
        </is>
      </c>
    </row>
    <row r="33">
      <c r="B33" s="4" t="inlineStr">
        <is>
          <t>Ráðningardagur</t>
        </is>
      </c>
      <c r="C33" s="5" t="inlineStr">
        <is>
          <t>Ein dagsetning (d.m.yyyy) — ekki tímabil. Samsvarar 'start_date' í gagnagrunni.</t>
        </is>
      </c>
    </row>
    <row r="35">
      <c r="B35" s="3" t="inlineStr">
        <is>
          <t>Persónugreinanleg gögn</t>
        </is>
      </c>
    </row>
    <row r="36">
      <c r="B36" s="4" t="inlineStr">
        <is>
          <t>Nafn</t>
        </is>
      </c>
      <c r="C36" s="5" t="inlineStr">
        <is>
          <t>Nafn er eingöngu til hægðarauka á þessu skjali. Það er EKKI sent til Jafnréttisstofu — gagnagrunnurinn geymir aðeins raðnúmer (ordinal) sem auðkenni starfsmanns.</t>
        </is>
      </c>
    </row>
    <row r="37">
      <c r="B37" s="4" t="inlineStr">
        <is>
          <t>Kennitala</t>
        </is>
      </c>
      <c r="C37" s="5" t="inlineStr">
        <is>
          <t>Kennitala er ekki skráð í skjalið — kerfið býr til tímabundið auðkenni sjálfvirkt við innsendingu.</t>
        </is>
      </c>
    </row>
    <row r="39">
      <c r="B39" s="3" t="inlineStr">
        <is>
          <t>Tenging við gagnagrunn</t>
        </is>
      </c>
    </row>
    <row r="40">
      <c r="B40" s="4" t="inlineStr">
        <is>
          <t>DB flokkur (Viðmið)</t>
        </is>
      </c>
      <c r="C40" s="5" t="inlineStr">
        <is>
          <t>Sjálfvirk vörpun viðmiðsheita í ReportCriterionTypeEnum (RESPONSIBILITY / STRAIN / CONDITION / COMPETENCE / PERSONAL). Reiturinn er læstur — ekki breyta.</t>
        </is>
      </c>
    </row>
    <row r="42">
      <c r="B42" s="3" t="inlineStr">
        <is>
          <t>Notkun</t>
        </is>
      </c>
    </row>
    <row r="43">
      <c r="B43" s="4" t="inlineStr">
        <is>
          <t>1</t>
        </is>
      </c>
      <c r="C43" s="5" t="inlineStr">
        <is>
          <t>Fylltu út viðmið og stilltu vægi á Viðmið flipanum.</t>
        </is>
      </c>
    </row>
    <row r="44">
      <c r="B44" s="4" t="inlineStr">
        <is>
          <t>2</t>
        </is>
      </c>
      <c r="C44" s="5" t="inlineStr">
        <is>
          <t>Skráðu undirviðmið með vægi, þrepafjölda og lýsingum á Undirviðmið flipanum.</t>
        </is>
      </c>
    </row>
    <row r="45">
      <c r="B45" s="4" t="inlineStr">
        <is>
          <t>3</t>
        </is>
      </c>
      <c r="C45" s="5" t="inlineStr">
        <is>
          <t>Skráðu starfsmenn á Starfsmenn flipanum.</t>
        </is>
      </c>
    </row>
    <row r="46">
      <c r="B46" s="4" t="inlineStr">
        <is>
          <t>4</t>
        </is>
      </c>
      <c r="C46" s="5" t="inlineStr">
        <is>
          <t>Gefðu hverju starfsheiti þrep á Flokkun starfa.</t>
        </is>
      </c>
    </row>
    <row r="47">
      <c r="B47" s="4" t="inlineStr">
        <is>
          <t>5</t>
        </is>
      </c>
      <c r="C47" s="5" t="inlineStr">
        <is>
          <t>Gefðu hverjum starfsmanni þrep á persónubundnum undirviðmiðum á Flokkun starfsmanna.</t>
        </is>
      </c>
    </row>
    <row r="48">
      <c r="B48" s="4" t="inlineStr">
        <is>
          <t>6</t>
        </is>
      </c>
      <c r="C48" s="5" t="inlineStr">
        <is>
          <t>Skoðaðu niðurstöður á Yfirlit flipanum.</t>
        </is>
      </c>
    </row>
    <row r="50">
      <c r="B50" s="6" t="inlineStr">
        <is>
          <t>KVARÐI (stillanlegt):</t>
        </is>
      </c>
      <c r="C50" s="7" t="n">
        <v>10</v>
      </c>
    </row>
  </sheetData>
  <mergeCells count="9">
    <mergeCell ref="B13:C13"/>
    <mergeCell ref="B39:C39"/>
    <mergeCell ref="B2:C2"/>
    <mergeCell ref="B3:C3"/>
    <mergeCell ref="B19:C19"/>
    <mergeCell ref="B5:C5"/>
    <mergeCell ref="B42:C42"/>
    <mergeCell ref="B27:C27"/>
    <mergeCell ref="B35:C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5AA8"/>
    <outlinePr summaryBelow="1" summaryRight="1"/>
    <pageSetUpPr/>
  </sheetPr>
  <dimension ref="B2:G2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30" customWidth="1" min="3" max="3"/>
    <col width="60" customWidth="1" min="4" max="4"/>
    <col width="14" customWidth="1" min="5" max="5"/>
    <col width="16" customWidth="1" min="6" max="6"/>
    <col width="18" customWidth="1" min="7" max="7"/>
  </cols>
  <sheetData>
    <row r="2">
      <c r="B2" s="8" t="inlineStr">
        <is>
          <t>Viðmið</t>
        </is>
      </c>
    </row>
    <row r="3">
      <c r="B3" s="9" t="inlineStr">
        <is>
          <t>Skilgreindu viðmið og stilltu vægi. Heildarvægi allra viðmiða (bæði starfsbundinn og persónubundinn þáttur) þarf að summast í 100%.</t>
        </is>
      </c>
    </row>
    <row r="5" ht="26" customHeight="1">
      <c r="B5" s="10" t="inlineStr">
        <is>
          <t>Tegund</t>
        </is>
      </c>
      <c r="C5" s="10" t="inlineStr">
        <is>
          <t>Viðmið</t>
        </is>
      </c>
      <c r="D5" s="10" t="inlineStr">
        <is>
          <t>Lýsing</t>
        </is>
      </c>
      <c r="E5" s="10" t="inlineStr">
        <is>
          <t>Vægi (%)</t>
        </is>
      </c>
      <c r="F5" s="10" t="inlineStr">
        <is>
          <t>Læst?</t>
        </is>
      </c>
      <c r="G5" s="10" t="inlineStr">
        <is>
          <t>DB flokkur</t>
        </is>
      </c>
    </row>
    <row r="6">
      <c r="B6" s="11" t="inlineStr">
        <is>
          <t>Starfsbundinn</t>
        </is>
      </c>
      <c r="C6" s="11" t="inlineStr">
        <is>
          <t>Ábyrgð</t>
        </is>
      </c>
      <c r="D6" s="11" t="inlineStr">
        <is>
          <t>Metur ábyrgð starfsins á fólki, fjármálum, gæðum og öðrum þáttum.</t>
        </is>
      </c>
      <c r="E6" s="12" t="n">
        <v>15</v>
      </c>
      <c r="F6" s="11" t="inlineStr">
        <is>
          <t>Já</t>
        </is>
      </c>
      <c r="G6" s="13">
        <f>IF(C6="","",IF(B6="Persónubundinn","PERSONAL",IF(C6="Ábyrgð","RESPONSIBILITY",IF(C6="Álag","STRAIN",IF(C6="Vinnuaðstæður","CONDITION",IF(C6="Hæfni","COMPETENCE",""))))))</f>
        <v/>
      </c>
    </row>
    <row r="7">
      <c r="B7" s="11" t="inlineStr">
        <is>
          <t>Starfsbundinn</t>
        </is>
      </c>
      <c r="C7" s="11" t="inlineStr">
        <is>
          <t>Álag</t>
        </is>
      </c>
      <c r="D7" s="11" t="inlineStr">
        <is>
          <t>Metur hraða, tímapressu, líkamlegt og tilfinningalegt álag.</t>
        </is>
      </c>
      <c r="E7" s="12" t="n">
        <v>25</v>
      </c>
      <c r="F7" s="11" t="inlineStr">
        <is>
          <t>Já</t>
        </is>
      </c>
      <c r="G7" s="13">
        <f>IF(C7="","",IF(B7="Persónubundinn","PERSONAL",IF(C7="Ábyrgð","RESPONSIBILITY",IF(C7="Álag","STRAIN",IF(C7="Vinnuaðstæður","CONDITION",IF(C7="Hæfni","COMPETENCE",""))))))</f>
        <v/>
      </c>
    </row>
    <row r="8">
      <c r="B8" s="11" t="inlineStr">
        <is>
          <t>Starfsbundinn</t>
        </is>
      </c>
      <c r="C8" s="11" t="inlineStr">
        <is>
          <t>Vinnuaðstæður</t>
        </is>
      </c>
      <c r="D8" s="11" t="inlineStr">
        <is>
          <t>Metur vaktavinnu, ferðalög, áhættu og aðrar aðstæður starfsins.</t>
        </is>
      </c>
      <c r="E8" s="12" t="n">
        <v>25</v>
      </c>
      <c r="F8" s="11" t="inlineStr">
        <is>
          <t>Já</t>
        </is>
      </c>
      <c r="G8" s="13">
        <f>IF(C8="","",IF(B8="Persónubundinn","PERSONAL",IF(C8="Ábyrgð","RESPONSIBILITY",IF(C8="Álag","STRAIN",IF(C8="Vinnuaðstæður","CONDITION",IF(C8="Hæfni","COMPETENCE",""))))))</f>
        <v/>
      </c>
    </row>
    <row r="9">
      <c r="B9" s="11" t="inlineStr">
        <is>
          <t>Starfsbundinn</t>
        </is>
      </c>
      <c r="C9" s="11" t="inlineStr">
        <is>
          <t>Hæfni</t>
        </is>
      </c>
      <c r="D9" s="11" t="inlineStr">
        <is>
          <t>Metur menntunarkröfur, reynslukröfur og sérhæfingu starfsins.</t>
        </is>
      </c>
      <c r="E9" s="12" t="n">
        <v>25</v>
      </c>
      <c r="F9" s="11" t="inlineStr">
        <is>
          <t>Já</t>
        </is>
      </c>
      <c r="G9" s="13">
        <f>IF(C9="","",IF(B9="Persónubundinn","PERSONAL",IF(C9="Ábyrgð","RESPONSIBILITY",IF(C9="Álag","STRAIN",IF(C9="Vinnuaðstæður","CONDITION",IF(C9="Hæfni","COMPETENCE",""))))))</f>
        <v/>
      </c>
    </row>
    <row r="10">
      <c r="B10" s="11" t="inlineStr">
        <is>
          <t>Persónubundinn</t>
        </is>
      </c>
      <c r="C10" s="14" t="inlineStr">
        <is>
          <t>Sérhæfing</t>
        </is>
      </c>
      <c r="D10" s="15" t="inlineStr">
        <is>
          <t>Sérstök sérhæfing sem starfsmaður býr yfir.</t>
        </is>
      </c>
      <c r="E10" s="12" t="n">
        <v>5</v>
      </c>
      <c r="F10" s="11" t="inlineStr">
        <is>
          <t>Nei</t>
        </is>
      </c>
      <c r="G10" s="13">
        <f>IF(C10="","",IF(B10="Persónubundinn","PERSONAL",IF(C10="Ábyrgð","RESPONSIBILITY",IF(C10="Álag","STRAIN",IF(C10="Vinnuaðstæður","CONDITION",IF(C10="Hæfni","COMPETENCE",""))))))</f>
        <v/>
      </c>
    </row>
    <row r="11">
      <c r="B11" s="11" t="inlineStr">
        <is>
          <t>Persónubundinn</t>
        </is>
      </c>
      <c r="C11" s="14" t="inlineStr">
        <is>
          <t>Meiri sérhæfing</t>
        </is>
      </c>
      <c r="D11" s="15" t="inlineStr">
        <is>
          <t>Viðbótarsérhæfing umfram grunnkröfur starfsins.</t>
        </is>
      </c>
      <c r="E11" s="12" t="n">
        <v>5</v>
      </c>
      <c r="F11" s="11" t="inlineStr">
        <is>
          <t>Nei</t>
        </is>
      </c>
      <c r="G11" s="13">
        <f>IF(C11="","",IF(B11="Persónubundinn","PERSONAL",IF(C11="Ábyrgð","RESPONSIBILITY",IF(C11="Álag","STRAIN",IF(C11="Vinnuaðstæður","CONDITION",IF(C11="Hæfni","COMPETENCE",""))))))</f>
        <v/>
      </c>
    </row>
    <row r="12">
      <c r="B12" s="11" t="inlineStr">
        <is>
          <t>Persónubundinn</t>
        </is>
      </c>
      <c r="C12" s="14" t="n"/>
      <c r="D12" s="15" t="n"/>
      <c r="E12" s="12" t="n"/>
      <c r="F12" s="11" t="inlineStr">
        <is>
          <t>Nei</t>
        </is>
      </c>
      <c r="G12" s="13">
        <f>IF(C12="","",IF(B12="Persónubundinn","PERSONAL",IF(C12="Ábyrgð","RESPONSIBILITY",IF(C12="Álag","STRAIN",IF(C12="Vinnuaðstæður","CONDITION",IF(C12="Hæfni","COMPETENCE",""))))))</f>
        <v/>
      </c>
    </row>
    <row r="13">
      <c r="B13" s="11" t="inlineStr">
        <is>
          <t>Persónubundinn</t>
        </is>
      </c>
      <c r="C13" s="14" t="n"/>
      <c r="D13" s="15" t="n"/>
      <c r="E13" s="12" t="n"/>
      <c r="F13" s="11" t="inlineStr">
        <is>
          <t>Nei</t>
        </is>
      </c>
      <c r="G13" s="13">
        <f>IF(C13="","",IF(B13="Persónubundinn","PERSONAL",IF(C13="Ábyrgð","RESPONSIBILITY",IF(C13="Álag","STRAIN",IF(C13="Vinnuaðstæður","CONDITION",IF(C13="Hæfni","COMPETENCE",""))))))</f>
        <v/>
      </c>
    </row>
    <row r="14">
      <c r="B14" s="11" t="inlineStr">
        <is>
          <t>Persónubundinn</t>
        </is>
      </c>
      <c r="C14" s="14" t="n"/>
      <c r="D14" s="15" t="n"/>
      <c r="E14" s="12" t="n"/>
      <c r="F14" s="11" t="inlineStr">
        <is>
          <t>Nei</t>
        </is>
      </c>
      <c r="G14" s="13">
        <f>IF(C14="","",IF(B14="Persónubundinn","PERSONAL",IF(C14="Ábyrgð","RESPONSIBILITY",IF(C14="Álag","STRAIN",IF(C14="Vinnuaðstæður","CONDITION",IF(C14="Hæfni","COMPETENCE",""))))))</f>
        <v/>
      </c>
    </row>
    <row r="15">
      <c r="B15" s="11" t="inlineStr">
        <is>
          <t>Persónubundinn</t>
        </is>
      </c>
      <c r="C15" s="14" t="n"/>
      <c r="D15" s="15" t="n"/>
      <c r="E15" s="12" t="n"/>
      <c r="F15" s="11" t="inlineStr">
        <is>
          <t>Nei</t>
        </is>
      </c>
      <c r="G15" s="13">
        <f>IF(C15="","",IF(B15="Persónubundinn","PERSONAL",IF(C15="Ábyrgð","RESPONSIBILITY",IF(C15="Álag","STRAIN",IF(C15="Vinnuaðstæður","CONDITION",IF(C15="Hæfni","COMPETENCE",""))))))</f>
        <v/>
      </c>
    </row>
    <row r="16">
      <c r="B16" s="11" t="inlineStr">
        <is>
          <t>Persónubundinn</t>
        </is>
      </c>
      <c r="C16" s="14" t="n"/>
      <c r="D16" s="15" t="n"/>
      <c r="E16" s="12" t="n"/>
      <c r="F16" s="11" t="inlineStr">
        <is>
          <t>Nei</t>
        </is>
      </c>
      <c r="G16" s="13">
        <f>IF(C16="","",IF(B16="Persónubundinn","PERSONAL",IF(C16="Ábyrgð","RESPONSIBILITY",IF(C16="Álag","STRAIN",IF(C16="Vinnuaðstæður","CONDITION",IF(C16="Hæfni","COMPETENCE",""))))))</f>
        <v/>
      </c>
    </row>
    <row r="17">
      <c r="B17" s="11" t="inlineStr">
        <is>
          <t>Persónubundinn</t>
        </is>
      </c>
      <c r="C17" s="14" t="n"/>
      <c r="D17" s="15" t="n"/>
      <c r="E17" s="12" t="n"/>
      <c r="F17" s="11" t="inlineStr">
        <is>
          <t>Nei</t>
        </is>
      </c>
      <c r="G17" s="13">
        <f>IF(C17="","",IF(B17="Persónubundinn","PERSONAL",IF(C17="Ábyrgð","RESPONSIBILITY",IF(C17="Álag","STRAIN",IF(C17="Vinnuaðstæður","CONDITION",IF(C17="Hæfni","COMPETENCE",""))))))</f>
        <v/>
      </c>
    </row>
    <row r="18">
      <c r="B18" s="11" t="inlineStr">
        <is>
          <t>Persónubundinn</t>
        </is>
      </c>
      <c r="C18" s="14" t="n"/>
      <c r="D18" s="15" t="n"/>
      <c r="E18" s="12" t="n"/>
      <c r="F18" s="11" t="inlineStr">
        <is>
          <t>Nei</t>
        </is>
      </c>
      <c r="G18" s="13">
        <f>IF(C18="","",IF(B18="Persónubundinn","PERSONAL",IF(C18="Ábyrgð","RESPONSIBILITY",IF(C18="Álag","STRAIN",IF(C18="Vinnuaðstæður","CONDITION",IF(C18="Hæfni","COMPETENCE",""))))))</f>
        <v/>
      </c>
    </row>
    <row r="19">
      <c r="B19" s="11" t="inlineStr">
        <is>
          <t>Persónubundinn</t>
        </is>
      </c>
      <c r="C19" s="14" t="n"/>
      <c r="D19" s="15" t="n"/>
      <c r="E19" s="12" t="n"/>
      <c r="F19" s="11" t="inlineStr">
        <is>
          <t>Nei</t>
        </is>
      </c>
      <c r="G19" s="13">
        <f>IF(C19="","",IF(B19="Persónubundinn","PERSONAL",IF(C19="Ábyrgð","RESPONSIBILITY",IF(C19="Álag","STRAIN",IF(C19="Vinnuaðstæður","CONDITION",IF(C19="Hæfni","COMPETENCE",""))))))</f>
        <v/>
      </c>
    </row>
    <row r="21">
      <c r="D21" s="16" t="inlineStr">
        <is>
          <t>Heildarvægi:</t>
        </is>
      </c>
      <c r="E21" s="17">
        <f>SUM(E6:E19)</f>
        <v/>
      </c>
      <c r="F21" s="18">
        <f>IF(ROUND(E21,4)=100,"✓ OK","✗ Þarf 100%")</f>
        <v/>
      </c>
    </row>
    <row r="23">
      <c r="B23" s="9" t="inlineStr">
        <is>
          <t>• Læstir (grá) reitir: 4 starfsbundin viðmið eru lögboðin og ekki er hægt að endurnefna þau (aðeins breyta vægi).</t>
        </is>
      </c>
    </row>
    <row r="24">
      <c r="B24" s="9" t="inlineStr">
        <is>
          <t>• Bláir reitir: innsláttarreitir. Bættu við persónubundnum viðmiðum með því að fylla út í auðu línurnar.</t>
        </is>
      </c>
    </row>
  </sheetData>
  <mergeCells count="2">
    <mergeCell ref="B3:G3"/>
    <mergeCell ref="B2:G2"/>
  </mergeCells>
  <conditionalFormatting sqref="E21">
    <cfRule type="expression" priority="1" dxfId="0">
      <formula>ROUND(E21,4)=100</formula>
    </cfRule>
    <cfRule type="expression" priority="2" dxfId="1">
      <formula>ROUND(E21,4)&lt;&gt;100</formula>
    </cfRule>
  </conditionalFormatting>
  <conditionalFormatting sqref="F21">
    <cfRule type="expression" priority="3" dxfId="0">
      <formula>ROUND(E21,4)=100</formula>
    </cfRule>
    <cfRule type="expression" priority="4" dxfId="1">
      <formula>ROUND(E21,4)&lt;&gt;100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5AA8"/>
    <outlinePr summaryBelow="1" summaryRight="1"/>
    <pageSetUpPr/>
  </sheetPr>
  <dimension ref="A2:S45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0" customWidth="1" min="2" max="2"/>
    <col width="26" customWidth="1" min="3" max="3"/>
    <col width="44" customWidth="1" min="4" max="4"/>
    <col width="10" customWidth="1" min="5" max="5"/>
    <col width="12" customWidth="1" min="6" max="6"/>
    <col width="18" customWidth="1" min="7" max="7"/>
    <col width="12" customWidth="1" min="8" max="8"/>
    <col width="18" customWidth="1" min="9" max="9"/>
    <col width="32" customWidth="1" min="10" max="10"/>
    <col width="32" customWidth="1" min="11" max="11"/>
    <col width="32" customWidth="1" min="12" max="12"/>
    <col width="32" customWidth="1" min="13" max="13"/>
    <col width="32" customWidth="1" min="14" max="14"/>
    <col width="32" customWidth="1" min="15" max="15"/>
    <col width="32" customWidth="1" min="16" max="16"/>
    <col width="32" customWidth="1" min="17" max="17"/>
    <col width="32" customWidth="1" min="18" max="18"/>
    <col width="32" customWidth="1" min="19" max="19"/>
  </cols>
  <sheetData>
    <row r="2">
      <c r="B2" s="8" t="inlineStr">
        <is>
          <t>Undirviðmið</t>
        </is>
      </c>
    </row>
    <row r="3">
      <c r="B3" s="9" t="inlineStr">
        <is>
          <t>Fyrir hvert undirviðmið: veldu foreldra-viðmið, gefðu því vægi (%) og fjölda þrepa, og skráðu lýsingar á þrepunum. Vægi allra undirviðmiða undir sama foreldri verður að jafngilda vægi foreldrisins.</t>
        </is>
      </c>
    </row>
    <row r="5" ht="30" customHeight="1">
      <c r="A5" s="10" t="inlineStr">
        <is>
          <t>#</t>
        </is>
      </c>
      <c r="B5" s="10" t="inlineStr">
        <is>
          <t>Foreldra viðmið</t>
        </is>
      </c>
      <c r="C5" s="10" t="inlineStr">
        <is>
          <t>Undirviðmið</t>
        </is>
      </c>
      <c r="D5" s="10" t="inlineStr">
        <is>
          <t>Skilgreining</t>
        </is>
      </c>
      <c r="E5" s="10" t="inlineStr">
        <is>
          <t>Vægi (%)</t>
        </is>
      </c>
      <c r="F5" s="10" t="inlineStr">
        <is>
          <t>Fjöldi þrepa</t>
        </is>
      </c>
      <c r="G5" s="10" t="inlineStr">
        <is>
          <t>Tegund (sjálfvirkt)</t>
        </is>
      </c>
      <c r="H5" s="10" t="inlineStr">
        <is>
          <t>Hámarksstig</t>
        </is>
      </c>
      <c r="I5" s="10" t="inlineStr">
        <is>
          <t>Samsumma OK?</t>
        </is>
      </c>
      <c r="J5" s="10" t="inlineStr">
        <is>
          <t>Þrep 1</t>
        </is>
      </c>
      <c r="K5" s="10" t="inlineStr">
        <is>
          <t>Þrep 2</t>
        </is>
      </c>
      <c r="L5" s="10" t="inlineStr">
        <is>
          <t>Þrep 3</t>
        </is>
      </c>
      <c r="M5" s="10" t="inlineStr">
        <is>
          <t>Þrep 4</t>
        </is>
      </c>
      <c r="N5" s="10" t="inlineStr">
        <is>
          <t>Þrep 5</t>
        </is>
      </c>
      <c r="O5" s="10" t="inlineStr">
        <is>
          <t>Þrep 6</t>
        </is>
      </c>
      <c r="P5" s="10" t="inlineStr">
        <is>
          <t>Þrep 7</t>
        </is>
      </c>
      <c r="Q5" s="10" t="inlineStr">
        <is>
          <t>Þrep 8</t>
        </is>
      </c>
      <c r="R5" s="10" t="inlineStr">
        <is>
          <t>Þrep 9</t>
        </is>
      </c>
      <c r="S5" s="10" t="inlineStr">
        <is>
          <t>Þrep 10</t>
        </is>
      </c>
    </row>
    <row r="6">
      <c r="A6" s="19" t="n">
        <v>1</v>
      </c>
      <c r="B6" s="14" t="inlineStr">
        <is>
          <t>Ábyrgð</t>
        </is>
      </c>
      <c r="C6" s="14" t="inlineStr">
        <is>
          <t>Ábyrgð á gæðum</t>
        </is>
      </c>
      <c r="D6" s="15" t="inlineStr">
        <is>
          <t>Metur ábyrgð starfsins á gæðum vinnu og framleiðslu.</t>
        </is>
      </c>
      <c r="E6" s="12" t="n">
        <v>10</v>
      </c>
      <c r="F6" s="20" t="n">
        <v>5</v>
      </c>
      <c r="G6" s="21">
        <f>IFERROR(IF(B6="","",INDEX(Viðmið!$B$6:$B$19,MATCH(B6,Viðmið!$C$6:$C$19,0))),"")</f>
        <v/>
      </c>
      <c r="H6" s="22">
        <f>IF(OR(E6="",F6=""),"",E6*KVARDI)</f>
        <v/>
      </c>
      <c r="I6" s="23">
        <f>IF(B6="","",IF(ROUND(SUMIF($B$6:$B$45,B6,$E$6:$E$45),4)=ROUND(IFERROR(INDEX(Viðmið!$E$6:$E$19,MATCH(B6,Viðmið!$C$6:$C$19,0)),-1),4),"✓","✗"))</f>
        <v/>
      </c>
      <c r="J6" s="15" t="inlineStr">
        <is>
          <t>Lítil ábyrgð á gæðum, fylgir settum verklagsreglum</t>
        </is>
      </c>
      <c r="K6" s="15" t="inlineStr">
        <is>
          <t>Ber ábyrgð á gæðum eigin vinnu</t>
        </is>
      </c>
      <c r="L6" s="15" t="inlineStr">
        <is>
          <t>Ber ábyrgð á gæðum verkefna eða vinnu annarra</t>
        </is>
      </c>
      <c r="M6" s="15" t="inlineStr">
        <is>
          <t>Ber ábyrgð á gæðakerfi deildar</t>
        </is>
      </c>
      <c r="N6" s="15" t="inlineStr">
        <is>
          <t>Ber heildarábyrgð á gæðum og gæðakerfi fyrirtækis</t>
        </is>
      </c>
      <c r="O6" s="15" t="n"/>
      <c r="P6" s="15" t="n"/>
      <c r="Q6" s="15" t="n"/>
      <c r="R6" s="15" t="n"/>
      <c r="S6" s="15" t="n"/>
    </row>
    <row r="7">
      <c r="A7" s="19" t="n">
        <v>2</v>
      </c>
      <c r="B7" s="14" t="inlineStr">
        <is>
          <t>Ábyrgð</t>
        </is>
      </c>
      <c r="C7" s="14" t="inlineStr">
        <is>
          <t>Ábyrgð á fólki</t>
        </is>
      </c>
      <c r="D7" s="15" t="inlineStr">
        <is>
          <t>Metur ábyrgð starfsmanns á starfsfólki og stjórnun.</t>
        </is>
      </c>
      <c r="E7" s="12" t="n">
        <v>5</v>
      </c>
      <c r="F7" s="20" t="n">
        <v>5</v>
      </c>
      <c r="G7" s="21">
        <f>IFERROR(IF(B7="","",INDEX(Viðmið!$B$6:$B$19,MATCH(B7,Viðmið!$C$6:$C$19,0))),"")</f>
        <v/>
      </c>
      <c r="H7" s="22">
        <f>IF(OR(E7="",F7=""),"",E7*KVARDI)</f>
        <v/>
      </c>
      <c r="I7" s="23">
        <f>IF(B7="","",IF(ROUND(SUMIF($B$6:$B$45,B7,$E$6:$E$45),4)=ROUND(IFERROR(INDEX(Viðmið!$E$6:$E$19,MATCH(B7,Viðmið!$C$6:$C$19,0)),-1),4),"✓","✗"))</f>
        <v/>
      </c>
      <c r="J7" s="15" t="inlineStr">
        <is>
          <t>Í starfinu felst lítil eða engin ábyrgð á starfsfólki.</t>
        </is>
      </c>
      <c r="K7" s="15" t="inlineStr">
        <is>
          <t>Starfinu fylgir eftirlit eða leiðsögn á starfsfólki í einföldum verkum.</t>
        </is>
      </c>
      <c r="L7" s="15" t="inlineStr">
        <is>
          <t>Ber ábyrgð á afmörkuðum hópi starfsmanna (teymi).</t>
        </is>
      </c>
      <c r="M7" s="15" t="inlineStr">
        <is>
          <t>Ber ábyrgð á deild eða sviði með mörgum starfsmönnum.</t>
        </is>
      </c>
      <c r="N7" s="15" t="inlineStr">
        <is>
          <t>Ber heildarábyrgð á öllu starfsfólki fyrirtækisins.</t>
        </is>
      </c>
      <c r="O7" s="15" t="n"/>
      <c r="P7" s="15" t="n"/>
      <c r="Q7" s="15" t="n"/>
      <c r="R7" s="15" t="n"/>
      <c r="S7" s="15" t="n"/>
    </row>
    <row r="8">
      <c r="A8" s="19" t="n">
        <v>3</v>
      </c>
      <c r="B8" s="14" t="inlineStr">
        <is>
          <t>Álag</t>
        </is>
      </c>
      <c r="C8" s="14" t="inlineStr">
        <is>
          <t>Líkamlegt álag</t>
        </is>
      </c>
      <c r="D8" s="15" t="inlineStr">
        <is>
          <t>Metur líkamlegt álag og áreynslu í starfi.</t>
        </is>
      </c>
      <c r="E8" s="12" t="n">
        <v>12</v>
      </c>
      <c r="F8" s="20" t="n">
        <v>5</v>
      </c>
      <c r="G8" s="21">
        <f>IFERROR(IF(B8="","",INDEX(Viðmið!$B$6:$B$19,MATCH(B8,Viðmið!$C$6:$C$19,0))),"")</f>
        <v/>
      </c>
      <c r="H8" s="22">
        <f>IF(OR(E8="",F8=""),"",E8*KVARDI)</f>
        <v/>
      </c>
      <c r="I8" s="23">
        <f>IF(B8="","",IF(ROUND(SUMIF($B$6:$B$45,B8,$E$6:$E$45),4)=ROUND(IFERROR(INDEX(Viðmið!$E$6:$E$19,MATCH(B8,Viðmið!$C$6:$C$19,0)),-1),4),"✓","✗"))</f>
        <v/>
      </c>
      <c r="J8" s="15" t="inlineStr">
        <is>
          <t>Lítið líkamlegt álag, kyrrsetustarf.</t>
        </is>
      </c>
      <c r="K8" s="15" t="inlineStr">
        <is>
          <t>Einstaka líkamlegt álag í stuttan tíma.</t>
        </is>
      </c>
      <c r="L8" s="15" t="inlineStr">
        <is>
          <t>Reglulegt líkamlegt álag hluta vinnudags.</t>
        </is>
      </c>
      <c r="M8" s="15" t="inlineStr">
        <is>
          <t>Viðvarandi líkamlegt álag stóran hluta vinnudags.</t>
        </is>
      </c>
      <c r="N8" s="15" t="inlineStr">
        <is>
          <t>Mikið líkamlegt álag sem getur valdið meiðslum eða álagseinkennum.</t>
        </is>
      </c>
      <c r="O8" s="15" t="n"/>
      <c r="P8" s="15" t="n"/>
      <c r="Q8" s="15" t="n"/>
      <c r="R8" s="15" t="n"/>
      <c r="S8" s="15" t="n"/>
    </row>
    <row r="9">
      <c r="A9" s="19" t="n">
        <v>4</v>
      </c>
      <c r="B9" s="14" t="inlineStr">
        <is>
          <t>Álag</t>
        </is>
      </c>
      <c r="C9" s="14" t="inlineStr">
        <is>
          <t>Andlegt álag</t>
        </is>
      </c>
      <c r="D9" s="15" t="inlineStr">
        <is>
          <t>Metur andlegt og tilfinningalegt álag í starfi.</t>
        </is>
      </c>
      <c r="E9" s="12" t="n">
        <v>13</v>
      </c>
      <c r="F9" s="20" t="n">
        <v>5</v>
      </c>
      <c r="G9" s="21">
        <f>IFERROR(IF(B9="","",INDEX(Viðmið!$B$6:$B$19,MATCH(B9,Viðmið!$C$6:$C$19,0))),"")</f>
        <v/>
      </c>
      <c r="H9" s="22">
        <f>IF(OR(E9="",F9=""),"",E9*KVARDI)</f>
        <v/>
      </c>
      <c r="I9" s="23">
        <f>IF(B9="","",IF(ROUND(SUMIF($B$6:$B$45,B9,$E$6:$E$45),4)=ROUND(IFERROR(INDEX(Viðmið!$E$6:$E$19,MATCH(B9,Viðmið!$C$6:$C$19,0)),-1),4),"✓","✗"))</f>
        <v/>
      </c>
      <c r="J9" s="15" t="inlineStr">
        <is>
          <t>Lítið andlegt álag.</t>
        </is>
      </c>
      <c r="K9" s="15" t="inlineStr">
        <is>
          <t>Einstaka andlegt álag.</t>
        </is>
      </c>
      <c r="L9" s="15" t="inlineStr">
        <is>
          <t>Reglulegt andlegt álag hluta vinnudags.</t>
        </is>
      </c>
      <c r="M9" s="15" t="inlineStr">
        <is>
          <t>Viðvarandi andlegt álag stóran hluta vinnudags.</t>
        </is>
      </c>
      <c r="N9" s="15" t="inlineStr">
        <is>
          <t>Mikið andlegt álag sem getur valdið kulnun eða álagseinkennum.</t>
        </is>
      </c>
      <c r="O9" s="15" t="n"/>
      <c r="P9" s="15" t="n"/>
      <c r="Q9" s="15" t="n"/>
      <c r="R9" s="15" t="n"/>
      <c r="S9" s="15" t="n"/>
    </row>
    <row r="10">
      <c r="A10" s="19" t="n">
        <v>5</v>
      </c>
      <c r="B10" s="14" t="inlineStr">
        <is>
          <t>Vinnuaðstæður</t>
        </is>
      </c>
      <c r="C10" s="14" t="inlineStr">
        <is>
          <t>Vinnuumhverfi</t>
        </is>
      </c>
      <c r="D10" s="15" t="inlineStr">
        <is>
          <t>Metur líkamlegt vinnuumhverfi og hættu í starfi.</t>
        </is>
      </c>
      <c r="E10" s="12" t="n">
        <v>25</v>
      </c>
      <c r="F10" s="20" t="n">
        <v>5</v>
      </c>
      <c r="G10" s="21">
        <f>IFERROR(IF(B10="","",INDEX(Viðmið!$B$6:$B$19,MATCH(B10,Viðmið!$C$6:$C$19,0))),"")</f>
        <v/>
      </c>
      <c r="H10" s="22">
        <f>IF(OR(E10="",F10=""),"",E10*KVARDI)</f>
        <v/>
      </c>
      <c r="I10" s="23">
        <f>IF(B10="","",IF(ROUND(SUMIF($B$6:$B$45,B10,$E$6:$E$45),4)=ROUND(IFERROR(INDEX(Viðmið!$E$6:$E$19,MATCH(B10,Viðmið!$C$6:$C$19,0)),-1),4),"✓","✗"))</f>
        <v/>
      </c>
      <c r="J10" s="15" t="inlineStr">
        <is>
          <t>Skrifstofuumhverfi með litla áhættu.</t>
        </is>
      </c>
      <c r="K10" s="15" t="inlineStr">
        <is>
          <t>Blandað umhverfi með einhverri áhættu eða óþægindum.</t>
        </is>
      </c>
      <c r="L10" s="15" t="inlineStr">
        <is>
          <t>Krefjandi umhverfi (hávaði, hiti, útivinna o.s.frv.).</t>
        </is>
      </c>
      <c r="M10" s="15" t="inlineStr">
        <is>
          <t>Hættulegt umhverfi sem krefst öryggisbúnaðar.</t>
        </is>
      </c>
      <c r="N10" s="15" t="inlineStr">
        <is>
          <t>Mjög hættulegt umhverfi með háa slysahættu.</t>
        </is>
      </c>
      <c r="O10" s="15" t="n"/>
      <c r="P10" s="15" t="n"/>
      <c r="Q10" s="15" t="n"/>
      <c r="R10" s="15" t="n"/>
      <c r="S10" s="15" t="n"/>
    </row>
    <row r="11">
      <c r="A11" s="19" t="n">
        <v>6</v>
      </c>
      <c r="B11" s="14" t="inlineStr">
        <is>
          <t>Hæfni</t>
        </is>
      </c>
      <c r="C11" s="14" t="inlineStr">
        <is>
          <t>Menntunarkröfur</t>
        </is>
      </c>
      <c r="D11" s="15" t="inlineStr">
        <is>
          <t>Metur menntunarstig sem starfið krefst.</t>
        </is>
      </c>
      <c r="E11" s="12" t="n">
        <v>15</v>
      </c>
      <c r="F11" s="20" t="n">
        <v>5</v>
      </c>
      <c r="G11" s="21">
        <f>IFERROR(IF(B11="","",INDEX(Viðmið!$B$6:$B$19,MATCH(B11,Viðmið!$C$6:$C$19,0))),"")</f>
        <v/>
      </c>
      <c r="H11" s="22">
        <f>IF(OR(E11="",F11=""),"",E11*KVARDI)</f>
        <v/>
      </c>
      <c r="I11" s="23">
        <f>IF(B11="","",IF(ROUND(SUMIF($B$6:$B$45,B11,$E$6:$E$45),4)=ROUND(IFERROR(INDEX(Viðmið!$E$6:$E$19,MATCH(B11,Viðmið!$C$6:$C$19,0)),-1),4),"✓","✗"))</f>
        <v/>
      </c>
      <c r="J11" s="15" t="inlineStr">
        <is>
          <t>Engin sérstök menntunarkrafa.</t>
        </is>
      </c>
      <c r="K11" s="15" t="inlineStr">
        <is>
          <t>Framhaldsskólapróf eða sambærilegt.</t>
        </is>
      </c>
      <c r="L11" s="15" t="inlineStr">
        <is>
          <t>Iðnmenntun eða sambærilegt.</t>
        </is>
      </c>
      <c r="M11" s="15" t="inlineStr">
        <is>
          <t>Háskólapróf.</t>
        </is>
      </c>
      <c r="N11" s="15" t="inlineStr">
        <is>
          <t>Meistara- eða doktorspróf.</t>
        </is>
      </c>
      <c r="O11" s="15" t="n"/>
      <c r="P11" s="15" t="n"/>
      <c r="Q11" s="15" t="n"/>
      <c r="R11" s="15" t="n"/>
      <c r="S11" s="15" t="n"/>
    </row>
    <row r="12">
      <c r="A12" s="19" t="n">
        <v>7</v>
      </c>
      <c r="B12" s="14" t="inlineStr">
        <is>
          <t>Hæfni</t>
        </is>
      </c>
      <c r="C12" s="14" t="inlineStr">
        <is>
          <t>Reynslukröfur</t>
        </is>
      </c>
      <c r="D12" s="15" t="inlineStr">
        <is>
          <t>Metur starfsreynslu sem starfið krefst.</t>
        </is>
      </c>
      <c r="E12" s="12" t="n">
        <v>10</v>
      </c>
      <c r="F12" s="20" t="n">
        <v>5</v>
      </c>
      <c r="G12" s="21">
        <f>IFERROR(IF(B12="","",INDEX(Viðmið!$B$6:$B$19,MATCH(B12,Viðmið!$C$6:$C$19,0))),"")</f>
        <v/>
      </c>
      <c r="H12" s="22">
        <f>IF(OR(E12="",F12=""),"",E12*KVARDI)</f>
        <v/>
      </c>
      <c r="I12" s="23">
        <f>IF(B12="","",IF(ROUND(SUMIF($B$6:$B$45,B12,$E$6:$E$45),4)=ROUND(IFERROR(INDEX(Viðmið!$E$6:$E$19,MATCH(B12,Viðmið!$C$6:$C$19,0)),-1),4),"✓","✗"))</f>
        <v/>
      </c>
      <c r="J12" s="15" t="inlineStr">
        <is>
          <t>Engin sérstök reynsla krafin.</t>
        </is>
      </c>
      <c r="K12" s="15" t="inlineStr">
        <is>
          <t>Allt að 1 árs reynsla.</t>
        </is>
      </c>
      <c r="L12" s="15" t="inlineStr">
        <is>
          <t>1–3 ára reynsla.</t>
        </is>
      </c>
      <c r="M12" s="15" t="inlineStr">
        <is>
          <t>3–7 ára reynsla.</t>
        </is>
      </c>
      <c r="N12" s="15" t="inlineStr">
        <is>
          <t>Meira en 7 ára sérhæfð reynsla.</t>
        </is>
      </c>
      <c r="O12" s="15" t="n"/>
      <c r="P12" s="15" t="n"/>
      <c r="Q12" s="15" t="n"/>
      <c r="R12" s="15" t="n"/>
      <c r="S12" s="15" t="n"/>
    </row>
    <row r="13">
      <c r="A13" s="19" t="n">
        <v>8</v>
      </c>
      <c r="B13" s="14" t="inlineStr">
        <is>
          <t>Sérhæfing</t>
        </is>
      </c>
      <c r="C13" s="14" t="inlineStr">
        <is>
          <t>Tungumálakunnátta</t>
        </is>
      </c>
      <c r="D13" s="15" t="inlineStr">
        <is>
          <t>Metur hversu sérhæfð tungumálakunnátta nýtist í starfi.</t>
        </is>
      </c>
      <c r="E13" s="12" t="n">
        <v>3</v>
      </c>
      <c r="F13" s="20" t="n">
        <v>5</v>
      </c>
      <c r="G13" s="21">
        <f>IFERROR(IF(B13="","",INDEX(Viðmið!$B$6:$B$19,MATCH(B13,Viðmið!$C$6:$C$19,0))),"")</f>
        <v/>
      </c>
      <c r="H13" s="22">
        <f>IF(OR(E13="",F13=""),"",E13*KVARDI)</f>
        <v/>
      </c>
      <c r="I13" s="23">
        <f>IF(B13="","",IF(ROUND(SUMIF($B$6:$B$45,B13,$E$6:$E$45),4)=ROUND(IFERROR(INDEX(Viðmið!$E$6:$E$19,MATCH(B13,Viðmið!$C$6:$C$19,0)),-1),4),"✓","✗"))</f>
        <v/>
      </c>
      <c r="J13" s="15" t="inlineStr">
        <is>
          <t>Engin sérstök tungumálakunnátta.</t>
        </is>
      </c>
      <c r="K13" s="15" t="inlineStr">
        <is>
          <t>Grunnkunnátta í einu erlendu tungumáli.</t>
        </is>
      </c>
      <c r="L13" s="15" t="inlineStr">
        <is>
          <t>Góð kunnátta í einu erlendu tungumáli.</t>
        </is>
      </c>
      <c r="M13" s="15" t="inlineStr">
        <is>
          <t>Góð kunnátta í fleiri en einu erlendu tungumáli.</t>
        </is>
      </c>
      <c r="N13" s="15" t="inlineStr">
        <is>
          <t>Sérfræðikunnátta í fleiri en einu erlendu tungumáli.</t>
        </is>
      </c>
      <c r="O13" s="15" t="n"/>
      <c r="P13" s="15" t="n"/>
      <c r="Q13" s="15" t="n"/>
      <c r="R13" s="15" t="n"/>
      <c r="S13" s="15" t="n"/>
    </row>
    <row r="14">
      <c r="A14" s="19" t="n">
        <v>9</v>
      </c>
      <c r="B14" s="14" t="inlineStr">
        <is>
          <t>Sérhæfing</t>
        </is>
      </c>
      <c r="C14" s="14" t="inlineStr">
        <is>
          <t>Tækniþekking</t>
        </is>
      </c>
      <c r="D14" s="15" t="inlineStr">
        <is>
          <t>Metur sérhæfða tækniþekkingu umfram grunnkröfur starfsins.</t>
        </is>
      </c>
      <c r="E14" s="12" t="n">
        <v>2</v>
      </c>
      <c r="F14" s="20" t="n">
        <v>5</v>
      </c>
      <c r="G14" s="21">
        <f>IFERROR(IF(B14="","",INDEX(Viðmið!$B$6:$B$19,MATCH(B14,Viðmið!$C$6:$C$19,0))),"")</f>
        <v/>
      </c>
      <c r="H14" s="22">
        <f>IF(OR(E14="",F14=""),"",E14*KVARDI)</f>
        <v/>
      </c>
      <c r="I14" s="23">
        <f>IF(B14="","",IF(ROUND(SUMIF($B$6:$B$45,B14,$E$6:$E$45),4)=ROUND(IFERROR(INDEX(Viðmið!$E$6:$E$19,MATCH(B14,Viðmið!$C$6:$C$19,0)),-1),4),"✓","✗"))</f>
        <v/>
      </c>
      <c r="J14" s="15" t="inlineStr">
        <is>
          <t>Engin sérhæfð tækniþekking.</t>
        </is>
      </c>
      <c r="K14" s="15" t="inlineStr">
        <is>
          <t>Almenn tæknifærni.</t>
        </is>
      </c>
      <c r="L14" s="15" t="inlineStr">
        <is>
          <t>Góð kunnátta í sértækum tæknibúnaði/hugbúnaði.</t>
        </is>
      </c>
      <c r="M14" s="15" t="inlineStr">
        <is>
          <t>Djúp sérfræðiþekking í sértækum tæknibúnaði/hugbúnaði.</t>
        </is>
      </c>
      <c r="N14" s="15" t="inlineStr">
        <is>
          <t>Leiðandi sérfræðiþekking á sviðinu.</t>
        </is>
      </c>
      <c r="O14" s="15" t="n"/>
      <c r="P14" s="15" t="n"/>
      <c r="Q14" s="15" t="n"/>
      <c r="R14" s="15" t="n"/>
      <c r="S14" s="15" t="n"/>
    </row>
    <row r="15">
      <c r="A15" s="19" t="n">
        <v>10</v>
      </c>
      <c r="B15" s="14" t="inlineStr">
        <is>
          <t>Meiri sérhæfing</t>
        </is>
      </c>
      <c r="C15" s="14" t="inlineStr">
        <is>
          <t>Verkefnastjórnun</t>
        </is>
      </c>
      <c r="D15" s="15" t="inlineStr">
        <is>
          <t>Metur sérhæfða verkefnastjórnunarreynslu.</t>
        </is>
      </c>
      <c r="E15" s="12" t="n">
        <v>3</v>
      </c>
      <c r="F15" s="20" t="n">
        <v>5</v>
      </c>
      <c r="G15" s="21">
        <f>IFERROR(IF(B15="","",INDEX(Viðmið!$B$6:$B$19,MATCH(B15,Viðmið!$C$6:$C$19,0))),"")</f>
        <v/>
      </c>
      <c r="H15" s="22">
        <f>IF(OR(E15="",F15=""),"",E15*KVARDI)</f>
        <v/>
      </c>
      <c r="I15" s="23">
        <f>IF(B15="","",IF(ROUND(SUMIF($B$6:$B$45,B15,$E$6:$E$45),4)=ROUND(IFERROR(INDEX(Viðmið!$E$6:$E$19,MATCH(B15,Viðmið!$C$6:$C$19,0)),-1),4),"✓","✗"))</f>
        <v/>
      </c>
      <c r="J15" s="15" t="inlineStr">
        <is>
          <t>Engin sérstök verkefnastjórnunarreynsla.</t>
        </is>
      </c>
      <c r="K15" s="15" t="inlineStr">
        <is>
          <t>Lítils háttar verkefnastjórnun.</t>
        </is>
      </c>
      <c r="L15" s="15" t="inlineStr">
        <is>
          <t>Reglubundin verkefnastjórnun.</t>
        </is>
      </c>
      <c r="M15" s="15" t="inlineStr">
        <is>
          <t>Sérhæfð verkefnastjórnun (t.d. PMP).</t>
        </is>
      </c>
      <c r="N15" s="15" t="inlineStr">
        <is>
          <t>Leiðandi sérfræðingur í verkefnastjórnun.</t>
        </is>
      </c>
      <c r="O15" s="15" t="n"/>
      <c r="P15" s="15" t="n"/>
      <c r="Q15" s="15" t="n"/>
      <c r="R15" s="15" t="n"/>
      <c r="S15" s="15" t="n"/>
    </row>
    <row r="16">
      <c r="A16" s="19" t="n">
        <v>11</v>
      </c>
      <c r="B16" s="14" t="inlineStr">
        <is>
          <t>Meiri sérhæfing</t>
        </is>
      </c>
      <c r="C16" s="14" t="inlineStr">
        <is>
          <t>Þvervirk samvinna</t>
        </is>
      </c>
      <c r="D16" s="15" t="inlineStr">
        <is>
          <t>Metur sérhæfingu í samstarfi þvert á deildir og svið.</t>
        </is>
      </c>
      <c r="E16" s="12" t="n">
        <v>2</v>
      </c>
      <c r="F16" s="20" t="n">
        <v>5</v>
      </c>
      <c r="G16" s="21">
        <f>IFERROR(IF(B16="","",INDEX(Viðmið!$B$6:$B$19,MATCH(B16,Viðmið!$C$6:$C$19,0))),"")</f>
        <v/>
      </c>
      <c r="H16" s="22">
        <f>IF(OR(E16="",F16=""),"",E16*KVARDI)</f>
        <v/>
      </c>
      <c r="I16" s="23">
        <f>IF(B16="","",IF(ROUND(SUMIF($B$6:$B$45,B16,$E$6:$E$45),4)=ROUND(IFERROR(INDEX(Viðmið!$E$6:$E$19,MATCH(B16,Viðmið!$C$6:$C$19,0)),-1),4),"✓","✗"))</f>
        <v/>
      </c>
      <c r="J16" s="15" t="inlineStr">
        <is>
          <t>Vinnur eingöngu innan eigin teymis.</t>
        </is>
      </c>
      <c r="K16" s="15" t="inlineStr">
        <is>
          <t>Einstaka samvinna við aðrar deildir.</t>
        </is>
      </c>
      <c r="L16" s="15" t="inlineStr">
        <is>
          <t>Regluleg þvervirk samvinna.</t>
        </is>
      </c>
      <c r="M16" s="15" t="inlineStr">
        <is>
          <t>Leiðir samstarfsverkefni milli deilda.</t>
        </is>
      </c>
      <c r="N16" s="15" t="inlineStr">
        <is>
          <t>Ber ábyrgð á þvervirku samstarfi á fyrirtækisvísu.</t>
        </is>
      </c>
      <c r="O16" s="15" t="n"/>
      <c r="P16" s="15" t="n"/>
      <c r="Q16" s="15" t="n"/>
      <c r="R16" s="15" t="n"/>
      <c r="S16" s="15" t="n"/>
    </row>
    <row r="17">
      <c r="A17" s="19" t="n">
        <v>12</v>
      </c>
      <c r="B17" s="14" t="n"/>
      <c r="C17" s="14" t="n"/>
      <c r="D17" s="15" t="n"/>
      <c r="E17" s="12" t="n"/>
      <c r="F17" s="20" t="n"/>
      <c r="G17" s="21">
        <f>IFERROR(IF(B17="","",INDEX(Viðmið!$B$6:$B$19,MATCH(B17,Viðmið!$C$6:$C$19,0))),"")</f>
        <v/>
      </c>
      <c r="H17" s="22">
        <f>IF(OR(E17="",F17=""),"",E17*KVARDI)</f>
        <v/>
      </c>
      <c r="I17" s="23">
        <f>IF(B17="","",IF(ROUND(SUMIF($B$6:$B$45,B17,$E$6:$E$45),4)=ROUND(IFERROR(INDEX(Viðmið!$E$6:$E$19,MATCH(B17,Viðmið!$C$6:$C$19,0)),-1),4),"✓","✗"))</f>
        <v/>
      </c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</row>
    <row r="18">
      <c r="A18" s="19" t="n">
        <v>13</v>
      </c>
      <c r="B18" s="14" t="n"/>
      <c r="C18" s="14" t="n"/>
      <c r="D18" s="15" t="n"/>
      <c r="E18" s="12" t="n"/>
      <c r="F18" s="20" t="n"/>
      <c r="G18" s="21">
        <f>IFERROR(IF(B18="","",INDEX(Viðmið!$B$6:$B$19,MATCH(B18,Viðmið!$C$6:$C$19,0))),"")</f>
        <v/>
      </c>
      <c r="H18" s="22">
        <f>IF(OR(E18="",F18=""),"",E18*KVARDI)</f>
        <v/>
      </c>
      <c r="I18" s="23">
        <f>IF(B18="","",IF(ROUND(SUMIF($B$6:$B$45,B18,$E$6:$E$45),4)=ROUND(IFERROR(INDEX(Viðmið!$E$6:$E$19,MATCH(B18,Viðmið!$C$6:$C$19,0)),-1),4),"✓","✗"))</f>
        <v/>
      </c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</row>
    <row r="19">
      <c r="A19" s="19" t="n">
        <v>14</v>
      </c>
      <c r="B19" s="14" t="n"/>
      <c r="C19" s="14" t="n"/>
      <c r="D19" s="15" t="n"/>
      <c r="E19" s="12" t="n"/>
      <c r="F19" s="20" t="n"/>
      <c r="G19" s="21">
        <f>IFERROR(IF(B19="","",INDEX(Viðmið!$B$6:$B$19,MATCH(B19,Viðmið!$C$6:$C$19,0))),"")</f>
        <v/>
      </c>
      <c r="H19" s="22">
        <f>IF(OR(E19="",F19=""),"",E19*KVARDI)</f>
        <v/>
      </c>
      <c r="I19" s="23">
        <f>IF(B19="","",IF(ROUND(SUMIF($B$6:$B$45,B19,$E$6:$E$45),4)=ROUND(IFERROR(INDEX(Viðmið!$E$6:$E$19,MATCH(B19,Viðmið!$C$6:$C$19,0)),-1),4),"✓","✗"))</f>
        <v/>
      </c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</row>
    <row r="20">
      <c r="A20" s="19" t="n">
        <v>15</v>
      </c>
      <c r="B20" s="14" t="n"/>
      <c r="C20" s="14" t="n"/>
      <c r="D20" s="15" t="n"/>
      <c r="E20" s="12" t="n"/>
      <c r="F20" s="20" t="n"/>
      <c r="G20" s="21">
        <f>IFERROR(IF(B20="","",INDEX(Viðmið!$B$6:$B$19,MATCH(B20,Viðmið!$C$6:$C$19,0))),"")</f>
        <v/>
      </c>
      <c r="H20" s="22">
        <f>IF(OR(E20="",F20=""),"",E20*KVARDI)</f>
        <v/>
      </c>
      <c r="I20" s="23">
        <f>IF(B20="","",IF(ROUND(SUMIF($B$6:$B$45,B20,$E$6:$E$45),4)=ROUND(IFERROR(INDEX(Viðmið!$E$6:$E$19,MATCH(B20,Viðmið!$C$6:$C$19,0)),-1),4),"✓","✗"))</f>
        <v/>
      </c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</row>
    <row r="21">
      <c r="A21" s="19" t="n">
        <v>16</v>
      </c>
      <c r="B21" s="14" t="n"/>
      <c r="C21" s="14" t="n"/>
      <c r="D21" s="15" t="n"/>
      <c r="E21" s="12" t="n"/>
      <c r="F21" s="20" t="n"/>
      <c r="G21" s="21">
        <f>IFERROR(IF(B21="","",INDEX(Viðmið!$B$6:$B$19,MATCH(B21,Viðmið!$C$6:$C$19,0))),"")</f>
        <v/>
      </c>
      <c r="H21" s="22">
        <f>IF(OR(E21="",F21=""),"",E21*KVARDI)</f>
        <v/>
      </c>
      <c r="I21" s="23">
        <f>IF(B21="","",IF(ROUND(SUMIF($B$6:$B$45,B21,$E$6:$E$45),4)=ROUND(IFERROR(INDEX(Viðmið!$E$6:$E$19,MATCH(B21,Viðmið!$C$6:$C$19,0)),-1),4),"✓","✗"))</f>
        <v/>
      </c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</row>
    <row r="22">
      <c r="A22" s="19" t="n">
        <v>17</v>
      </c>
      <c r="B22" s="14" t="n"/>
      <c r="C22" s="14" t="n"/>
      <c r="D22" s="15" t="n"/>
      <c r="E22" s="12" t="n"/>
      <c r="F22" s="20" t="n"/>
      <c r="G22" s="21">
        <f>IFERROR(IF(B22="","",INDEX(Viðmið!$B$6:$B$19,MATCH(B22,Viðmið!$C$6:$C$19,0))),"")</f>
        <v/>
      </c>
      <c r="H22" s="22">
        <f>IF(OR(E22="",F22=""),"",E22*KVARDI)</f>
        <v/>
      </c>
      <c r="I22" s="23">
        <f>IF(B22="","",IF(ROUND(SUMIF($B$6:$B$45,B22,$E$6:$E$45),4)=ROUND(IFERROR(INDEX(Viðmið!$E$6:$E$19,MATCH(B22,Viðmið!$C$6:$C$19,0)),-1),4),"✓","✗"))</f>
        <v/>
      </c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</row>
    <row r="23">
      <c r="A23" s="19" t="n">
        <v>18</v>
      </c>
      <c r="B23" s="14" t="n"/>
      <c r="C23" s="14" t="n"/>
      <c r="D23" s="15" t="n"/>
      <c r="E23" s="12" t="n"/>
      <c r="F23" s="20" t="n"/>
      <c r="G23" s="21">
        <f>IFERROR(IF(B23="","",INDEX(Viðmið!$B$6:$B$19,MATCH(B23,Viðmið!$C$6:$C$19,0))),"")</f>
        <v/>
      </c>
      <c r="H23" s="22">
        <f>IF(OR(E23="",F23=""),"",E23*KVARDI)</f>
        <v/>
      </c>
      <c r="I23" s="23">
        <f>IF(B23="","",IF(ROUND(SUMIF($B$6:$B$45,B23,$E$6:$E$45),4)=ROUND(IFERROR(INDEX(Viðmið!$E$6:$E$19,MATCH(B23,Viðmið!$C$6:$C$19,0)),-1),4),"✓","✗"))</f>
        <v/>
      </c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</row>
    <row r="24">
      <c r="A24" s="19" t="n">
        <v>19</v>
      </c>
      <c r="B24" s="14" t="n"/>
      <c r="C24" s="14" t="n"/>
      <c r="D24" s="15" t="n"/>
      <c r="E24" s="12" t="n"/>
      <c r="F24" s="20" t="n"/>
      <c r="G24" s="21">
        <f>IFERROR(IF(B24="","",INDEX(Viðmið!$B$6:$B$19,MATCH(B24,Viðmið!$C$6:$C$19,0))),"")</f>
        <v/>
      </c>
      <c r="H24" s="22">
        <f>IF(OR(E24="",F24=""),"",E24*KVARDI)</f>
        <v/>
      </c>
      <c r="I24" s="23">
        <f>IF(B24="","",IF(ROUND(SUMIF($B$6:$B$45,B24,$E$6:$E$45),4)=ROUND(IFERROR(INDEX(Viðmið!$E$6:$E$19,MATCH(B24,Viðmið!$C$6:$C$19,0)),-1),4),"✓","✗"))</f>
        <v/>
      </c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</row>
    <row r="25">
      <c r="A25" s="19" t="n">
        <v>20</v>
      </c>
      <c r="B25" s="14" t="n"/>
      <c r="C25" s="14" t="n"/>
      <c r="D25" s="15" t="n"/>
      <c r="E25" s="12" t="n"/>
      <c r="F25" s="20" t="n"/>
      <c r="G25" s="21">
        <f>IFERROR(IF(B25="","",INDEX(Viðmið!$B$6:$B$19,MATCH(B25,Viðmið!$C$6:$C$19,0))),"")</f>
        <v/>
      </c>
      <c r="H25" s="22">
        <f>IF(OR(E25="",F25=""),"",E25*KVARDI)</f>
        <v/>
      </c>
      <c r="I25" s="23">
        <f>IF(B25="","",IF(ROUND(SUMIF($B$6:$B$45,B25,$E$6:$E$45),4)=ROUND(IFERROR(INDEX(Viðmið!$E$6:$E$19,MATCH(B25,Viðmið!$C$6:$C$19,0)),-1),4),"✓","✗"))</f>
        <v/>
      </c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</row>
    <row r="26">
      <c r="A26" s="19" t="n">
        <v>21</v>
      </c>
      <c r="B26" s="14" t="n"/>
      <c r="C26" s="14" t="n"/>
      <c r="D26" s="15" t="n"/>
      <c r="E26" s="12" t="n"/>
      <c r="F26" s="20" t="n"/>
      <c r="G26" s="21">
        <f>IFERROR(IF(B26="","",INDEX(Viðmið!$B$6:$B$19,MATCH(B26,Viðmið!$C$6:$C$19,0))),"")</f>
        <v/>
      </c>
      <c r="H26" s="22">
        <f>IF(OR(E26="",F26=""),"",E26*KVARDI)</f>
        <v/>
      </c>
      <c r="I26" s="23">
        <f>IF(B26="","",IF(ROUND(SUMIF($B$6:$B$45,B26,$E$6:$E$45),4)=ROUND(IFERROR(INDEX(Viðmið!$E$6:$E$19,MATCH(B26,Viðmið!$C$6:$C$19,0)),-1),4),"✓","✗"))</f>
        <v/>
      </c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</row>
    <row r="27">
      <c r="A27" s="19" t="n">
        <v>22</v>
      </c>
      <c r="B27" s="14" t="n"/>
      <c r="C27" s="14" t="n"/>
      <c r="D27" s="15" t="n"/>
      <c r="E27" s="12" t="n"/>
      <c r="F27" s="20" t="n"/>
      <c r="G27" s="21">
        <f>IFERROR(IF(B27="","",INDEX(Viðmið!$B$6:$B$19,MATCH(B27,Viðmið!$C$6:$C$19,0))),"")</f>
        <v/>
      </c>
      <c r="H27" s="22">
        <f>IF(OR(E27="",F27=""),"",E27*KVARDI)</f>
        <v/>
      </c>
      <c r="I27" s="23">
        <f>IF(B27="","",IF(ROUND(SUMIF($B$6:$B$45,B27,$E$6:$E$45),4)=ROUND(IFERROR(INDEX(Viðmið!$E$6:$E$19,MATCH(B27,Viðmið!$C$6:$C$19,0)),-1),4),"✓","✗"))</f>
        <v/>
      </c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</row>
    <row r="28">
      <c r="A28" s="19" t="n">
        <v>23</v>
      </c>
      <c r="B28" s="14" t="n"/>
      <c r="C28" s="14" t="n"/>
      <c r="D28" s="15" t="n"/>
      <c r="E28" s="12" t="n"/>
      <c r="F28" s="20" t="n"/>
      <c r="G28" s="21">
        <f>IFERROR(IF(B28="","",INDEX(Viðmið!$B$6:$B$19,MATCH(B28,Viðmið!$C$6:$C$19,0))),"")</f>
        <v/>
      </c>
      <c r="H28" s="22">
        <f>IF(OR(E28="",F28=""),"",E28*KVARDI)</f>
        <v/>
      </c>
      <c r="I28" s="23">
        <f>IF(B28="","",IF(ROUND(SUMIF($B$6:$B$45,B28,$E$6:$E$45),4)=ROUND(IFERROR(INDEX(Viðmið!$E$6:$E$19,MATCH(B28,Viðmið!$C$6:$C$19,0)),-1),4),"✓","✗"))</f>
        <v/>
      </c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</row>
    <row r="29">
      <c r="A29" s="19" t="n">
        <v>24</v>
      </c>
      <c r="B29" s="14" t="n"/>
      <c r="C29" s="14" t="n"/>
      <c r="D29" s="15" t="n"/>
      <c r="E29" s="12" t="n"/>
      <c r="F29" s="20" t="n"/>
      <c r="G29" s="21">
        <f>IFERROR(IF(B29="","",INDEX(Viðmið!$B$6:$B$19,MATCH(B29,Viðmið!$C$6:$C$19,0))),"")</f>
        <v/>
      </c>
      <c r="H29" s="22">
        <f>IF(OR(E29="",F29=""),"",E29*KVARDI)</f>
        <v/>
      </c>
      <c r="I29" s="23">
        <f>IF(B29="","",IF(ROUND(SUMIF($B$6:$B$45,B29,$E$6:$E$45),4)=ROUND(IFERROR(INDEX(Viðmið!$E$6:$E$19,MATCH(B29,Viðmið!$C$6:$C$19,0)),-1),4),"✓","✗"))</f>
        <v/>
      </c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</row>
    <row r="30">
      <c r="A30" s="19" t="n">
        <v>25</v>
      </c>
      <c r="B30" s="14" t="n"/>
      <c r="C30" s="14" t="n"/>
      <c r="D30" s="15" t="n"/>
      <c r="E30" s="12" t="n"/>
      <c r="F30" s="20" t="n"/>
      <c r="G30" s="21">
        <f>IFERROR(IF(B30="","",INDEX(Viðmið!$B$6:$B$19,MATCH(B30,Viðmið!$C$6:$C$19,0))),"")</f>
        <v/>
      </c>
      <c r="H30" s="22">
        <f>IF(OR(E30="",F30=""),"",E30*KVARDI)</f>
        <v/>
      </c>
      <c r="I30" s="23">
        <f>IF(B30="","",IF(ROUND(SUMIF($B$6:$B$45,B30,$E$6:$E$45),4)=ROUND(IFERROR(INDEX(Viðmið!$E$6:$E$19,MATCH(B30,Viðmið!$C$6:$C$19,0)),-1),4),"✓","✗"))</f>
        <v/>
      </c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</row>
    <row r="31">
      <c r="A31" s="19" t="n">
        <v>26</v>
      </c>
      <c r="B31" s="14" t="n"/>
      <c r="C31" s="14" t="n"/>
      <c r="D31" s="15" t="n"/>
      <c r="E31" s="12" t="n"/>
      <c r="F31" s="20" t="n"/>
      <c r="G31" s="21">
        <f>IFERROR(IF(B31="","",INDEX(Viðmið!$B$6:$B$19,MATCH(B31,Viðmið!$C$6:$C$19,0))),"")</f>
        <v/>
      </c>
      <c r="H31" s="22">
        <f>IF(OR(E31="",F31=""),"",E31*KVARDI)</f>
        <v/>
      </c>
      <c r="I31" s="23">
        <f>IF(B31="","",IF(ROUND(SUMIF($B$6:$B$45,B31,$E$6:$E$45),4)=ROUND(IFERROR(INDEX(Viðmið!$E$6:$E$19,MATCH(B31,Viðmið!$C$6:$C$19,0)),-1),4),"✓","✗"))</f>
        <v/>
      </c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</row>
    <row r="32">
      <c r="A32" s="19" t="n">
        <v>27</v>
      </c>
      <c r="B32" s="14" t="n"/>
      <c r="C32" s="14" t="n"/>
      <c r="D32" s="15" t="n"/>
      <c r="E32" s="12" t="n"/>
      <c r="F32" s="20" t="n"/>
      <c r="G32" s="21">
        <f>IFERROR(IF(B32="","",INDEX(Viðmið!$B$6:$B$19,MATCH(B32,Viðmið!$C$6:$C$19,0))),"")</f>
        <v/>
      </c>
      <c r="H32" s="22">
        <f>IF(OR(E32="",F32=""),"",E32*KVARDI)</f>
        <v/>
      </c>
      <c r="I32" s="23">
        <f>IF(B32="","",IF(ROUND(SUMIF($B$6:$B$45,B32,$E$6:$E$45),4)=ROUND(IFERROR(INDEX(Viðmið!$E$6:$E$19,MATCH(B32,Viðmið!$C$6:$C$19,0)),-1),4),"✓","✗"))</f>
        <v/>
      </c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</row>
    <row r="33">
      <c r="A33" s="19" t="n">
        <v>28</v>
      </c>
      <c r="B33" s="14" t="n"/>
      <c r="C33" s="14" t="n"/>
      <c r="D33" s="15" t="n"/>
      <c r="E33" s="12" t="n"/>
      <c r="F33" s="20" t="n"/>
      <c r="G33" s="21">
        <f>IFERROR(IF(B33="","",INDEX(Viðmið!$B$6:$B$19,MATCH(B33,Viðmið!$C$6:$C$19,0))),"")</f>
        <v/>
      </c>
      <c r="H33" s="22">
        <f>IF(OR(E33="",F33=""),"",E33*KVARDI)</f>
        <v/>
      </c>
      <c r="I33" s="23">
        <f>IF(B33="","",IF(ROUND(SUMIF($B$6:$B$45,B33,$E$6:$E$45),4)=ROUND(IFERROR(INDEX(Viðmið!$E$6:$E$19,MATCH(B33,Viðmið!$C$6:$C$19,0)),-1),4),"✓","✗"))</f>
        <v/>
      </c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</row>
    <row r="34">
      <c r="A34" s="19" t="n">
        <v>29</v>
      </c>
      <c r="B34" s="14" t="n"/>
      <c r="C34" s="14" t="n"/>
      <c r="D34" s="15" t="n"/>
      <c r="E34" s="12" t="n"/>
      <c r="F34" s="20" t="n"/>
      <c r="G34" s="21">
        <f>IFERROR(IF(B34="","",INDEX(Viðmið!$B$6:$B$19,MATCH(B34,Viðmið!$C$6:$C$19,0))),"")</f>
        <v/>
      </c>
      <c r="H34" s="22">
        <f>IF(OR(E34="",F34=""),"",E34*KVARDI)</f>
        <v/>
      </c>
      <c r="I34" s="23">
        <f>IF(B34="","",IF(ROUND(SUMIF($B$6:$B$45,B34,$E$6:$E$45),4)=ROUND(IFERROR(INDEX(Viðmið!$E$6:$E$19,MATCH(B34,Viðmið!$C$6:$C$19,0)),-1),4),"✓","✗"))</f>
        <v/>
      </c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</row>
    <row r="35">
      <c r="A35" s="19" t="n">
        <v>30</v>
      </c>
      <c r="B35" s="14" t="n"/>
      <c r="C35" s="14" t="n"/>
      <c r="D35" s="15" t="n"/>
      <c r="E35" s="12" t="n"/>
      <c r="F35" s="20" t="n"/>
      <c r="G35" s="21">
        <f>IFERROR(IF(B35="","",INDEX(Viðmið!$B$6:$B$19,MATCH(B35,Viðmið!$C$6:$C$19,0))),"")</f>
        <v/>
      </c>
      <c r="H35" s="22">
        <f>IF(OR(E35="",F35=""),"",E35*KVARDI)</f>
        <v/>
      </c>
      <c r="I35" s="23">
        <f>IF(B35="","",IF(ROUND(SUMIF($B$6:$B$45,B35,$E$6:$E$45),4)=ROUND(IFERROR(INDEX(Viðmið!$E$6:$E$19,MATCH(B35,Viðmið!$C$6:$C$19,0)),-1),4),"✓","✗"))</f>
        <v/>
      </c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</row>
    <row r="36">
      <c r="A36" s="19" t="n">
        <v>31</v>
      </c>
      <c r="B36" s="14" t="n"/>
      <c r="C36" s="14" t="n"/>
      <c r="D36" s="15" t="n"/>
      <c r="E36" s="12" t="n"/>
      <c r="F36" s="20" t="n"/>
      <c r="G36" s="21">
        <f>IFERROR(IF(B36="","",INDEX(Viðmið!$B$6:$B$19,MATCH(B36,Viðmið!$C$6:$C$19,0))),"")</f>
        <v/>
      </c>
      <c r="H36" s="22">
        <f>IF(OR(E36="",F36=""),"",E36*KVARDI)</f>
        <v/>
      </c>
      <c r="I36" s="23">
        <f>IF(B36="","",IF(ROUND(SUMIF($B$6:$B$45,B36,$E$6:$E$45),4)=ROUND(IFERROR(INDEX(Viðmið!$E$6:$E$19,MATCH(B36,Viðmið!$C$6:$C$19,0)),-1),4),"✓","✗"))</f>
        <v/>
      </c>
      <c r="J36" s="15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</row>
    <row r="37">
      <c r="A37" s="19" t="n">
        <v>32</v>
      </c>
      <c r="B37" s="14" t="n"/>
      <c r="C37" s="14" t="n"/>
      <c r="D37" s="15" t="n"/>
      <c r="E37" s="12" t="n"/>
      <c r="F37" s="20" t="n"/>
      <c r="G37" s="21">
        <f>IFERROR(IF(B37="","",INDEX(Viðmið!$B$6:$B$19,MATCH(B37,Viðmið!$C$6:$C$19,0))),"")</f>
        <v/>
      </c>
      <c r="H37" s="22">
        <f>IF(OR(E37="",F37=""),"",E37*KVARDI)</f>
        <v/>
      </c>
      <c r="I37" s="23">
        <f>IF(B37="","",IF(ROUND(SUMIF($B$6:$B$45,B37,$E$6:$E$45),4)=ROUND(IFERROR(INDEX(Viðmið!$E$6:$E$19,MATCH(B37,Viðmið!$C$6:$C$19,0)),-1),4),"✓","✗"))</f>
        <v/>
      </c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</row>
    <row r="38">
      <c r="A38" s="19" t="n">
        <v>33</v>
      </c>
      <c r="B38" s="14" t="n"/>
      <c r="C38" s="14" t="n"/>
      <c r="D38" s="15" t="n"/>
      <c r="E38" s="12" t="n"/>
      <c r="F38" s="20" t="n"/>
      <c r="G38" s="21">
        <f>IFERROR(IF(B38="","",INDEX(Viðmið!$B$6:$B$19,MATCH(B38,Viðmið!$C$6:$C$19,0))),"")</f>
        <v/>
      </c>
      <c r="H38" s="22">
        <f>IF(OR(E38="",F38=""),"",E38*KVARDI)</f>
        <v/>
      </c>
      <c r="I38" s="23">
        <f>IF(B38="","",IF(ROUND(SUMIF($B$6:$B$45,B38,$E$6:$E$45),4)=ROUND(IFERROR(INDEX(Viðmið!$E$6:$E$19,MATCH(B38,Viðmið!$C$6:$C$19,0)),-1),4),"✓","✗"))</f>
        <v/>
      </c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15" t="n"/>
    </row>
    <row r="39">
      <c r="A39" s="19" t="n">
        <v>34</v>
      </c>
      <c r="B39" s="14" t="n"/>
      <c r="C39" s="14" t="n"/>
      <c r="D39" s="15" t="n"/>
      <c r="E39" s="12" t="n"/>
      <c r="F39" s="20" t="n"/>
      <c r="G39" s="21">
        <f>IFERROR(IF(B39="","",INDEX(Viðmið!$B$6:$B$19,MATCH(B39,Viðmið!$C$6:$C$19,0))),"")</f>
        <v/>
      </c>
      <c r="H39" s="22">
        <f>IF(OR(E39="",F39=""),"",E39*KVARDI)</f>
        <v/>
      </c>
      <c r="I39" s="23">
        <f>IF(B39="","",IF(ROUND(SUMIF($B$6:$B$45,B39,$E$6:$E$45),4)=ROUND(IFERROR(INDEX(Viðmið!$E$6:$E$19,MATCH(B39,Viðmið!$C$6:$C$19,0)),-1),4),"✓","✗"))</f>
        <v/>
      </c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</row>
    <row r="40">
      <c r="A40" s="19" t="n">
        <v>35</v>
      </c>
      <c r="B40" s="14" t="n"/>
      <c r="C40" s="14" t="n"/>
      <c r="D40" s="15" t="n"/>
      <c r="E40" s="12" t="n"/>
      <c r="F40" s="20" t="n"/>
      <c r="G40" s="21">
        <f>IFERROR(IF(B40="","",INDEX(Viðmið!$B$6:$B$19,MATCH(B40,Viðmið!$C$6:$C$19,0))),"")</f>
        <v/>
      </c>
      <c r="H40" s="22">
        <f>IF(OR(E40="",F40=""),"",E40*KVARDI)</f>
        <v/>
      </c>
      <c r="I40" s="23">
        <f>IF(B40="","",IF(ROUND(SUMIF($B$6:$B$45,B40,$E$6:$E$45),4)=ROUND(IFERROR(INDEX(Viðmið!$E$6:$E$19,MATCH(B40,Viðmið!$C$6:$C$19,0)),-1),4),"✓","✗"))</f>
        <v/>
      </c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</row>
    <row r="41">
      <c r="A41" s="19" t="n">
        <v>36</v>
      </c>
      <c r="B41" s="14" t="n"/>
      <c r="C41" s="14" t="n"/>
      <c r="D41" s="15" t="n"/>
      <c r="E41" s="12" t="n"/>
      <c r="F41" s="20" t="n"/>
      <c r="G41" s="21">
        <f>IFERROR(IF(B41="","",INDEX(Viðmið!$B$6:$B$19,MATCH(B41,Viðmið!$C$6:$C$19,0))),"")</f>
        <v/>
      </c>
      <c r="H41" s="22">
        <f>IF(OR(E41="",F41=""),"",E41*KVARDI)</f>
        <v/>
      </c>
      <c r="I41" s="23">
        <f>IF(B41="","",IF(ROUND(SUMIF($B$6:$B$45,B41,$E$6:$E$45),4)=ROUND(IFERROR(INDEX(Viðmið!$E$6:$E$19,MATCH(B41,Viðmið!$C$6:$C$19,0)),-1),4),"✓","✗"))</f>
        <v/>
      </c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</row>
    <row r="42">
      <c r="A42" s="19" t="n">
        <v>37</v>
      </c>
      <c r="B42" s="14" t="n"/>
      <c r="C42" s="14" t="n"/>
      <c r="D42" s="15" t="n"/>
      <c r="E42" s="12" t="n"/>
      <c r="F42" s="20" t="n"/>
      <c r="G42" s="21">
        <f>IFERROR(IF(B42="","",INDEX(Viðmið!$B$6:$B$19,MATCH(B42,Viðmið!$C$6:$C$19,0))),"")</f>
        <v/>
      </c>
      <c r="H42" s="22">
        <f>IF(OR(E42="",F42=""),"",E42*KVARDI)</f>
        <v/>
      </c>
      <c r="I42" s="23">
        <f>IF(B42="","",IF(ROUND(SUMIF($B$6:$B$45,B42,$E$6:$E$45),4)=ROUND(IFERROR(INDEX(Viðmið!$E$6:$E$19,MATCH(B42,Viðmið!$C$6:$C$19,0)),-1),4),"✓","✗"))</f>
        <v/>
      </c>
      <c r="J42" s="15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</row>
    <row r="43">
      <c r="A43" s="19" t="n">
        <v>38</v>
      </c>
      <c r="B43" s="14" t="n"/>
      <c r="C43" s="14" t="n"/>
      <c r="D43" s="15" t="n"/>
      <c r="E43" s="12" t="n"/>
      <c r="F43" s="20" t="n"/>
      <c r="G43" s="21">
        <f>IFERROR(IF(B43="","",INDEX(Viðmið!$B$6:$B$19,MATCH(B43,Viðmið!$C$6:$C$19,0))),"")</f>
        <v/>
      </c>
      <c r="H43" s="22">
        <f>IF(OR(E43="",F43=""),"",E43*KVARDI)</f>
        <v/>
      </c>
      <c r="I43" s="23">
        <f>IF(B43="","",IF(ROUND(SUMIF($B$6:$B$45,B43,$E$6:$E$45),4)=ROUND(IFERROR(INDEX(Viðmið!$E$6:$E$19,MATCH(B43,Viðmið!$C$6:$C$19,0)),-1),4),"✓","✗"))</f>
        <v/>
      </c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</row>
    <row r="44">
      <c r="A44" s="19" t="n">
        <v>39</v>
      </c>
      <c r="B44" s="14" t="n"/>
      <c r="C44" s="14" t="n"/>
      <c r="D44" s="15" t="n"/>
      <c r="E44" s="12" t="n"/>
      <c r="F44" s="20" t="n"/>
      <c r="G44" s="21">
        <f>IFERROR(IF(B44="","",INDEX(Viðmið!$B$6:$B$19,MATCH(B44,Viðmið!$C$6:$C$19,0))),"")</f>
        <v/>
      </c>
      <c r="H44" s="22">
        <f>IF(OR(E44="",F44=""),"",E44*KVARDI)</f>
        <v/>
      </c>
      <c r="I44" s="23">
        <f>IF(B44="","",IF(ROUND(SUMIF($B$6:$B$45,B44,$E$6:$E$45),4)=ROUND(IFERROR(INDEX(Viðmið!$E$6:$E$19,MATCH(B44,Viðmið!$C$6:$C$19,0)),-1),4),"✓","✗"))</f>
        <v/>
      </c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</row>
    <row r="45">
      <c r="A45" s="19" t="n">
        <v>40</v>
      </c>
      <c r="B45" s="14" t="n"/>
      <c r="C45" s="14" t="n"/>
      <c r="D45" s="15" t="n"/>
      <c r="E45" s="12" t="n"/>
      <c r="F45" s="20" t="n"/>
      <c r="G45" s="21">
        <f>IFERROR(IF(B45="","",INDEX(Viðmið!$B$6:$B$19,MATCH(B45,Viðmið!$C$6:$C$19,0))),"")</f>
        <v/>
      </c>
      <c r="H45" s="22">
        <f>IF(OR(E45="",F45=""),"",E45*KVARDI)</f>
        <v/>
      </c>
      <c r="I45" s="23">
        <f>IF(B45="","",IF(ROUND(SUMIF($B$6:$B$45,B45,$E$6:$E$45),4)=ROUND(IFERROR(INDEX(Viðmið!$E$6:$E$19,MATCH(B45,Viðmið!$C$6:$C$19,0)),-1),4),"✓","✗"))</f>
        <v/>
      </c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</row>
  </sheetData>
  <mergeCells count="2">
    <mergeCell ref="B2:F2"/>
    <mergeCell ref="B3:S3"/>
  </mergeCells>
  <conditionalFormatting sqref="J6:J45">
    <cfRule type="expression" priority="1" dxfId="2">
      <formula>AND($F6&lt;&gt;"",$F6&lt;1)</formula>
    </cfRule>
  </conditionalFormatting>
  <conditionalFormatting sqref="K6:K45">
    <cfRule type="expression" priority="2" dxfId="2">
      <formula>AND($F6&lt;&gt;"",$F6&lt;2)</formula>
    </cfRule>
  </conditionalFormatting>
  <conditionalFormatting sqref="L6:L45">
    <cfRule type="expression" priority="3" dxfId="2">
      <formula>AND($F6&lt;&gt;"",$F6&lt;3)</formula>
    </cfRule>
  </conditionalFormatting>
  <conditionalFormatting sqref="M6:M45">
    <cfRule type="expression" priority="4" dxfId="2">
      <formula>AND($F6&lt;&gt;"",$F6&lt;4)</formula>
    </cfRule>
  </conditionalFormatting>
  <conditionalFormatting sqref="N6:N45">
    <cfRule type="expression" priority="5" dxfId="2">
      <formula>AND($F6&lt;&gt;"",$F6&lt;5)</formula>
    </cfRule>
  </conditionalFormatting>
  <conditionalFormatting sqref="O6:O45">
    <cfRule type="expression" priority="6" dxfId="2">
      <formula>AND($F6&lt;&gt;"",$F6&lt;6)</formula>
    </cfRule>
  </conditionalFormatting>
  <conditionalFormatting sqref="P6:P45">
    <cfRule type="expression" priority="7" dxfId="2">
      <formula>AND($F6&lt;&gt;"",$F6&lt;7)</formula>
    </cfRule>
  </conditionalFormatting>
  <conditionalFormatting sqref="Q6:Q45">
    <cfRule type="expression" priority="8" dxfId="2">
      <formula>AND($F6&lt;&gt;"",$F6&lt;8)</formula>
    </cfRule>
  </conditionalFormatting>
  <conditionalFormatting sqref="R6:R45">
    <cfRule type="expression" priority="9" dxfId="2">
      <formula>AND($F6&lt;&gt;"",$F6&lt;9)</formula>
    </cfRule>
  </conditionalFormatting>
  <conditionalFormatting sqref="S6:S45">
    <cfRule type="expression" priority="10" dxfId="2">
      <formula>AND($F6&lt;&gt;"",$F6&lt;10)</formula>
    </cfRule>
  </conditionalFormatting>
  <conditionalFormatting sqref="I6:I45">
    <cfRule type="expression" priority="11" dxfId="1">
      <formula>I6="✗"</formula>
    </cfRule>
    <cfRule type="expression" priority="12" dxfId="0">
      <formula>I6="✓"</formula>
    </cfRule>
  </conditionalFormatting>
  <dataValidations count="3">
    <dataValidation sqref="B6:B45" showDropDown="0" showInputMessage="0" showErrorMessage="1" allowBlank="1" errorTitle="Ógilt foreldra-viðmið" error="Veldu viðmið úr listanum á Viðmið flipanum." type="list">
      <formula1>=Viðmið!$C$6:$C$19</formula1>
    </dataValidation>
    <dataValidation sqref="F6:F45" showDropDown="0" showInputMessage="0" showErrorMessage="1" allowBlank="1" errorTitle="Ógildur fjöldi þrepa" error="Fjöldi þrepa verður að vera heil tala milli 1 og 10." type="whole" operator="between">
      <formula1>1</formula1>
      <formula2>10</formula2>
    </dataValidation>
    <dataValidation sqref="E6:E45" showDropDown="0" showInputMessage="0" showErrorMessage="1" allowBlank="1" errorTitle="Ógilt vægi" error="Vægi verður að vera á bilinu 0–100%." type="decimal" operator="between">
      <formula1>0</formula1>
      <formula2>100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88157"/>
    <outlinePr summaryBelow="1" summaryRight="1"/>
    <pageSetUpPr/>
  </sheetPr>
  <dimension ref="A2:L5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2" customWidth="1" min="3" max="3"/>
    <col width="12" customWidth="1" min="4" max="4"/>
    <col width="14" customWidth="1" min="5" max="5"/>
    <col width="26" customWidth="1" min="6" max="6"/>
    <col width="16" customWidth="1" min="7" max="7"/>
    <col width="18" customWidth="1" min="8" max="8"/>
    <col width="16" customWidth="1" min="9" max="9"/>
    <col width="18" customWidth="1" min="10" max="10"/>
    <col width="16" customWidth="1" min="11" max="11"/>
    <col width="14" customWidth="1" min="12" max="12"/>
  </cols>
  <sheetData>
    <row r="2">
      <c r="B2" s="8" t="inlineStr">
        <is>
          <t>Starfsmenn</t>
        </is>
      </c>
    </row>
    <row r="3">
      <c r="B3" s="9" t="inlineStr">
        <is>
          <t>Skráðu alla starfsmenn. Númerið (A-dálkur) er sjálfvirkt og samsvarar 'ordinal' reitnum í gagnagrunni. Nafn er eingöngu innsláttarhjálp og er ekki sent til Jafnréttisstofu.</t>
        </is>
      </c>
    </row>
    <row r="5" ht="30" customHeight="1">
      <c r="A5" s="10" t="inlineStr">
        <is>
          <t>#</t>
        </is>
      </c>
      <c r="B5" s="10" t="inlineStr">
        <is>
          <t>Nafn</t>
        </is>
      </c>
      <c r="C5" s="10" t="inlineStr">
        <is>
          <t>Starf</t>
        </is>
      </c>
      <c r="D5" s="10" t="inlineStr">
        <is>
          <t>Kyn</t>
        </is>
      </c>
      <c r="E5" s="10" t="inlineStr">
        <is>
          <t>Starfshlutfall (%)</t>
        </is>
      </c>
      <c r="F5" s="10" t="inlineStr">
        <is>
          <t>Menntun</t>
        </is>
      </c>
      <c r="G5" s="10" t="inlineStr">
        <is>
          <t>Grunnlaun (kr.)</t>
        </is>
      </c>
      <c r="H5" s="10" t="inlineStr">
        <is>
          <t>Svið</t>
        </is>
      </c>
      <c r="I5" s="10" t="inlineStr">
        <is>
          <t>Viðbótarlaun (kr.)</t>
        </is>
      </c>
      <c r="J5" s="10" t="inlineStr">
        <is>
          <t>Deild</t>
        </is>
      </c>
      <c r="K5" s="10" t="inlineStr">
        <is>
          <t>Hlunnindi (kr.)</t>
        </is>
      </c>
      <c r="L5" s="10" t="inlineStr">
        <is>
          <t>Ráðningardagur</t>
        </is>
      </c>
    </row>
    <row r="6">
      <c r="A6" s="19" t="n">
        <v>1</v>
      </c>
      <c r="B6" s="14" t="n"/>
      <c r="C6" s="14" t="n"/>
      <c r="D6" s="14" t="n"/>
      <c r="E6" s="12" t="n"/>
      <c r="F6" s="14" t="n"/>
      <c r="G6" s="24" t="n"/>
      <c r="H6" s="14" t="n"/>
      <c r="I6" s="24" t="n"/>
      <c r="J6" s="14" t="n"/>
      <c r="K6" s="24" t="n"/>
      <c r="L6" s="25" t="n"/>
    </row>
    <row r="7">
      <c r="A7" s="19" t="n">
        <v>2</v>
      </c>
      <c r="B7" s="14" t="n"/>
      <c r="C7" s="14" t="n"/>
      <c r="D7" s="14" t="n"/>
      <c r="E7" s="12" t="n"/>
      <c r="F7" s="14" t="n"/>
      <c r="G7" s="24" t="n"/>
      <c r="H7" s="14" t="n"/>
      <c r="I7" s="24" t="n"/>
      <c r="J7" s="14" t="n"/>
      <c r="K7" s="24" t="n"/>
      <c r="L7" s="25" t="n"/>
    </row>
    <row r="8">
      <c r="A8" s="19" t="n">
        <v>3</v>
      </c>
      <c r="B8" s="14" t="n"/>
      <c r="C8" s="14" t="n"/>
      <c r="D8" s="14" t="n"/>
      <c r="E8" s="12" t="n"/>
      <c r="F8" s="14" t="n"/>
      <c r="G8" s="24" t="n"/>
      <c r="H8" s="14" t="n"/>
      <c r="I8" s="24" t="n"/>
      <c r="J8" s="14" t="n"/>
      <c r="K8" s="24" t="n"/>
      <c r="L8" s="25" t="n"/>
    </row>
    <row r="9">
      <c r="A9" s="19" t="n">
        <v>4</v>
      </c>
      <c r="B9" s="14" t="n"/>
      <c r="C9" s="14" t="n"/>
      <c r="D9" s="14" t="n"/>
      <c r="E9" s="12" t="n"/>
      <c r="F9" s="14" t="n"/>
      <c r="G9" s="24" t="n"/>
      <c r="H9" s="14" t="n"/>
      <c r="I9" s="24" t="n"/>
      <c r="J9" s="14" t="n"/>
      <c r="K9" s="24" t="n"/>
      <c r="L9" s="25" t="n"/>
    </row>
    <row r="10">
      <c r="A10" s="19" t="n">
        <v>5</v>
      </c>
      <c r="B10" s="14" t="n"/>
      <c r="C10" s="14" t="n"/>
      <c r="D10" s="14" t="n"/>
      <c r="E10" s="12" t="n"/>
      <c r="F10" s="14" t="n"/>
      <c r="G10" s="24" t="n"/>
      <c r="H10" s="14" t="n"/>
      <c r="I10" s="24" t="n"/>
      <c r="J10" s="14" t="n"/>
      <c r="K10" s="24" t="n"/>
      <c r="L10" s="25" t="n"/>
    </row>
    <row r="11">
      <c r="A11" s="19" t="n">
        <v>6</v>
      </c>
      <c r="B11" s="14" t="n"/>
      <c r="C11" s="14" t="n"/>
      <c r="D11" s="14" t="n"/>
      <c r="E11" s="12" t="n"/>
      <c r="F11" s="14" t="n"/>
      <c r="G11" s="24" t="n"/>
      <c r="H11" s="14" t="n"/>
      <c r="I11" s="24" t="n"/>
      <c r="J11" s="14" t="n"/>
      <c r="K11" s="24" t="n"/>
      <c r="L11" s="25" t="n"/>
    </row>
    <row r="12">
      <c r="A12" s="19" t="n">
        <v>7</v>
      </c>
      <c r="B12" s="14" t="n"/>
      <c r="C12" s="14" t="n"/>
      <c r="D12" s="14" t="n"/>
      <c r="E12" s="12" t="n"/>
      <c r="F12" s="14" t="n"/>
      <c r="G12" s="24" t="n"/>
      <c r="H12" s="14" t="n"/>
      <c r="I12" s="24" t="n"/>
      <c r="J12" s="14" t="n"/>
      <c r="K12" s="24" t="n"/>
      <c r="L12" s="25" t="n"/>
    </row>
    <row r="13">
      <c r="A13" s="19" t="n">
        <v>8</v>
      </c>
      <c r="B13" s="14" t="n"/>
      <c r="C13" s="14" t="n"/>
      <c r="D13" s="14" t="n"/>
      <c r="E13" s="12" t="n"/>
      <c r="F13" s="14" t="n"/>
      <c r="G13" s="24" t="n"/>
      <c r="H13" s="14" t="n"/>
      <c r="I13" s="24" t="n"/>
      <c r="J13" s="14" t="n"/>
      <c r="K13" s="24" t="n"/>
      <c r="L13" s="25" t="n"/>
    </row>
    <row r="14">
      <c r="A14" s="19" t="n">
        <v>9</v>
      </c>
      <c r="B14" s="14" t="n"/>
      <c r="C14" s="14" t="n"/>
      <c r="D14" s="14" t="n"/>
      <c r="E14" s="12" t="n"/>
      <c r="F14" s="14" t="n"/>
      <c r="G14" s="24" t="n"/>
      <c r="H14" s="14" t="n"/>
      <c r="I14" s="24" t="n"/>
      <c r="J14" s="14" t="n"/>
      <c r="K14" s="24" t="n"/>
      <c r="L14" s="25" t="n"/>
    </row>
    <row r="15">
      <c r="A15" s="19" t="n">
        <v>10</v>
      </c>
      <c r="B15" s="14" t="n"/>
      <c r="C15" s="14" t="n"/>
      <c r="D15" s="14" t="n"/>
      <c r="E15" s="12" t="n"/>
      <c r="F15" s="14" t="n"/>
      <c r="G15" s="24" t="n"/>
      <c r="H15" s="14" t="n"/>
      <c r="I15" s="24" t="n"/>
      <c r="J15" s="14" t="n"/>
      <c r="K15" s="24" t="n"/>
      <c r="L15" s="25" t="n"/>
    </row>
    <row r="16">
      <c r="A16" s="19" t="n">
        <v>11</v>
      </c>
      <c r="B16" s="14" t="n"/>
      <c r="C16" s="14" t="n"/>
      <c r="D16" s="14" t="n"/>
      <c r="E16" s="12" t="n"/>
      <c r="F16" s="14" t="n"/>
      <c r="G16" s="24" t="n"/>
      <c r="H16" s="14" t="n"/>
      <c r="I16" s="24" t="n"/>
      <c r="J16" s="14" t="n"/>
      <c r="K16" s="24" t="n"/>
      <c r="L16" s="25" t="n"/>
    </row>
    <row r="17">
      <c r="A17" s="19" t="n">
        <v>12</v>
      </c>
      <c r="B17" s="14" t="n"/>
      <c r="C17" s="14" t="n"/>
      <c r="D17" s="14" t="n"/>
      <c r="E17" s="12" t="n"/>
      <c r="F17" s="14" t="n"/>
      <c r="G17" s="24" t="n"/>
      <c r="H17" s="14" t="n"/>
      <c r="I17" s="24" t="n"/>
      <c r="J17" s="14" t="n"/>
      <c r="K17" s="24" t="n"/>
      <c r="L17" s="25" t="n"/>
    </row>
    <row r="18">
      <c r="A18" s="19" t="n">
        <v>13</v>
      </c>
      <c r="B18" s="14" t="n"/>
      <c r="C18" s="14" t="n"/>
      <c r="D18" s="14" t="n"/>
      <c r="E18" s="12" t="n"/>
      <c r="F18" s="14" t="n"/>
      <c r="G18" s="24" t="n"/>
      <c r="H18" s="14" t="n"/>
      <c r="I18" s="24" t="n"/>
      <c r="J18" s="14" t="n"/>
      <c r="K18" s="24" t="n"/>
      <c r="L18" s="25" t="n"/>
    </row>
    <row r="19">
      <c r="A19" s="19" t="n">
        <v>14</v>
      </c>
      <c r="B19" s="14" t="n"/>
      <c r="C19" s="14" t="n"/>
      <c r="D19" s="14" t="n"/>
      <c r="E19" s="12" t="n"/>
      <c r="F19" s="14" t="n"/>
      <c r="G19" s="24" t="n"/>
      <c r="H19" s="14" t="n"/>
      <c r="I19" s="24" t="n"/>
      <c r="J19" s="14" t="n"/>
      <c r="K19" s="24" t="n"/>
      <c r="L19" s="25" t="n"/>
    </row>
    <row r="20">
      <c r="A20" s="19" t="n">
        <v>15</v>
      </c>
      <c r="B20" s="14" t="n"/>
      <c r="C20" s="14" t="n"/>
      <c r="D20" s="14" t="n"/>
      <c r="E20" s="12" t="n"/>
      <c r="F20" s="14" t="n"/>
      <c r="G20" s="24" t="n"/>
      <c r="H20" s="14" t="n"/>
      <c r="I20" s="24" t="n"/>
      <c r="J20" s="14" t="n"/>
      <c r="K20" s="24" t="n"/>
      <c r="L20" s="25" t="n"/>
    </row>
    <row r="21">
      <c r="A21" s="19" t="n">
        <v>16</v>
      </c>
      <c r="B21" s="14" t="n"/>
      <c r="C21" s="14" t="n"/>
      <c r="D21" s="14" t="n"/>
      <c r="E21" s="12" t="n"/>
      <c r="F21" s="14" t="n"/>
      <c r="G21" s="24" t="n"/>
      <c r="H21" s="14" t="n"/>
      <c r="I21" s="24" t="n"/>
      <c r="J21" s="14" t="n"/>
      <c r="K21" s="24" t="n"/>
      <c r="L21" s="25" t="n"/>
    </row>
    <row r="22">
      <c r="A22" s="19" t="n">
        <v>17</v>
      </c>
      <c r="B22" s="14" t="n"/>
      <c r="C22" s="14" t="n"/>
      <c r="D22" s="14" t="n"/>
      <c r="E22" s="12" t="n"/>
      <c r="F22" s="14" t="n"/>
      <c r="G22" s="24" t="n"/>
      <c r="H22" s="14" t="n"/>
      <c r="I22" s="24" t="n"/>
      <c r="J22" s="14" t="n"/>
      <c r="K22" s="24" t="n"/>
      <c r="L22" s="25" t="n"/>
    </row>
    <row r="23">
      <c r="A23" s="19" t="n">
        <v>18</v>
      </c>
      <c r="B23" s="14" t="n"/>
      <c r="C23" s="14" t="n"/>
      <c r="D23" s="14" t="n"/>
      <c r="E23" s="12" t="n"/>
      <c r="F23" s="14" t="n"/>
      <c r="G23" s="24" t="n"/>
      <c r="H23" s="14" t="n"/>
      <c r="I23" s="24" t="n"/>
      <c r="J23" s="14" t="n"/>
      <c r="K23" s="24" t="n"/>
      <c r="L23" s="25" t="n"/>
    </row>
    <row r="24">
      <c r="A24" s="19" t="n">
        <v>19</v>
      </c>
      <c r="B24" s="14" t="n"/>
      <c r="C24" s="14" t="n"/>
      <c r="D24" s="14" t="n"/>
      <c r="E24" s="12" t="n"/>
      <c r="F24" s="14" t="n"/>
      <c r="G24" s="24" t="n"/>
      <c r="H24" s="14" t="n"/>
      <c r="I24" s="24" t="n"/>
      <c r="J24" s="14" t="n"/>
      <c r="K24" s="24" t="n"/>
      <c r="L24" s="25" t="n"/>
    </row>
    <row r="25">
      <c r="A25" s="19" t="n">
        <v>20</v>
      </c>
      <c r="B25" s="14" t="n"/>
      <c r="C25" s="14" t="n"/>
      <c r="D25" s="14" t="n"/>
      <c r="E25" s="12" t="n"/>
      <c r="F25" s="14" t="n"/>
      <c r="G25" s="24" t="n"/>
      <c r="H25" s="14" t="n"/>
      <c r="I25" s="24" t="n"/>
      <c r="J25" s="14" t="n"/>
      <c r="K25" s="24" t="n"/>
      <c r="L25" s="25" t="n"/>
    </row>
    <row r="26">
      <c r="A26" s="19" t="n">
        <v>21</v>
      </c>
      <c r="B26" s="14" t="n"/>
      <c r="C26" s="14" t="n"/>
      <c r="D26" s="14" t="n"/>
      <c r="E26" s="12" t="n"/>
      <c r="F26" s="14" t="n"/>
      <c r="G26" s="24" t="n"/>
      <c r="H26" s="14" t="n"/>
      <c r="I26" s="24" t="n"/>
      <c r="J26" s="14" t="n"/>
      <c r="K26" s="24" t="n"/>
      <c r="L26" s="25" t="n"/>
    </row>
    <row r="27">
      <c r="A27" s="19" t="n">
        <v>22</v>
      </c>
      <c r="B27" s="14" t="n"/>
      <c r="C27" s="14" t="n"/>
      <c r="D27" s="14" t="n"/>
      <c r="E27" s="12" t="n"/>
      <c r="F27" s="14" t="n"/>
      <c r="G27" s="24" t="n"/>
      <c r="H27" s="14" t="n"/>
      <c r="I27" s="24" t="n"/>
      <c r="J27" s="14" t="n"/>
      <c r="K27" s="24" t="n"/>
      <c r="L27" s="25" t="n"/>
    </row>
    <row r="28">
      <c r="A28" s="19" t="n">
        <v>23</v>
      </c>
      <c r="B28" s="14" t="n"/>
      <c r="C28" s="14" t="n"/>
      <c r="D28" s="14" t="n"/>
      <c r="E28" s="12" t="n"/>
      <c r="F28" s="14" t="n"/>
      <c r="G28" s="24" t="n"/>
      <c r="H28" s="14" t="n"/>
      <c r="I28" s="24" t="n"/>
      <c r="J28" s="14" t="n"/>
      <c r="K28" s="24" t="n"/>
      <c r="L28" s="25" t="n"/>
    </row>
    <row r="29">
      <c r="A29" s="19" t="n">
        <v>24</v>
      </c>
      <c r="B29" s="14" t="n"/>
      <c r="C29" s="14" t="n"/>
      <c r="D29" s="14" t="n"/>
      <c r="E29" s="12" t="n"/>
      <c r="F29" s="14" t="n"/>
      <c r="G29" s="24" t="n"/>
      <c r="H29" s="14" t="n"/>
      <c r="I29" s="24" t="n"/>
      <c r="J29" s="14" t="n"/>
      <c r="K29" s="24" t="n"/>
      <c r="L29" s="25" t="n"/>
    </row>
    <row r="30">
      <c r="A30" s="19" t="n">
        <v>25</v>
      </c>
      <c r="B30" s="14" t="n"/>
      <c r="C30" s="14" t="n"/>
      <c r="D30" s="14" t="n"/>
      <c r="E30" s="12" t="n"/>
      <c r="F30" s="14" t="n"/>
      <c r="G30" s="24" t="n"/>
      <c r="H30" s="14" t="n"/>
      <c r="I30" s="24" t="n"/>
      <c r="J30" s="14" t="n"/>
      <c r="K30" s="24" t="n"/>
      <c r="L30" s="25" t="n"/>
    </row>
    <row r="31">
      <c r="A31" s="19" t="n">
        <v>26</v>
      </c>
      <c r="B31" s="14" t="n"/>
      <c r="C31" s="14" t="n"/>
      <c r="D31" s="14" t="n"/>
      <c r="E31" s="12" t="n"/>
      <c r="F31" s="14" t="n"/>
      <c r="G31" s="24" t="n"/>
      <c r="H31" s="14" t="n"/>
      <c r="I31" s="24" t="n"/>
      <c r="J31" s="14" t="n"/>
      <c r="K31" s="24" t="n"/>
      <c r="L31" s="25" t="n"/>
    </row>
    <row r="32">
      <c r="A32" s="19" t="n">
        <v>27</v>
      </c>
      <c r="B32" s="14" t="n"/>
      <c r="C32" s="14" t="n"/>
      <c r="D32" s="14" t="n"/>
      <c r="E32" s="12" t="n"/>
      <c r="F32" s="14" t="n"/>
      <c r="G32" s="24" t="n"/>
      <c r="H32" s="14" t="n"/>
      <c r="I32" s="24" t="n"/>
      <c r="J32" s="14" t="n"/>
      <c r="K32" s="24" t="n"/>
      <c r="L32" s="25" t="n"/>
    </row>
    <row r="33">
      <c r="A33" s="19" t="n">
        <v>28</v>
      </c>
      <c r="B33" s="14" t="n"/>
      <c r="C33" s="14" t="n"/>
      <c r="D33" s="14" t="n"/>
      <c r="E33" s="12" t="n"/>
      <c r="F33" s="14" t="n"/>
      <c r="G33" s="24" t="n"/>
      <c r="H33" s="14" t="n"/>
      <c r="I33" s="24" t="n"/>
      <c r="J33" s="14" t="n"/>
      <c r="K33" s="24" t="n"/>
      <c r="L33" s="25" t="n"/>
    </row>
    <row r="34">
      <c r="A34" s="19" t="n">
        <v>29</v>
      </c>
      <c r="B34" s="14" t="n"/>
      <c r="C34" s="14" t="n"/>
      <c r="D34" s="14" t="n"/>
      <c r="E34" s="12" t="n"/>
      <c r="F34" s="14" t="n"/>
      <c r="G34" s="24" t="n"/>
      <c r="H34" s="14" t="n"/>
      <c r="I34" s="24" t="n"/>
      <c r="J34" s="14" t="n"/>
      <c r="K34" s="24" t="n"/>
      <c r="L34" s="25" t="n"/>
    </row>
    <row r="35">
      <c r="A35" s="19" t="n">
        <v>30</v>
      </c>
      <c r="B35" s="14" t="n"/>
      <c r="C35" s="14" t="n"/>
      <c r="D35" s="14" t="n"/>
      <c r="E35" s="12" t="n"/>
      <c r="F35" s="14" t="n"/>
      <c r="G35" s="24" t="n"/>
      <c r="H35" s="14" t="n"/>
      <c r="I35" s="24" t="n"/>
      <c r="J35" s="14" t="n"/>
      <c r="K35" s="24" t="n"/>
      <c r="L35" s="25" t="n"/>
    </row>
    <row r="36">
      <c r="A36" s="19" t="n">
        <v>31</v>
      </c>
      <c r="B36" s="14" t="n"/>
      <c r="C36" s="14" t="n"/>
      <c r="D36" s="14" t="n"/>
      <c r="E36" s="12" t="n"/>
      <c r="F36" s="14" t="n"/>
      <c r="G36" s="24" t="n"/>
      <c r="H36" s="14" t="n"/>
      <c r="I36" s="24" t="n"/>
      <c r="J36" s="14" t="n"/>
      <c r="K36" s="24" t="n"/>
      <c r="L36" s="25" t="n"/>
    </row>
    <row r="37">
      <c r="A37" s="19" t="n">
        <v>32</v>
      </c>
      <c r="B37" s="14" t="n"/>
      <c r="C37" s="14" t="n"/>
      <c r="D37" s="14" t="n"/>
      <c r="E37" s="12" t="n"/>
      <c r="F37" s="14" t="n"/>
      <c r="G37" s="24" t="n"/>
      <c r="H37" s="14" t="n"/>
      <c r="I37" s="24" t="n"/>
      <c r="J37" s="14" t="n"/>
      <c r="K37" s="24" t="n"/>
      <c r="L37" s="25" t="n"/>
    </row>
    <row r="38">
      <c r="A38" s="19" t="n">
        <v>33</v>
      </c>
      <c r="B38" s="14" t="n"/>
      <c r="C38" s="14" t="n"/>
      <c r="D38" s="14" t="n"/>
      <c r="E38" s="12" t="n"/>
      <c r="F38" s="14" t="n"/>
      <c r="G38" s="24" t="n"/>
      <c r="H38" s="14" t="n"/>
      <c r="I38" s="24" t="n"/>
      <c r="J38" s="14" t="n"/>
      <c r="K38" s="24" t="n"/>
      <c r="L38" s="25" t="n"/>
    </row>
    <row r="39">
      <c r="A39" s="19" t="n">
        <v>34</v>
      </c>
      <c r="B39" s="14" t="n"/>
      <c r="C39" s="14" t="n"/>
      <c r="D39" s="14" t="n"/>
      <c r="E39" s="12" t="n"/>
      <c r="F39" s="14" t="n"/>
      <c r="G39" s="24" t="n"/>
      <c r="H39" s="14" t="n"/>
      <c r="I39" s="24" t="n"/>
      <c r="J39" s="14" t="n"/>
      <c r="K39" s="24" t="n"/>
      <c r="L39" s="25" t="n"/>
    </row>
    <row r="40">
      <c r="A40" s="19" t="n">
        <v>35</v>
      </c>
      <c r="B40" s="14" t="n"/>
      <c r="C40" s="14" t="n"/>
      <c r="D40" s="14" t="n"/>
      <c r="E40" s="12" t="n"/>
      <c r="F40" s="14" t="n"/>
      <c r="G40" s="24" t="n"/>
      <c r="H40" s="14" t="n"/>
      <c r="I40" s="24" t="n"/>
      <c r="J40" s="14" t="n"/>
      <c r="K40" s="24" t="n"/>
      <c r="L40" s="25" t="n"/>
    </row>
    <row r="41">
      <c r="A41" s="19" t="n">
        <v>36</v>
      </c>
      <c r="B41" s="14" t="n"/>
      <c r="C41" s="14" t="n"/>
      <c r="D41" s="14" t="n"/>
      <c r="E41" s="12" t="n"/>
      <c r="F41" s="14" t="n"/>
      <c r="G41" s="24" t="n"/>
      <c r="H41" s="14" t="n"/>
      <c r="I41" s="24" t="n"/>
      <c r="J41" s="14" t="n"/>
      <c r="K41" s="24" t="n"/>
      <c r="L41" s="25" t="n"/>
    </row>
    <row r="42">
      <c r="A42" s="19" t="n">
        <v>37</v>
      </c>
      <c r="B42" s="14" t="n"/>
      <c r="C42" s="14" t="n"/>
      <c r="D42" s="14" t="n"/>
      <c r="E42" s="12" t="n"/>
      <c r="F42" s="14" t="n"/>
      <c r="G42" s="24" t="n"/>
      <c r="H42" s="14" t="n"/>
      <c r="I42" s="24" t="n"/>
      <c r="J42" s="14" t="n"/>
      <c r="K42" s="24" t="n"/>
      <c r="L42" s="25" t="n"/>
    </row>
    <row r="43">
      <c r="A43" s="19" t="n">
        <v>38</v>
      </c>
      <c r="B43" s="14" t="n"/>
      <c r="C43" s="14" t="n"/>
      <c r="D43" s="14" t="n"/>
      <c r="E43" s="12" t="n"/>
      <c r="F43" s="14" t="n"/>
      <c r="G43" s="24" t="n"/>
      <c r="H43" s="14" t="n"/>
      <c r="I43" s="24" t="n"/>
      <c r="J43" s="14" t="n"/>
      <c r="K43" s="24" t="n"/>
      <c r="L43" s="25" t="n"/>
    </row>
    <row r="44">
      <c r="A44" s="19" t="n">
        <v>39</v>
      </c>
      <c r="B44" s="14" t="n"/>
      <c r="C44" s="14" t="n"/>
      <c r="D44" s="14" t="n"/>
      <c r="E44" s="12" t="n"/>
      <c r="F44" s="14" t="n"/>
      <c r="G44" s="24" t="n"/>
      <c r="H44" s="14" t="n"/>
      <c r="I44" s="24" t="n"/>
      <c r="J44" s="14" t="n"/>
      <c r="K44" s="24" t="n"/>
      <c r="L44" s="25" t="n"/>
    </row>
    <row r="45">
      <c r="A45" s="19" t="n">
        <v>40</v>
      </c>
      <c r="B45" s="14" t="n"/>
      <c r="C45" s="14" t="n"/>
      <c r="D45" s="14" t="n"/>
      <c r="E45" s="12" t="n"/>
      <c r="F45" s="14" t="n"/>
      <c r="G45" s="24" t="n"/>
      <c r="H45" s="14" t="n"/>
      <c r="I45" s="24" t="n"/>
      <c r="J45" s="14" t="n"/>
      <c r="K45" s="24" t="n"/>
      <c r="L45" s="25" t="n"/>
    </row>
    <row r="46">
      <c r="A46" s="19" t="n">
        <v>41</v>
      </c>
      <c r="B46" s="14" t="n"/>
      <c r="C46" s="14" t="n"/>
      <c r="D46" s="14" t="n"/>
      <c r="E46" s="12" t="n"/>
      <c r="F46" s="14" t="n"/>
      <c r="G46" s="24" t="n"/>
      <c r="H46" s="14" t="n"/>
      <c r="I46" s="24" t="n"/>
      <c r="J46" s="14" t="n"/>
      <c r="K46" s="24" t="n"/>
      <c r="L46" s="25" t="n"/>
    </row>
    <row r="47">
      <c r="A47" s="19" t="n">
        <v>42</v>
      </c>
      <c r="B47" s="14" t="n"/>
      <c r="C47" s="14" t="n"/>
      <c r="D47" s="14" t="n"/>
      <c r="E47" s="12" t="n"/>
      <c r="F47" s="14" t="n"/>
      <c r="G47" s="24" t="n"/>
      <c r="H47" s="14" t="n"/>
      <c r="I47" s="24" t="n"/>
      <c r="J47" s="14" t="n"/>
      <c r="K47" s="24" t="n"/>
      <c r="L47" s="25" t="n"/>
    </row>
    <row r="48">
      <c r="A48" s="19" t="n">
        <v>43</v>
      </c>
      <c r="B48" s="14" t="n"/>
      <c r="C48" s="14" t="n"/>
      <c r="D48" s="14" t="n"/>
      <c r="E48" s="12" t="n"/>
      <c r="F48" s="14" t="n"/>
      <c r="G48" s="24" t="n"/>
      <c r="H48" s="14" t="n"/>
      <c r="I48" s="24" t="n"/>
      <c r="J48" s="14" t="n"/>
      <c r="K48" s="24" t="n"/>
      <c r="L48" s="25" t="n"/>
    </row>
    <row r="49">
      <c r="A49" s="19" t="n">
        <v>44</v>
      </c>
      <c r="B49" s="14" t="n"/>
      <c r="C49" s="14" t="n"/>
      <c r="D49" s="14" t="n"/>
      <c r="E49" s="12" t="n"/>
      <c r="F49" s="14" t="n"/>
      <c r="G49" s="24" t="n"/>
      <c r="H49" s="14" t="n"/>
      <c r="I49" s="24" t="n"/>
      <c r="J49" s="14" t="n"/>
      <c r="K49" s="24" t="n"/>
      <c r="L49" s="25" t="n"/>
    </row>
    <row r="50">
      <c r="A50" s="19" t="n">
        <v>45</v>
      </c>
      <c r="B50" s="14" t="n"/>
      <c r="C50" s="14" t="n"/>
      <c r="D50" s="14" t="n"/>
      <c r="E50" s="12" t="n"/>
      <c r="F50" s="14" t="n"/>
      <c r="G50" s="24" t="n"/>
      <c r="H50" s="14" t="n"/>
      <c r="I50" s="24" t="n"/>
      <c r="J50" s="14" t="n"/>
      <c r="K50" s="24" t="n"/>
      <c r="L50" s="25" t="n"/>
    </row>
    <row r="51">
      <c r="A51" s="19" t="n">
        <v>46</v>
      </c>
      <c r="B51" s="14" t="n"/>
      <c r="C51" s="14" t="n"/>
      <c r="D51" s="14" t="n"/>
      <c r="E51" s="12" t="n"/>
      <c r="F51" s="14" t="n"/>
      <c r="G51" s="24" t="n"/>
      <c r="H51" s="14" t="n"/>
      <c r="I51" s="24" t="n"/>
      <c r="J51" s="14" t="n"/>
      <c r="K51" s="24" t="n"/>
      <c r="L51" s="25" t="n"/>
    </row>
    <row r="52">
      <c r="A52" s="19" t="n">
        <v>47</v>
      </c>
      <c r="B52" s="14" t="n"/>
      <c r="C52" s="14" t="n"/>
      <c r="D52" s="14" t="n"/>
      <c r="E52" s="12" t="n"/>
      <c r="F52" s="14" t="n"/>
      <c r="G52" s="24" t="n"/>
      <c r="H52" s="14" t="n"/>
      <c r="I52" s="24" t="n"/>
      <c r="J52" s="14" t="n"/>
      <c r="K52" s="24" t="n"/>
      <c r="L52" s="25" t="n"/>
    </row>
    <row r="53">
      <c r="A53" s="19" t="n">
        <v>48</v>
      </c>
      <c r="B53" s="14" t="n"/>
      <c r="C53" s="14" t="n"/>
      <c r="D53" s="14" t="n"/>
      <c r="E53" s="12" t="n"/>
      <c r="F53" s="14" t="n"/>
      <c r="G53" s="24" t="n"/>
      <c r="H53" s="14" t="n"/>
      <c r="I53" s="24" t="n"/>
      <c r="J53" s="14" t="n"/>
      <c r="K53" s="24" t="n"/>
      <c r="L53" s="25" t="n"/>
    </row>
    <row r="54">
      <c r="A54" s="19" t="n">
        <v>49</v>
      </c>
      <c r="B54" s="14" t="n"/>
      <c r="C54" s="14" t="n"/>
      <c r="D54" s="14" t="n"/>
      <c r="E54" s="12" t="n"/>
      <c r="F54" s="14" t="n"/>
      <c r="G54" s="24" t="n"/>
      <c r="H54" s="14" t="n"/>
      <c r="I54" s="24" t="n"/>
      <c r="J54" s="14" t="n"/>
      <c r="K54" s="24" t="n"/>
      <c r="L54" s="25" t="n"/>
    </row>
    <row r="55">
      <c r="A55" s="19" t="n">
        <v>50</v>
      </c>
      <c r="B55" s="14" t="n"/>
      <c r="C55" s="14" t="n"/>
      <c r="D55" s="14" t="n"/>
      <c r="E55" s="12" t="n"/>
      <c r="F55" s="14" t="n"/>
      <c r="G55" s="24" t="n"/>
      <c r="H55" s="14" t="n"/>
      <c r="I55" s="24" t="n"/>
      <c r="J55" s="14" t="n"/>
      <c r="K55" s="24" t="n"/>
      <c r="L55" s="25" t="n"/>
    </row>
  </sheetData>
  <mergeCells count="2">
    <mergeCell ref="B2:D2"/>
    <mergeCell ref="B3:L3"/>
  </mergeCells>
  <dataValidations count="3">
    <dataValidation sqref="F6:F55" showDropDown="0" showInputMessage="0" showErrorMessage="1" allowBlank="1" errorTitle="Ógilt menntunarstig" error="Veldu úr listanum." type="list">
      <formula1>"Grunnskólapróf,Framhaldsskóla-/stúdentspróf,Iðn-/starfsmenntun,Háskólapróf (BA/BS),Meistarapróf (MA/MS),Doktorspróf,Sérfræðinám"</formula1>
    </dataValidation>
    <dataValidation sqref="D6:D55" showDropDown="0" showInputMessage="0" showErrorMessage="1" allowBlank="1" errorTitle="Ógilt kyn" error="Veldu úr listanum." type="list">
      <formula1>"Karl,Kona,Hlutlaust"</formula1>
    </dataValidation>
    <dataValidation sqref="E6:E55" showDropDown="0" showInputMessage="0" showErrorMessage="1" allowBlank="1" errorTitle="Ógilt starfshlutfall" error="Starfshlutfall er á bilinu 0–100%." type="decimal" operator="between">
      <formula1>0</formula1>
      <formula2>100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C6C25"/>
    <outlinePr summaryBelow="1" summaryRight="1"/>
    <pageSetUpPr/>
  </sheetPr>
  <dimension ref="B2:V4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26" customWidth="1" min="3" max="3"/>
    <col width="10" customWidth="1" min="4" max="4"/>
    <col width="12" customWidth="1" min="5" max="5"/>
    <col width="12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</cols>
  <sheetData>
    <row r="2">
      <c r="B2" s="8" t="inlineStr">
        <is>
          <t>Flokkun starfa</t>
        </is>
      </c>
    </row>
    <row r="3">
      <c r="B3" s="9" t="inlineStr">
        <is>
          <t>Gefðu hverju starfsheiti þrep (1…fjöldi þrepa) fyrir hvert starfsbundið undirviðmið. Stigafjöldi er reiknaður sjálfvirkt samkvæmt formúlunni: stig = (þrep / fjöldi þrepa) × vægi × KVARÐI.</t>
        </is>
      </c>
    </row>
    <row r="5" ht="28" customHeight="1">
      <c r="B5" s="10" t="inlineStr">
        <is>
          <t>Foreldri</t>
        </is>
      </c>
      <c r="C5" s="10" t="inlineStr">
        <is>
          <t>Undirviðmið</t>
        </is>
      </c>
      <c r="D5" s="10" t="inlineStr">
        <is>
          <t>Vægi (%)</t>
        </is>
      </c>
      <c r="E5" s="10" t="inlineStr">
        <is>
          <t>Fjöldi þrepa</t>
        </is>
      </c>
      <c r="F5" s="10" t="inlineStr">
        <is>
          <t>Hámark stig</t>
        </is>
      </c>
      <c r="G5" s="26">
        <f t="array" ref="G5">IFERROR(INDEX(Starfsmenn!$C$6:$C$55,MATCH(1,(Starfsmenn!$C$6:$C$55&lt;&gt;"")*1,0)),"")</f>
        <v/>
      </c>
      <c r="H5" s="27" t="n"/>
      <c r="I5" s="26">
        <f t="array" ref="I5">IFERROR(INDEX(Starfsmenn!$C$6:$C$55,MATCH(0,(COUNTIF(G$5,Starfsmenn!$C$6:$C$55))+(Starfsmenn!$C$6:$C$55=""),0)),"")</f>
        <v/>
      </c>
      <c r="J5" s="27" t="n"/>
      <c r="K5" s="26">
        <f t="array" ref="K5">IFERROR(INDEX(Starfsmenn!$C$6:$C$55,MATCH(0,(COUNTIF(G$5,Starfsmenn!$C$6:$C$55)+COUNTIF(I$5,Starfsmenn!$C$6:$C$55))+(Starfsmenn!$C$6:$C$55=""),0)),"")</f>
        <v/>
      </c>
      <c r="L5" s="27" t="n"/>
      <c r="M5" s="26">
        <f t="array" ref="M5">IFERROR(INDEX(Starfsmenn!$C$6:$C$55,MATCH(0,(COUNTIF(G$5,Starfsmenn!$C$6:$C$55)+COUNTIF(I$5,Starfsmenn!$C$6:$C$55)+COUNTIF(K$5,Starfsmenn!$C$6:$C$55))+(Starfsmenn!$C$6:$C$55=""),0)),"")</f>
        <v/>
      </c>
      <c r="N5" s="27" t="n"/>
      <c r="O5" s="26">
        <f t="array" ref="O5">IFERROR(INDEX(Starfsmenn!$C$6:$C$55,MATCH(0,(COUNTIF(G$5,Starfsmenn!$C$6:$C$55)+COUNTIF(I$5,Starfsmenn!$C$6:$C$55)+COUNTIF(K$5,Starfsmenn!$C$6:$C$55)+COUNTIF(M$5,Starfsmenn!$C$6:$C$55))+(Starfsmenn!$C$6:$C$55=""),0)),"")</f>
        <v/>
      </c>
      <c r="P5" s="27" t="n"/>
      <c r="Q5" s="26">
        <f t="array" ref="Q5">IFERROR(INDEX(Starfsmenn!$C$6:$C$55,MATCH(0,(COUNTIF(G$5,Starfsmenn!$C$6:$C$55)+COUNTIF(I$5,Starfsmenn!$C$6:$C$55)+COUNTIF(K$5,Starfsmenn!$C$6:$C$55)+COUNTIF(M$5,Starfsmenn!$C$6:$C$55)+COUNTIF(O$5,Starfsmenn!$C$6:$C$55))+(Starfsmenn!$C$6:$C$55=""),0)),"")</f>
        <v/>
      </c>
      <c r="R5" s="27" t="n"/>
      <c r="S5" s="26">
        <f t="array" ref="S5">IFERROR(INDEX(Starfsmenn!$C$6:$C$55,MATCH(0,(COUNTIF(G$5,Starfsmenn!$C$6:$C$55)+COUNTIF(I$5,Starfsmenn!$C$6:$C$55)+COUNTIF(K$5,Starfsmenn!$C$6:$C$55)+COUNTIF(M$5,Starfsmenn!$C$6:$C$55)+COUNTIF(O$5,Starfsmenn!$C$6:$C$55)+COUNTIF(Q$5,Starfsmenn!$C$6:$C$55))+(Starfsmenn!$C$6:$C$55=""),0)),"")</f>
        <v/>
      </c>
      <c r="T5" s="27" t="n"/>
      <c r="U5" s="26">
        <f t="array" ref="U5">IFERROR(INDEX(Starfsmenn!$C$6:$C$55,MATCH(0,(COUNTIF(G$5,Starfsmenn!$C$6:$C$55)+COUNTIF(I$5,Starfsmenn!$C$6:$C$55)+COUNTIF(K$5,Starfsmenn!$C$6:$C$55)+COUNTIF(M$5,Starfsmenn!$C$6:$C$55)+COUNTIF(O$5,Starfsmenn!$C$6:$C$55)+COUNTIF(Q$5,Starfsmenn!$C$6:$C$55)+COUNTIF(S$5,Starfsmenn!$C$6:$C$55))+(Starfsmenn!$C$6:$C$55=""),0)),"")</f>
        <v/>
      </c>
      <c r="V5" s="27" t="n"/>
    </row>
    <row r="6" ht="22" customHeight="1">
      <c r="B6" s="28" t="inlineStr"/>
      <c r="C6" s="28" t="inlineStr">
        <is>
          <t>(Aðeins starfsbundin undirviðmið sýnd hér)</t>
        </is>
      </c>
      <c r="D6" s="28" t="inlineStr"/>
      <c r="E6" s="28" t="inlineStr"/>
      <c r="F6" s="28" t="inlineStr"/>
      <c r="G6" s="29">
        <f>IF(G$5="","","Þrep")</f>
        <v/>
      </c>
      <c r="H6" s="29">
        <f>IF(G$5="","","Stig")</f>
        <v/>
      </c>
      <c r="I6" s="29">
        <f>IF(I$5="","","Þrep")</f>
        <v/>
      </c>
      <c r="J6" s="29">
        <f>IF(I$5="","","Stig")</f>
        <v/>
      </c>
      <c r="K6" s="29">
        <f>IF(K$5="","","Þrep")</f>
        <v/>
      </c>
      <c r="L6" s="29">
        <f>IF(K$5="","","Stig")</f>
        <v/>
      </c>
      <c r="M6" s="29">
        <f>IF(M$5="","","Þrep")</f>
        <v/>
      </c>
      <c r="N6" s="29">
        <f>IF(M$5="","","Stig")</f>
        <v/>
      </c>
      <c r="O6" s="29">
        <f>IF(O$5="","","Þrep")</f>
        <v/>
      </c>
      <c r="P6" s="29">
        <f>IF(O$5="","","Stig")</f>
        <v/>
      </c>
      <c r="Q6" s="29">
        <f>IF(Q$5="","","Þrep")</f>
        <v/>
      </c>
      <c r="R6" s="29">
        <f>IF(Q$5="","","Stig")</f>
        <v/>
      </c>
      <c r="S6" s="29">
        <f>IF(S$5="","","Þrep")</f>
        <v/>
      </c>
      <c r="T6" s="29">
        <f>IF(S$5="","","Stig")</f>
        <v/>
      </c>
      <c r="U6" s="29">
        <f>IF(U$5="","","Þrep")</f>
        <v/>
      </c>
      <c r="V6" s="29">
        <f>IF(U$5="","","Stig")</f>
        <v/>
      </c>
    </row>
    <row r="7">
      <c r="B7" s="21">
        <f>IF(Undirviðmið!$G$6="Starfsbundinn",Undirviðmið!$B$6,"")</f>
        <v/>
      </c>
      <c r="C7" s="21">
        <f>IF(Undirviðmið!$G$6="Starfsbundinn",Undirviðmið!$C$6,"")</f>
        <v/>
      </c>
      <c r="D7" s="30">
        <f>IF(Undirviðmið!$G$6="Starfsbundinn",Undirviðmið!$E$6,"")</f>
        <v/>
      </c>
      <c r="E7" s="30">
        <f>IF(Undirviðmið!$G$6="Starfsbundinn",Undirviðmið!$F$6,"")</f>
        <v/>
      </c>
      <c r="F7" s="30">
        <f>IF(Undirviðmið!$G$6="Starfsbundinn",IFERROR(Undirviðmið!$E$6*KVARDI,""),"")</f>
        <v/>
      </c>
      <c r="G7" s="20" t="n"/>
      <c r="H7" s="31">
        <f>IF(OR(Undirviðmið!$G$6&lt;&gt;"Starfsbundinn",G7="",E7="",D7=""),"",ROUND(G7/E7*D7*KVARDI,2))</f>
        <v/>
      </c>
      <c r="I7" s="20" t="n"/>
      <c r="J7" s="31">
        <f>IF(OR(Undirviðmið!$G$6&lt;&gt;"Starfsbundinn",I7="",E7="",D7=""),"",ROUND(I7/E7*D7*KVARDI,2))</f>
        <v/>
      </c>
      <c r="K7" s="20" t="n"/>
      <c r="L7" s="31">
        <f>IF(OR(Undirviðmið!$G$6&lt;&gt;"Starfsbundinn",K7="",E7="",D7=""),"",ROUND(K7/E7*D7*KVARDI,2))</f>
        <v/>
      </c>
      <c r="M7" s="20" t="n"/>
      <c r="N7" s="31">
        <f>IF(OR(Undirviðmið!$G$6&lt;&gt;"Starfsbundinn",M7="",E7="",D7=""),"",ROUND(M7/E7*D7*KVARDI,2))</f>
        <v/>
      </c>
      <c r="O7" s="20" t="n"/>
      <c r="P7" s="31">
        <f>IF(OR(Undirviðmið!$G$6&lt;&gt;"Starfsbundinn",O7="",E7="",D7=""),"",ROUND(O7/E7*D7*KVARDI,2))</f>
        <v/>
      </c>
      <c r="Q7" s="20" t="n"/>
      <c r="R7" s="31">
        <f>IF(OR(Undirviðmið!$G$6&lt;&gt;"Starfsbundinn",Q7="",E7="",D7=""),"",ROUND(Q7/E7*D7*KVARDI,2))</f>
        <v/>
      </c>
      <c r="S7" s="20" t="n"/>
      <c r="T7" s="31">
        <f>IF(OR(Undirviðmið!$G$6&lt;&gt;"Starfsbundinn",S7="",E7="",D7=""),"",ROUND(S7/E7*D7*KVARDI,2))</f>
        <v/>
      </c>
      <c r="U7" s="20" t="n"/>
      <c r="V7" s="31">
        <f>IF(OR(Undirviðmið!$G$6&lt;&gt;"Starfsbundinn",U7="",E7="",D7=""),"",ROUND(U7/E7*D7*KVARDI,2))</f>
        <v/>
      </c>
    </row>
    <row r="8">
      <c r="B8" s="21">
        <f>IF(Undirviðmið!$G$7="Starfsbundinn",Undirviðmið!$B$7,"")</f>
        <v/>
      </c>
      <c r="C8" s="21">
        <f>IF(Undirviðmið!$G$7="Starfsbundinn",Undirviðmið!$C$7,"")</f>
        <v/>
      </c>
      <c r="D8" s="30">
        <f>IF(Undirviðmið!$G$7="Starfsbundinn",Undirviðmið!$E$7,"")</f>
        <v/>
      </c>
      <c r="E8" s="30">
        <f>IF(Undirviðmið!$G$7="Starfsbundinn",Undirviðmið!$F$7,"")</f>
        <v/>
      </c>
      <c r="F8" s="30">
        <f>IF(Undirviðmið!$G$7="Starfsbundinn",IFERROR(Undirviðmið!$E$7*KVARDI,""),"")</f>
        <v/>
      </c>
      <c r="G8" s="20" t="n"/>
      <c r="H8" s="31">
        <f>IF(OR(Undirviðmið!$G$7&lt;&gt;"Starfsbundinn",G8="",E8="",D8=""),"",ROUND(G8/E8*D8*KVARDI,2))</f>
        <v/>
      </c>
      <c r="I8" s="20" t="n"/>
      <c r="J8" s="31">
        <f>IF(OR(Undirviðmið!$G$7&lt;&gt;"Starfsbundinn",I8="",E8="",D8=""),"",ROUND(I8/E8*D8*KVARDI,2))</f>
        <v/>
      </c>
      <c r="K8" s="20" t="n"/>
      <c r="L8" s="31">
        <f>IF(OR(Undirviðmið!$G$7&lt;&gt;"Starfsbundinn",K8="",E8="",D8=""),"",ROUND(K8/E8*D8*KVARDI,2))</f>
        <v/>
      </c>
      <c r="M8" s="20" t="n"/>
      <c r="N8" s="31">
        <f>IF(OR(Undirviðmið!$G$7&lt;&gt;"Starfsbundinn",M8="",E8="",D8=""),"",ROUND(M8/E8*D8*KVARDI,2))</f>
        <v/>
      </c>
      <c r="O8" s="20" t="n"/>
      <c r="P8" s="31">
        <f>IF(OR(Undirviðmið!$G$7&lt;&gt;"Starfsbundinn",O8="",E8="",D8=""),"",ROUND(O8/E8*D8*KVARDI,2))</f>
        <v/>
      </c>
      <c r="Q8" s="20" t="n"/>
      <c r="R8" s="31">
        <f>IF(OR(Undirviðmið!$G$7&lt;&gt;"Starfsbundinn",Q8="",E8="",D8=""),"",ROUND(Q8/E8*D8*KVARDI,2))</f>
        <v/>
      </c>
      <c r="S8" s="20" t="n"/>
      <c r="T8" s="31">
        <f>IF(OR(Undirviðmið!$G$7&lt;&gt;"Starfsbundinn",S8="",E8="",D8=""),"",ROUND(S8/E8*D8*KVARDI,2))</f>
        <v/>
      </c>
      <c r="U8" s="20" t="n"/>
      <c r="V8" s="31">
        <f>IF(OR(Undirviðmið!$G$7&lt;&gt;"Starfsbundinn",U8="",E8="",D8=""),"",ROUND(U8/E8*D8*KVARDI,2))</f>
        <v/>
      </c>
    </row>
    <row r="9">
      <c r="B9" s="21">
        <f>IF(Undirviðmið!$G$8="Starfsbundinn",Undirviðmið!$B$8,"")</f>
        <v/>
      </c>
      <c r="C9" s="21">
        <f>IF(Undirviðmið!$G$8="Starfsbundinn",Undirviðmið!$C$8,"")</f>
        <v/>
      </c>
      <c r="D9" s="30">
        <f>IF(Undirviðmið!$G$8="Starfsbundinn",Undirviðmið!$E$8,"")</f>
        <v/>
      </c>
      <c r="E9" s="30">
        <f>IF(Undirviðmið!$G$8="Starfsbundinn",Undirviðmið!$F$8,"")</f>
        <v/>
      </c>
      <c r="F9" s="30">
        <f>IF(Undirviðmið!$G$8="Starfsbundinn",IFERROR(Undirviðmið!$E$8*KVARDI,""),"")</f>
        <v/>
      </c>
      <c r="G9" s="20" t="n"/>
      <c r="H9" s="31">
        <f>IF(OR(Undirviðmið!$G$8&lt;&gt;"Starfsbundinn",G9="",E9="",D9=""),"",ROUND(G9/E9*D9*KVARDI,2))</f>
        <v/>
      </c>
      <c r="I9" s="20" t="n"/>
      <c r="J9" s="31">
        <f>IF(OR(Undirviðmið!$G$8&lt;&gt;"Starfsbundinn",I9="",E9="",D9=""),"",ROUND(I9/E9*D9*KVARDI,2))</f>
        <v/>
      </c>
      <c r="K9" s="20" t="n"/>
      <c r="L9" s="31">
        <f>IF(OR(Undirviðmið!$G$8&lt;&gt;"Starfsbundinn",K9="",E9="",D9=""),"",ROUND(K9/E9*D9*KVARDI,2))</f>
        <v/>
      </c>
      <c r="M9" s="20" t="n"/>
      <c r="N9" s="31">
        <f>IF(OR(Undirviðmið!$G$8&lt;&gt;"Starfsbundinn",M9="",E9="",D9=""),"",ROUND(M9/E9*D9*KVARDI,2))</f>
        <v/>
      </c>
      <c r="O9" s="20" t="n"/>
      <c r="P9" s="31">
        <f>IF(OR(Undirviðmið!$G$8&lt;&gt;"Starfsbundinn",O9="",E9="",D9=""),"",ROUND(O9/E9*D9*KVARDI,2))</f>
        <v/>
      </c>
      <c r="Q9" s="20" t="n"/>
      <c r="R9" s="31">
        <f>IF(OR(Undirviðmið!$G$8&lt;&gt;"Starfsbundinn",Q9="",E9="",D9=""),"",ROUND(Q9/E9*D9*KVARDI,2))</f>
        <v/>
      </c>
      <c r="S9" s="20" t="n"/>
      <c r="T9" s="31">
        <f>IF(OR(Undirviðmið!$G$8&lt;&gt;"Starfsbundinn",S9="",E9="",D9=""),"",ROUND(S9/E9*D9*KVARDI,2))</f>
        <v/>
      </c>
      <c r="U9" s="20" t="n"/>
      <c r="V9" s="31">
        <f>IF(OR(Undirviðmið!$G$8&lt;&gt;"Starfsbundinn",U9="",E9="",D9=""),"",ROUND(U9/E9*D9*KVARDI,2))</f>
        <v/>
      </c>
    </row>
    <row r="10">
      <c r="B10" s="21">
        <f>IF(Undirviðmið!$G$9="Starfsbundinn",Undirviðmið!$B$9,"")</f>
        <v/>
      </c>
      <c r="C10" s="21">
        <f>IF(Undirviðmið!$G$9="Starfsbundinn",Undirviðmið!$C$9,"")</f>
        <v/>
      </c>
      <c r="D10" s="30">
        <f>IF(Undirviðmið!$G$9="Starfsbundinn",Undirviðmið!$E$9,"")</f>
        <v/>
      </c>
      <c r="E10" s="30">
        <f>IF(Undirviðmið!$G$9="Starfsbundinn",Undirviðmið!$F$9,"")</f>
        <v/>
      </c>
      <c r="F10" s="30">
        <f>IF(Undirviðmið!$G$9="Starfsbundinn",IFERROR(Undirviðmið!$E$9*KVARDI,""),"")</f>
        <v/>
      </c>
      <c r="G10" s="20" t="n"/>
      <c r="H10" s="31">
        <f>IF(OR(Undirviðmið!$G$9&lt;&gt;"Starfsbundinn",G10="",E10="",D10=""),"",ROUND(G10/E10*D10*KVARDI,2))</f>
        <v/>
      </c>
      <c r="I10" s="20" t="n"/>
      <c r="J10" s="31">
        <f>IF(OR(Undirviðmið!$G$9&lt;&gt;"Starfsbundinn",I10="",E10="",D10=""),"",ROUND(I10/E10*D10*KVARDI,2))</f>
        <v/>
      </c>
      <c r="K10" s="20" t="n"/>
      <c r="L10" s="31">
        <f>IF(OR(Undirviðmið!$G$9&lt;&gt;"Starfsbundinn",K10="",E10="",D10=""),"",ROUND(K10/E10*D10*KVARDI,2))</f>
        <v/>
      </c>
      <c r="M10" s="20" t="n"/>
      <c r="N10" s="31">
        <f>IF(OR(Undirviðmið!$G$9&lt;&gt;"Starfsbundinn",M10="",E10="",D10=""),"",ROUND(M10/E10*D10*KVARDI,2))</f>
        <v/>
      </c>
      <c r="O10" s="20" t="n"/>
      <c r="P10" s="31">
        <f>IF(OR(Undirviðmið!$G$9&lt;&gt;"Starfsbundinn",O10="",E10="",D10=""),"",ROUND(O10/E10*D10*KVARDI,2))</f>
        <v/>
      </c>
      <c r="Q10" s="20" t="n"/>
      <c r="R10" s="31">
        <f>IF(OR(Undirviðmið!$G$9&lt;&gt;"Starfsbundinn",Q10="",E10="",D10=""),"",ROUND(Q10/E10*D10*KVARDI,2))</f>
        <v/>
      </c>
      <c r="S10" s="20" t="n"/>
      <c r="T10" s="31">
        <f>IF(OR(Undirviðmið!$G$9&lt;&gt;"Starfsbundinn",S10="",E10="",D10=""),"",ROUND(S10/E10*D10*KVARDI,2))</f>
        <v/>
      </c>
      <c r="U10" s="20" t="n"/>
      <c r="V10" s="31">
        <f>IF(OR(Undirviðmið!$G$9&lt;&gt;"Starfsbundinn",U10="",E10="",D10=""),"",ROUND(U10/E10*D10*KVARDI,2))</f>
        <v/>
      </c>
    </row>
    <row r="11">
      <c r="B11" s="21">
        <f>IF(Undirviðmið!$G$10="Starfsbundinn",Undirviðmið!$B$10,"")</f>
        <v/>
      </c>
      <c r="C11" s="21">
        <f>IF(Undirviðmið!$G$10="Starfsbundinn",Undirviðmið!$C$10,"")</f>
        <v/>
      </c>
      <c r="D11" s="30">
        <f>IF(Undirviðmið!$G$10="Starfsbundinn",Undirviðmið!$E$10,"")</f>
        <v/>
      </c>
      <c r="E11" s="30">
        <f>IF(Undirviðmið!$G$10="Starfsbundinn",Undirviðmið!$F$10,"")</f>
        <v/>
      </c>
      <c r="F11" s="30">
        <f>IF(Undirviðmið!$G$10="Starfsbundinn",IFERROR(Undirviðmið!$E$10*KVARDI,""),"")</f>
        <v/>
      </c>
      <c r="G11" s="20" t="n"/>
      <c r="H11" s="31">
        <f>IF(OR(Undirviðmið!$G$10&lt;&gt;"Starfsbundinn",G11="",E11="",D11=""),"",ROUND(G11/E11*D11*KVARDI,2))</f>
        <v/>
      </c>
      <c r="I11" s="20" t="n"/>
      <c r="J11" s="31">
        <f>IF(OR(Undirviðmið!$G$10&lt;&gt;"Starfsbundinn",I11="",E11="",D11=""),"",ROUND(I11/E11*D11*KVARDI,2))</f>
        <v/>
      </c>
      <c r="K11" s="20" t="n"/>
      <c r="L11" s="31">
        <f>IF(OR(Undirviðmið!$G$10&lt;&gt;"Starfsbundinn",K11="",E11="",D11=""),"",ROUND(K11/E11*D11*KVARDI,2))</f>
        <v/>
      </c>
      <c r="M11" s="20" t="n"/>
      <c r="N11" s="31">
        <f>IF(OR(Undirviðmið!$G$10&lt;&gt;"Starfsbundinn",M11="",E11="",D11=""),"",ROUND(M11/E11*D11*KVARDI,2))</f>
        <v/>
      </c>
      <c r="O11" s="20" t="n"/>
      <c r="P11" s="31">
        <f>IF(OR(Undirviðmið!$G$10&lt;&gt;"Starfsbundinn",O11="",E11="",D11=""),"",ROUND(O11/E11*D11*KVARDI,2))</f>
        <v/>
      </c>
      <c r="Q11" s="20" t="n"/>
      <c r="R11" s="31">
        <f>IF(OR(Undirviðmið!$G$10&lt;&gt;"Starfsbundinn",Q11="",E11="",D11=""),"",ROUND(Q11/E11*D11*KVARDI,2))</f>
        <v/>
      </c>
      <c r="S11" s="20" t="n"/>
      <c r="T11" s="31">
        <f>IF(OR(Undirviðmið!$G$10&lt;&gt;"Starfsbundinn",S11="",E11="",D11=""),"",ROUND(S11/E11*D11*KVARDI,2))</f>
        <v/>
      </c>
      <c r="U11" s="20" t="n"/>
      <c r="V11" s="31">
        <f>IF(OR(Undirviðmið!$G$10&lt;&gt;"Starfsbundinn",U11="",E11="",D11=""),"",ROUND(U11/E11*D11*KVARDI,2))</f>
        <v/>
      </c>
    </row>
    <row r="12">
      <c r="B12" s="21">
        <f>IF(Undirviðmið!$G$11="Starfsbundinn",Undirviðmið!$B$11,"")</f>
        <v/>
      </c>
      <c r="C12" s="21">
        <f>IF(Undirviðmið!$G$11="Starfsbundinn",Undirviðmið!$C$11,"")</f>
        <v/>
      </c>
      <c r="D12" s="30">
        <f>IF(Undirviðmið!$G$11="Starfsbundinn",Undirviðmið!$E$11,"")</f>
        <v/>
      </c>
      <c r="E12" s="30">
        <f>IF(Undirviðmið!$G$11="Starfsbundinn",Undirviðmið!$F$11,"")</f>
        <v/>
      </c>
      <c r="F12" s="30">
        <f>IF(Undirviðmið!$G$11="Starfsbundinn",IFERROR(Undirviðmið!$E$11*KVARDI,""),"")</f>
        <v/>
      </c>
      <c r="G12" s="20" t="n"/>
      <c r="H12" s="31">
        <f>IF(OR(Undirviðmið!$G$11&lt;&gt;"Starfsbundinn",G12="",E12="",D12=""),"",ROUND(G12/E12*D12*KVARDI,2))</f>
        <v/>
      </c>
      <c r="I12" s="20" t="n"/>
      <c r="J12" s="31">
        <f>IF(OR(Undirviðmið!$G$11&lt;&gt;"Starfsbundinn",I12="",E12="",D12=""),"",ROUND(I12/E12*D12*KVARDI,2))</f>
        <v/>
      </c>
      <c r="K12" s="20" t="n"/>
      <c r="L12" s="31">
        <f>IF(OR(Undirviðmið!$G$11&lt;&gt;"Starfsbundinn",K12="",E12="",D12=""),"",ROUND(K12/E12*D12*KVARDI,2))</f>
        <v/>
      </c>
      <c r="M12" s="20" t="n"/>
      <c r="N12" s="31">
        <f>IF(OR(Undirviðmið!$G$11&lt;&gt;"Starfsbundinn",M12="",E12="",D12=""),"",ROUND(M12/E12*D12*KVARDI,2))</f>
        <v/>
      </c>
      <c r="O12" s="20" t="n"/>
      <c r="P12" s="31">
        <f>IF(OR(Undirviðmið!$G$11&lt;&gt;"Starfsbundinn",O12="",E12="",D12=""),"",ROUND(O12/E12*D12*KVARDI,2))</f>
        <v/>
      </c>
      <c r="Q12" s="20" t="n"/>
      <c r="R12" s="31">
        <f>IF(OR(Undirviðmið!$G$11&lt;&gt;"Starfsbundinn",Q12="",E12="",D12=""),"",ROUND(Q12/E12*D12*KVARDI,2))</f>
        <v/>
      </c>
      <c r="S12" s="20" t="n"/>
      <c r="T12" s="31">
        <f>IF(OR(Undirviðmið!$G$11&lt;&gt;"Starfsbundinn",S12="",E12="",D12=""),"",ROUND(S12/E12*D12*KVARDI,2))</f>
        <v/>
      </c>
      <c r="U12" s="20" t="n"/>
      <c r="V12" s="31">
        <f>IF(OR(Undirviðmið!$G$11&lt;&gt;"Starfsbundinn",U12="",E12="",D12=""),"",ROUND(U12/E12*D12*KVARDI,2))</f>
        <v/>
      </c>
    </row>
    <row r="13">
      <c r="B13" s="21">
        <f>IF(Undirviðmið!$G$12="Starfsbundinn",Undirviðmið!$B$12,"")</f>
        <v/>
      </c>
      <c r="C13" s="21">
        <f>IF(Undirviðmið!$G$12="Starfsbundinn",Undirviðmið!$C$12,"")</f>
        <v/>
      </c>
      <c r="D13" s="30">
        <f>IF(Undirviðmið!$G$12="Starfsbundinn",Undirviðmið!$E$12,"")</f>
        <v/>
      </c>
      <c r="E13" s="30">
        <f>IF(Undirviðmið!$G$12="Starfsbundinn",Undirviðmið!$F$12,"")</f>
        <v/>
      </c>
      <c r="F13" s="30">
        <f>IF(Undirviðmið!$G$12="Starfsbundinn",IFERROR(Undirviðmið!$E$12*KVARDI,""),"")</f>
        <v/>
      </c>
      <c r="G13" s="20" t="n"/>
      <c r="H13" s="31">
        <f>IF(OR(Undirviðmið!$G$12&lt;&gt;"Starfsbundinn",G13="",E13="",D13=""),"",ROUND(G13/E13*D13*KVARDI,2))</f>
        <v/>
      </c>
      <c r="I13" s="20" t="n"/>
      <c r="J13" s="31">
        <f>IF(OR(Undirviðmið!$G$12&lt;&gt;"Starfsbundinn",I13="",E13="",D13=""),"",ROUND(I13/E13*D13*KVARDI,2))</f>
        <v/>
      </c>
      <c r="K13" s="20" t="n"/>
      <c r="L13" s="31">
        <f>IF(OR(Undirviðmið!$G$12&lt;&gt;"Starfsbundinn",K13="",E13="",D13=""),"",ROUND(K13/E13*D13*KVARDI,2))</f>
        <v/>
      </c>
      <c r="M13" s="20" t="n"/>
      <c r="N13" s="31">
        <f>IF(OR(Undirviðmið!$G$12&lt;&gt;"Starfsbundinn",M13="",E13="",D13=""),"",ROUND(M13/E13*D13*KVARDI,2))</f>
        <v/>
      </c>
      <c r="O13" s="20" t="n"/>
      <c r="P13" s="31">
        <f>IF(OR(Undirviðmið!$G$12&lt;&gt;"Starfsbundinn",O13="",E13="",D13=""),"",ROUND(O13/E13*D13*KVARDI,2))</f>
        <v/>
      </c>
      <c r="Q13" s="20" t="n"/>
      <c r="R13" s="31">
        <f>IF(OR(Undirviðmið!$G$12&lt;&gt;"Starfsbundinn",Q13="",E13="",D13=""),"",ROUND(Q13/E13*D13*KVARDI,2))</f>
        <v/>
      </c>
      <c r="S13" s="20" t="n"/>
      <c r="T13" s="31">
        <f>IF(OR(Undirviðmið!$G$12&lt;&gt;"Starfsbundinn",S13="",E13="",D13=""),"",ROUND(S13/E13*D13*KVARDI,2))</f>
        <v/>
      </c>
      <c r="U13" s="20" t="n"/>
      <c r="V13" s="31">
        <f>IF(OR(Undirviðmið!$G$12&lt;&gt;"Starfsbundinn",U13="",E13="",D13=""),"",ROUND(U13/E13*D13*KVARDI,2))</f>
        <v/>
      </c>
    </row>
    <row r="14">
      <c r="B14" s="21">
        <f>IF(Undirviðmið!$G$13="Starfsbundinn",Undirviðmið!$B$13,"")</f>
        <v/>
      </c>
      <c r="C14" s="21">
        <f>IF(Undirviðmið!$G$13="Starfsbundinn",Undirviðmið!$C$13,"")</f>
        <v/>
      </c>
      <c r="D14" s="30">
        <f>IF(Undirviðmið!$G$13="Starfsbundinn",Undirviðmið!$E$13,"")</f>
        <v/>
      </c>
      <c r="E14" s="30">
        <f>IF(Undirviðmið!$G$13="Starfsbundinn",Undirviðmið!$F$13,"")</f>
        <v/>
      </c>
      <c r="F14" s="30">
        <f>IF(Undirviðmið!$G$13="Starfsbundinn",IFERROR(Undirviðmið!$E$13*KVARDI,""),"")</f>
        <v/>
      </c>
      <c r="G14" s="20" t="n"/>
      <c r="H14" s="31">
        <f>IF(OR(Undirviðmið!$G$13&lt;&gt;"Starfsbundinn",G14="",E14="",D14=""),"",ROUND(G14/E14*D14*KVARDI,2))</f>
        <v/>
      </c>
      <c r="I14" s="20" t="n"/>
      <c r="J14" s="31">
        <f>IF(OR(Undirviðmið!$G$13&lt;&gt;"Starfsbundinn",I14="",E14="",D14=""),"",ROUND(I14/E14*D14*KVARDI,2))</f>
        <v/>
      </c>
      <c r="K14" s="20" t="n"/>
      <c r="L14" s="31">
        <f>IF(OR(Undirviðmið!$G$13&lt;&gt;"Starfsbundinn",K14="",E14="",D14=""),"",ROUND(K14/E14*D14*KVARDI,2))</f>
        <v/>
      </c>
      <c r="M14" s="20" t="n"/>
      <c r="N14" s="31">
        <f>IF(OR(Undirviðmið!$G$13&lt;&gt;"Starfsbundinn",M14="",E14="",D14=""),"",ROUND(M14/E14*D14*KVARDI,2))</f>
        <v/>
      </c>
      <c r="O14" s="20" t="n"/>
      <c r="P14" s="31">
        <f>IF(OR(Undirviðmið!$G$13&lt;&gt;"Starfsbundinn",O14="",E14="",D14=""),"",ROUND(O14/E14*D14*KVARDI,2))</f>
        <v/>
      </c>
      <c r="Q14" s="20" t="n"/>
      <c r="R14" s="31">
        <f>IF(OR(Undirviðmið!$G$13&lt;&gt;"Starfsbundinn",Q14="",E14="",D14=""),"",ROUND(Q14/E14*D14*KVARDI,2))</f>
        <v/>
      </c>
      <c r="S14" s="20" t="n"/>
      <c r="T14" s="31">
        <f>IF(OR(Undirviðmið!$G$13&lt;&gt;"Starfsbundinn",S14="",E14="",D14=""),"",ROUND(S14/E14*D14*KVARDI,2))</f>
        <v/>
      </c>
      <c r="U14" s="20" t="n"/>
      <c r="V14" s="31">
        <f>IF(OR(Undirviðmið!$G$13&lt;&gt;"Starfsbundinn",U14="",E14="",D14=""),"",ROUND(U14/E14*D14*KVARDI,2))</f>
        <v/>
      </c>
    </row>
    <row r="15">
      <c r="B15" s="21">
        <f>IF(Undirviðmið!$G$14="Starfsbundinn",Undirviðmið!$B$14,"")</f>
        <v/>
      </c>
      <c r="C15" s="21">
        <f>IF(Undirviðmið!$G$14="Starfsbundinn",Undirviðmið!$C$14,"")</f>
        <v/>
      </c>
      <c r="D15" s="30">
        <f>IF(Undirviðmið!$G$14="Starfsbundinn",Undirviðmið!$E$14,"")</f>
        <v/>
      </c>
      <c r="E15" s="30">
        <f>IF(Undirviðmið!$G$14="Starfsbundinn",Undirviðmið!$F$14,"")</f>
        <v/>
      </c>
      <c r="F15" s="30">
        <f>IF(Undirviðmið!$G$14="Starfsbundinn",IFERROR(Undirviðmið!$E$14*KVARDI,""),"")</f>
        <v/>
      </c>
      <c r="G15" s="20" t="n"/>
      <c r="H15" s="31">
        <f>IF(OR(Undirviðmið!$G$14&lt;&gt;"Starfsbundinn",G15="",E15="",D15=""),"",ROUND(G15/E15*D15*KVARDI,2))</f>
        <v/>
      </c>
      <c r="I15" s="20" t="n"/>
      <c r="J15" s="31">
        <f>IF(OR(Undirviðmið!$G$14&lt;&gt;"Starfsbundinn",I15="",E15="",D15=""),"",ROUND(I15/E15*D15*KVARDI,2))</f>
        <v/>
      </c>
      <c r="K15" s="20" t="n"/>
      <c r="L15" s="31">
        <f>IF(OR(Undirviðmið!$G$14&lt;&gt;"Starfsbundinn",K15="",E15="",D15=""),"",ROUND(K15/E15*D15*KVARDI,2))</f>
        <v/>
      </c>
      <c r="M15" s="20" t="n"/>
      <c r="N15" s="31">
        <f>IF(OR(Undirviðmið!$G$14&lt;&gt;"Starfsbundinn",M15="",E15="",D15=""),"",ROUND(M15/E15*D15*KVARDI,2))</f>
        <v/>
      </c>
      <c r="O15" s="20" t="n"/>
      <c r="P15" s="31">
        <f>IF(OR(Undirviðmið!$G$14&lt;&gt;"Starfsbundinn",O15="",E15="",D15=""),"",ROUND(O15/E15*D15*KVARDI,2))</f>
        <v/>
      </c>
      <c r="Q15" s="20" t="n"/>
      <c r="R15" s="31">
        <f>IF(OR(Undirviðmið!$G$14&lt;&gt;"Starfsbundinn",Q15="",E15="",D15=""),"",ROUND(Q15/E15*D15*KVARDI,2))</f>
        <v/>
      </c>
      <c r="S15" s="20" t="n"/>
      <c r="T15" s="31">
        <f>IF(OR(Undirviðmið!$G$14&lt;&gt;"Starfsbundinn",S15="",E15="",D15=""),"",ROUND(S15/E15*D15*KVARDI,2))</f>
        <v/>
      </c>
      <c r="U15" s="20" t="n"/>
      <c r="V15" s="31">
        <f>IF(OR(Undirviðmið!$G$14&lt;&gt;"Starfsbundinn",U15="",E15="",D15=""),"",ROUND(U15/E15*D15*KVARDI,2))</f>
        <v/>
      </c>
    </row>
    <row r="16">
      <c r="B16" s="21">
        <f>IF(Undirviðmið!$G$15="Starfsbundinn",Undirviðmið!$B$15,"")</f>
        <v/>
      </c>
      <c r="C16" s="21">
        <f>IF(Undirviðmið!$G$15="Starfsbundinn",Undirviðmið!$C$15,"")</f>
        <v/>
      </c>
      <c r="D16" s="30">
        <f>IF(Undirviðmið!$G$15="Starfsbundinn",Undirviðmið!$E$15,"")</f>
        <v/>
      </c>
      <c r="E16" s="30">
        <f>IF(Undirviðmið!$G$15="Starfsbundinn",Undirviðmið!$F$15,"")</f>
        <v/>
      </c>
      <c r="F16" s="30">
        <f>IF(Undirviðmið!$G$15="Starfsbundinn",IFERROR(Undirviðmið!$E$15*KVARDI,""),"")</f>
        <v/>
      </c>
      <c r="G16" s="20" t="n"/>
      <c r="H16" s="31">
        <f>IF(OR(Undirviðmið!$G$15&lt;&gt;"Starfsbundinn",G16="",E16="",D16=""),"",ROUND(G16/E16*D16*KVARDI,2))</f>
        <v/>
      </c>
      <c r="I16" s="20" t="n"/>
      <c r="J16" s="31">
        <f>IF(OR(Undirviðmið!$G$15&lt;&gt;"Starfsbundinn",I16="",E16="",D16=""),"",ROUND(I16/E16*D16*KVARDI,2))</f>
        <v/>
      </c>
      <c r="K16" s="20" t="n"/>
      <c r="L16" s="31">
        <f>IF(OR(Undirviðmið!$G$15&lt;&gt;"Starfsbundinn",K16="",E16="",D16=""),"",ROUND(K16/E16*D16*KVARDI,2))</f>
        <v/>
      </c>
      <c r="M16" s="20" t="n"/>
      <c r="N16" s="31">
        <f>IF(OR(Undirviðmið!$G$15&lt;&gt;"Starfsbundinn",M16="",E16="",D16=""),"",ROUND(M16/E16*D16*KVARDI,2))</f>
        <v/>
      </c>
      <c r="O16" s="20" t="n"/>
      <c r="P16" s="31">
        <f>IF(OR(Undirviðmið!$G$15&lt;&gt;"Starfsbundinn",O16="",E16="",D16=""),"",ROUND(O16/E16*D16*KVARDI,2))</f>
        <v/>
      </c>
      <c r="Q16" s="20" t="n"/>
      <c r="R16" s="31">
        <f>IF(OR(Undirviðmið!$G$15&lt;&gt;"Starfsbundinn",Q16="",E16="",D16=""),"",ROUND(Q16/E16*D16*KVARDI,2))</f>
        <v/>
      </c>
      <c r="S16" s="20" t="n"/>
      <c r="T16" s="31">
        <f>IF(OR(Undirviðmið!$G$15&lt;&gt;"Starfsbundinn",S16="",E16="",D16=""),"",ROUND(S16/E16*D16*KVARDI,2))</f>
        <v/>
      </c>
      <c r="U16" s="20" t="n"/>
      <c r="V16" s="31">
        <f>IF(OR(Undirviðmið!$G$15&lt;&gt;"Starfsbundinn",U16="",E16="",D16=""),"",ROUND(U16/E16*D16*KVARDI,2))</f>
        <v/>
      </c>
    </row>
    <row r="17">
      <c r="B17" s="21">
        <f>IF(Undirviðmið!$G$16="Starfsbundinn",Undirviðmið!$B$16,"")</f>
        <v/>
      </c>
      <c r="C17" s="21">
        <f>IF(Undirviðmið!$G$16="Starfsbundinn",Undirviðmið!$C$16,"")</f>
        <v/>
      </c>
      <c r="D17" s="30">
        <f>IF(Undirviðmið!$G$16="Starfsbundinn",Undirviðmið!$E$16,"")</f>
        <v/>
      </c>
      <c r="E17" s="30">
        <f>IF(Undirviðmið!$G$16="Starfsbundinn",Undirviðmið!$F$16,"")</f>
        <v/>
      </c>
      <c r="F17" s="30">
        <f>IF(Undirviðmið!$G$16="Starfsbundinn",IFERROR(Undirviðmið!$E$16*KVARDI,""),"")</f>
        <v/>
      </c>
      <c r="G17" s="20" t="n"/>
      <c r="H17" s="31">
        <f>IF(OR(Undirviðmið!$G$16&lt;&gt;"Starfsbundinn",G17="",E17="",D17=""),"",ROUND(G17/E17*D17*KVARDI,2))</f>
        <v/>
      </c>
      <c r="I17" s="20" t="n"/>
      <c r="J17" s="31">
        <f>IF(OR(Undirviðmið!$G$16&lt;&gt;"Starfsbundinn",I17="",E17="",D17=""),"",ROUND(I17/E17*D17*KVARDI,2))</f>
        <v/>
      </c>
      <c r="K17" s="20" t="n"/>
      <c r="L17" s="31">
        <f>IF(OR(Undirviðmið!$G$16&lt;&gt;"Starfsbundinn",K17="",E17="",D17=""),"",ROUND(K17/E17*D17*KVARDI,2))</f>
        <v/>
      </c>
      <c r="M17" s="20" t="n"/>
      <c r="N17" s="31">
        <f>IF(OR(Undirviðmið!$G$16&lt;&gt;"Starfsbundinn",M17="",E17="",D17=""),"",ROUND(M17/E17*D17*KVARDI,2))</f>
        <v/>
      </c>
      <c r="O17" s="20" t="n"/>
      <c r="P17" s="31">
        <f>IF(OR(Undirviðmið!$G$16&lt;&gt;"Starfsbundinn",O17="",E17="",D17=""),"",ROUND(O17/E17*D17*KVARDI,2))</f>
        <v/>
      </c>
      <c r="Q17" s="20" t="n"/>
      <c r="R17" s="31">
        <f>IF(OR(Undirviðmið!$G$16&lt;&gt;"Starfsbundinn",Q17="",E17="",D17=""),"",ROUND(Q17/E17*D17*KVARDI,2))</f>
        <v/>
      </c>
      <c r="S17" s="20" t="n"/>
      <c r="T17" s="31">
        <f>IF(OR(Undirviðmið!$G$16&lt;&gt;"Starfsbundinn",S17="",E17="",D17=""),"",ROUND(S17/E17*D17*KVARDI,2))</f>
        <v/>
      </c>
      <c r="U17" s="20" t="n"/>
      <c r="V17" s="31">
        <f>IF(OR(Undirviðmið!$G$16&lt;&gt;"Starfsbundinn",U17="",E17="",D17=""),"",ROUND(U17/E17*D17*KVARDI,2))</f>
        <v/>
      </c>
    </row>
    <row r="18">
      <c r="B18" s="21">
        <f>IF(Undirviðmið!$G$17="Starfsbundinn",Undirviðmið!$B$17,"")</f>
        <v/>
      </c>
      <c r="C18" s="21">
        <f>IF(Undirviðmið!$G$17="Starfsbundinn",Undirviðmið!$C$17,"")</f>
        <v/>
      </c>
      <c r="D18" s="30">
        <f>IF(Undirviðmið!$G$17="Starfsbundinn",Undirviðmið!$E$17,"")</f>
        <v/>
      </c>
      <c r="E18" s="30">
        <f>IF(Undirviðmið!$G$17="Starfsbundinn",Undirviðmið!$F$17,"")</f>
        <v/>
      </c>
      <c r="F18" s="30">
        <f>IF(Undirviðmið!$G$17="Starfsbundinn",IFERROR(Undirviðmið!$E$17*KVARDI,""),"")</f>
        <v/>
      </c>
      <c r="G18" s="20" t="n"/>
      <c r="H18" s="31">
        <f>IF(OR(Undirviðmið!$G$17&lt;&gt;"Starfsbundinn",G18="",E18="",D18=""),"",ROUND(G18/E18*D18*KVARDI,2))</f>
        <v/>
      </c>
      <c r="I18" s="20" t="n"/>
      <c r="J18" s="31">
        <f>IF(OR(Undirviðmið!$G$17&lt;&gt;"Starfsbundinn",I18="",E18="",D18=""),"",ROUND(I18/E18*D18*KVARDI,2))</f>
        <v/>
      </c>
      <c r="K18" s="20" t="n"/>
      <c r="L18" s="31">
        <f>IF(OR(Undirviðmið!$G$17&lt;&gt;"Starfsbundinn",K18="",E18="",D18=""),"",ROUND(K18/E18*D18*KVARDI,2))</f>
        <v/>
      </c>
      <c r="M18" s="20" t="n"/>
      <c r="N18" s="31">
        <f>IF(OR(Undirviðmið!$G$17&lt;&gt;"Starfsbundinn",M18="",E18="",D18=""),"",ROUND(M18/E18*D18*KVARDI,2))</f>
        <v/>
      </c>
      <c r="O18" s="20" t="n"/>
      <c r="P18" s="31">
        <f>IF(OR(Undirviðmið!$G$17&lt;&gt;"Starfsbundinn",O18="",E18="",D18=""),"",ROUND(O18/E18*D18*KVARDI,2))</f>
        <v/>
      </c>
      <c r="Q18" s="20" t="n"/>
      <c r="R18" s="31">
        <f>IF(OR(Undirviðmið!$G$17&lt;&gt;"Starfsbundinn",Q18="",E18="",D18=""),"",ROUND(Q18/E18*D18*KVARDI,2))</f>
        <v/>
      </c>
      <c r="S18" s="20" t="n"/>
      <c r="T18" s="31">
        <f>IF(OR(Undirviðmið!$G$17&lt;&gt;"Starfsbundinn",S18="",E18="",D18=""),"",ROUND(S18/E18*D18*KVARDI,2))</f>
        <v/>
      </c>
      <c r="U18" s="20" t="n"/>
      <c r="V18" s="31">
        <f>IF(OR(Undirviðmið!$G$17&lt;&gt;"Starfsbundinn",U18="",E18="",D18=""),"",ROUND(U18/E18*D18*KVARDI,2))</f>
        <v/>
      </c>
    </row>
    <row r="19">
      <c r="B19" s="21">
        <f>IF(Undirviðmið!$G$18="Starfsbundinn",Undirviðmið!$B$18,"")</f>
        <v/>
      </c>
      <c r="C19" s="21">
        <f>IF(Undirviðmið!$G$18="Starfsbundinn",Undirviðmið!$C$18,"")</f>
        <v/>
      </c>
      <c r="D19" s="30">
        <f>IF(Undirviðmið!$G$18="Starfsbundinn",Undirviðmið!$E$18,"")</f>
        <v/>
      </c>
      <c r="E19" s="30">
        <f>IF(Undirviðmið!$G$18="Starfsbundinn",Undirviðmið!$F$18,"")</f>
        <v/>
      </c>
      <c r="F19" s="30">
        <f>IF(Undirviðmið!$G$18="Starfsbundinn",IFERROR(Undirviðmið!$E$18*KVARDI,""),"")</f>
        <v/>
      </c>
      <c r="G19" s="20" t="n"/>
      <c r="H19" s="31">
        <f>IF(OR(Undirviðmið!$G$18&lt;&gt;"Starfsbundinn",G19="",E19="",D19=""),"",ROUND(G19/E19*D19*KVARDI,2))</f>
        <v/>
      </c>
      <c r="I19" s="20" t="n"/>
      <c r="J19" s="31">
        <f>IF(OR(Undirviðmið!$G$18&lt;&gt;"Starfsbundinn",I19="",E19="",D19=""),"",ROUND(I19/E19*D19*KVARDI,2))</f>
        <v/>
      </c>
      <c r="K19" s="20" t="n"/>
      <c r="L19" s="31">
        <f>IF(OR(Undirviðmið!$G$18&lt;&gt;"Starfsbundinn",K19="",E19="",D19=""),"",ROUND(K19/E19*D19*KVARDI,2))</f>
        <v/>
      </c>
      <c r="M19" s="20" t="n"/>
      <c r="N19" s="31">
        <f>IF(OR(Undirviðmið!$G$18&lt;&gt;"Starfsbundinn",M19="",E19="",D19=""),"",ROUND(M19/E19*D19*KVARDI,2))</f>
        <v/>
      </c>
      <c r="O19" s="20" t="n"/>
      <c r="P19" s="31">
        <f>IF(OR(Undirviðmið!$G$18&lt;&gt;"Starfsbundinn",O19="",E19="",D19=""),"",ROUND(O19/E19*D19*KVARDI,2))</f>
        <v/>
      </c>
      <c r="Q19" s="20" t="n"/>
      <c r="R19" s="31">
        <f>IF(OR(Undirviðmið!$G$18&lt;&gt;"Starfsbundinn",Q19="",E19="",D19=""),"",ROUND(Q19/E19*D19*KVARDI,2))</f>
        <v/>
      </c>
      <c r="S19" s="20" t="n"/>
      <c r="T19" s="31">
        <f>IF(OR(Undirviðmið!$G$18&lt;&gt;"Starfsbundinn",S19="",E19="",D19=""),"",ROUND(S19/E19*D19*KVARDI,2))</f>
        <v/>
      </c>
      <c r="U19" s="20" t="n"/>
      <c r="V19" s="31">
        <f>IF(OR(Undirviðmið!$G$18&lt;&gt;"Starfsbundinn",U19="",E19="",D19=""),"",ROUND(U19/E19*D19*KVARDI,2))</f>
        <v/>
      </c>
    </row>
    <row r="20">
      <c r="B20" s="21">
        <f>IF(Undirviðmið!$G$19="Starfsbundinn",Undirviðmið!$B$19,"")</f>
        <v/>
      </c>
      <c r="C20" s="21">
        <f>IF(Undirviðmið!$G$19="Starfsbundinn",Undirviðmið!$C$19,"")</f>
        <v/>
      </c>
      <c r="D20" s="30">
        <f>IF(Undirviðmið!$G$19="Starfsbundinn",Undirviðmið!$E$19,"")</f>
        <v/>
      </c>
      <c r="E20" s="30">
        <f>IF(Undirviðmið!$G$19="Starfsbundinn",Undirviðmið!$F$19,"")</f>
        <v/>
      </c>
      <c r="F20" s="30">
        <f>IF(Undirviðmið!$G$19="Starfsbundinn",IFERROR(Undirviðmið!$E$19*KVARDI,""),"")</f>
        <v/>
      </c>
      <c r="G20" s="20" t="n"/>
      <c r="H20" s="31">
        <f>IF(OR(Undirviðmið!$G$19&lt;&gt;"Starfsbundinn",G20="",E20="",D20=""),"",ROUND(G20/E20*D20*KVARDI,2))</f>
        <v/>
      </c>
      <c r="I20" s="20" t="n"/>
      <c r="J20" s="31">
        <f>IF(OR(Undirviðmið!$G$19&lt;&gt;"Starfsbundinn",I20="",E20="",D20=""),"",ROUND(I20/E20*D20*KVARDI,2))</f>
        <v/>
      </c>
      <c r="K20" s="20" t="n"/>
      <c r="L20" s="31">
        <f>IF(OR(Undirviðmið!$G$19&lt;&gt;"Starfsbundinn",K20="",E20="",D20=""),"",ROUND(K20/E20*D20*KVARDI,2))</f>
        <v/>
      </c>
      <c r="M20" s="20" t="n"/>
      <c r="N20" s="31">
        <f>IF(OR(Undirviðmið!$G$19&lt;&gt;"Starfsbundinn",M20="",E20="",D20=""),"",ROUND(M20/E20*D20*KVARDI,2))</f>
        <v/>
      </c>
      <c r="O20" s="20" t="n"/>
      <c r="P20" s="31">
        <f>IF(OR(Undirviðmið!$G$19&lt;&gt;"Starfsbundinn",O20="",E20="",D20=""),"",ROUND(O20/E20*D20*KVARDI,2))</f>
        <v/>
      </c>
      <c r="Q20" s="20" t="n"/>
      <c r="R20" s="31">
        <f>IF(OR(Undirviðmið!$G$19&lt;&gt;"Starfsbundinn",Q20="",E20="",D20=""),"",ROUND(Q20/E20*D20*KVARDI,2))</f>
        <v/>
      </c>
      <c r="S20" s="20" t="n"/>
      <c r="T20" s="31">
        <f>IF(OR(Undirviðmið!$G$19&lt;&gt;"Starfsbundinn",S20="",E20="",D20=""),"",ROUND(S20/E20*D20*KVARDI,2))</f>
        <v/>
      </c>
      <c r="U20" s="20" t="n"/>
      <c r="V20" s="31">
        <f>IF(OR(Undirviðmið!$G$19&lt;&gt;"Starfsbundinn",U20="",E20="",D20=""),"",ROUND(U20/E20*D20*KVARDI,2))</f>
        <v/>
      </c>
    </row>
    <row r="21">
      <c r="B21" s="21">
        <f>IF(Undirviðmið!$G$20="Starfsbundinn",Undirviðmið!$B$20,"")</f>
        <v/>
      </c>
      <c r="C21" s="21">
        <f>IF(Undirviðmið!$G$20="Starfsbundinn",Undirviðmið!$C$20,"")</f>
        <v/>
      </c>
      <c r="D21" s="30">
        <f>IF(Undirviðmið!$G$20="Starfsbundinn",Undirviðmið!$E$20,"")</f>
        <v/>
      </c>
      <c r="E21" s="30">
        <f>IF(Undirviðmið!$G$20="Starfsbundinn",Undirviðmið!$F$20,"")</f>
        <v/>
      </c>
      <c r="F21" s="30">
        <f>IF(Undirviðmið!$G$20="Starfsbundinn",IFERROR(Undirviðmið!$E$20*KVARDI,""),"")</f>
        <v/>
      </c>
      <c r="G21" s="20" t="n"/>
      <c r="H21" s="31">
        <f>IF(OR(Undirviðmið!$G$20&lt;&gt;"Starfsbundinn",G21="",E21="",D21=""),"",ROUND(G21/E21*D21*KVARDI,2))</f>
        <v/>
      </c>
      <c r="I21" s="20" t="n"/>
      <c r="J21" s="31">
        <f>IF(OR(Undirviðmið!$G$20&lt;&gt;"Starfsbundinn",I21="",E21="",D21=""),"",ROUND(I21/E21*D21*KVARDI,2))</f>
        <v/>
      </c>
      <c r="K21" s="20" t="n"/>
      <c r="L21" s="31">
        <f>IF(OR(Undirviðmið!$G$20&lt;&gt;"Starfsbundinn",K21="",E21="",D21=""),"",ROUND(K21/E21*D21*KVARDI,2))</f>
        <v/>
      </c>
      <c r="M21" s="20" t="n"/>
      <c r="N21" s="31">
        <f>IF(OR(Undirviðmið!$G$20&lt;&gt;"Starfsbundinn",M21="",E21="",D21=""),"",ROUND(M21/E21*D21*KVARDI,2))</f>
        <v/>
      </c>
      <c r="O21" s="20" t="n"/>
      <c r="P21" s="31">
        <f>IF(OR(Undirviðmið!$G$20&lt;&gt;"Starfsbundinn",O21="",E21="",D21=""),"",ROUND(O21/E21*D21*KVARDI,2))</f>
        <v/>
      </c>
      <c r="Q21" s="20" t="n"/>
      <c r="R21" s="31">
        <f>IF(OR(Undirviðmið!$G$20&lt;&gt;"Starfsbundinn",Q21="",E21="",D21=""),"",ROUND(Q21/E21*D21*KVARDI,2))</f>
        <v/>
      </c>
      <c r="S21" s="20" t="n"/>
      <c r="T21" s="31">
        <f>IF(OR(Undirviðmið!$G$20&lt;&gt;"Starfsbundinn",S21="",E21="",D21=""),"",ROUND(S21/E21*D21*KVARDI,2))</f>
        <v/>
      </c>
      <c r="U21" s="20" t="n"/>
      <c r="V21" s="31">
        <f>IF(OR(Undirviðmið!$G$20&lt;&gt;"Starfsbundinn",U21="",E21="",D21=""),"",ROUND(U21/E21*D21*KVARDI,2))</f>
        <v/>
      </c>
    </row>
    <row r="22">
      <c r="B22" s="21">
        <f>IF(Undirviðmið!$G$21="Starfsbundinn",Undirviðmið!$B$21,"")</f>
        <v/>
      </c>
      <c r="C22" s="21">
        <f>IF(Undirviðmið!$G$21="Starfsbundinn",Undirviðmið!$C$21,"")</f>
        <v/>
      </c>
      <c r="D22" s="30">
        <f>IF(Undirviðmið!$G$21="Starfsbundinn",Undirviðmið!$E$21,"")</f>
        <v/>
      </c>
      <c r="E22" s="30">
        <f>IF(Undirviðmið!$G$21="Starfsbundinn",Undirviðmið!$F$21,"")</f>
        <v/>
      </c>
      <c r="F22" s="30">
        <f>IF(Undirviðmið!$G$21="Starfsbundinn",IFERROR(Undirviðmið!$E$21*KVARDI,""),"")</f>
        <v/>
      </c>
      <c r="G22" s="20" t="n"/>
      <c r="H22" s="31">
        <f>IF(OR(Undirviðmið!$G$21&lt;&gt;"Starfsbundinn",G22="",E22="",D22=""),"",ROUND(G22/E22*D22*KVARDI,2))</f>
        <v/>
      </c>
      <c r="I22" s="20" t="n"/>
      <c r="J22" s="31">
        <f>IF(OR(Undirviðmið!$G$21&lt;&gt;"Starfsbundinn",I22="",E22="",D22=""),"",ROUND(I22/E22*D22*KVARDI,2))</f>
        <v/>
      </c>
      <c r="K22" s="20" t="n"/>
      <c r="L22" s="31">
        <f>IF(OR(Undirviðmið!$G$21&lt;&gt;"Starfsbundinn",K22="",E22="",D22=""),"",ROUND(K22/E22*D22*KVARDI,2))</f>
        <v/>
      </c>
      <c r="M22" s="20" t="n"/>
      <c r="N22" s="31">
        <f>IF(OR(Undirviðmið!$G$21&lt;&gt;"Starfsbundinn",M22="",E22="",D22=""),"",ROUND(M22/E22*D22*KVARDI,2))</f>
        <v/>
      </c>
      <c r="O22" s="20" t="n"/>
      <c r="P22" s="31">
        <f>IF(OR(Undirviðmið!$G$21&lt;&gt;"Starfsbundinn",O22="",E22="",D22=""),"",ROUND(O22/E22*D22*KVARDI,2))</f>
        <v/>
      </c>
      <c r="Q22" s="20" t="n"/>
      <c r="R22" s="31">
        <f>IF(OR(Undirviðmið!$G$21&lt;&gt;"Starfsbundinn",Q22="",E22="",D22=""),"",ROUND(Q22/E22*D22*KVARDI,2))</f>
        <v/>
      </c>
      <c r="S22" s="20" t="n"/>
      <c r="T22" s="31">
        <f>IF(OR(Undirviðmið!$G$21&lt;&gt;"Starfsbundinn",S22="",E22="",D22=""),"",ROUND(S22/E22*D22*KVARDI,2))</f>
        <v/>
      </c>
      <c r="U22" s="20" t="n"/>
      <c r="V22" s="31">
        <f>IF(OR(Undirviðmið!$G$21&lt;&gt;"Starfsbundinn",U22="",E22="",D22=""),"",ROUND(U22/E22*D22*KVARDI,2))</f>
        <v/>
      </c>
    </row>
    <row r="23">
      <c r="B23" s="21">
        <f>IF(Undirviðmið!$G$22="Starfsbundinn",Undirviðmið!$B$22,"")</f>
        <v/>
      </c>
      <c r="C23" s="21">
        <f>IF(Undirviðmið!$G$22="Starfsbundinn",Undirviðmið!$C$22,"")</f>
        <v/>
      </c>
      <c r="D23" s="30">
        <f>IF(Undirviðmið!$G$22="Starfsbundinn",Undirviðmið!$E$22,"")</f>
        <v/>
      </c>
      <c r="E23" s="30">
        <f>IF(Undirviðmið!$G$22="Starfsbundinn",Undirviðmið!$F$22,"")</f>
        <v/>
      </c>
      <c r="F23" s="30">
        <f>IF(Undirviðmið!$G$22="Starfsbundinn",IFERROR(Undirviðmið!$E$22*KVARDI,""),"")</f>
        <v/>
      </c>
      <c r="G23" s="20" t="n"/>
      <c r="H23" s="31">
        <f>IF(OR(Undirviðmið!$G$22&lt;&gt;"Starfsbundinn",G23="",E23="",D23=""),"",ROUND(G23/E23*D23*KVARDI,2))</f>
        <v/>
      </c>
      <c r="I23" s="20" t="n"/>
      <c r="J23" s="31">
        <f>IF(OR(Undirviðmið!$G$22&lt;&gt;"Starfsbundinn",I23="",E23="",D23=""),"",ROUND(I23/E23*D23*KVARDI,2))</f>
        <v/>
      </c>
      <c r="K23" s="20" t="n"/>
      <c r="L23" s="31">
        <f>IF(OR(Undirviðmið!$G$22&lt;&gt;"Starfsbundinn",K23="",E23="",D23=""),"",ROUND(K23/E23*D23*KVARDI,2))</f>
        <v/>
      </c>
      <c r="M23" s="20" t="n"/>
      <c r="N23" s="31">
        <f>IF(OR(Undirviðmið!$G$22&lt;&gt;"Starfsbundinn",M23="",E23="",D23=""),"",ROUND(M23/E23*D23*KVARDI,2))</f>
        <v/>
      </c>
      <c r="O23" s="20" t="n"/>
      <c r="P23" s="31">
        <f>IF(OR(Undirviðmið!$G$22&lt;&gt;"Starfsbundinn",O23="",E23="",D23=""),"",ROUND(O23/E23*D23*KVARDI,2))</f>
        <v/>
      </c>
      <c r="Q23" s="20" t="n"/>
      <c r="R23" s="31">
        <f>IF(OR(Undirviðmið!$G$22&lt;&gt;"Starfsbundinn",Q23="",E23="",D23=""),"",ROUND(Q23/E23*D23*KVARDI,2))</f>
        <v/>
      </c>
      <c r="S23" s="20" t="n"/>
      <c r="T23" s="31">
        <f>IF(OR(Undirviðmið!$G$22&lt;&gt;"Starfsbundinn",S23="",E23="",D23=""),"",ROUND(S23/E23*D23*KVARDI,2))</f>
        <v/>
      </c>
      <c r="U23" s="20" t="n"/>
      <c r="V23" s="31">
        <f>IF(OR(Undirviðmið!$G$22&lt;&gt;"Starfsbundinn",U23="",E23="",D23=""),"",ROUND(U23/E23*D23*KVARDI,2))</f>
        <v/>
      </c>
    </row>
    <row r="24">
      <c r="B24" s="21">
        <f>IF(Undirviðmið!$G$23="Starfsbundinn",Undirviðmið!$B$23,"")</f>
        <v/>
      </c>
      <c r="C24" s="21">
        <f>IF(Undirviðmið!$G$23="Starfsbundinn",Undirviðmið!$C$23,"")</f>
        <v/>
      </c>
      <c r="D24" s="30">
        <f>IF(Undirviðmið!$G$23="Starfsbundinn",Undirviðmið!$E$23,"")</f>
        <v/>
      </c>
      <c r="E24" s="30">
        <f>IF(Undirviðmið!$G$23="Starfsbundinn",Undirviðmið!$F$23,"")</f>
        <v/>
      </c>
      <c r="F24" s="30">
        <f>IF(Undirviðmið!$G$23="Starfsbundinn",IFERROR(Undirviðmið!$E$23*KVARDI,""),"")</f>
        <v/>
      </c>
      <c r="G24" s="20" t="n"/>
      <c r="H24" s="31">
        <f>IF(OR(Undirviðmið!$G$23&lt;&gt;"Starfsbundinn",G24="",E24="",D24=""),"",ROUND(G24/E24*D24*KVARDI,2))</f>
        <v/>
      </c>
      <c r="I24" s="20" t="n"/>
      <c r="J24" s="31">
        <f>IF(OR(Undirviðmið!$G$23&lt;&gt;"Starfsbundinn",I24="",E24="",D24=""),"",ROUND(I24/E24*D24*KVARDI,2))</f>
        <v/>
      </c>
      <c r="K24" s="20" t="n"/>
      <c r="L24" s="31">
        <f>IF(OR(Undirviðmið!$G$23&lt;&gt;"Starfsbundinn",K24="",E24="",D24=""),"",ROUND(K24/E24*D24*KVARDI,2))</f>
        <v/>
      </c>
      <c r="M24" s="20" t="n"/>
      <c r="N24" s="31">
        <f>IF(OR(Undirviðmið!$G$23&lt;&gt;"Starfsbundinn",M24="",E24="",D24=""),"",ROUND(M24/E24*D24*KVARDI,2))</f>
        <v/>
      </c>
      <c r="O24" s="20" t="n"/>
      <c r="P24" s="31">
        <f>IF(OR(Undirviðmið!$G$23&lt;&gt;"Starfsbundinn",O24="",E24="",D24=""),"",ROUND(O24/E24*D24*KVARDI,2))</f>
        <v/>
      </c>
      <c r="Q24" s="20" t="n"/>
      <c r="R24" s="31">
        <f>IF(OR(Undirviðmið!$G$23&lt;&gt;"Starfsbundinn",Q24="",E24="",D24=""),"",ROUND(Q24/E24*D24*KVARDI,2))</f>
        <v/>
      </c>
      <c r="S24" s="20" t="n"/>
      <c r="T24" s="31">
        <f>IF(OR(Undirviðmið!$G$23&lt;&gt;"Starfsbundinn",S24="",E24="",D24=""),"",ROUND(S24/E24*D24*KVARDI,2))</f>
        <v/>
      </c>
      <c r="U24" s="20" t="n"/>
      <c r="V24" s="31">
        <f>IF(OR(Undirviðmið!$G$23&lt;&gt;"Starfsbundinn",U24="",E24="",D24=""),"",ROUND(U24/E24*D24*KVARDI,2))</f>
        <v/>
      </c>
    </row>
    <row r="25">
      <c r="B25" s="21">
        <f>IF(Undirviðmið!$G$24="Starfsbundinn",Undirviðmið!$B$24,"")</f>
        <v/>
      </c>
      <c r="C25" s="21">
        <f>IF(Undirviðmið!$G$24="Starfsbundinn",Undirviðmið!$C$24,"")</f>
        <v/>
      </c>
      <c r="D25" s="30">
        <f>IF(Undirviðmið!$G$24="Starfsbundinn",Undirviðmið!$E$24,"")</f>
        <v/>
      </c>
      <c r="E25" s="30">
        <f>IF(Undirviðmið!$G$24="Starfsbundinn",Undirviðmið!$F$24,"")</f>
        <v/>
      </c>
      <c r="F25" s="30">
        <f>IF(Undirviðmið!$G$24="Starfsbundinn",IFERROR(Undirviðmið!$E$24*KVARDI,""),"")</f>
        <v/>
      </c>
      <c r="G25" s="20" t="n"/>
      <c r="H25" s="31">
        <f>IF(OR(Undirviðmið!$G$24&lt;&gt;"Starfsbundinn",G25="",E25="",D25=""),"",ROUND(G25/E25*D25*KVARDI,2))</f>
        <v/>
      </c>
      <c r="I25" s="20" t="n"/>
      <c r="J25" s="31">
        <f>IF(OR(Undirviðmið!$G$24&lt;&gt;"Starfsbundinn",I25="",E25="",D25=""),"",ROUND(I25/E25*D25*KVARDI,2))</f>
        <v/>
      </c>
      <c r="K25" s="20" t="n"/>
      <c r="L25" s="31">
        <f>IF(OR(Undirviðmið!$G$24&lt;&gt;"Starfsbundinn",K25="",E25="",D25=""),"",ROUND(K25/E25*D25*KVARDI,2))</f>
        <v/>
      </c>
      <c r="M25" s="20" t="n"/>
      <c r="N25" s="31">
        <f>IF(OR(Undirviðmið!$G$24&lt;&gt;"Starfsbundinn",M25="",E25="",D25=""),"",ROUND(M25/E25*D25*KVARDI,2))</f>
        <v/>
      </c>
      <c r="O25" s="20" t="n"/>
      <c r="P25" s="31">
        <f>IF(OR(Undirviðmið!$G$24&lt;&gt;"Starfsbundinn",O25="",E25="",D25=""),"",ROUND(O25/E25*D25*KVARDI,2))</f>
        <v/>
      </c>
      <c r="Q25" s="20" t="n"/>
      <c r="R25" s="31">
        <f>IF(OR(Undirviðmið!$G$24&lt;&gt;"Starfsbundinn",Q25="",E25="",D25=""),"",ROUND(Q25/E25*D25*KVARDI,2))</f>
        <v/>
      </c>
      <c r="S25" s="20" t="n"/>
      <c r="T25" s="31">
        <f>IF(OR(Undirviðmið!$G$24&lt;&gt;"Starfsbundinn",S25="",E25="",D25=""),"",ROUND(S25/E25*D25*KVARDI,2))</f>
        <v/>
      </c>
      <c r="U25" s="20" t="n"/>
      <c r="V25" s="31">
        <f>IF(OR(Undirviðmið!$G$24&lt;&gt;"Starfsbundinn",U25="",E25="",D25=""),"",ROUND(U25/E25*D25*KVARDI,2))</f>
        <v/>
      </c>
    </row>
    <row r="26">
      <c r="B26" s="21">
        <f>IF(Undirviðmið!$G$25="Starfsbundinn",Undirviðmið!$B$25,"")</f>
        <v/>
      </c>
      <c r="C26" s="21">
        <f>IF(Undirviðmið!$G$25="Starfsbundinn",Undirviðmið!$C$25,"")</f>
        <v/>
      </c>
      <c r="D26" s="30">
        <f>IF(Undirviðmið!$G$25="Starfsbundinn",Undirviðmið!$E$25,"")</f>
        <v/>
      </c>
      <c r="E26" s="30">
        <f>IF(Undirviðmið!$G$25="Starfsbundinn",Undirviðmið!$F$25,"")</f>
        <v/>
      </c>
      <c r="F26" s="30">
        <f>IF(Undirviðmið!$G$25="Starfsbundinn",IFERROR(Undirviðmið!$E$25*KVARDI,""),"")</f>
        <v/>
      </c>
      <c r="G26" s="20" t="n"/>
      <c r="H26" s="31">
        <f>IF(OR(Undirviðmið!$G$25&lt;&gt;"Starfsbundinn",G26="",E26="",D26=""),"",ROUND(G26/E26*D26*KVARDI,2))</f>
        <v/>
      </c>
      <c r="I26" s="20" t="n"/>
      <c r="J26" s="31">
        <f>IF(OR(Undirviðmið!$G$25&lt;&gt;"Starfsbundinn",I26="",E26="",D26=""),"",ROUND(I26/E26*D26*KVARDI,2))</f>
        <v/>
      </c>
      <c r="K26" s="20" t="n"/>
      <c r="L26" s="31">
        <f>IF(OR(Undirviðmið!$G$25&lt;&gt;"Starfsbundinn",K26="",E26="",D26=""),"",ROUND(K26/E26*D26*KVARDI,2))</f>
        <v/>
      </c>
      <c r="M26" s="20" t="n"/>
      <c r="N26" s="31">
        <f>IF(OR(Undirviðmið!$G$25&lt;&gt;"Starfsbundinn",M26="",E26="",D26=""),"",ROUND(M26/E26*D26*KVARDI,2))</f>
        <v/>
      </c>
      <c r="O26" s="20" t="n"/>
      <c r="P26" s="31">
        <f>IF(OR(Undirviðmið!$G$25&lt;&gt;"Starfsbundinn",O26="",E26="",D26=""),"",ROUND(O26/E26*D26*KVARDI,2))</f>
        <v/>
      </c>
      <c r="Q26" s="20" t="n"/>
      <c r="R26" s="31">
        <f>IF(OR(Undirviðmið!$G$25&lt;&gt;"Starfsbundinn",Q26="",E26="",D26=""),"",ROUND(Q26/E26*D26*KVARDI,2))</f>
        <v/>
      </c>
      <c r="S26" s="20" t="n"/>
      <c r="T26" s="31">
        <f>IF(OR(Undirviðmið!$G$25&lt;&gt;"Starfsbundinn",S26="",E26="",D26=""),"",ROUND(S26/E26*D26*KVARDI,2))</f>
        <v/>
      </c>
      <c r="U26" s="20" t="n"/>
      <c r="V26" s="31">
        <f>IF(OR(Undirviðmið!$G$25&lt;&gt;"Starfsbundinn",U26="",E26="",D26=""),"",ROUND(U26/E26*D26*KVARDI,2))</f>
        <v/>
      </c>
    </row>
    <row r="27">
      <c r="B27" s="21">
        <f>IF(Undirviðmið!$G$26="Starfsbundinn",Undirviðmið!$B$26,"")</f>
        <v/>
      </c>
      <c r="C27" s="21">
        <f>IF(Undirviðmið!$G$26="Starfsbundinn",Undirviðmið!$C$26,"")</f>
        <v/>
      </c>
      <c r="D27" s="30">
        <f>IF(Undirviðmið!$G$26="Starfsbundinn",Undirviðmið!$E$26,"")</f>
        <v/>
      </c>
      <c r="E27" s="30">
        <f>IF(Undirviðmið!$G$26="Starfsbundinn",Undirviðmið!$F$26,"")</f>
        <v/>
      </c>
      <c r="F27" s="30">
        <f>IF(Undirviðmið!$G$26="Starfsbundinn",IFERROR(Undirviðmið!$E$26*KVARDI,""),"")</f>
        <v/>
      </c>
      <c r="G27" s="20" t="n"/>
      <c r="H27" s="31">
        <f>IF(OR(Undirviðmið!$G$26&lt;&gt;"Starfsbundinn",G27="",E27="",D27=""),"",ROUND(G27/E27*D27*KVARDI,2))</f>
        <v/>
      </c>
      <c r="I27" s="20" t="n"/>
      <c r="J27" s="31">
        <f>IF(OR(Undirviðmið!$G$26&lt;&gt;"Starfsbundinn",I27="",E27="",D27=""),"",ROUND(I27/E27*D27*KVARDI,2))</f>
        <v/>
      </c>
      <c r="K27" s="20" t="n"/>
      <c r="L27" s="31">
        <f>IF(OR(Undirviðmið!$G$26&lt;&gt;"Starfsbundinn",K27="",E27="",D27=""),"",ROUND(K27/E27*D27*KVARDI,2))</f>
        <v/>
      </c>
      <c r="M27" s="20" t="n"/>
      <c r="N27" s="31">
        <f>IF(OR(Undirviðmið!$G$26&lt;&gt;"Starfsbundinn",M27="",E27="",D27=""),"",ROUND(M27/E27*D27*KVARDI,2))</f>
        <v/>
      </c>
      <c r="O27" s="20" t="n"/>
      <c r="P27" s="31">
        <f>IF(OR(Undirviðmið!$G$26&lt;&gt;"Starfsbundinn",O27="",E27="",D27=""),"",ROUND(O27/E27*D27*KVARDI,2))</f>
        <v/>
      </c>
      <c r="Q27" s="20" t="n"/>
      <c r="R27" s="31">
        <f>IF(OR(Undirviðmið!$G$26&lt;&gt;"Starfsbundinn",Q27="",E27="",D27=""),"",ROUND(Q27/E27*D27*KVARDI,2))</f>
        <v/>
      </c>
      <c r="S27" s="20" t="n"/>
      <c r="T27" s="31">
        <f>IF(OR(Undirviðmið!$G$26&lt;&gt;"Starfsbundinn",S27="",E27="",D27=""),"",ROUND(S27/E27*D27*KVARDI,2))</f>
        <v/>
      </c>
      <c r="U27" s="20" t="n"/>
      <c r="V27" s="31">
        <f>IF(OR(Undirviðmið!$G$26&lt;&gt;"Starfsbundinn",U27="",E27="",D27=""),"",ROUND(U27/E27*D27*KVARDI,2))</f>
        <v/>
      </c>
    </row>
    <row r="28">
      <c r="B28" s="21">
        <f>IF(Undirviðmið!$G$27="Starfsbundinn",Undirviðmið!$B$27,"")</f>
        <v/>
      </c>
      <c r="C28" s="21">
        <f>IF(Undirviðmið!$G$27="Starfsbundinn",Undirviðmið!$C$27,"")</f>
        <v/>
      </c>
      <c r="D28" s="30">
        <f>IF(Undirviðmið!$G$27="Starfsbundinn",Undirviðmið!$E$27,"")</f>
        <v/>
      </c>
      <c r="E28" s="30">
        <f>IF(Undirviðmið!$G$27="Starfsbundinn",Undirviðmið!$F$27,"")</f>
        <v/>
      </c>
      <c r="F28" s="30">
        <f>IF(Undirviðmið!$G$27="Starfsbundinn",IFERROR(Undirviðmið!$E$27*KVARDI,""),"")</f>
        <v/>
      </c>
      <c r="G28" s="20" t="n"/>
      <c r="H28" s="31">
        <f>IF(OR(Undirviðmið!$G$27&lt;&gt;"Starfsbundinn",G28="",E28="",D28=""),"",ROUND(G28/E28*D28*KVARDI,2))</f>
        <v/>
      </c>
      <c r="I28" s="20" t="n"/>
      <c r="J28" s="31">
        <f>IF(OR(Undirviðmið!$G$27&lt;&gt;"Starfsbundinn",I28="",E28="",D28=""),"",ROUND(I28/E28*D28*KVARDI,2))</f>
        <v/>
      </c>
      <c r="K28" s="20" t="n"/>
      <c r="L28" s="31">
        <f>IF(OR(Undirviðmið!$G$27&lt;&gt;"Starfsbundinn",K28="",E28="",D28=""),"",ROUND(K28/E28*D28*KVARDI,2))</f>
        <v/>
      </c>
      <c r="M28" s="20" t="n"/>
      <c r="N28" s="31">
        <f>IF(OR(Undirviðmið!$G$27&lt;&gt;"Starfsbundinn",M28="",E28="",D28=""),"",ROUND(M28/E28*D28*KVARDI,2))</f>
        <v/>
      </c>
      <c r="O28" s="20" t="n"/>
      <c r="P28" s="31">
        <f>IF(OR(Undirviðmið!$G$27&lt;&gt;"Starfsbundinn",O28="",E28="",D28=""),"",ROUND(O28/E28*D28*KVARDI,2))</f>
        <v/>
      </c>
      <c r="Q28" s="20" t="n"/>
      <c r="R28" s="31">
        <f>IF(OR(Undirviðmið!$G$27&lt;&gt;"Starfsbundinn",Q28="",E28="",D28=""),"",ROUND(Q28/E28*D28*KVARDI,2))</f>
        <v/>
      </c>
      <c r="S28" s="20" t="n"/>
      <c r="T28" s="31">
        <f>IF(OR(Undirviðmið!$G$27&lt;&gt;"Starfsbundinn",S28="",E28="",D28=""),"",ROUND(S28/E28*D28*KVARDI,2))</f>
        <v/>
      </c>
      <c r="U28" s="20" t="n"/>
      <c r="V28" s="31">
        <f>IF(OR(Undirviðmið!$G$27&lt;&gt;"Starfsbundinn",U28="",E28="",D28=""),"",ROUND(U28/E28*D28*KVARDI,2))</f>
        <v/>
      </c>
    </row>
    <row r="29">
      <c r="B29" s="21">
        <f>IF(Undirviðmið!$G$28="Starfsbundinn",Undirviðmið!$B$28,"")</f>
        <v/>
      </c>
      <c r="C29" s="21">
        <f>IF(Undirviðmið!$G$28="Starfsbundinn",Undirviðmið!$C$28,"")</f>
        <v/>
      </c>
      <c r="D29" s="30">
        <f>IF(Undirviðmið!$G$28="Starfsbundinn",Undirviðmið!$E$28,"")</f>
        <v/>
      </c>
      <c r="E29" s="30">
        <f>IF(Undirviðmið!$G$28="Starfsbundinn",Undirviðmið!$F$28,"")</f>
        <v/>
      </c>
      <c r="F29" s="30">
        <f>IF(Undirviðmið!$G$28="Starfsbundinn",IFERROR(Undirviðmið!$E$28*KVARDI,""),"")</f>
        <v/>
      </c>
      <c r="G29" s="20" t="n"/>
      <c r="H29" s="31">
        <f>IF(OR(Undirviðmið!$G$28&lt;&gt;"Starfsbundinn",G29="",E29="",D29=""),"",ROUND(G29/E29*D29*KVARDI,2))</f>
        <v/>
      </c>
      <c r="I29" s="20" t="n"/>
      <c r="J29" s="31">
        <f>IF(OR(Undirviðmið!$G$28&lt;&gt;"Starfsbundinn",I29="",E29="",D29=""),"",ROUND(I29/E29*D29*KVARDI,2))</f>
        <v/>
      </c>
      <c r="K29" s="20" t="n"/>
      <c r="L29" s="31">
        <f>IF(OR(Undirviðmið!$G$28&lt;&gt;"Starfsbundinn",K29="",E29="",D29=""),"",ROUND(K29/E29*D29*KVARDI,2))</f>
        <v/>
      </c>
      <c r="M29" s="20" t="n"/>
      <c r="N29" s="31">
        <f>IF(OR(Undirviðmið!$G$28&lt;&gt;"Starfsbundinn",M29="",E29="",D29=""),"",ROUND(M29/E29*D29*KVARDI,2))</f>
        <v/>
      </c>
      <c r="O29" s="20" t="n"/>
      <c r="P29" s="31">
        <f>IF(OR(Undirviðmið!$G$28&lt;&gt;"Starfsbundinn",O29="",E29="",D29=""),"",ROUND(O29/E29*D29*KVARDI,2))</f>
        <v/>
      </c>
      <c r="Q29" s="20" t="n"/>
      <c r="R29" s="31">
        <f>IF(OR(Undirviðmið!$G$28&lt;&gt;"Starfsbundinn",Q29="",E29="",D29=""),"",ROUND(Q29/E29*D29*KVARDI,2))</f>
        <v/>
      </c>
      <c r="S29" s="20" t="n"/>
      <c r="T29" s="31">
        <f>IF(OR(Undirviðmið!$G$28&lt;&gt;"Starfsbundinn",S29="",E29="",D29=""),"",ROUND(S29/E29*D29*KVARDI,2))</f>
        <v/>
      </c>
      <c r="U29" s="20" t="n"/>
      <c r="V29" s="31">
        <f>IF(OR(Undirviðmið!$G$28&lt;&gt;"Starfsbundinn",U29="",E29="",D29=""),"",ROUND(U29/E29*D29*KVARDI,2))</f>
        <v/>
      </c>
    </row>
    <row r="30">
      <c r="B30" s="21">
        <f>IF(Undirviðmið!$G$29="Starfsbundinn",Undirviðmið!$B$29,"")</f>
        <v/>
      </c>
      <c r="C30" s="21">
        <f>IF(Undirviðmið!$G$29="Starfsbundinn",Undirviðmið!$C$29,"")</f>
        <v/>
      </c>
      <c r="D30" s="30">
        <f>IF(Undirviðmið!$G$29="Starfsbundinn",Undirviðmið!$E$29,"")</f>
        <v/>
      </c>
      <c r="E30" s="30">
        <f>IF(Undirviðmið!$G$29="Starfsbundinn",Undirviðmið!$F$29,"")</f>
        <v/>
      </c>
      <c r="F30" s="30">
        <f>IF(Undirviðmið!$G$29="Starfsbundinn",IFERROR(Undirviðmið!$E$29*KVARDI,""),"")</f>
        <v/>
      </c>
      <c r="G30" s="20" t="n"/>
      <c r="H30" s="31">
        <f>IF(OR(Undirviðmið!$G$29&lt;&gt;"Starfsbundinn",G30="",E30="",D30=""),"",ROUND(G30/E30*D30*KVARDI,2))</f>
        <v/>
      </c>
      <c r="I30" s="20" t="n"/>
      <c r="J30" s="31">
        <f>IF(OR(Undirviðmið!$G$29&lt;&gt;"Starfsbundinn",I30="",E30="",D30=""),"",ROUND(I30/E30*D30*KVARDI,2))</f>
        <v/>
      </c>
      <c r="K30" s="20" t="n"/>
      <c r="L30" s="31">
        <f>IF(OR(Undirviðmið!$G$29&lt;&gt;"Starfsbundinn",K30="",E30="",D30=""),"",ROUND(K30/E30*D30*KVARDI,2))</f>
        <v/>
      </c>
      <c r="M30" s="20" t="n"/>
      <c r="N30" s="31">
        <f>IF(OR(Undirviðmið!$G$29&lt;&gt;"Starfsbundinn",M30="",E30="",D30=""),"",ROUND(M30/E30*D30*KVARDI,2))</f>
        <v/>
      </c>
      <c r="O30" s="20" t="n"/>
      <c r="P30" s="31">
        <f>IF(OR(Undirviðmið!$G$29&lt;&gt;"Starfsbundinn",O30="",E30="",D30=""),"",ROUND(O30/E30*D30*KVARDI,2))</f>
        <v/>
      </c>
      <c r="Q30" s="20" t="n"/>
      <c r="R30" s="31">
        <f>IF(OR(Undirviðmið!$G$29&lt;&gt;"Starfsbundinn",Q30="",E30="",D30=""),"",ROUND(Q30/E30*D30*KVARDI,2))</f>
        <v/>
      </c>
      <c r="S30" s="20" t="n"/>
      <c r="T30" s="31">
        <f>IF(OR(Undirviðmið!$G$29&lt;&gt;"Starfsbundinn",S30="",E30="",D30=""),"",ROUND(S30/E30*D30*KVARDI,2))</f>
        <v/>
      </c>
      <c r="U30" s="20" t="n"/>
      <c r="V30" s="31">
        <f>IF(OR(Undirviðmið!$G$29&lt;&gt;"Starfsbundinn",U30="",E30="",D30=""),"",ROUND(U30/E30*D30*KVARDI,2))</f>
        <v/>
      </c>
    </row>
    <row r="31">
      <c r="B31" s="21">
        <f>IF(Undirviðmið!$G$30="Starfsbundinn",Undirviðmið!$B$30,"")</f>
        <v/>
      </c>
      <c r="C31" s="21">
        <f>IF(Undirviðmið!$G$30="Starfsbundinn",Undirviðmið!$C$30,"")</f>
        <v/>
      </c>
      <c r="D31" s="30">
        <f>IF(Undirviðmið!$G$30="Starfsbundinn",Undirviðmið!$E$30,"")</f>
        <v/>
      </c>
      <c r="E31" s="30">
        <f>IF(Undirviðmið!$G$30="Starfsbundinn",Undirviðmið!$F$30,"")</f>
        <v/>
      </c>
      <c r="F31" s="30">
        <f>IF(Undirviðmið!$G$30="Starfsbundinn",IFERROR(Undirviðmið!$E$30*KVARDI,""),"")</f>
        <v/>
      </c>
      <c r="G31" s="20" t="n"/>
      <c r="H31" s="31">
        <f>IF(OR(Undirviðmið!$G$30&lt;&gt;"Starfsbundinn",G31="",E31="",D31=""),"",ROUND(G31/E31*D31*KVARDI,2))</f>
        <v/>
      </c>
      <c r="I31" s="20" t="n"/>
      <c r="J31" s="31">
        <f>IF(OR(Undirviðmið!$G$30&lt;&gt;"Starfsbundinn",I31="",E31="",D31=""),"",ROUND(I31/E31*D31*KVARDI,2))</f>
        <v/>
      </c>
      <c r="K31" s="20" t="n"/>
      <c r="L31" s="31">
        <f>IF(OR(Undirviðmið!$G$30&lt;&gt;"Starfsbundinn",K31="",E31="",D31=""),"",ROUND(K31/E31*D31*KVARDI,2))</f>
        <v/>
      </c>
      <c r="M31" s="20" t="n"/>
      <c r="N31" s="31">
        <f>IF(OR(Undirviðmið!$G$30&lt;&gt;"Starfsbundinn",M31="",E31="",D31=""),"",ROUND(M31/E31*D31*KVARDI,2))</f>
        <v/>
      </c>
      <c r="O31" s="20" t="n"/>
      <c r="P31" s="31">
        <f>IF(OR(Undirviðmið!$G$30&lt;&gt;"Starfsbundinn",O31="",E31="",D31=""),"",ROUND(O31/E31*D31*KVARDI,2))</f>
        <v/>
      </c>
      <c r="Q31" s="20" t="n"/>
      <c r="R31" s="31">
        <f>IF(OR(Undirviðmið!$G$30&lt;&gt;"Starfsbundinn",Q31="",E31="",D31=""),"",ROUND(Q31/E31*D31*KVARDI,2))</f>
        <v/>
      </c>
      <c r="S31" s="20" t="n"/>
      <c r="T31" s="31">
        <f>IF(OR(Undirviðmið!$G$30&lt;&gt;"Starfsbundinn",S31="",E31="",D31=""),"",ROUND(S31/E31*D31*KVARDI,2))</f>
        <v/>
      </c>
      <c r="U31" s="20" t="n"/>
      <c r="V31" s="31">
        <f>IF(OR(Undirviðmið!$G$30&lt;&gt;"Starfsbundinn",U31="",E31="",D31=""),"",ROUND(U31/E31*D31*KVARDI,2))</f>
        <v/>
      </c>
    </row>
    <row r="32">
      <c r="B32" s="21">
        <f>IF(Undirviðmið!$G$31="Starfsbundinn",Undirviðmið!$B$31,"")</f>
        <v/>
      </c>
      <c r="C32" s="21">
        <f>IF(Undirviðmið!$G$31="Starfsbundinn",Undirviðmið!$C$31,"")</f>
        <v/>
      </c>
      <c r="D32" s="30">
        <f>IF(Undirviðmið!$G$31="Starfsbundinn",Undirviðmið!$E$31,"")</f>
        <v/>
      </c>
      <c r="E32" s="30">
        <f>IF(Undirviðmið!$G$31="Starfsbundinn",Undirviðmið!$F$31,"")</f>
        <v/>
      </c>
      <c r="F32" s="30">
        <f>IF(Undirviðmið!$G$31="Starfsbundinn",IFERROR(Undirviðmið!$E$31*KVARDI,""),"")</f>
        <v/>
      </c>
      <c r="G32" s="20" t="n"/>
      <c r="H32" s="31">
        <f>IF(OR(Undirviðmið!$G$31&lt;&gt;"Starfsbundinn",G32="",E32="",D32=""),"",ROUND(G32/E32*D32*KVARDI,2))</f>
        <v/>
      </c>
      <c r="I32" s="20" t="n"/>
      <c r="J32" s="31">
        <f>IF(OR(Undirviðmið!$G$31&lt;&gt;"Starfsbundinn",I32="",E32="",D32=""),"",ROUND(I32/E32*D32*KVARDI,2))</f>
        <v/>
      </c>
      <c r="K32" s="20" t="n"/>
      <c r="L32" s="31">
        <f>IF(OR(Undirviðmið!$G$31&lt;&gt;"Starfsbundinn",K32="",E32="",D32=""),"",ROUND(K32/E32*D32*KVARDI,2))</f>
        <v/>
      </c>
      <c r="M32" s="20" t="n"/>
      <c r="N32" s="31">
        <f>IF(OR(Undirviðmið!$G$31&lt;&gt;"Starfsbundinn",M32="",E32="",D32=""),"",ROUND(M32/E32*D32*KVARDI,2))</f>
        <v/>
      </c>
      <c r="O32" s="20" t="n"/>
      <c r="P32" s="31">
        <f>IF(OR(Undirviðmið!$G$31&lt;&gt;"Starfsbundinn",O32="",E32="",D32=""),"",ROUND(O32/E32*D32*KVARDI,2))</f>
        <v/>
      </c>
      <c r="Q32" s="20" t="n"/>
      <c r="R32" s="31">
        <f>IF(OR(Undirviðmið!$G$31&lt;&gt;"Starfsbundinn",Q32="",E32="",D32=""),"",ROUND(Q32/E32*D32*KVARDI,2))</f>
        <v/>
      </c>
      <c r="S32" s="20" t="n"/>
      <c r="T32" s="31">
        <f>IF(OR(Undirviðmið!$G$31&lt;&gt;"Starfsbundinn",S32="",E32="",D32=""),"",ROUND(S32/E32*D32*KVARDI,2))</f>
        <v/>
      </c>
      <c r="U32" s="20" t="n"/>
      <c r="V32" s="31">
        <f>IF(OR(Undirviðmið!$G$31&lt;&gt;"Starfsbundinn",U32="",E32="",D32=""),"",ROUND(U32/E32*D32*KVARDI,2))</f>
        <v/>
      </c>
    </row>
    <row r="33">
      <c r="B33" s="21">
        <f>IF(Undirviðmið!$G$32="Starfsbundinn",Undirviðmið!$B$32,"")</f>
        <v/>
      </c>
      <c r="C33" s="21">
        <f>IF(Undirviðmið!$G$32="Starfsbundinn",Undirviðmið!$C$32,"")</f>
        <v/>
      </c>
      <c r="D33" s="30">
        <f>IF(Undirviðmið!$G$32="Starfsbundinn",Undirviðmið!$E$32,"")</f>
        <v/>
      </c>
      <c r="E33" s="30">
        <f>IF(Undirviðmið!$G$32="Starfsbundinn",Undirviðmið!$F$32,"")</f>
        <v/>
      </c>
      <c r="F33" s="30">
        <f>IF(Undirviðmið!$G$32="Starfsbundinn",IFERROR(Undirviðmið!$E$32*KVARDI,""),"")</f>
        <v/>
      </c>
      <c r="G33" s="20" t="n"/>
      <c r="H33" s="31">
        <f>IF(OR(Undirviðmið!$G$32&lt;&gt;"Starfsbundinn",G33="",E33="",D33=""),"",ROUND(G33/E33*D33*KVARDI,2))</f>
        <v/>
      </c>
      <c r="I33" s="20" t="n"/>
      <c r="J33" s="31">
        <f>IF(OR(Undirviðmið!$G$32&lt;&gt;"Starfsbundinn",I33="",E33="",D33=""),"",ROUND(I33/E33*D33*KVARDI,2))</f>
        <v/>
      </c>
      <c r="K33" s="20" t="n"/>
      <c r="L33" s="31">
        <f>IF(OR(Undirviðmið!$G$32&lt;&gt;"Starfsbundinn",K33="",E33="",D33=""),"",ROUND(K33/E33*D33*KVARDI,2))</f>
        <v/>
      </c>
      <c r="M33" s="20" t="n"/>
      <c r="N33" s="31">
        <f>IF(OR(Undirviðmið!$G$32&lt;&gt;"Starfsbundinn",M33="",E33="",D33=""),"",ROUND(M33/E33*D33*KVARDI,2))</f>
        <v/>
      </c>
      <c r="O33" s="20" t="n"/>
      <c r="P33" s="31">
        <f>IF(OR(Undirviðmið!$G$32&lt;&gt;"Starfsbundinn",O33="",E33="",D33=""),"",ROUND(O33/E33*D33*KVARDI,2))</f>
        <v/>
      </c>
      <c r="Q33" s="20" t="n"/>
      <c r="R33" s="31">
        <f>IF(OR(Undirviðmið!$G$32&lt;&gt;"Starfsbundinn",Q33="",E33="",D33=""),"",ROUND(Q33/E33*D33*KVARDI,2))</f>
        <v/>
      </c>
      <c r="S33" s="20" t="n"/>
      <c r="T33" s="31">
        <f>IF(OR(Undirviðmið!$G$32&lt;&gt;"Starfsbundinn",S33="",E33="",D33=""),"",ROUND(S33/E33*D33*KVARDI,2))</f>
        <v/>
      </c>
      <c r="U33" s="20" t="n"/>
      <c r="V33" s="31">
        <f>IF(OR(Undirviðmið!$G$32&lt;&gt;"Starfsbundinn",U33="",E33="",D33=""),"",ROUND(U33/E33*D33*KVARDI,2))</f>
        <v/>
      </c>
    </row>
    <row r="34">
      <c r="B34" s="21">
        <f>IF(Undirviðmið!$G$33="Starfsbundinn",Undirviðmið!$B$33,"")</f>
        <v/>
      </c>
      <c r="C34" s="21">
        <f>IF(Undirviðmið!$G$33="Starfsbundinn",Undirviðmið!$C$33,"")</f>
        <v/>
      </c>
      <c r="D34" s="30">
        <f>IF(Undirviðmið!$G$33="Starfsbundinn",Undirviðmið!$E$33,"")</f>
        <v/>
      </c>
      <c r="E34" s="30">
        <f>IF(Undirviðmið!$G$33="Starfsbundinn",Undirviðmið!$F$33,"")</f>
        <v/>
      </c>
      <c r="F34" s="30">
        <f>IF(Undirviðmið!$G$33="Starfsbundinn",IFERROR(Undirviðmið!$E$33*KVARDI,""),"")</f>
        <v/>
      </c>
      <c r="G34" s="20" t="n"/>
      <c r="H34" s="31">
        <f>IF(OR(Undirviðmið!$G$33&lt;&gt;"Starfsbundinn",G34="",E34="",D34=""),"",ROUND(G34/E34*D34*KVARDI,2))</f>
        <v/>
      </c>
      <c r="I34" s="20" t="n"/>
      <c r="J34" s="31">
        <f>IF(OR(Undirviðmið!$G$33&lt;&gt;"Starfsbundinn",I34="",E34="",D34=""),"",ROUND(I34/E34*D34*KVARDI,2))</f>
        <v/>
      </c>
      <c r="K34" s="20" t="n"/>
      <c r="L34" s="31">
        <f>IF(OR(Undirviðmið!$G$33&lt;&gt;"Starfsbundinn",K34="",E34="",D34=""),"",ROUND(K34/E34*D34*KVARDI,2))</f>
        <v/>
      </c>
      <c r="M34" s="20" t="n"/>
      <c r="N34" s="31">
        <f>IF(OR(Undirviðmið!$G$33&lt;&gt;"Starfsbundinn",M34="",E34="",D34=""),"",ROUND(M34/E34*D34*KVARDI,2))</f>
        <v/>
      </c>
      <c r="O34" s="20" t="n"/>
      <c r="P34" s="31">
        <f>IF(OR(Undirviðmið!$G$33&lt;&gt;"Starfsbundinn",O34="",E34="",D34=""),"",ROUND(O34/E34*D34*KVARDI,2))</f>
        <v/>
      </c>
      <c r="Q34" s="20" t="n"/>
      <c r="R34" s="31">
        <f>IF(OR(Undirviðmið!$G$33&lt;&gt;"Starfsbundinn",Q34="",E34="",D34=""),"",ROUND(Q34/E34*D34*KVARDI,2))</f>
        <v/>
      </c>
      <c r="S34" s="20" t="n"/>
      <c r="T34" s="31">
        <f>IF(OR(Undirviðmið!$G$33&lt;&gt;"Starfsbundinn",S34="",E34="",D34=""),"",ROUND(S34/E34*D34*KVARDI,2))</f>
        <v/>
      </c>
      <c r="U34" s="20" t="n"/>
      <c r="V34" s="31">
        <f>IF(OR(Undirviðmið!$G$33&lt;&gt;"Starfsbundinn",U34="",E34="",D34=""),"",ROUND(U34/E34*D34*KVARDI,2))</f>
        <v/>
      </c>
    </row>
    <row r="35">
      <c r="B35" s="21">
        <f>IF(Undirviðmið!$G$34="Starfsbundinn",Undirviðmið!$B$34,"")</f>
        <v/>
      </c>
      <c r="C35" s="21">
        <f>IF(Undirviðmið!$G$34="Starfsbundinn",Undirviðmið!$C$34,"")</f>
        <v/>
      </c>
      <c r="D35" s="30">
        <f>IF(Undirviðmið!$G$34="Starfsbundinn",Undirviðmið!$E$34,"")</f>
        <v/>
      </c>
      <c r="E35" s="30">
        <f>IF(Undirviðmið!$G$34="Starfsbundinn",Undirviðmið!$F$34,"")</f>
        <v/>
      </c>
      <c r="F35" s="30">
        <f>IF(Undirviðmið!$G$34="Starfsbundinn",IFERROR(Undirviðmið!$E$34*KVARDI,""),"")</f>
        <v/>
      </c>
      <c r="G35" s="20" t="n"/>
      <c r="H35" s="31">
        <f>IF(OR(Undirviðmið!$G$34&lt;&gt;"Starfsbundinn",G35="",E35="",D35=""),"",ROUND(G35/E35*D35*KVARDI,2))</f>
        <v/>
      </c>
      <c r="I35" s="20" t="n"/>
      <c r="J35" s="31">
        <f>IF(OR(Undirviðmið!$G$34&lt;&gt;"Starfsbundinn",I35="",E35="",D35=""),"",ROUND(I35/E35*D35*KVARDI,2))</f>
        <v/>
      </c>
      <c r="K35" s="20" t="n"/>
      <c r="L35" s="31">
        <f>IF(OR(Undirviðmið!$G$34&lt;&gt;"Starfsbundinn",K35="",E35="",D35=""),"",ROUND(K35/E35*D35*KVARDI,2))</f>
        <v/>
      </c>
      <c r="M35" s="20" t="n"/>
      <c r="N35" s="31">
        <f>IF(OR(Undirviðmið!$G$34&lt;&gt;"Starfsbundinn",M35="",E35="",D35=""),"",ROUND(M35/E35*D35*KVARDI,2))</f>
        <v/>
      </c>
      <c r="O35" s="20" t="n"/>
      <c r="P35" s="31">
        <f>IF(OR(Undirviðmið!$G$34&lt;&gt;"Starfsbundinn",O35="",E35="",D35=""),"",ROUND(O35/E35*D35*KVARDI,2))</f>
        <v/>
      </c>
      <c r="Q35" s="20" t="n"/>
      <c r="R35" s="31">
        <f>IF(OR(Undirviðmið!$G$34&lt;&gt;"Starfsbundinn",Q35="",E35="",D35=""),"",ROUND(Q35/E35*D35*KVARDI,2))</f>
        <v/>
      </c>
      <c r="S35" s="20" t="n"/>
      <c r="T35" s="31">
        <f>IF(OR(Undirviðmið!$G$34&lt;&gt;"Starfsbundinn",S35="",E35="",D35=""),"",ROUND(S35/E35*D35*KVARDI,2))</f>
        <v/>
      </c>
      <c r="U35" s="20" t="n"/>
      <c r="V35" s="31">
        <f>IF(OR(Undirviðmið!$G$34&lt;&gt;"Starfsbundinn",U35="",E35="",D35=""),"",ROUND(U35/E35*D35*KVARDI,2))</f>
        <v/>
      </c>
    </row>
    <row r="36">
      <c r="B36" s="21">
        <f>IF(Undirviðmið!$G$35="Starfsbundinn",Undirviðmið!$B$35,"")</f>
        <v/>
      </c>
      <c r="C36" s="21">
        <f>IF(Undirviðmið!$G$35="Starfsbundinn",Undirviðmið!$C$35,"")</f>
        <v/>
      </c>
      <c r="D36" s="30">
        <f>IF(Undirviðmið!$G$35="Starfsbundinn",Undirviðmið!$E$35,"")</f>
        <v/>
      </c>
      <c r="E36" s="30">
        <f>IF(Undirviðmið!$G$35="Starfsbundinn",Undirviðmið!$F$35,"")</f>
        <v/>
      </c>
      <c r="F36" s="30">
        <f>IF(Undirviðmið!$G$35="Starfsbundinn",IFERROR(Undirviðmið!$E$35*KVARDI,""),"")</f>
        <v/>
      </c>
      <c r="G36" s="20" t="n"/>
      <c r="H36" s="31">
        <f>IF(OR(Undirviðmið!$G$35&lt;&gt;"Starfsbundinn",G36="",E36="",D36=""),"",ROUND(G36/E36*D36*KVARDI,2))</f>
        <v/>
      </c>
      <c r="I36" s="20" t="n"/>
      <c r="J36" s="31">
        <f>IF(OR(Undirviðmið!$G$35&lt;&gt;"Starfsbundinn",I36="",E36="",D36=""),"",ROUND(I36/E36*D36*KVARDI,2))</f>
        <v/>
      </c>
      <c r="K36" s="20" t="n"/>
      <c r="L36" s="31">
        <f>IF(OR(Undirviðmið!$G$35&lt;&gt;"Starfsbundinn",K36="",E36="",D36=""),"",ROUND(K36/E36*D36*KVARDI,2))</f>
        <v/>
      </c>
      <c r="M36" s="20" t="n"/>
      <c r="N36" s="31">
        <f>IF(OR(Undirviðmið!$G$35&lt;&gt;"Starfsbundinn",M36="",E36="",D36=""),"",ROUND(M36/E36*D36*KVARDI,2))</f>
        <v/>
      </c>
      <c r="O36" s="20" t="n"/>
      <c r="P36" s="31">
        <f>IF(OR(Undirviðmið!$G$35&lt;&gt;"Starfsbundinn",O36="",E36="",D36=""),"",ROUND(O36/E36*D36*KVARDI,2))</f>
        <v/>
      </c>
      <c r="Q36" s="20" t="n"/>
      <c r="R36" s="31">
        <f>IF(OR(Undirviðmið!$G$35&lt;&gt;"Starfsbundinn",Q36="",E36="",D36=""),"",ROUND(Q36/E36*D36*KVARDI,2))</f>
        <v/>
      </c>
      <c r="S36" s="20" t="n"/>
      <c r="T36" s="31">
        <f>IF(OR(Undirviðmið!$G$35&lt;&gt;"Starfsbundinn",S36="",E36="",D36=""),"",ROUND(S36/E36*D36*KVARDI,2))</f>
        <v/>
      </c>
      <c r="U36" s="20" t="n"/>
      <c r="V36" s="31">
        <f>IF(OR(Undirviðmið!$G$35&lt;&gt;"Starfsbundinn",U36="",E36="",D36=""),"",ROUND(U36/E36*D36*KVARDI,2))</f>
        <v/>
      </c>
    </row>
    <row r="37">
      <c r="B37" s="21">
        <f>IF(Undirviðmið!$G$36="Starfsbundinn",Undirviðmið!$B$36,"")</f>
        <v/>
      </c>
      <c r="C37" s="21">
        <f>IF(Undirviðmið!$G$36="Starfsbundinn",Undirviðmið!$C$36,"")</f>
        <v/>
      </c>
      <c r="D37" s="30">
        <f>IF(Undirviðmið!$G$36="Starfsbundinn",Undirviðmið!$E$36,"")</f>
        <v/>
      </c>
      <c r="E37" s="30">
        <f>IF(Undirviðmið!$G$36="Starfsbundinn",Undirviðmið!$F$36,"")</f>
        <v/>
      </c>
      <c r="F37" s="30">
        <f>IF(Undirviðmið!$G$36="Starfsbundinn",IFERROR(Undirviðmið!$E$36*KVARDI,""),"")</f>
        <v/>
      </c>
      <c r="G37" s="20" t="n"/>
      <c r="H37" s="31">
        <f>IF(OR(Undirviðmið!$G$36&lt;&gt;"Starfsbundinn",G37="",E37="",D37=""),"",ROUND(G37/E37*D37*KVARDI,2))</f>
        <v/>
      </c>
      <c r="I37" s="20" t="n"/>
      <c r="J37" s="31">
        <f>IF(OR(Undirviðmið!$G$36&lt;&gt;"Starfsbundinn",I37="",E37="",D37=""),"",ROUND(I37/E37*D37*KVARDI,2))</f>
        <v/>
      </c>
      <c r="K37" s="20" t="n"/>
      <c r="L37" s="31">
        <f>IF(OR(Undirviðmið!$G$36&lt;&gt;"Starfsbundinn",K37="",E37="",D37=""),"",ROUND(K37/E37*D37*KVARDI,2))</f>
        <v/>
      </c>
      <c r="M37" s="20" t="n"/>
      <c r="N37" s="31">
        <f>IF(OR(Undirviðmið!$G$36&lt;&gt;"Starfsbundinn",M37="",E37="",D37=""),"",ROUND(M37/E37*D37*KVARDI,2))</f>
        <v/>
      </c>
      <c r="O37" s="20" t="n"/>
      <c r="P37" s="31">
        <f>IF(OR(Undirviðmið!$G$36&lt;&gt;"Starfsbundinn",O37="",E37="",D37=""),"",ROUND(O37/E37*D37*KVARDI,2))</f>
        <v/>
      </c>
      <c r="Q37" s="20" t="n"/>
      <c r="R37" s="31">
        <f>IF(OR(Undirviðmið!$G$36&lt;&gt;"Starfsbundinn",Q37="",E37="",D37=""),"",ROUND(Q37/E37*D37*KVARDI,2))</f>
        <v/>
      </c>
      <c r="S37" s="20" t="n"/>
      <c r="T37" s="31">
        <f>IF(OR(Undirviðmið!$G$36&lt;&gt;"Starfsbundinn",S37="",E37="",D37=""),"",ROUND(S37/E37*D37*KVARDI,2))</f>
        <v/>
      </c>
      <c r="U37" s="20" t="n"/>
      <c r="V37" s="31">
        <f>IF(OR(Undirviðmið!$G$36&lt;&gt;"Starfsbundinn",U37="",E37="",D37=""),"",ROUND(U37/E37*D37*KVARDI,2))</f>
        <v/>
      </c>
    </row>
    <row r="38">
      <c r="B38" s="21">
        <f>IF(Undirviðmið!$G$37="Starfsbundinn",Undirviðmið!$B$37,"")</f>
        <v/>
      </c>
      <c r="C38" s="21">
        <f>IF(Undirviðmið!$G$37="Starfsbundinn",Undirviðmið!$C$37,"")</f>
        <v/>
      </c>
      <c r="D38" s="30">
        <f>IF(Undirviðmið!$G$37="Starfsbundinn",Undirviðmið!$E$37,"")</f>
        <v/>
      </c>
      <c r="E38" s="30">
        <f>IF(Undirviðmið!$G$37="Starfsbundinn",Undirviðmið!$F$37,"")</f>
        <v/>
      </c>
      <c r="F38" s="30">
        <f>IF(Undirviðmið!$G$37="Starfsbundinn",IFERROR(Undirviðmið!$E$37*KVARDI,""),"")</f>
        <v/>
      </c>
      <c r="G38" s="20" t="n"/>
      <c r="H38" s="31">
        <f>IF(OR(Undirviðmið!$G$37&lt;&gt;"Starfsbundinn",G38="",E38="",D38=""),"",ROUND(G38/E38*D38*KVARDI,2))</f>
        <v/>
      </c>
      <c r="I38" s="20" t="n"/>
      <c r="J38" s="31">
        <f>IF(OR(Undirviðmið!$G$37&lt;&gt;"Starfsbundinn",I38="",E38="",D38=""),"",ROUND(I38/E38*D38*KVARDI,2))</f>
        <v/>
      </c>
      <c r="K38" s="20" t="n"/>
      <c r="L38" s="31">
        <f>IF(OR(Undirviðmið!$G$37&lt;&gt;"Starfsbundinn",K38="",E38="",D38=""),"",ROUND(K38/E38*D38*KVARDI,2))</f>
        <v/>
      </c>
      <c r="M38" s="20" t="n"/>
      <c r="N38" s="31">
        <f>IF(OR(Undirviðmið!$G$37&lt;&gt;"Starfsbundinn",M38="",E38="",D38=""),"",ROUND(M38/E38*D38*KVARDI,2))</f>
        <v/>
      </c>
      <c r="O38" s="20" t="n"/>
      <c r="P38" s="31">
        <f>IF(OR(Undirviðmið!$G$37&lt;&gt;"Starfsbundinn",O38="",E38="",D38=""),"",ROUND(O38/E38*D38*KVARDI,2))</f>
        <v/>
      </c>
      <c r="Q38" s="20" t="n"/>
      <c r="R38" s="31">
        <f>IF(OR(Undirviðmið!$G$37&lt;&gt;"Starfsbundinn",Q38="",E38="",D38=""),"",ROUND(Q38/E38*D38*KVARDI,2))</f>
        <v/>
      </c>
      <c r="S38" s="20" t="n"/>
      <c r="T38" s="31">
        <f>IF(OR(Undirviðmið!$G$37&lt;&gt;"Starfsbundinn",S38="",E38="",D38=""),"",ROUND(S38/E38*D38*KVARDI,2))</f>
        <v/>
      </c>
      <c r="U38" s="20" t="n"/>
      <c r="V38" s="31">
        <f>IF(OR(Undirviðmið!$G$37&lt;&gt;"Starfsbundinn",U38="",E38="",D38=""),"",ROUND(U38/E38*D38*KVARDI,2))</f>
        <v/>
      </c>
    </row>
    <row r="39">
      <c r="B39" s="21">
        <f>IF(Undirviðmið!$G$38="Starfsbundinn",Undirviðmið!$B$38,"")</f>
        <v/>
      </c>
      <c r="C39" s="21">
        <f>IF(Undirviðmið!$G$38="Starfsbundinn",Undirviðmið!$C$38,"")</f>
        <v/>
      </c>
      <c r="D39" s="30">
        <f>IF(Undirviðmið!$G$38="Starfsbundinn",Undirviðmið!$E$38,"")</f>
        <v/>
      </c>
      <c r="E39" s="30">
        <f>IF(Undirviðmið!$G$38="Starfsbundinn",Undirviðmið!$F$38,"")</f>
        <v/>
      </c>
      <c r="F39" s="30">
        <f>IF(Undirviðmið!$G$38="Starfsbundinn",IFERROR(Undirviðmið!$E$38*KVARDI,""),"")</f>
        <v/>
      </c>
      <c r="G39" s="20" t="n"/>
      <c r="H39" s="31">
        <f>IF(OR(Undirviðmið!$G$38&lt;&gt;"Starfsbundinn",G39="",E39="",D39=""),"",ROUND(G39/E39*D39*KVARDI,2))</f>
        <v/>
      </c>
      <c r="I39" s="20" t="n"/>
      <c r="J39" s="31">
        <f>IF(OR(Undirviðmið!$G$38&lt;&gt;"Starfsbundinn",I39="",E39="",D39=""),"",ROUND(I39/E39*D39*KVARDI,2))</f>
        <v/>
      </c>
      <c r="K39" s="20" t="n"/>
      <c r="L39" s="31">
        <f>IF(OR(Undirviðmið!$G$38&lt;&gt;"Starfsbundinn",K39="",E39="",D39=""),"",ROUND(K39/E39*D39*KVARDI,2))</f>
        <v/>
      </c>
      <c r="M39" s="20" t="n"/>
      <c r="N39" s="31">
        <f>IF(OR(Undirviðmið!$G$38&lt;&gt;"Starfsbundinn",M39="",E39="",D39=""),"",ROUND(M39/E39*D39*KVARDI,2))</f>
        <v/>
      </c>
      <c r="O39" s="20" t="n"/>
      <c r="P39" s="31">
        <f>IF(OR(Undirviðmið!$G$38&lt;&gt;"Starfsbundinn",O39="",E39="",D39=""),"",ROUND(O39/E39*D39*KVARDI,2))</f>
        <v/>
      </c>
      <c r="Q39" s="20" t="n"/>
      <c r="R39" s="31">
        <f>IF(OR(Undirviðmið!$G$38&lt;&gt;"Starfsbundinn",Q39="",E39="",D39=""),"",ROUND(Q39/E39*D39*KVARDI,2))</f>
        <v/>
      </c>
      <c r="S39" s="20" t="n"/>
      <c r="T39" s="31">
        <f>IF(OR(Undirviðmið!$G$38&lt;&gt;"Starfsbundinn",S39="",E39="",D39=""),"",ROUND(S39/E39*D39*KVARDI,2))</f>
        <v/>
      </c>
      <c r="U39" s="20" t="n"/>
      <c r="V39" s="31">
        <f>IF(OR(Undirviðmið!$G$38&lt;&gt;"Starfsbundinn",U39="",E39="",D39=""),"",ROUND(U39/E39*D39*KVARDI,2))</f>
        <v/>
      </c>
    </row>
    <row r="40">
      <c r="B40" s="21">
        <f>IF(Undirviðmið!$G$39="Starfsbundinn",Undirviðmið!$B$39,"")</f>
        <v/>
      </c>
      <c r="C40" s="21">
        <f>IF(Undirviðmið!$G$39="Starfsbundinn",Undirviðmið!$C$39,"")</f>
        <v/>
      </c>
      <c r="D40" s="30">
        <f>IF(Undirviðmið!$G$39="Starfsbundinn",Undirviðmið!$E$39,"")</f>
        <v/>
      </c>
      <c r="E40" s="30">
        <f>IF(Undirviðmið!$G$39="Starfsbundinn",Undirviðmið!$F$39,"")</f>
        <v/>
      </c>
      <c r="F40" s="30">
        <f>IF(Undirviðmið!$G$39="Starfsbundinn",IFERROR(Undirviðmið!$E$39*KVARDI,""),"")</f>
        <v/>
      </c>
      <c r="G40" s="20" t="n"/>
      <c r="H40" s="31">
        <f>IF(OR(Undirviðmið!$G$39&lt;&gt;"Starfsbundinn",G40="",E40="",D40=""),"",ROUND(G40/E40*D40*KVARDI,2))</f>
        <v/>
      </c>
      <c r="I40" s="20" t="n"/>
      <c r="J40" s="31">
        <f>IF(OR(Undirviðmið!$G$39&lt;&gt;"Starfsbundinn",I40="",E40="",D40=""),"",ROUND(I40/E40*D40*KVARDI,2))</f>
        <v/>
      </c>
      <c r="K40" s="20" t="n"/>
      <c r="L40" s="31">
        <f>IF(OR(Undirviðmið!$G$39&lt;&gt;"Starfsbundinn",K40="",E40="",D40=""),"",ROUND(K40/E40*D40*KVARDI,2))</f>
        <v/>
      </c>
      <c r="M40" s="20" t="n"/>
      <c r="N40" s="31">
        <f>IF(OR(Undirviðmið!$G$39&lt;&gt;"Starfsbundinn",M40="",E40="",D40=""),"",ROUND(M40/E40*D40*KVARDI,2))</f>
        <v/>
      </c>
      <c r="O40" s="20" t="n"/>
      <c r="P40" s="31">
        <f>IF(OR(Undirviðmið!$G$39&lt;&gt;"Starfsbundinn",O40="",E40="",D40=""),"",ROUND(O40/E40*D40*KVARDI,2))</f>
        <v/>
      </c>
      <c r="Q40" s="20" t="n"/>
      <c r="R40" s="31">
        <f>IF(OR(Undirviðmið!$G$39&lt;&gt;"Starfsbundinn",Q40="",E40="",D40=""),"",ROUND(Q40/E40*D40*KVARDI,2))</f>
        <v/>
      </c>
      <c r="S40" s="20" t="n"/>
      <c r="T40" s="31">
        <f>IF(OR(Undirviðmið!$G$39&lt;&gt;"Starfsbundinn",S40="",E40="",D40=""),"",ROUND(S40/E40*D40*KVARDI,2))</f>
        <v/>
      </c>
      <c r="U40" s="20" t="n"/>
      <c r="V40" s="31">
        <f>IF(OR(Undirviðmið!$G$39&lt;&gt;"Starfsbundinn",U40="",E40="",D40=""),"",ROUND(U40/E40*D40*KVARDI,2))</f>
        <v/>
      </c>
    </row>
    <row r="41">
      <c r="B41" s="21">
        <f>IF(Undirviðmið!$G$40="Starfsbundinn",Undirviðmið!$B$40,"")</f>
        <v/>
      </c>
      <c r="C41" s="21">
        <f>IF(Undirviðmið!$G$40="Starfsbundinn",Undirviðmið!$C$40,"")</f>
        <v/>
      </c>
      <c r="D41" s="30">
        <f>IF(Undirviðmið!$G$40="Starfsbundinn",Undirviðmið!$E$40,"")</f>
        <v/>
      </c>
      <c r="E41" s="30">
        <f>IF(Undirviðmið!$G$40="Starfsbundinn",Undirviðmið!$F$40,"")</f>
        <v/>
      </c>
      <c r="F41" s="30">
        <f>IF(Undirviðmið!$G$40="Starfsbundinn",IFERROR(Undirviðmið!$E$40*KVARDI,""),"")</f>
        <v/>
      </c>
      <c r="G41" s="20" t="n"/>
      <c r="H41" s="31">
        <f>IF(OR(Undirviðmið!$G$40&lt;&gt;"Starfsbundinn",G41="",E41="",D41=""),"",ROUND(G41/E41*D41*KVARDI,2))</f>
        <v/>
      </c>
      <c r="I41" s="20" t="n"/>
      <c r="J41" s="31">
        <f>IF(OR(Undirviðmið!$G$40&lt;&gt;"Starfsbundinn",I41="",E41="",D41=""),"",ROUND(I41/E41*D41*KVARDI,2))</f>
        <v/>
      </c>
      <c r="K41" s="20" t="n"/>
      <c r="L41" s="31">
        <f>IF(OR(Undirviðmið!$G$40&lt;&gt;"Starfsbundinn",K41="",E41="",D41=""),"",ROUND(K41/E41*D41*KVARDI,2))</f>
        <v/>
      </c>
      <c r="M41" s="20" t="n"/>
      <c r="N41" s="31">
        <f>IF(OR(Undirviðmið!$G$40&lt;&gt;"Starfsbundinn",M41="",E41="",D41=""),"",ROUND(M41/E41*D41*KVARDI,2))</f>
        <v/>
      </c>
      <c r="O41" s="20" t="n"/>
      <c r="P41" s="31">
        <f>IF(OR(Undirviðmið!$G$40&lt;&gt;"Starfsbundinn",O41="",E41="",D41=""),"",ROUND(O41/E41*D41*KVARDI,2))</f>
        <v/>
      </c>
      <c r="Q41" s="20" t="n"/>
      <c r="R41" s="31">
        <f>IF(OR(Undirviðmið!$G$40&lt;&gt;"Starfsbundinn",Q41="",E41="",D41=""),"",ROUND(Q41/E41*D41*KVARDI,2))</f>
        <v/>
      </c>
      <c r="S41" s="20" t="n"/>
      <c r="T41" s="31">
        <f>IF(OR(Undirviðmið!$G$40&lt;&gt;"Starfsbundinn",S41="",E41="",D41=""),"",ROUND(S41/E41*D41*KVARDI,2))</f>
        <v/>
      </c>
      <c r="U41" s="20" t="n"/>
      <c r="V41" s="31">
        <f>IF(OR(Undirviðmið!$G$40&lt;&gt;"Starfsbundinn",U41="",E41="",D41=""),"",ROUND(U41/E41*D41*KVARDI,2))</f>
        <v/>
      </c>
    </row>
    <row r="42">
      <c r="B42" s="21">
        <f>IF(Undirviðmið!$G$41="Starfsbundinn",Undirviðmið!$B$41,"")</f>
        <v/>
      </c>
      <c r="C42" s="21">
        <f>IF(Undirviðmið!$G$41="Starfsbundinn",Undirviðmið!$C$41,"")</f>
        <v/>
      </c>
      <c r="D42" s="30">
        <f>IF(Undirviðmið!$G$41="Starfsbundinn",Undirviðmið!$E$41,"")</f>
        <v/>
      </c>
      <c r="E42" s="30">
        <f>IF(Undirviðmið!$G$41="Starfsbundinn",Undirviðmið!$F$41,"")</f>
        <v/>
      </c>
      <c r="F42" s="30">
        <f>IF(Undirviðmið!$G$41="Starfsbundinn",IFERROR(Undirviðmið!$E$41*KVARDI,""),"")</f>
        <v/>
      </c>
      <c r="G42" s="20" t="n"/>
      <c r="H42" s="31">
        <f>IF(OR(Undirviðmið!$G$41&lt;&gt;"Starfsbundinn",G42="",E42="",D42=""),"",ROUND(G42/E42*D42*KVARDI,2))</f>
        <v/>
      </c>
      <c r="I42" s="20" t="n"/>
      <c r="J42" s="31">
        <f>IF(OR(Undirviðmið!$G$41&lt;&gt;"Starfsbundinn",I42="",E42="",D42=""),"",ROUND(I42/E42*D42*KVARDI,2))</f>
        <v/>
      </c>
      <c r="K42" s="20" t="n"/>
      <c r="L42" s="31">
        <f>IF(OR(Undirviðmið!$G$41&lt;&gt;"Starfsbundinn",K42="",E42="",D42=""),"",ROUND(K42/E42*D42*KVARDI,2))</f>
        <v/>
      </c>
      <c r="M42" s="20" t="n"/>
      <c r="N42" s="31">
        <f>IF(OR(Undirviðmið!$G$41&lt;&gt;"Starfsbundinn",M42="",E42="",D42=""),"",ROUND(M42/E42*D42*KVARDI,2))</f>
        <v/>
      </c>
      <c r="O42" s="20" t="n"/>
      <c r="P42" s="31">
        <f>IF(OR(Undirviðmið!$G$41&lt;&gt;"Starfsbundinn",O42="",E42="",D42=""),"",ROUND(O42/E42*D42*KVARDI,2))</f>
        <v/>
      </c>
      <c r="Q42" s="20" t="n"/>
      <c r="R42" s="31">
        <f>IF(OR(Undirviðmið!$G$41&lt;&gt;"Starfsbundinn",Q42="",E42="",D42=""),"",ROUND(Q42/E42*D42*KVARDI,2))</f>
        <v/>
      </c>
      <c r="S42" s="20" t="n"/>
      <c r="T42" s="31">
        <f>IF(OR(Undirviðmið!$G$41&lt;&gt;"Starfsbundinn",S42="",E42="",D42=""),"",ROUND(S42/E42*D42*KVARDI,2))</f>
        <v/>
      </c>
      <c r="U42" s="20" t="n"/>
      <c r="V42" s="31">
        <f>IF(OR(Undirviðmið!$G$41&lt;&gt;"Starfsbundinn",U42="",E42="",D42=""),"",ROUND(U42/E42*D42*KVARDI,2))</f>
        <v/>
      </c>
    </row>
    <row r="43">
      <c r="B43" s="21">
        <f>IF(Undirviðmið!$G$42="Starfsbundinn",Undirviðmið!$B$42,"")</f>
        <v/>
      </c>
      <c r="C43" s="21">
        <f>IF(Undirviðmið!$G$42="Starfsbundinn",Undirviðmið!$C$42,"")</f>
        <v/>
      </c>
      <c r="D43" s="30">
        <f>IF(Undirviðmið!$G$42="Starfsbundinn",Undirviðmið!$E$42,"")</f>
        <v/>
      </c>
      <c r="E43" s="30">
        <f>IF(Undirviðmið!$G$42="Starfsbundinn",Undirviðmið!$F$42,"")</f>
        <v/>
      </c>
      <c r="F43" s="30">
        <f>IF(Undirviðmið!$G$42="Starfsbundinn",IFERROR(Undirviðmið!$E$42*KVARDI,""),"")</f>
        <v/>
      </c>
      <c r="G43" s="20" t="n"/>
      <c r="H43" s="31">
        <f>IF(OR(Undirviðmið!$G$42&lt;&gt;"Starfsbundinn",G43="",E43="",D43=""),"",ROUND(G43/E43*D43*KVARDI,2))</f>
        <v/>
      </c>
      <c r="I43" s="20" t="n"/>
      <c r="J43" s="31">
        <f>IF(OR(Undirviðmið!$G$42&lt;&gt;"Starfsbundinn",I43="",E43="",D43=""),"",ROUND(I43/E43*D43*KVARDI,2))</f>
        <v/>
      </c>
      <c r="K43" s="20" t="n"/>
      <c r="L43" s="31">
        <f>IF(OR(Undirviðmið!$G$42&lt;&gt;"Starfsbundinn",K43="",E43="",D43=""),"",ROUND(K43/E43*D43*KVARDI,2))</f>
        <v/>
      </c>
      <c r="M43" s="20" t="n"/>
      <c r="N43" s="31">
        <f>IF(OR(Undirviðmið!$G$42&lt;&gt;"Starfsbundinn",M43="",E43="",D43=""),"",ROUND(M43/E43*D43*KVARDI,2))</f>
        <v/>
      </c>
      <c r="O43" s="20" t="n"/>
      <c r="P43" s="31">
        <f>IF(OR(Undirviðmið!$G$42&lt;&gt;"Starfsbundinn",O43="",E43="",D43=""),"",ROUND(O43/E43*D43*KVARDI,2))</f>
        <v/>
      </c>
      <c r="Q43" s="20" t="n"/>
      <c r="R43" s="31">
        <f>IF(OR(Undirviðmið!$G$42&lt;&gt;"Starfsbundinn",Q43="",E43="",D43=""),"",ROUND(Q43/E43*D43*KVARDI,2))</f>
        <v/>
      </c>
      <c r="S43" s="20" t="n"/>
      <c r="T43" s="31">
        <f>IF(OR(Undirviðmið!$G$42&lt;&gt;"Starfsbundinn",S43="",E43="",D43=""),"",ROUND(S43/E43*D43*KVARDI,2))</f>
        <v/>
      </c>
      <c r="U43" s="20" t="n"/>
      <c r="V43" s="31">
        <f>IF(OR(Undirviðmið!$G$42&lt;&gt;"Starfsbundinn",U43="",E43="",D43=""),"",ROUND(U43/E43*D43*KVARDI,2))</f>
        <v/>
      </c>
    </row>
    <row r="44">
      <c r="B44" s="21">
        <f>IF(Undirviðmið!$G$43="Starfsbundinn",Undirviðmið!$B$43,"")</f>
        <v/>
      </c>
      <c r="C44" s="21">
        <f>IF(Undirviðmið!$G$43="Starfsbundinn",Undirviðmið!$C$43,"")</f>
        <v/>
      </c>
      <c r="D44" s="30">
        <f>IF(Undirviðmið!$G$43="Starfsbundinn",Undirviðmið!$E$43,"")</f>
        <v/>
      </c>
      <c r="E44" s="30">
        <f>IF(Undirviðmið!$G$43="Starfsbundinn",Undirviðmið!$F$43,"")</f>
        <v/>
      </c>
      <c r="F44" s="30">
        <f>IF(Undirviðmið!$G$43="Starfsbundinn",IFERROR(Undirviðmið!$E$43*KVARDI,""),"")</f>
        <v/>
      </c>
      <c r="G44" s="20" t="n"/>
      <c r="H44" s="31">
        <f>IF(OR(Undirviðmið!$G$43&lt;&gt;"Starfsbundinn",G44="",E44="",D44=""),"",ROUND(G44/E44*D44*KVARDI,2))</f>
        <v/>
      </c>
      <c r="I44" s="20" t="n"/>
      <c r="J44" s="31">
        <f>IF(OR(Undirviðmið!$G$43&lt;&gt;"Starfsbundinn",I44="",E44="",D44=""),"",ROUND(I44/E44*D44*KVARDI,2))</f>
        <v/>
      </c>
      <c r="K44" s="20" t="n"/>
      <c r="L44" s="31">
        <f>IF(OR(Undirviðmið!$G$43&lt;&gt;"Starfsbundinn",K44="",E44="",D44=""),"",ROUND(K44/E44*D44*KVARDI,2))</f>
        <v/>
      </c>
      <c r="M44" s="20" t="n"/>
      <c r="N44" s="31">
        <f>IF(OR(Undirviðmið!$G$43&lt;&gt;"Starfsbundinn",M44="",E44="",D44=""),"",ROUND(M44/E44*D44*KVARDI,2))</f>
        <v/>
      </c>
      <c r="O44" s="20" t="n"/>
      <c r="P44" s="31">
        <f>IF(OR(Undirviðmið!$G$43&lt;&gt;"Starfsbundinn",O44="",E44="",D44=""),"",ROUND(O44/E44*D44*KVARDI,2))</f>
        <v/>
      </c>
      <c r="Q44" s="20" t="n"/>
      <c r="R44" s="31">
        <f>IF(OR(Undirviðmið!$G$43&lt;&gt;"Starfsbundinn",Q44="",E44="",D44=""),"",ROUND(Q44/E44*D44*KVARDI,2))</f>
        <v/>
      </c>
      <c r="S44" s="20" t="n"/>
      <c r="T44" s="31">
        <f>IF(OR(Undirviðmið!$G$43&lt;&gt;"Starfsbundinn",S44="",E44="",D44=""),"",ROUND(S44/E44*D44*KVARDI,2))</f>
        <v/>
      </c>
      <c r="U44" s="20" t="n"/>
      <c r="V44" s="31">
        <f>IF(OR(Undirviðmið!$G$43&lt;&gt;"Starfsbundinn",U44="",E44="",D44=""),"",ROUND(U44/E44*D44*KVARDI,2))</f>
        <v/>
      </c>
    </row>
    <row r="45">
      <c r="B45" s="21">
        <f>IF(Undirviðmið!$G$44="Starfsbundinn",Undirviðmið!$B$44,"")</f>
        <v/>
      </c>
      <c r="C45" s="21">
        <f>IF(Undirviðmið!$G$44="Starfsbundinn",Undirviðmið!$C$44,"")</f>
        <v/>
      </c>
      <c r="D45" s="30">
        <f>IF(Undirviðmið!$G$44="Starfsbundinn",Undirviðmið!$E$44,"")</f>
        <v/>
      </c>
      <c r="E45" s="30">
        <f>IF(Undirviðmið!$G$44="Starfsbundinn",Undirviðmið!$F$44,"")</f>
        <v/>
      </c>
      <c r="F45" s="30">
        <f>IF(Undirviðmið!$G$44="Starfsbundinn",IFERROR(Undirviðmið!$E$44*KVARDI,""),"")</f>
        <v/>
      </c>
      <c r="G45" s="20" t="n"/>
      <c r="H45" s="31">
        <f>IF(OR(Undirviðmið!$G$44&lt;&gt;"Starfsbundinn",G45="",E45="",D45=""),"",ROUND(G45/E45*D45*KVARDI,2))</f>
        <v/>
      </c>
      <c r="I45" s="20" t="n"/>
      <c r="J45" s="31">
        <f>IF(OR(Undirviðmið!$G$44&lt;&gt;"Starfsbundinn",I45="",E45="",D45=""),"",ROUND(I45/E45*D45*KVARDI,2))</f>
        <v/>
      </c>
      <c r="K45" s="20" t="n"/>
      <c r="L45" s="31">
        <f>IF(OR(Undirviðmið!$G$44&lt;&gt;"Starfsbundinn",K45="",E45="",D45=""),"",ROUND(K45/E45*D45*KVARDI,2))</f>
        <v/>
      </c>
      <c r="M45" s="20" t="n"/>
      <c r="N45" s="31">
        <f>IF(OR(Undirviðmið!$G$44&lt;&gt;"Starfsbundinn",M45="",E45="",D45=""),"",ROUND(M45/E45*D45*KVARDI,2))</f>
        <v/>
      </c>
      <c r="O45" s="20" t="n"/>
      <c r="P45" s="31">
        <f>IF(OR(Undirviðmið!$G$44&lt;&gt;"Starfsbundinn",O45="",E45="",D45=""),"",ROUND(O45/E45*D45*KVARDI,2))</f>
        <v/>
      </c>
      <c r="Q45" s="20" t="n"/>
      <c r="R45" s="31">
        <f>IF(OR(Undirviðmið!$G$44&lt;&gt;"Starfsbundinn",Q45="",E45="",D45=""),"",ROUND(Q45/E45*D45*KVARDI,2))</f>
        <v/>
      </c>
      <c r="S45" s="20" t="n"/>
      <c r="T45" s="31">
        <f>IF(OR(Undirviðmið!$G$44&lt;&gt;"Starfsbundinn",S45="",E45="",D45=""),"",ROUND(S45/E45*D45*KVARDI,2))</f>
        <v/>
      </c>
      <c r="U45" s="20" t="n"/>
      <c r="V45" s="31">
        <f>IF(OR(Undirviðmið!$G$44&lt;&gt;"Starfsbundinn",U45="",E45="",D45=""),"",ROUND(U45/E45*D45*KVARDI,2))</f>
        <v/>
      </c>
    </row>
    <row r="46">
      <c r="B46" s="21">
        <f>IF(Undirviðmið!$G$45="Starfsbundinn",Undirviðmið!$B$45,"")</f>
        <v/>
      </c>
      <c r="C46" s="21">
        <f>IF(Undirviðmið!$G$45="Starfsbundinn",Undirviðmið!$C$45,"")</f>
        <v/>
      </c>
      <c r="D46" s="30">
        <f>IF(Undirviðmið!$G$45="Starfsbundinn",Undirviðmið!$E$45,"")</f>
        <v/>
      </c>
      <c r="E46" s="30">
        <f>IF(Undirviðmið!$G$45="Starfsbundinn",Undirviðmið!$F$45,"")</f>
        <v/>
      </c>
      <c r="F46" s="30">
        <f>IF(Undirviðmið!$G$45="Starfsbundinn",IFERROR(Undirviðmið!$E$45*KVARDI,""),"")</f>
        <v/>
      </c>
      <c r="G46" s="20" t="n"/>
      <c r="H46" s="31">
        <f>IF(OR(Undirviðmið!$G$45&lt;&gt;"Starfsbundinn",G46="",E46="",D46=""),"",ROUND(G46/E46*D46*KVARDI,2))</f>
        <v/>
      </c>
      <c r="I46" s="20" t="n"/>
      <c r="J46" s="31">
        <f>IF(OR(Undirviðmið!$G$45&lt;&gt;"Starfsbundinn",I46="",E46="",D46=""),"",ROUND(I46/E46*D46*KVARDI,2))</f>
        <v/>
      </c>
      <c r="K46" s="20" t="n"/>
      <c r="L46" s="31">
        <f>IF(OR(Undirviðmið!$G$45&lt;&gt;"Starfsbundinn",K46="",E46="",D46=""),"",ROUND(K46/E46*D46*KVARDI,2))</f>
        <v/>
      </c>
      <c r="M46" s="20" t="n"/>
      <c r="N46" s="31">
        <f>IF(OR(Undirviðmið!$G$45&lt;&gt;"Starfsbundinn",M46="",E46="",D46=""),"",ROUND(M46/E46*D46*KVARDI,2))</f>
        <v/>
      </c>
      <c r="O46" s="20" t="n"/>
      <c r="P46" s="31">
        <f>IF(OR(Undirviðmið!$G$45&lt;&gt;"Starfsbundinn",O46="",E46="",D46=""),"",ROUND(O46/E46*D46*KVARDI,2))</f>
        <v/>
      </c>
      <c r="Q46" s="20" t="n"/>
      <c r="R46" s="31">
        <f>IF(OR(Undirviðmið!$G$45&lt;&gt;"Starfsbundinn",Q46="",E46="",D46=""),"",ROUND(Q46/E46*D46*KVARDI,2))</f>
        <v/>
      </c>
      <c r="S46" s="20" t="n"/>
      <c r="T46" s="31">
        <f>IF(OR(Undirviðmið!$G$45&lt;&gt;"Starfsbundinn",S46="",E46="",D46=""),"",ROUND(S46/E46*D46*KVARDI,2))</f>
        <v/>
      </c>
      <c r="U46" s="20" t="n"/>
      <c r="V46" s="31">
        <f>IF(OR(Undirviðmið!$G$45&lt;&gt;"Starfsbundinn",U46="",E46="",D46=""),"",ROUND(U46/E46*D46*KVARDI,2))</f>
        <v/>
      </c>
    </row>
    <row r="48">
      <c r="E48" s="32" t="inlineStr">
        <is>
          <t>Samtals stig:</t>
        </is>
      </c>
      <c r="H48" s="33">
        <f>IFERROR(SUM(H7:H46),0)</f>
        <v/>
      </c>
      <c r="J48" s="33">
        <f>IFERROR(SUM(J7:J46),0)</f>
        <v/>
      </c>
      <c r="L48" s="33">
        <f>IFERROR(SUM(L7:L46),0)</f>
        <v/>
      </c>
      <c r="N48" s="33">
        <f>IFERROR(SUM(N7:N46),0)</f>
        <v/>
      </c>
      <c r="P48" s="33">
        <f>IFERROR(SUM(P7:P46),0)</f>
        <v/>
      </c>
      <c r="R48" s="33">
        <f>IFERROR(SUM(R7:R46),0)</f>
        <v/>
      </c>
      <c r="T48" s="33">
        <f>IFERROR(SUM(T7:T46),0)</f>
        <v/>
      </c>
      <c r="V48" s="33">
        <f>IFERROR(SUM(V7:V46),0)</f>
        <v/>
      </c>
    </row>
  </sheetData>
  <mergeCells count="10">
    <mergeCell ref="B2:F2"/>
    <mergeCell ref="O5:P5"/>
    <mergeCell ref="S5:T5"/>
    <mergeCell ref="Q5:R5"/>
    <mergeCell ref="U5:V5"/>
    <mergeCell ref="G5:H5"/>
    <mergeCell ref="K5:L5"/>
    <mergeCell ref="I5:J5"/>
    <mergeCell ref="M5:N5"/>
    <mergeCell ref="B3:N3"/>
  </mergeCells>
  <conditionalFormatting sqref="G7:G46">
    <cfRule type="expression" priority="1" dxfId="2">
      <formula>$B7=""</formula>
    </cfRule>
    <cfRule type="expression" priority="22" dxfId="1">
      <formula>AND(G7&lt;&gt;"",$E7&lt;&gt;"",G7&gt;$E7)</formula>
    </cfRule>
  </conditionalFormatting>
  <conditionalFormatting sqref="H7:H46">
    <cfRule type="expression" priority="2" dxfId="2">
      <formula>$B7=""</formula>
    </cfRule>
  </conditionalFormatting>
  <conditionalFormatting sqref="I7:I46">
    <cfRule type="expression" priority="3" dxfId="2">
      <formula>$B7=""</formula>
    </cfRule>
    <cfRule type="expression" priority="23" dxfId="1">
      <formula>AND(I7&lt;&gt;"",$E7&lt;&gt;"",I7&gt;$E7)</formula>
    </cfRule>
  </conditionalFormatting>
  <conditionalFormatting sqref="J7:J46">
    <cfRule type="expression" priority="4" dxfId="2">
      <formula>$B7=""</formula>
    </cfRule>
  </conditionalFormatting>
  <conditionalFormatting sqref="K7:K46">
    <cfRule type="expression" priority="5" dxfId="2">
      <formula>$B7=""</formula>
    </cfRule>
    <cfRule type="expression" priority="24" dxfId="1">
      <formula>AND(K7&lt;&gt;"",$E7&lt;&gt;"",K7&gt;$E7)</formula>
    </cfRule>
  </conditionalFormatting>
  <conditionalFormatting sqref="L7:L46">
    <cfRule type="expression" priority="6" dxfId="2">
      <formula>$B7=""</formula>
    </cfRule>
  </conditionalFormatting>
  <conditionalFormatting sqref="M7:M46">
    <cfRule type="expression" priority="7" dxfId="2">
      <formula>$B7=""</formula>
    </cfRule>
    <cfRule type="expression" priority="25" dxfId="1">
      <formula>AND(M7&lt;&gt;"",$E7&lt;&gt;"",M7&gt;$E7)</formula>
    </cfRule>
  </conditionalFormatting>
  <conditionalFormatting sqref="N7:N46">
    <cfRule type="expression" priority="8" dxfId="2">
      <formula>$B7=""</formula>
    </cfRule>
  </conditionalFormatting>
  <conditionalFormatting sqref="O7:O46">
    <cfRule type="expression" priority="9" dxfId="2">
      <formula>$B7=""</formula>
    </cfRule>
    <cfRule type="expression" priority="26" dxfId="1">
      <formula>AND(O7&lt;&gt;"",$E7&lt;&gt;"",O7&gt;$E7)</formula>
    </cfRule>
  </conditionalFormatting>
  <conditionalFormatting sqref="P7:P46">
    <cfRule type="expression" priority="10" dxfId="2">
      <formula>$B7=""</formula>
    </cfRule>
  </conditionalFormatting>
  <conditionalFormatting sqref="Q7:Q46">
    <cfRule type="expression" priority="11" dxfId="2">
      <formula>$B7=""</formula>
    </cfRule>
    <cfRule type="expression" priority="27" dxfId="1">
      <formula>AND(Q7&lt;&gt;"",$E7&lt;&gt;"",Q7&gt;$E7)</formula>
    </cfRule>
  </conditionalFormatting>
  <conditionalFormatting sqref="R7:R46">
    <cfRule type="expression" priority="12" dxfId="2">
      <formula>$B7=""</formula>
    </cfRule>
  </conditionalFormatting>
  <conditionalFormatting sqref="S7:S46">
    <cfRule type="expression" priority="13" dxfId="2">
      <formula>$B7=""</formula>
    </cfRule>
    <cfRule type="expression" priority="28" dxfId="1">
      <formula>AND(S7&lt;&gt;"",$E7&lt;&gt;"",S7&gt;$E7)</formula>
    </cfRule>
  </conditionalFormatting>
  <conditionalFormatting sqref="T7:T46">
    <cfRule type="expression" priority="14" dxfId="2">
      <formula>$B7=""</formula>
    </cfRule>
  </conditionalFormatting>
  <conditionalFormatting sqref="U7:U46">
    <cfRule type="expression" priority="15" dxfId="2">
      <formula>$B7=""</formula>
    </cfRule>
    <cfRule type="expression" priority="29" dxfId="1">
      <formula>AND(U7&lt;&gt;"",$E7&lt;&gt;"",U7&gt;$E7)</formula>
    </cfRule>
  </conditionalFormatting>
  <conditionalFormatting sqref="V7:V46">
    <cfRule type="expression" priority="16" dxfId="2">
      <formula>$B7=""</formula>
    </cfRule>
  </conditionalFormatting>
  <conditionalFormatting sqref="B7:B46">
    <cfRule type="expression" priority="17" dxfId="2">
      <formula>$B7=""</formula>
    </cfRule>
  </conditionalFormatting>
  <conditionalFormatting sqref="C7:C46">
    <cfRule type="expression" priority="18" dxfId="2">
      <formula>$B7=""</formula>
    </cfRule>
  </conditionalFormatting>
  <conditionalFormatting sqref="D7:D46">
    <cfRule type="expression" priority="19" dxfId="2">
      <formula>$B7=""</formula>
    </cfRule>
  </conditionalFormatting>
  <conditionalFormatting sqref="E7:E46">
    <cfRule type="expression" priority="20" dxfId="2">
      <formula>$B7=""</formula>
    </cfRule>
  </conditionalFormatting>
  <conditionalFormatting sqref="F7:F46">
    <cfRule type="expression" priority="21" dxfId="2">
      <formula>$B7=""</formula>
    </cfRule>
  </conditionalFormatting>
  <dataValidations count="8">
    <dataValidation sqref="G7:G46" showDropDown="0" showInputMessage="0" showErrorMessage="1" allowBlank="1" errorTitle="Ógilt þrep" error="Þrep verður að vera heil tala milli 1 og fjölda þrepa fyrir viðkomandi undirviðmið (hámark 10)." type="whole" operator="between">
      <formula1>1</formula1>
      <formula2>10</formula2>
    </dataValidation>
    <dataValidation sqref="I7:I46" showDropDown="0" showInputMessage="0" showErrorMessage="1" allowBlank="1" errorTitle="Ógilt þrep" error="Þrep verður að vera heil tala milli 1 og fjölda þrepa fyrir viðkomandi undirviðmið (hámark 10)." type="whole" operator="between">
      <formula1>1</formula1>
      <formula2>10</formula2>
    </dataValidation>
    <dataValidation sqref="K7:K46" showDropDown="0" showInputMessage="0" showErrorMessage="1" allowBlank="1" errorTitle="Ógilt þrep" error="Þrep verður að vera heil tala milli 1 og fjölda þrepa fyrir viðkomandi undirviðmið (hámark 10)." type="whole" operator="between">
      <formula1>1</formula1>
      <formula2>10</formula2>
    </dataValidation>
    <dataValidation sqref="M7:M46" showDropDown="0" showInputMessage="0" showErrorMessage="1" allowBlank="1" errorTitle="Ógilt þrep" error="Þrep verður að vera heil tala milli 1 og fjölda þrepa fyrir viðkomandi undirviðmið (hámark 10)." type="whole" operator="between">
      <formula1>1</formula1>
      <formula2>10</formula2>
    </dataValidation>
    <dataValidation sqref="O7:O46" showDropDown="0" showInputMessage="0" showErrorMessage="1" allowBlank="1" errorTitle="Ógilt þrep" error="Þrep verður að vera heil tala milli 1 og fjölda þrepa fyrir viðkomandi undirviðmið (hámark 10)." type="whole" operator="between">
      <formula1>1</formula1>
      <formula2>10</formula2>
    </dataValidation>
    <dataValidation sqref="Q7:Q46" showDropDown="0" showInputMessage="0" showErrorMessage="1" allowBlank="1" errorTitle="Ógilt þrep" error="Þrep verður að vera heil tala milli 1 og fjölda þrepa fyrir viðkomandi undirviðmið (hámark 10)." type="whole" operator="between">
      <formula1>1</formula1>
      <formula2>10</formula2>
    </dataValidation>
    <dataValidation sqref="S7:S46" showDropDown="0" showInputMessage="0" showErrorMessage="1" allowBlank="1" errorTitle="Ógilt þrep" error="Þrep verður að vera heil tala milli 1 og fjölda þrepa fyrir viðkomandi undirviðmið (hámark 10)." type="whole" operator="between">
      <formula1>1</formula1>
      <formula2>10</formula2>
    </dataValidation>
    <dataValidation sqref="U7:U46" showDropDown="0" showInputMessage="0" showErrorMessage="1" allowBlank="1" errorTitle="Ógilt þrep" error="Þrep verður að vera heil tala milli 1 og fjölda þrepa fyrir viðkomandi undirviðmið (hámark 10)." type="whole" operator="between">
      <formula1>1</formula1>
      <formula2>10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C6C25"/>
    <outlinePr summaryBelow="1" summaryRight="1"/>
    <pageSetUpPr/>
  </sheetPr>
  <dimension ref="A2:AH56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2" customWidth="1" min="2" max="2"/>
    <col width="20" customWidth="1" min="3" max="3"/>
    <col width="14" customWidth="1" min="4" max="4"/>
    <col width="10" customWidth="1" min="5" max="5"/>
    <col width="14" customWidth="1" min="6" max="6"/>
    <col width="10" customWidth="1" min="7" max="7"/>
    <col width="14" customWidth="1" min="8" max="8"/>
    <col width="10" customWidth="1" min="9" max="9"/>
    <col width="14" customWidth="1" min="10" max="10"/>
    <col width="10" customWidth="1" min="11" max="11"/>
    <col width="14" customWidth="1" min="12" max="12"/>
    <col width="10" customWidth="1" min="13" max="13"/>
    <col width="14" customWidth="1" min="14" max="14"/>
    <col width="10" customWidth="1" min="15" max="15"/>
    <col width="14" customWidth="1" min="16" max="16"/>
    <col width="10" customWidth="1" min="17" max="17"/>
    <col width="14" customWidth="1" min="18" max="18"/>
    <col width="10" customWidth="1" min="19" max="19"/>
    <col width="14" customWidth="1" min="20" max="20"/>
    <col width="10" customWidth="1" min="21" max="21"/>
    <col width="14" customWidth="1" min="22" max="22"/>
    <col width="10" customWidth="1" min="23" max="23"/>
    <col width="14" customWidth="1" min="24" max="24"/>
    <col width="10" customWidth="1" min="25" max="25"/>
    <col width="14" customWidth="1" min="26" max="26"/>
    <col width="10" customWidth="1" min="27" max="27"/>
    <col width="14" customWidth="1" min="28" max="28"/>
    <col width="10" customWidth="1" min="29" max="29"/>
    <col width="14" customWidth="1" min="30" max="30"/>
    <col width="10" customWidth="1" min="31" max="31"/>
    <col width="14" customWidth="1" min="32" max="32"/>
    <col width="10" customWidth="1" min="33" max="33"/>
    <col width="14" customWidth="1" min="34" max="34"/>
  </cols>
  <sheetData>
    <row r="2">
      <c r="B2" s="8" t="inlineStr">
        <is>
          <t>Flokkun starfsmanna</t>
        </is>
      </c>
    </row>
    <row r="3">
      <c r="B3" s="9" t="inlineStr">
        <is>
          <t>Gefðu hverjum starfsmanni þrep á persónubundnum undirviðmiðum. Stigafjöldi er reiknaður sjálfvirkt: stig = (þrep / fjöldi þrepa) × vægi × KVARÐI.</t>
        </is>
      </c>
    </row>
    <row r="4" hidden="1">
      <c r="D4" s="34">
        <f t="array" ref="D4">IFERROR(SMALL(IF(Undirviðmið!$G$6:$G$45="Persónubundinn",ROW(Undirviðmið!$G$6:$G$45)-5),1),0)</f>
        <v/>
      </c>
      <c r="F4" s="34">
        <f t="array" ref="F4">IFERROR(SMALL(IF(Undirviðmið!$G$6:$G$45="Persónubundinn",ROW(Undirviðmið!$G$6:$G$45)-5),2),0)</f>
        <v/>
      </c>
      <c r="H4" s="34">
        <f t="array" ref="H4">IFERROR(SMALL(IF(Undirviðmið!$G$6:$G$45="Persónubundinn",ROW(Undirviðmið!$G$6:$G$45)-5),3),0)</f>
        <v/>
      </c>
      <c r="J4" s="34">
        <f t="array" ref="J4">IFERROR(SMALL(IF(Undirviðmið!$G$6:$G$45="Persónubundinn",ROW(Undirviðmið!$G$6:$G$45)-5),4),0)</f>
        <v/>
      </c>
      <c r="L4" s="34">
        <f t="array" ref="L4">IFERROR(SMALL(IF(Undirviðmið!$G$6:$G$45="Persónubundinn",ROW(Undirviðmið!$G$6:$G$45)-5),5),0)</f>
        <v/>
      </c>
      <c r="N4" s="34">
        <f t="array" ref="N4">IFERROR(SMALL(IF(Undirviðmið!$G$6:$G$45="Persónubundinn",ROW(Undirviðmið!$G$6:$G$45)-5),6),0)</f>
        <v/>
      </c>
      <c r="P4" s="34">
        <f t="array" ref="P4">IFERROR(SMALL(IF(Undirviðmið!$G$6:$G$45="Persónubundinn",ROW(Undirviðmið!$G$6:$G$45)-5),7),0)</f>
        <v/>
      </c>
      <c r="R4" s="34">
        <f t="array" ref="R4">IFERROR(SMALL(IF(Undirviðmið!$G$6:$G$45="Persónubundinn",ROW(Undirviðmið!$G$6:$G$45)-5),8),0)</f>
        <v/>
      </c>
      <c r="T4" s="34">
        <f t="array" ref="T4">IFERROR(SMALL(IF(Undirviðmið!$G$6:$G$45="Persónubundinn",ROW(Undirviðmið!$G$6:$G$45)-5),9),0)</f>
        <v/>
      </c>
      <c r="V4" s="34">
        <f t="array" ref="V4">IFERROR(SMALL(IF(Undirviðmið!$G$6:$G$45="Persónubundinn",ROW(Undirviðmið!$G$6:$G$45)-5),10),0)</f>
        <v/>
      </c>
      <c r="X4" s="34">
        <f t="array" ref="X4">IFERROR(SMALL(IF(Undirviðmið!$G$6:$G$45="Persónubundinn",ROW(Undirviðmið!$G$6:$G$45)-5),11),0)</f>
        <v/>
      </c>
      <c r="Z4" s="34">
        <f t="array" ref="Z4">IFERROR(SMALL(IF(Undirviðmið!$G$6:$G$45="Persónubundinn",ROW(Undirviðmið!$G$6:$G$45)-5),12),0)</f>
        <v/>
      </c>
      <c r="AB4" s="34">
        <f t="array" ref="AB4">IFERROR(SMALL(IF(Undirviðmið!$G$6:$G$45="Persónubundinn",ROW(Undirviðmið!$G$6:$G$45)-5),13),0)</f>
        <v/>
      </c>
      <c r="AD4" s="34">
        <f t="array" ref="AD4">IFERROR(SMALL(IF(Undirviðmið!$G$6:$G$45="Persónubundinn",ROW(Undirviðmið!$G$6:$G$45)-5),14),0)</f>
        <v/>
      </c>
      <c r="AF4" s="34">
        <f t="array" ref="AF4">IFERROR(SMALL(IF(Undirviðmið!$G$6:$G$45="Persónubundinn",ROW(Undirviðmið!$G$6:$G$45)-5),15),0)</f>
        <v/>
      </c>
    </row>
    <row r="5" ht="40" customHeight="1">
      <c r="A5" s="10" t="inlineStr">
        <is>
          <t>#</t>
        </is>
      </c>
      <c r="B5" s="10" t="inlineStr">
        <is>
          <t>Nafn</t>
        </is>
      </c>
      <c r="C5" s="10" t="inlineStr">
        <is>
          <t>Starf</t>
        </is>
      </c>
      <c r="D5" s="35">
        <f>IF(D$4=0,"",INDEX(Undirviðmið!$C$6:$C$45,D$4))</f>
        <v/>
      </c>
      <c r="E5" s="27" t="n"/>
      <c r="F5" s="35">
        <f>IF(F$4=0,"",INDEX(Undirviðmið!$C$6:$C$45,F$4))</f>
        <v/>
      </c>
      <c r="G5" s="27" t="n"/>
      <c r="H5" s="35">
        <f>IF(H$4=0,"",INDEX(Undirviðmið!$C$6:$C$45,H$4))</f>
        <v/>
      </c>
      <c r="I5" s="27" t="n"/>
      <c r="J5" s="35">
        <f>IF(J$4=0,"",INDEX(Undirviðmið!$C$6:$C$45,J$4))</f>
        <v/>
      </c>
      <c r="K5" s="27" t="n"/>
      <c r="L5" s="35">
        <f>IF(L$4=0,"",INDEX(Undirviðmið!$C$6:$C$45,L$4))</f>
        <v/>
      </c>
      <c r="M5" s="27" t="n"/>
      <c r="N5" s="35">
        <f>IF(N$4=0,"",INDEX(Undirviðmið!$C$6:$C$45,N$4))</f>
        <v/>
      </c>
      <c r="O5" s="27" t="n"/>
      <c r="P5" s="35">
        <f>IF(P$4=0,"",INDEX(Undirviðmið!$C$6:$C$45,P$4))</f>
        <v/>
      </c>
      <c r="Q5" s="27" t="n"/>
      <c r="R5" s="35">
        <f>IF(R$4=0,"",INDEX(Undirviðmið!$C$6:$C$45,R$4))</f>
        <v/>
      </c>
      <c r="S5" s="27" t="n"/>
      <c r="T5" s="35">
        <f>IF(T$4=0,"",INDEX(Undirviðmið!$C$6:$C$45,T$4))</f>
        <v/>
      </c>
      <c r="U5" s="27" t="n"/>
      <c r="V5" s="35">
        <f>IF(V$4=0,"",INDEX(Undirviðmið!$C$6:$C$45,V$4))</f>
        <v/>
      </c>
      <c r="W5" s="27" t="n"/>
      <c r="X5" s="35">
        <f>IF(X$4=0,"",INDEX(Undirviðmið!$C$6:$C$45,X$4))</f>
        <v/>
      </c>
      <c r="Y5" s="27" t="n"/>
      <c r="Z5" s="35">
        <f>IF(Z$4=0,"",INDEX(Undirviðmið!$C$6:$C$45,Z$4))</f>
        <v/>
      </c>
      <c r="AA5" s="27" t="n"/>
      <c r="AB5" s="35">
        <f>IF(AB$4=0,"",INDEX(Undirviðmið!$C$6:$C$45,AB$4))</f>
        <v/>
      </c>
      <c r="AC5" s="27" t="n"/>
      <c r="AD5" s="35">
        <f>IF(AD$4=0,"",INDEX(Undirviðmið!$C$6:$C$45,AD$4))</f>
        <v/>
      </c>
      <c r="AE5" s="27" t="n"/>
      <c r="AF5" s="35">
        <f>IF(AF$4=0,"",INDEX(Undirviðmið!$C$6:$C$45,AF$4))</f>
        <v/>
      </c>
      <c r="AG5" s="27" t="n"/>
      <c r="AH5" s="10" t="inlineStr">
        <is>
          <t>Samtals pers. stig</t>
        </is>
      </c>
    </row>
    <row r="6" ht="20" customHeight="1">
      <c r="A6" s="28" t="inlineStr"/>
      <c r="B6" s="28" t="inlineStr"/>
      <c r="C6" s="28" t="inlineStr"/>
      <c r="D6" s="29">
        <f>IF(D$4=0,"","Þrep")</f>
        <v/>
      </c>
      <c r="E6" s="29">
        <f>IF(D$4=0,"","Stig")</f>
        <v/>
      </c>
      <c r="F6" s="29">
        <f>IF(F$4=0,"","Þrep")</f>
        <v/>
      </c>
      <c r="G6" s="29">
        <f>IF(F$4=0,"","Stig")</f>
        <v/>
      </c>
      <c r="H6" s="29">
        <f>IF(H$4=0,"","Þrep")</f>
        <v/>
      </c>
      <c r="I6" s="29">
        <f>IF(H$4=0,"","Stig")</f>
        <v/>
      </c>
      <c r="J6" s="29">
        <f>IF(J$4=0,"","Þrep")</f>
        <v/>
      </c>
      <c r="K6" s="29">
        <f>IF(J$4=0,"","Stig")</f>
        <v/>
      </c>
      <c r="L6" s="29">
        <f>IF(L$4=0,"","Þrep")</f>
        <v/>
      </c>
      <c r="M6" s="29">
        <f>IF(L$4=0,"","Stig")</f>
        <v/>
      </c>
      <c r="N6" s="29">
        <f>IF(N$4=0,"","Þrep")</f>
        <v/>
      </c>
      <c r="O6" s="29">
        <f>IF(N$4=0,"","Stig")</f>
        <v/>
      </c>
      <c r="P6" s="29">
        <f>IF(P$4=0,"","Þrep")</f>
        <v/>
      </c>
      <c r="Q6" s="29">
        <f>IF(P$4=0,"","Stig")</f>
        <v/>
      </c>
      <c r="R6" s="29">
        <f>IF(R$4=0,"","Þrep")</f>
        <v/>
      </c>
      <c r="S6" s="29">
        <f>IF(R$4=0,"","Stig")</f>
        <v/>
      </c>
      <c r="T6" s="29">
        <f>IF(T$4=0,"","Þrep")</f>
        <v/>
      </c>
      <c r="U6" s="29">
        <f>IF(T$4=0,"","Stig")</f>
        <v/>
      </c>
      <c r="V6" s="29">
        <f>IF(V$4=0,"","Þrep")</f>
        <v/>
      </c>
      <c r="W6" s="29">
        <f>IF(V$4=0,"","Stig")</f>
        <v/>
      </c>
      <c r="X6" s="29">
        <f>IF(X$4=0,"","Þrep")</f>
        <v/>
      </c>
      <c r="Y6" s="29">
        <f>IF(X$4=0,"","Stig")</f>
        <v/>
      </c>
      <c r="Z6" s="29">
        <f>IF(Z$4=0,"","Þrep")</f>
        <v/>
      </c>
      <c r="AA6" s="29">
        <f>IF(Z$4=0,"","Stig")</f>
        <v/>
      </c>
      <c r="AB6" s="29">
        <f>IF(AB$4=0,"","Þrep")</f>
        <v/>
      </c>
      <c r="AC6" s="29">
        <f>IF(AB$4=0,"","Stig")</f>
        <v/>
      </c>
      <c r="AD6" s="29">
        <f>IF(AD$4=0,"","Þrep")</f>
        <v/>
      </c>
      <c r="AE6" s="29">
        <f>IF(AD$4=0,"","Stig")</f>
        <v/>
      </c>
      <c r="AF6" s="29">
        <f>IF(AF$4=0,"","Þrep")</f>
        <v/>
      </c>
      <c r="AG6" s="29">
        <f>IF(AF$4=0,"","Stig")</f>
        <v/>
      </c>
      <c r="AH6" s="36" t="n"/>
    </row>
    <row r="7">
      <c r="A7" s="19" t="n">
        <v>1</v>
      </c>
      <c r="B7" s="21">
        <f>IF(Starfsmenn!$B$6="","",Starfsmenn!$B$6)</f>
        <v/>
      </c>
      <c r="C7" s="21">
        <f>IF(Starfsmenn!$C$6="","",Starfsmenn!$C$6)</f>
        <v/>
      </c>
      <c r="D7" s="20" t="n"/>
      <c r="E7" s="31">
        <f>IF(OR(D$4=0,D7=""),"",IFERROR(ROUND(D7/INDEX(Undirviðmið!$F$6:$F$45,D$4)*INDEX(Undirviðmið!$E$6:$E$45,D$4)*KVARDI,2),""))</f>
        <v/>
      </c>
      <c r="F7" s="20" t="n"/>
      <c r="G7" s="31">
        <f>IF(OR(F$4=0,F7=""),"",IFERROR(ROUND(F7/INDEX(Undirviðmið!$F$6:$F$45,F$4)*INDEX(Undirviðmið!$E$6:$E$45,F$4)*KVARDI,2),""))</f>
        <v/>
      </c>
      <c r="H7" s="20" t="n"/>
      <c r="I7" s="31">
        <f>IF(OR(H$4=0,H7=""),"",IFERROR(ROUND(H7/INDEX(Undirviðmið!$F$6:$F$45,H$4)*INDEX(Undirviðmið!$E$6:$E$45,H$4)*KVARDI,2),""))</f>
        <v/>
      </c>
      <c r="J7" s="20" t="n"/>
      <c r="K7" s="31">
        <f>IF(OR(J$4=0,J7=""),"",IFERROR(ROUND(J7/INDEX(Undirviðmið!$F$6:$F$45,J$4)*INDEX(Undirviðmið!$E$6:$E$45,J$4)*KVARDI,2),""))</f>
        <v/>
      </c>
      <c r="L7" s="20" t="n"/>
      <c r="M7" s="31">
        <f>IF(OR(L$4=0,L7=""),"",IFERROR(ROUND(L7/INDEX(Undirviðmið!$F$6:$F$45,L$4)*INDEX(Undirviðmið!$E$6:$E$45,L$4)*KVARDI,2),""))</f>
        <v/>
      </c>
      <c r="N7" s="20" t="n"/>
      <c r="O7" s="31">
        <f>IF(OR(N$4=0,N7=""),"",IFERROR(ROUND(N7/INDEX(Undirviðmið!$F$6:$F$45,N$4)*INDEX(Undirviðmið!$E$6:$E$45,N$4)*KVARDI,2),""))</f>
        <v/>
      </c>
      <c r="P7" s="20" t="n"/>
      <c r="Q7" s="31">
        <f>IF(OR(P$4=0,P7=""),"",IFERROR(ROUND(P7/INDEX(Undirviðmið!$F$6:$F$45,P$4)*INDEX(Undirviðmið!$E$6:$E$45,P$4)*KVARDI,2),""))</f>
        <v/>
      </c>
      <c r="R7" s="20" t="n"/>
      <c r="S7" s="31">
        <f>IF(OR(R$4=0,R7=""),"",IFERROR(ROUND(R7/INDEX(Undirviðmið!$F$6:$F$45,R$4)*INDEX(Undirviðmið!$E$6:$E$45,R$4)*KVARDI,2),""))</f>
        <v/>
      </c>
      <c r="T7" s="20" t="n"/>
      <c r="U7" s="31">
        <f>IF(OR(T$4=0,T7=""),"",IFERROR(ROUND(T7/INDEX(Undirviðmið!$F$6:$F$45,T$4)*INDEX(Undirviðmið!$E$6:$E$45,T$4)*KVARDI,2),""))</f>
        <v/>
      </c>
      <c r="V7" s="20" t="n"/>
      <c r="W7" s="31">
        <f>IF(OR(V$4=0,V7=""),"",IFERROR(ROUND(V7/INDEX(Undirviðmið!$F$6:$F$45,V$4)*INDEX(Undirviðmið!$E$6:$E$45,V$4)*KVARDI,2),""))</f>
        <v/>
      </c>
      <c r="X7" s="20" t="n"/>
      <c r="Y7" s="31">
        <f>IF(OR(X$4=0,X7=""),"",IFERROR(ROUND(X7/INDEX(Undirviðmið!$F$6:$F$45,X$4)*INDEX(Undirviðmið!$E$6:$E$45,X$4)*KVARDI,2),""))</f>
        <v/>
      </c>
      <c r="Z7" s="20" t="n"/>
      <c r="AA7" s="31">
        <f>IF(OR(Z$4=0,Z7=""),"",IFERROR(ROUND(Z7/INDEX(Undirviðmið!$F$6:$F$45,Z$4)*INDEX(Undirviðmið!$E$6:$E$45,Z$4)*KVARDI,2),""))</f>
        <v/>
      </c>
      <c r="AB7" s="20" t="n"/>
      <c r="AC7" s="31">
        <f>IF(OR(AB$4=0,AB7=""),"",IFERROR(ROUND(AB7/INDEX(Undirviðmið!$F$6:$F$45,AB$4)*INDEX(Undirviðmið!$E$6:$E$45,AB$4)*KVARDI,2),""))</f>
        <v/>
      </c>
      <c r="AD7" s="20" t="n"/>
      <c r="AE7" s="31">
        <f>IF(OR(AD$4=0,AD7=""),"",IFERROR(ROUND(AD7/INDEX(Undirviðmið!$F$6:$F$45,AD$4)*INDEX(Undirviðmið!$E$6:$E$45,AD$4)*KVARDI,2),""))</f>
        <v/>
      </c>
      <c r="AF7" s="20" t="n"/>
      <c r="AG7" s="31">
        <f>IF(OR(AF$4=0,AF7=""),"",IFERROR(ROUND(AF7/INDEX(Undirviðmið!$F$6:$F$45,AF$4)*INDEX(Undirviðmið!$E$6:$E$45,AF$4)*KVARDI,2),""))</f>
        <v/>
      </c>
      <c r="AH7" s="37">
        <f>IFERROR(SUM(E7,G7,I7,K7,M7,O7,Q7,S7,U7,W7,Y7,AA7,AC7,AE7,AG7),0)</f>
        <v/>
      </c>
    </row>
    <row r="8">
      <c r="A8" s="19" t="n">
        <v>2</v>
      </c>
      <c r="B8" s="21">
        <f>IF(Starfsmenn!$B$7="","",Starfsmenn!$B$7)</f>
        <v/>
      </c>
      <c r="C8" s="21">
        <f>IF(Starfsmenn!$C$7="","",Starfsmenn!$C$7)</f>
        <v/>
      </c>
      <c r="D8" s="20" t="n"/>
      <c r="E8" s="31">
        <f>IF(OR(D$4=0,D8=""),"",IFERROR(ROUND(D8/INDEX(Undirviðmið!$F$6:$F$45,D$4)*INDEX(Undirviðmið!$E$6:$E$45,D$4)*KVARDI,2),""))</f>
        <v/>
      </c>
      <c r="F8" s="20" t="n"/>
      <c r="G8" s="31">
        <f>IF(OR(F$4=0,F8=""),"",IFERROR(ROUND(F8/INDEX(Undirviðmið!$F$6:$F$45,F$4)*INDEX(Undirviðmið!$E$6:$E$45,F$4)*KVARDI,2),""))</f>
        <v/>
      </c>
      <c r="H8" s="20" t="n"/>
      <c r="I8" s="31">
        <f>IF(OR(H$4=0,H8=""),"",IFERROR(ROUND(H8/INDEX(Undirviðmið!$F$6:$F$45,H$4)*INDEX(Undirviðmið!$E$6:$E$45,H$4)*KVARDI,2),""))</f>
        <v/>
      </c>
      <c r="J8" s="20" t="n"/>
      <c r="K8" s="31">
        <f>IF(OR(J$4=0,J8=""),"",IFERROR(ROUND(J8/INDEX(Undirviðmið!$F$6:$F$45,J$4)*INDEX(Undirviðmið!$E$6:$E$45,J$4)*KVARDI,2),""))</f>
        <v/>
      </c>
      <c r="L8" s="20" t="n"/>
      <c r="M8" s="31">
        <f>IF(OR(L$4=0,L8=""),"",IFERROR(ROUND(L8/INDEX(Undirviðmið!$F$6:$F$45,L$4)*INDEX(Undirviðmið!$E$6:$E$45,L$4)*KVARDI,2),""))</f>
        <v/>
      </c>
      <c r="N8" s="20" t="n"/>
      <c r="O8" s="31">
        <f>IF(OR(N$4=0,N8=""),"",IFERROR(ROUND(N8/INDEX(Undirviðmið!$F$6:$F$45,N$4)*INDEX(Undirviðmið!$E$6:$E$45,N$4)*KVARDI,2),""))</f>
        <v/>
      </c>
      <c r="P8" s="20" t="n"/>
      <c r="Q8" s="31">
        <f>IF(OR(P$4=0,P8=""),"",IFERROR(ROUND(P8/INDEX(Undirviðmið!$F$6:$F$45,P$4)*INDEX(Undirviðmið!$E$6:$E$45,P$4)*KVARDI,2),""))</f>
        <v/>
      </c>
      <c r="R8" s="20" t="n"/>
      <c r="S8" s="31">
        <f>IF(OR(R$4=0,R8=""),"",IFERROR(ROUND(R8/INDEX(Undirviðmið!$F$6:$F$45,R$4)*INDEX(Undirviðmið!$E$6:$E$45,R$4)*KVARDI,2),""))</f>
        <v/>
      </c>
      <c r="T8" s="20" t="n"/>
      <c r="U8" s="31">
        <f>IF(OR(T$4=0,T8=""),"",IFERROR(ROUND(T8/INDEX(Undirviðmið!$F$6:$F$45,T$4)*INDEX(Undirviðmið!$E$6:$E$45,T$4)*KVARDI,2),""))</f>
        <v/>
      </c>
      <c r="V8" s="20" t="n"/>
      <c r="W8" s="31">
        <f>IF(OR(V$4=0,V8=""),"",IFERROR(ROUND(V8/INDEX(Undirviðmið!$F$6:$F$45,V$4)*INDEX(Undirviðmið!$E$6:$E$45,V$4)*KVARDI,2),""))</f>
        <v/>
      </c>
      <c r="X8" s="20" t="n"/>
      <c r="Y8" s="31">
        <f>IF(OR(X$4=0,X8=""),"",IFERROR(ROUND(X8/INDEX(Undirviðmið!$F$6:$F$45,X$4)*INDEX(Undirviðmið!$E$6:$E$45,X$4)*KVARDI,2),""))</f>
        <v/>
      </c>
      <c r="Z8" s="20" t="n"/>
      <c r="AA8" s="31">
        <f>IF(OR(Z$4=0,Z8=""),"",IFERROR(ROUND(Z8/INDEX(Undirviðmið!$F$6:$F$45,Z$4)*INDEX(Undirviðmið!$E$6:$E$45,Z$4)*KVARDI,2),""))</f>
        <v/>
      </c>
      <c r="AB8" s="20" t="n"/>
      <c r="AC8" s="31">
        <f>IF(OR(AB$4=0,AB8=""),"",IFERROR(ROUND(AB8/INDEX(Undirviðmið!$F$6:$F$45,AB$4)*INDEX(Undirviðmið!$E$6:$E$45,AB$4)*KVARDI,2),""))</f>
        <v/>
      </c>
      <c r="AD8" s="20" t="n"/>
      <c r="AE8" s="31">
        <f>IF(OR(AD$4=0,AD8=""),"",IFERROR(ROUND(AD8/INDEX(Undirviðmið!$F$6:$F$45,AD$4)*INDEX(Undirviðmið!$E$6:$E$45,AD$4)*KVARDI,2),""))</f>
        <v/>
      </c>
      <c r="AF8" s="20" t="n"/>
      <c r="AG8" s="31">
        <f>IF(OR(AF$4=0,AF8=""),"",IFERROR(ROUND(AF8/INDEX(Undirviðmið!$F$6:$F$45,AF$4)*INDEX(Undirviðmið!$E$6:$E$45,AF$4)*KVARDI,2),""))</f>
        <v/>
      </c>
      <c r="AH8" s="37">
        <f>IFERROR(SUM(E8,G8,I8,K8,M8,O8,Q8,S8,U8,W8,Y8,AA8,AC8,AE8,AG8),0)</f>
        <v/>
      </c>
    </row>
    <row r="9">
      <c r="A9" s="19" t="n">
        <v>3</v>
      </c>
      <c r="B9" s="21">
        <f>IF(Starfsmenn!$B$8="","",Starfsmenn!$B$8)</f>
        <v/>
      </c>
      <c r="C9" s="21">
        <f>IF(Starfsmenn!$C$8="","",Starfsmenn!$C$8)</f>
        <v/>
      </c>
      <c r="D9" s="20" t="n"/>
      <c r="E9" s="31">
        <f>IF(OR(D$4=0,D9=""),"",IFERROR(ROUND(D9/INDEX(Undirviðmið!$F$6:$F$45,D$4)*INDEX(Undirviðmið!$E$6:$E$45,D$4)*KVARDI,2),""))</f>
        <v/>
      </c>
      <c r="F9" s="20" t="n"/>
      <c r="G9" s="31">
        <f>IF(OR(F$4=0,F9=""),"",IFERROR(ROUND(F9/INDEX(Undirviðmið!$F$6:$F$45,F$4)*INDEX(Undirviðmið!$E$6:$E$45,F$4)*KVARDI,2),""))</f>
        <v/>
      </c>
      <c r="H9" s="20" t="n"/>
      <c r="I9" s="31">
        <f>IF(OR(H$4=0,H9=""),"",IFERROR(ROUND(H9/INDEX(Undirviðmið!$F$6:$F$45,H$4)*INDEX(Undirviðmið!$E$6:$E$45,H$4)*KVARDI,2),""))</f>
        <v/>
      </c>
      <c r="J9" s="20" t="n"/>
      <c r="K9" s="31">
        <f>IF(OR(J$4=0,J9=""),"",IFERROR(ROUND(J9/INDEX(Undirviðmið!$F$6:$F$45,J$4)*INDEX(Undirviðmið!$E$6:$E$45,J$4)*KVARDI,2),""))</f>
        <v/>
      </c>
      <c r="L9" s="20" t="n"/>
      <c r="M9" s="31">
        <f>IF(OR(L$4=0,L9=""),"",IFERROR(ROUND(L9/INDEX(Undirviðmið!$F$6:$F$45,L$4)*INDEX(Undirviðmið!$E$6:$E$45,L$4)*KVARDI,2),""))</f>
        <v/>
      </c>
      <c r="N9" s="20" t="n"/>
      <c r="O9" s="31">
        <f>IF(OR(N$4=0,N9=""),"",IFERROR(ROUND(N9/INDEX(Undirviðmið!$F$6:$F$45,N$4)*INDEX(Undirviðmið!$E$6:$E$45,N$4)*KVARDI,2),""))</f>
        <v/>
      </c>
      <c r="P9" s="20" t="n"/>
      <c r="Q9" s="31">
        <f>IF(OR(P$4=0,P9=""),"",IFERROR(ROUND(P9/INDEX(Undirviðmið!$F$6:$F$45,P$4)*INDEX(Undirviðmið!$E$6:$E$45,P$4)*KVARDI,2),""))</f>
        <v/>
      </c>
      <c r="R9" s="20" t="n"/>
      <c r="S9" s="31">
        <f>IF(OR(R$4=0,R9=""),"",IFERROR(ROUND(R9/INDEX(Undirviðmið!$F$6:$F$45,R$4)*INDEX(Undirviðmið!$E$6:$E$45,R$4)*KVARDI,2),""))</f>
        <v/>
      </c>
      <c r="T9" s="20" t="n"/>
      <c r="U9" s="31">
        <f>IF(OR(T$4=0,T9=""),"",IFERROR(ROUND(T9/INDEX(Undirviðmið!$F$6:$F$45,T$4)*INDEX(Undirviðmið!$E$6:$E$45,T$4)*KVARDI,2),""))</f>
        <v/>
      </c>
      <c r="V9" s="20" t="n"/>
      <c r="W9" s="31">
        <f>IF(OR(V$4=0,V9=""),"",IFERROR(ROUND(V9/INDEX(Undirviðmið!$F$6:$F$45,V$4)*INDEX(Undirviðmið!$E$6:$E$45,V$4)*KVARDI,2),""))</f>
        <v/>
      </c>
      <c r="X9" s="20" t="n"/>
      <c r="Y9" s="31">
        <f>IF(OR(X$4=0,X9=""),"",IFERROR(ROUND(X9/INDEX(Undirviðmið!$F$6:$F$45,X$4)*INDEX(Undirviðmið!$E$6:$E$45,X$4)*KVARDI,2),""))</f>
        <v/>
      </c>
      <c r="Z9" s="20" t="n"/>
      <c r="AA9" s="31">
        <f>IF(OR(Z$4=0,Z9=""),"",IFERROR(ROUND(Z9/INDEX(Undirviðmið!$F$6:$F$45,Z$4)*INDEX(Undirviðmið!$E$6:$E$45,Z$4)*KVARDI,2),""))</f>
        <v/>
      </c>
      <c r="AB9" s="20" t="n"/>
      <c r="AC9" s="31">
        <f>IF(OR(AB$4=0,AB9=""),"",IFERROR(ROUND(AB9/INDEX(Undirviðmið!$F$6:$F$45,AB$4)*INDEX(Undirviðmið!$E$6:$E$45,AB$4)*KVARDI,2),""))</f>
        <v/>
      </c>
      <c r="AD9" s="20" t="n"/>
      <c r="AE9" s="31">
        <f>IF(OR(AD$4=0,AD9=""),"",IFERROR(ROUND(AD9/INDEX(Undirviðmið!$F$6:$F$45,AD$4)*INDEX(Undirviðmið!$E$6:$E$45,AD$4)*KVARDI,2),""))</f>
        <v/>
      </c>
      <c r="AF9" s="20" t="n"/>
      <c r="AG9" s="31">
        <f>IF(OR(AF$4=0,AF9=""),"",IFERROR(ROUND(AF9/INDEX(Undirviðmið!$F$6:$F$45,AF$4)*INDEX(Undirviðmið!$E$6:$E$45,AF$4)*KVARDI,2),""))</f>
        <v/>
      </c>
      <c r="AH9" s="37">
        <f>IFERROR(SUM(E9,G9,I9,K9,M9,O9,Q9,S9,U9,W9,Y9,AA9,AC9,AE9,AG9),0)</f>
        <v/>
      </c>
    </row>
    <row r="10">
      <c r="A10" s="19" t="n">
        <v>4</v>
      </c>
      <c r="B10" s="21">
        <f>IF(Starfsmenn!$B$9="","",Starfsmenn!$B$9)</f>
        <v/>
      </c>
      <c r="C10" s="21">
        <f>IF(Starfsmenn!$C$9="","",Starfsmenn!$C$9)</f>
        <v/>
      </c>
      <c r="D10" s="20" t="n"/>
      <c r="E10" s="31">
        <f>IF(OR(D$4=0,D10=""),"",IFERROR(ROUND(D10/INDEX(Undirviðmið!$F$6:$F$45,D$4)*INDEX(Undirviðmið!$E$6:$E$45,D$4)*KVARDI,2),""))</f>
        <v/>
      </c>
      <c r="F10" s="20" t="n"/>
      <c r="G10" s="31">
        <f>IF(OR(F$4=0,F10=""),"",IFERROR(ROUND(F10/INDEX(Undirviðmið!$F$6:$F$45,F$4)*INDEX(Undirviðmið!$E$6:$E$45,F$4)*KVARDI,2),""))</f>
        <v/>
      </c>
      <c r="H10" s="20" t="n"/>
      <c r="I10" s="31">
        <f>IF(OR(H$4=0,H10=""),"",IFERROR(ROUND(H10/INDEX(Undirviðmið!$F$6:$F$45,H$4)*INDEX(Undirviðmið!$E$6:$E$45,H$4)*KVARDI,2),""))</f>
        <v/>
      </c>
      <c r="J10" s="20" t="n"/>
      <c r="K10" s="31">
        <f>IF(OR(J$4=0,J10=""),"",IFERROR(ROUND(J10/INDEX(Undirviðmið!$F$6:$F$45,J$4)*INDEX(Undirviðmið!$E$6:$E$45,J$4)*KVARDI,2),""))</f>
        <v/>
      </c>
      <c r="L10" s="20" t="n"/>
      <c r="M10" s="31">
        <f>IF(OR(L$4=0,L10=""),"",IFERROR(ROUND(L10/INDEX(Undirviðmið!$F$6:$F$45,L$4)*INDEX(Undirviðmið!$E$6:$E$45,L$4)*KVARDI,2),""))</f>
        <v/>
      </c>
      <c r="N10" s="20" t="n"/>
      <c r="O10" s="31">
        <f>IF(OR(N$4=0,N10=""),"",IFERROR(ROUND(N10/INDEX(Undirviðmið!$F$6:$F$45,N$4)*INDEX(Undirviðmið!$E$6:$E$45,N$4)*KVARDI,2),""))</f>
        <v/>
      </c>
      <c r="P10" s="20" t="n"/>
      <c r="Q10" s="31">
        <f>IF(OR(P$4=0,P10=""),"",IFERROR(ROUND(P10/INDEX(Undirviðmið!$F$6:$F$45,P$4)*INDEX(Undirviðmið!$E$6:$E$45,P$4)*KVARDI,2),""))</f>
        <v/>
      </c>
      <c r="R10" s="20" t="n"/>
      <c r="S10" s="31">
        <f>IF(OR(R$4=0,R10=""),"",IFERROR(ROUND(R10/INDEX(Undirviðmið!$F$6:$F$45,R$4)*INDEX(Undirviðmið!$E$6:$E$45,R$4)*KVARDI,2),""))</f>
        <v/>
      </c>
      <c r="T10" s="20" t="n"/>
      <c r="U10" s="31">
        <f>IF(OR(T$4=0,T10=""),"",IFERROR(ROUND(T10/INDEX(Undirviðmið!$F$6:$F$45,T$4)*INDEX(Undirviðmið!$E$6:$E$45,T$4)*KVARDI,2),""))</f>
        <v/>
      </c>
      <c r="V10" s="20" t="n"/>
      <c r="W10" s="31">
        <f>IF(OR(V$4=0,V10=""),"",IFERROR(ROUND(V10/INDEX(Undirviðmið!$F$6:$F$45,V$4)*INDEX(Undirviðmið!$E$6:$E$45,V$4)*KVARDI,2),""))</f>
        <v/>
      </c>
      <c r="X10" s="20" t="n"/>
      <c r="Y10" s="31">
        <f>IF(OR(X$4=0,X10=""),"",IFERROR(ROUND(X10/INDEX(Undirviðmið!$F$6:$F$45,X$4)*INDEX(Undirviðmið!$E$6:$E$45,X$4)*KVARDI,2),""))</f>
        <v/>
      </c>
      <c r="Z10" s="20" t="n"/>
      <c r="AA10" s="31">
        <f>IF(OR(Z$4=0,Z10=""),"",IFERROR(ROUND(Z10/INDEX(Undirviðmið!$F$6:$F$45,Z$4)*INDEX(Undirviðmið!$E$6:$E$45,Z$4)*KVARDI,2),""))</f>
        <v/>
      </c>
      <c r="AB10" s="20" t="n"/>
      <c r="AC10" s="31">
        <f>IF(OR(AB$4=0,AB10=""),"",IFERROR(ROUND(AB10/INDEX(Undirviðmið!$F$6:$F$45,AB$4)*INDEX(Undirviðmið!$E$6:$E$45,AB$4)*KVARDI,2),""))</f>
        <v/>
      </c>
      <c r="AD10" s="20" t="n"/>
      <c r="AE10" s="31">
        <f>IF(OR(AD$4=0,AD10=""),"",IFERROR(ROUND(AD10/INDEX(Undirviðmið!$F$6:$F$45,AD$4)*INDEX(Undirviðmið!$E$6:$E$45,AD$4)*KVARDI,2),""))</f>
        <v/>
      </c>
      <c r="AF10" s="20" t="n"/>
      <c r="AG10" s="31">
        <f>IF(OR(AF$4=0,AF10=""),"",IFERROR(ROUND(AF10/INDEX(Undirviðmið!$F$6:$F$45,AF$4)*INDEX(Undirviðmið!$E$6:$E$45,AF$4)*KVARDI,2),""))</f>
        <v/>
      </c>
      <c r="AH10" s="37">
        <f>IFERROR(SUM(E10,G10,I10,K10,M10,O10,Q10,S10,U10,W10,Y10,AA10,AC10,AE10,AG10),0)</f>
        <v/>
      </c>
    </row>
    <row r="11">
      <c r="A11" s="19" t="n">
        <v>5</v>
      </c>
      <c r="B11" s="21">
        <f>IF(Starfsmenn!$B$10="","",Starfsmenn!$B$10)</f>
        <v/>
      </c>
      <c r="C11" s="21">
        <f>IF(Starfsmenn!$C$10="","",Starfsmenn!$C$10)</f>
        <v/>
      </c>
      <c r="D11" s="20" t="n"/>
      <c r="E11" s="31">
        <f>IF(OR(D$4=0,D11=""),"",IFERROR(ROUND(D11/INDEX(Undirviðmið!$F$6:$F$45,D$4)*INDEX(Undirviðmið!$E$6:$E$45,D$4)*KVARDI,2),""))</f>
        <v/>
      </c>
      <c r="F11" s="20" t="n"/>
      <c r="G11" s="31">
        <f>IF(OR(F$4=0,F11=""),"",IFERROR(ROUND(F11/INDEX(Undirviðmið!$F$6:$F$45,F$4)*INDEX(Undirviðmið!$E$6:$E$45,F$4)*KVARDI,2),""))</f>
        <v/>
      </c>
      <c r="H11" s="20" t="n"/>
      <c r="I11" s="31">
        <f>IF(OR(H$4=0,H11=""),"",IFERROR(ROUND(H11/INDEX(Undirviðmið!$F$6:$F$45,H$4)*INDEX(Undirviðmið!$E$6:$E$45,H$4)*KVARDI,2),""))</f>
        <v/>
      </c>
      <c r="J11" s="20" t="n"/>
      <c r="K11" s="31">
        <f>IF(OR(J$4=0,J11=""),"",IFERROR(ROUND(J11/INDEX(Undirviðmið!$F$6:$F$45,J$4)*INDEX(Undirviðmið!$E$6:$E$45,J$4)*KVARDI,2),""))</f>
        <v/>
      </c>
      <c r="L11" s="20" t="n"/>
      <c r="M11" s="31">
        <f>IF(OR(L$4=0,L11=""),"",IFERROR(ROUND(L11/INDEX(Undirviðmið!$F$6:$F$45,L$4)*INDEX(Undirviðmið!$E$6:$E$45,L$4)*KVARDI,2),""))</f>
        <v/>
      </c>
      <c r="N11" s="20" t="n"/>
      <c r="O11" s="31">
        <f>IF(OR(N$4=0,N11=""),"",IFERROR(ROUND(N11/INDEX(Undirviðmið!$F$6:$F$45,N$4)*INDEX(Undirviðmið!$E$6:$E$45,N$4)*KVARDI,2),""))</f>
        <v/>
      </c>
      <c r="P11" s="20" t="n"/>
      <c r="Q11" s="31">
        <f>IF(OR(P$4=0,P11=""),"",IFERROR(ROUND(P11/INDEX(Undirviðmið!$F$6:$F$45,P$4)*INDEX(Undirviðmið!$E$6:$E$45,P$4)*KVARDI,2),""))</f>
        <v/>
      </c>
      <c r="R11" s="20" t="n"/>
      <c r="S11" s="31">
        <f>IF(OR(R$4=0,R11=""),"",IFERROR(ROUND(R11/INDEX(Undirviðmið!$F$6:$F$45,R$4)*INDEX(Undirviðmið!$E$6:$E$45,R$4)*KVARDI,2),""))</f>
        <v/>
      </c>
      <c r="T11" s="20" t="n"/>
      <c r="U11" s="31">
        <f>IF(OR(T$4=0,T11=""),"",IFERROR(ROUND(T11/INDEX(Undirviðmið!$F$6:$F$45,T$4)*INDEX(Undirviðmið!$E$6:$E$45,T$4)*KVARDI,2),""))</f>
        <v/>
      </c>
      <c r="V11" s="20" t="n"/>
      <c r="W11" s="31">
        <f>IF(OR(V$4=0,V11=""),"",IFERROR(ROUND(V11/INDEX(Undirviðmið!$F$6:$F$45,V$4)*INDEX(Undirviðmið!$E$6:$E$45,V$4)*KVARDI,2),""))</f>
        <v/>
      </c>
      <c r="X11" s="20" t="n"/>
      <c r="Y11" s="31">
        <f>IF(OR(X$4=0,X11=""),"",IFERROR(ROUND(X11/INDEX(Undirviðmið!$F$6:$F$45,X$4)*INDEX(Undirviðmið!$E$6:$E$45,X$4)*KVARDI,2),""))</f>
        <v/>
      </c>
      <c r="Z11" s="20" t="n"/>
      <c r="AA11" s="31">
        <f>IF(OR(Z$4=0,Z11=""),"",IFERROR(ROUND(Z11/INDEX(Undirviðmið!$F$6:$F$45,Z$4)*INDEX(Undirviðmið!$E$6:$E$45,Z$4)*KVARDI,2),""))</f>
        <v/>
      </c>
      <c r="AB11" s="20" t="n"/>
      <c r="AC11" s="31">
        <f>IF(OR(AB$4=0,AB11=""),"",IFERROR(ROUND(AB11/INDEX(Undirviðmið!$F$6:$F$45,AB$4)*INDEX(Undirviðmið!$E$6:$E$45,AB$4)*KVARDI,2),""))</f>
        <v/>
      </c>
      <c r="AD11" s="20" t="n"/>
      <c r="AE11" s="31">
        <f>IF(OR(AD$4=0,AD11=""),"",IFERROR(ROUND(AD11/INDEX(Undirviðmið!$F$6:$F$45,AD$4)*INDEX(Undirviðmið!$E$6:$E$45,AD$4)*KVARDI,2),""))</f>
        <v/>
      </c>
      <c r="AF11" s="20" t="n"/>
      <c r="AG11" s="31">
        <f>IF(OR(AF$4=0,AF11=""),"",IFERROR(ROUND(AF11/INDEX(Undirviðmið!$F$6:$F$45,AF$4)*INDEX(Undirviðmið!$E$6:$E$45,AF$4)*KVARDI,2),""))</f>
        <v/>
      </c>
      <c r="AH11" s="37">
        <f>IFERROR(SUM(E11,G11,I11,K11,M11,O11,Q11,S11,U11,W11,Y11,AA11,AC11,AE11,AG11),0)</f>
        <v/>
      </c>
    </row>
    <row r="12">
      <c r="A12" s="19" t="n">
        <v>6</v>
      </c>
      <c r="B12" s="21">
        <f>IF(Starfsmenn!$B$11="","",Starfsmenn!$B$11)</f>
        <v/>
      </c>
      <c r="C12" s="21">
        <f>IF(Starfsmenn!$C$11="","",Starfsmenn!$C$11)</f>
        <v/>
      </c>
      <c r="D12" s="20" t="n"/>
      <c r="E12" s="31">
        <f>IF(OR(D$4=0,D12=""),"",IFERROR(ROUND(D12/INDEX(Undirviðmið!$F$6:$F$45,D$4)*INDEX(Undirviðmið!$E$6:$E$45,D$4)*KVARDI,2),""))</f>
        <v/>
      </c>
      <c r="F12" s="20" t="n"/>
      <c r="G12" s="31">
        <f>IF(OR(F$4=0,F12=""),"",IFERROR(ROUND(F12/INDEX(Undirviðmið!$F$6:$F$45,F$4)*INDEX(Undirviðmið!$E$6:$E$45,F$4)*KVARDI,2),""))</f>
        <v/>
      </c>
      <c r="H12" s="20" t="n"/>
      <c r="I12" s="31">
        <f>IF(OR(H$4=0,H12=""),"",IFERROR(ROUND(H12/INDEX(Undirviðmið!$F$6:$F$45,H$4)*INDEX(Undirviðmið!$E$6:$E$45,H$4)*KVARDI,2),""))</f>
        <v/>
      </c>
      <c r="J12" s="20" t="n"/>
      <c r="K12" s="31">
        <f>IF(OR(J$4=0,J12=""),"",IFERROR(ROUND(J12/INDEX(Undirviðmið!$F$6:$F$45,J$4)*INDEX(Undirviðmið!$E$6:$E$45,J$4)*KVARDI,2),""))</f>
        <v/>
      </c>
      <c r="L12" s="20" t="n"/>
      <c r="M12" s="31">
        <f>IF(OR(L$4=0,L12=""),"",IFERROR(ROUND(L12/INDEX(Undirviðmið!$F$6:$F$45,L$4)*INDEX(Undirviðmið!$E$6:$E$45,L$4)*KVARDI,2),""))</f>
        <v/>
      </c>
      <c r="N12" s="20" t="n"/>
      <c r="O12" s="31">
        <f>IF(OR(N$4=0,N12=""),"",IFERROR(ROUND(N12/INDEX(Undirviðmið!$F$6:$F$45,N$4)*INDEX(Undirviðmið!$E$6:$E$45,N$4)*KVARDI,2),""))</f>
        <v/>
      </c>
      <c r="P12" s="20" t="n"/>
      <c r="Q12" s="31">
        <f>IF(OR(P$4=0,P12=""),"",IFERROR(ROUND(P12/INDEX(Undirviðmið!$F$6:$F$45,P$4)*INDEX(Undirviðmið!$E$6:$E$45,P$4)*KVARDI,2),""))</f>
        <v/>
      </c>
      <c r="R12" s="20" t="n"/>
      <c r="S12" s="31">
        <f>IF(OR(R$4=0,R12=""),"",IFERROR(ROUND(R12/INDEX(Undirviðmið!$F$6:$F$45,R$4)*INDEX(Undirviðmið!$E$6:$E$45,R$4)*KVARDI,2),""))</f>
        <v/>
      </c>
      <c r="T12" s="20" t="n"/>
      <c r="U12" s="31">
        <f>IF(OR(T$4=0,T12=""),"",IFERROR(ROUND(T12/INDEX(Undirviðmið!$F$6:$F$45,T$4)*INDEX(Undirviðmið!$E$6:$E$45,T$4)*KVARDI,2),""))</f>
        <v/>
      </c>
      <c r="V12" s="20" t="n"/>
      <c r="W12" s="31">
        <f>IF(OR(V$4=0,V12=""),"",IFERROR(ROUND(V12/INDEX(Undirviðmið!$F$6:$F$45,V$4)*INDEX(Undirviðmið!$E$6:$E$45,V$4)*KVARDI,2),""))</f>
        <v/>
      </c>
      <c r="X12" s="20" t="n"/>
      <c r="Y12" s="31">
        <f>IF(OR(X$4=0,X12=""),"",IFERROR(ROUND(X12/INDEX(Undirviðmið!$F$6:$F$45,X$4)*INDEX(Undirviðmið!$E$6:$E$45,X$4)*KVARDI,2),""))</f>
        <v/>
      </c>
      <c r="Z12" s="20" t="n"/>
      <c r="AA12" s="31">
        <f>IF(OR(Z$4=0,Z12=""),"",IFERROR(ROUND(Z12/INDEX(Undirviðmið!$F$6:$F$45,Z$4)*INDEX(Undirviðmið!$E$6:$E$45,Z$4)*KVARDI,2),""))</f>
        <v/>
      </c>
      <c r="AB12" s="20" t="n"/>
      <c r="AC12" s="31">
        <f>IF(OR(AB$4=0,AB12=""),"",IFERROR(ROUND(AB12/INDEX(Undirviðmið!$F$6:$F$45,AB$4)*INDEX(Undirviðmið!$E$6:$E$45,AB$4)*KVARDI,2),""))</f>
        <v/>
      </c>
      <c r="AD12" s="20" t="n"/>
      <c r="AE12" s="31">
        <f>IF(OR(AD$4=0,AD12=""),"",IFERROR(ROUND(AD12/INDEX(Undirviðmið!$F$6:$F$45,AD$4)*INDEX(Undirviðmið!$E$6:$E$45,AD$4)*KVARDI,2),""))</f>
        <v/>
      </c>
      <c r="AF12" s="20" t="n"/>
      <c r="AG12" s="31">
        <f>IF(OR(AF$4=0,AF12=""),"",IFERROR(ROUND(AF12/INDEX(Undirviðmið!$F$6:$F$45,AF$4)*INDEX(Undirviðmið!$E$6:$E$45,AF$4)*KVARDI,2),""))</f>
        <v/>
      </c>
      <c r="AH12" s="37">
        <f>IFERROR(SUM(E12,G12,I12,K12,M12,O12,Q12,S12,U12,W12,Y12,AA12,AC12,AE12,AG12),0)</f>
        <v/>
      </c>
    </row>
    <row r="13">
      <c r="A13" s="19" t="n">
        <v>7</v>
      </c>
      <c r="B13" s="21">
        <f>IF(Starfsmenn!$B$12="","",Starfsmenn!$B$12)</f>
        <v/>
      </c>
      <c r="C13" s="21">
        <f>IF(Starfsmenn!$C$12="","",Starfsmenn!$C$12)</f>
        <v/>
      </c>
      <c r="D13" s="20" t="n"/>
      <c r="E13" s="31">
        <f>IF(OR(D$4=0,D13=""),"",IFERROR(ROUND(D13/INDEX(Undirviðmið!$F$6:$F$45,D$4)*INDEX(Undirviðmið!$E$6:$E$45,D$4)*KVARDI,2),""))</f>
        <v/>
      </c>
      <c r="F13" s="20" t="n"/>
      <c r="G13" s="31">
        <f>IF(OR(F$4=0,F13=""),"",IFERROR(ROUND(F13/INDEX(Undirviðmið!$F$6:$F$45,F$4)*INDEX(Undirviðmið!$E$6:$E$45,F$4)*KVARDI,2),""))</f>
        <v/>
      </c>
      <c r="H13" s="20" t="n"/>
      <c r="I13" s="31">
        <f>IF(OR(H$4=0,H13=""),"",IFERROR(ROUND(H13/INDEX(Undirviðmið!$F$6:$F$45,H$4)*INDEX(Undirviðmið!$E$6:$E$45,H$4)*KVARDI,2),""))</f>
        <v/>
      </c>
      <c r="J13" s="20" t="n"/>
      <c r="K13" s="31">
        <f>IF(OR(J$4=0,J13=""),"",IFERROR(ROUND(J13/INDEX(Undirviðmið!$F$6:$F$45,J$4)*INDEX(Undirviðmið!$E$6:$E$45,J$4)*KVARDI,2),""))</f>
        <v/>
      </c>
      <c r="L13" s="20" t="n"/>
      <c r="M13" s="31">
        <f>IF(OR(L$4=0,L13=""),"",IFERROR(ROUND(L13/INDEX(Undirviðmið!$F$6:$F$45,L$4)*INDEX(Undirviðmið!$E$6:$E$45,L$4)*KVARDI,2),""))</f>
        <v/>
      </c>
      <c r="N13" s="20" t="n"/>
      <c r="O13" s="31">
        <f>IF(OR(N$4=0,N13=""),"",IFERROR(ROUND(N13/INDEX(Undirviðmið!$F$6:$F$45,N$4)*INDEX(Undirviðmið!$E$6:$E$45,N$4)*KVARDI,2),""))</f>
        <v/>
      </c>
      <c r="P13" s="20" t="n"/>
      <c r="Q13" s="31">
        <f>IF(OR(P$4=0,P13=""),"",IFERROR(ROUND(P13/INDEX(Undirviðmið!$F$6:$F$45,P$4)*INDEX(Undirviðmið!$E$6:$E$45,P$4)*KVARDI,2),""))</f>
        <v/>
      </c>
      <c r="R13" s="20" t="n"/>
      <c r="S13" s="31">
        <f>IF(OR(R$4=0,R13=""),"",IFERROR(ROUND(R13/INDEX(Undirviðmið!$F$6:$F$45,R$4)*INDEX(Undirviðmið!$E$6:$E$45,R$4)*KVARDI,2),""))</f>
        <v/>
      </c>
      <c r="T13" s="20" t="n"/>
      <c r="U13" s="31">
        <f>IF(OR(T$4=0,T13=""),"",IFERROR(ROUND(T13/INDEX(Undirviðmið!$F$6:$F$45,T$4)*INDEX(Undirviðmið!$E$6:$E$45,T$4)*KVARDI,2),""))</f>
        <v/>
      </c>
      <c r="V13" s="20" t="n"/>
      <c r="W13" s="31">
        <f>IF(OR(V$4=0,V13=""),"",IFERROR(ROUND(V13/INDEX(Undirviðmið!$F$6:$F$45,V$4)*INDEX(Undirviðmið!$E$6:$E$45,V$4)*KVARDI,2),""))</f>
        <v/>
      </c>
      <c r="X13" s="20" t="n"/>
      <c r="Y13" s="31">
        <f>IF(OR(X$4=0,X13=""),"",IFERROR(ROUND(X13/INDEX(Undirviðmið!$F$6:$F$45,X$4)*INDEX(Undirviðmið!$E$6:$E$45,X$4)*KVARDI,2),""))</f>
        <v/>
      </c>
      <c r="Z13" s="20" t="n"/>
      <c r="AA13" s="31">
        <f>IF(OR(Z$4=0,Z13=""),"",IFERROR(ROUND(Z13/INDEX(Undirviðmið!$F$6:$F$45,Z$4)*INDEX(Undirviðmið!$E$6:$E$45,Z$4)*KVARDI,2),""))</f>
        <v/>
      </c>
      <c r="AB13" s="20" t="n"/>
      <c r="AC13" s="31">
        <f>IF(OR(AB$4=0,AB13=""),"",IFERROR(ROUND(AB13/INDEX(Undirviðmið!$F$6:$F$45,AB$4)*INDEX(Undirviðmið!$E$6:$E$45,AB$4)*KVARDI,2),""))</f>
        <v/>
      </c>
      <c r="AD13" s="20" t="n"/>
      <c r="AE13" s="31">
        <f>IF(OR(AD$4=0,AD13=""),"",IFERROR(ROUND(AD13/INDEX(Undirviðmið!$F$6:$F$45,AD$4)*INDEX(Undirviðmið!$E$6:$E$45,AD$4)*KVARDI,2),""))</f>
        <v/>
      </c>
      <c r="AF13" s="20" t="n"/>
      <c r="AG13" s="31">
        <f>IF(OR(AF$4=0,AF13=""),"",IFERROR(ROUND(AF13/INDEX(Undirviðmið!$F$6:$F$45,AF$4)*INDEX(Undirviðmið!$E$6:$E$45,AF$4)*KVARDI,2),""))</f>
        <v/>
      </c>
      <c r="AH13" s="37">
        <f>IFERROR(SUM(E13,G13,I13,K13,M13,O13,Q13,S13,U13,W13,Y13,AA13,AC13,AE13,AG13),0)</f>
        <v/>
      </c>
    </row>
    <row r="14">
      <c r="A14" s="19" t="n">
        <v>8</v>
      </c>
      <c r="B14" s="21">
        <f>IF(Starfsmenn!$B$13="","",Starfsmenn!$B$13)</f>
        <v/>
      </c>
      <c r="C14" s="21">
        <f>IF(Starfsmenn!$C$13="","",Starfsmenn!$C$13)</f>
        <v/>
      </c>
      <c r="D14" s="20" t="n"/>
      <c r="E14" s="31">
        <f>IF(OR(D$4=0,D14=""),"",IFERROR(ROUND(D14/INDEX(Undirviðmið!$F$6:$F$45,D$4)*INDEX(Undirviðmið!$E$6:$E$45,D$4)*KVARDI,2),""))</f>
        <v/>
      </c>
      <c r="F14" s="20" t="n"/>
      <c r="G14" s="31">
        <f>IF(OR(F$4=0,F14=""),"",IFERROR(ROUND(F14/INDEX(Undirviðmið!$F$6:$F$45,F$4)*INDEX(Undirviðmið!$E$6:$E$45,F$4)*KVARDI,2),""))</f>
        <v/>
      </c>
      <c r="H14" s="20" t="n"/>
      <c r="I14" s="31">
        <f>IF(OR(H$4=0,H14=""),"",IFERROR(ROUND(H14/INDEX(Undirviðmið!$F$6:$F$45,H$4)*INDEX(Undirviðmið!$E$6:$E$45,H$4)*KVARDI,2),""))</f>
        <v/>
      </c>
      <c r="J14" s="20" t="n"/>
      <c r="K14" s="31">
        <f>IF(OR(J$4=0,J14=""),"",IFERROR(ROUND(J14/INDEX(Undirviðmið!$F$6:$F$45,J$4)*INDEX(Undirviðmið!$E$6:$E$45,J$4)*KVARDI,2),""))</f>
        <v/>
      </c>
      <c r="L14" s="20" t="n"/>
      <c r="M14" s="31">
        <f>IF(OR(L$4=0,L14=""),"",IFERROR(ROUND(L14/INDEX(Undirviðmið!$F$6:$F$45,L$4)*INDEX(Undirviðmið!$E$6:$E$45,L$4)*KVARDI,2),""))</f>
        <v/>
      </c>
      <c r="N14" s="20" t="n"/>
      <c r="O14" s="31">
        <f>IF(OR(N$4=0,N14=""),"",IFERROR(ROUND(N14/INDEX(Undirviðmið!$F$6:$F$45,N$4)*INDEX(Undirviðmið!$E$6:$E$45,N$4)*KVARDI,2),""))</f>
        <v/>
      </c>
      <c r="P14" s="20" t="n"/>
      <c r="Q14" s="31">
        <f>IF(OR(P$4=0,P14=""),"",IFERROR(ROUND(P14/INDEX(Undirviðmið!$F$6:$F$45,P$4)*INDEX(Undirviðmið!$E$6:$E$45,P$4)*KVARDI,2),""))</f>
        <v/>
      </c>
      <c r="R14" s="20" t="n"/>
      <c r="S14" s="31">
        <f>IF(OR(R$4=0,R14=""),"",IFERROR(ROUND(R14/INDEX(Undirviðmið!$F$6:$F$45,R$4)*INDEX(Undirviðmið!$E$6:$E$45,R$4)*KVARDI,2),""))</f>
        <v/>
      </c>
      <c r="T14" s="20" t="n"/>
      <c r="U14" s="31">
        <f>IF(OR(T$4=0,T14=""),"",IFERROR(ROUND(T14/INDEX(Undirviðmið!$F$6:$F$45,T$4)*INDEX(Undirviðmið!$E$6:$E$45,T$4)*KVARDI,2),""))</f>
        <v/>
      </c>
      <c r="V14" s="20" t="n"/>
      <c r="W14" s="31">
        <f>IF(OR(V$4=0,V14=""),"",IFERROR(ROUND(V14/INDEX(Undirviðmið!$F$6:$F$45,V$4)*INDEX(Undirviðmið!$E$6:$E$45,V$4)*KVARDI,2),""))</f>
        <v/>
      </c>
      <c r="X14" s="20" t="n"/>
      <c r="Y14" s="31">
        <f>IF(OR(X$4=0,X14=""),"",IFERROR(ROUND(X14/INDEX(Undirviðmið!$F$6:$F$45,X$4)*INDEX(Undirviðmið!$E$6:$E$45,X$4)*KVARDI,2),""))</f>
        <v/>
      </c>
      <c r="Z14" s="20" t="n"/>
      <c r="AA14" s="31">
        <f>IF(OR(Z$4=0,Z14=""),"",IFERROR(ROUND(Z14/INDEX(Undirviðmið!$F$6:$F$45,Z$4)*INDEX(Undirviðmið!$E$6:$E$45,Z$4)*KVARDI,2),""))</f>
        <v/>
      </c>
      <c r="AB14" s="20" t="n"/>
      <c r="AC14" s="31">
        <f>IF(OR(AB$4=0,AB14=""),"",IFERROR(ROUND(AB14/INDEX(Undirviðmið!$F$6:$F$45,AB$4)*INDEX(Undirviðmið!$E$6:$E$45,AB$4)*KVARDI,2),""))</f>
        <v/>
      </c>
      <c r="AD14" s="20" t="n"/>
      <c r="AE14" s="31">
        <f>IF(OR(AD$4=0,AD14=""),"",IFERROR(ROUND(AD14/INDEX(Undirviðmið!$F$6:$F$45,AD$4)*INDEX(Undirviðmið!$E$6:$E$45,AD$4)*KVARDI,2),""))</f>
        <v/>
      </c>
      <c r="AF14" s="20" t="n"/>
      <c r="AG14" s="31">
        <f>IF(OR(AF$4=0,AF14=""),"",IFERROR(ROUND(AF14/INDEX(Undirviðmið!$F$6:$F$45,AF$4)*INDEX(Undirviðmið!$E$6:$E$45,AF$4)*KVARDI,2),""))</f>
        <v/>
      </c>
      <c r="AH14" s="37">
        <f>IFERROR(SUM(E14,G14,I14,K14,M14,O14,Q14,S14,U14,W14,Y14,AA14,AC14,AE14,AG14),0)</f>
        <v/>
      </c>
    </row>
    <row r="15">
      <c r="A15" s="19" t="n">
        <v>9</v>
      </c>
      <c r="B15" s="21">
        <f>IF(Starfsmenn!$B$14="","",Starfsmenn!$B$14)</f>
        <v/>
      </c>
      <c r="C15" s="21">
        <f>IF(Starfsmenn!$C$14="","",Starfsmenn!$C$14)</f>
        <v/>
      </c>
      <c r="D15" s="20" t="n"/>
      <c r="E15" s="31">
        <f>IF(OR(D$4=0,D15=""),"",IFERROR(ROUND(D15/INDEX(Undirviðmið!$F$6:$F$45,D$4)*INDEX(Undirviðmið!$E$6:$E$45,D$4)*KVARDI,2),""))</f>
        <v/>
      </c>
      <c r="F15" s="20" t="n"/>
      <c r="G15" s="31">
        <f>IF(OR(F$4=0,F15=""),"",IFERROR(ROUND(F15/INDEX(Undirviðmið!$F$6:$F$45,F$4)*INDEX(Undirviðmið!$E$6:$E$45,F$4)*KVARDI,2),""))</f>
        <v/>
      </c>
      <c r="H15" s="20" t="n"/>
      <c r="I15" s="31">
        <f>IF(OR(H$4=0,H15=""),"",IFERROR(ROUND(H15/INDEX(Undirviðmið!$F$6:$F$45,H$4)*INDEX(Undirviðmið!$E$6:$E$45,H$4)*KVARDI,2),""))</f>
        <v/>
      </c>
      <c r="J15" s="20" t="n"/>
      <c r="K15" s="31">
        <f>IF(OR(J$4=0,J15=""),"",IFERROR(ROUND(J15/INDEX(Undirviðmið!$F$6:$F$45,J$4)*INDEX(Undirviðmið!$E$6:$E$45,J$4)*KVARDI,2),""))</f>
        <v/>
      </c>
      <c r="L15" s="20" t="n"/>
      <c r="M15" s="31">
        <f>IF(OR(L$4=0,L15=""),"",IFERROR(ROUND(L15/INDEX(Undirviðmið!$F$6:$F$45,L$4)*INDEX(Undirviðmið!$E$6:$E$45,L$4)*KVARDI,2),""))</f>
        <v/>
      </c>
      <c r="N15" s="20" t="n"/>
      <c r="O15" s="31">
        <f>IF(OR(N$4=0,N15=""),"",IFERROR(ROUND(N15/INDEX(Undirviðmið!$F$6:$F$45,N$4)*INDEX(Undirviðmið!$E$6:$E$45,N$4)*KVARDI,2),""))</f>
        <v/>
      </c>
      <c r="P15" s="20" t="n"/>
      <c r="Q15" s="31">
        <f>IF(OR(P$4=0,P15=""),"",IFERROR(ROUND(P15/INDEX(Undirviðmið!$F$6:$F$45,P$4)*INDEX(Undirviðmið!$E$6:$E$45,P$4)*KVARDI,2),""))</f>
        <v/>
      </c>
      <c r="R15" s="20" t="n"/>
      <c r="S15" s="31">
        <f>IF(OR(R$4=0,R15=""),"",IFERROR(ROUND(R15/INDEX(Undirviðmið!$F$6:$F$45,R$4)*INDEX(Undirviðmið!$E$6:$E$45,R$4)*KVARDI,2),""))</f>
        <v/>
      </c>
      <c r="T15" s="20" t="n"/>
      <c r="U15" s="31">
        <f>IF(OR(T$4=0,T15=""),"",IFERROR(ROUND(T15/INDEX(Undirviðmið!$F$6:$F$45,T$4)*INDEX(Undirviðmið!$E$6:$E$45,T$4)*KVARDI,2),""))</f>
        <v/>
      </c>
      <c r="V15" s="20" t="n"/>
      <c r="W15" s="31">
        <f>IF(OR(V$4=0,V15=""),"",IFERROR(ROUND(V15/INDEX(Undirviðmið!$F$6:$F$45,V$4)*INDEX(Undirviðmið!$E$6:$E$45,V$4)*KVARDI,2),""))</f>
        <v/>
      </c>
      <c r="X15" s="20" t="n"/>
      <c r="Y15" s="31">
        <f>IF(OR(X$4=0,X15=""),"",IFERROR(ROUND(X15/INDEX(Undirviðmið!$F$6:$F$45,X$4)*INDEX(Undirviðmið!$E$6:$E$45,X$4)*KVARDI,2),""))</f>
        <v/>
      </c>
      <c r="Z15" s="20" t="n"/>
      <c r="AA15" s="31">
        <f>IF(OR(Z$4=0,Z15=""),"",IFERROR(ROUND(Z15/INDEX(Undirviðmið!$F$6:$F$45,Z$4)*INDEX(Undirviðmið!$E$6:$E$45,Z$4)*KVARDI,2),""))</f>
        <v/>
      </c>
      <c r="AB15" s="20" t="n"/>
      <c r="AC15" s="31">
        <f>IF(OR(AB$4=0,AB15=""),"",IFERROR(ROUND(AB15/INDEX(Undirviðmið!$F$6:$F$45,AB$4)*INDEX(Undirviðmið!$E$6:$E$45,AB$4)*KVARDI,2),""))</f>
        <v/>
      </c>
      <c r="AD15" s="20" t="n"/>
      <c r="AE15" s="31">
        <f>IF(OR(AD$4=0,AD15=""),"",IFERROR(ROUND(AD15/INDEX(Undirviðmið!$F$6:$F$45,AD$4)*INDEX(Undirviðmið!$E$6:$E$45,AD$4)*KVARDI,2),""))</f>
        <v/>
      </c>
      <c r="AF15" s="20" t="n"/>
      <c r="AG15" s="31">
        <f>IF(OR(AF$4=0,AF15=""),"",IFERROR(ROUND(AF15/INDEX(Undirviðmið!$F$6:$F$45,AF$4)*INDEX(Undirviðmið!$E$6:$E$45,AF$4)*KVARDI,2),""))</f>
        <v/>
      </c>
      <c r="AH15" s="37">
        <f>IFERROR(SUM(E15,G15,I15,K15,M15,O15,Q15,S15,U15,W15,Y15,AA15,AC15,AE15,AG15),0)</f>
        <v/>
      </c>
    </row>
    <row r="16">
      <c r="A16" s="19" t="n">
        <v>10</v>
      </c>
      <c r="B16" s="21">
        <f>IF(Starfsmenn!$B$15="","",Starfsmenn!$B$15)</f>
        <v/>
      </c>
      <c r="C16" s="21">
        <f>IF(Starfsmenn!$C$15="","",Starfsmenn!$C$15)</f>
        <v/>
      </c>
      <c r="D16" s="20" t="n"/>
      <c r="E16" s="31">
        <f>IF(OR(D$4=0,D16=""),"",IFERROR(ROUND(D16/INDEX(Undirviðmið!$F$6:$F$45,D$4)*INDEX(Undirviðmið!$E$6:$E$45,D$4)*KVARDI,2),""))</f>
        <v/>
      </c>
      <c r="F16" s="20" t="n"/>
      <c r="G16" s="31">
        <f>IF(OR(F$4=0,F16=""),"",IFERROR(ROUND(F16/INDEX(Undirviðmið!$F$6:$F$45,F$4)*INDEX(Undirviðmið!$E$6:$E$45,F$4)*KVARDI,2),""))</f>
        <v/>
      </c>
      <c r="H16" s="20" t="n"/>
      <c r="I16" s="31">
        <f>IF(OR(H$4=0,H16=""),"",IFERROR(ROUND(H16/INDEX(Undirviðmið!$F$6:$F$45,H$4)*INDEX(Undirviðmið!$E$6:$E$45,H$4)*KVARDI,2),""))</f>
        <v/>
      </c>
      <c r="J16" s="20" t="n"/>
      <c r="K16" s="31">
        <f>IF(OR(J$4=0,J16=""),"",IFERROR(ROUND(J16/INDEX(Undirviðmið!$F$6:$F$45,J$4)*INDEX(Undirviðmið!$E$6:$E$45,J$4)*KVARDI,2),""))</f>
        <v/>
      </c>
      <c r="L16" s="20" t="n"/>
      <c r="M16" s="31">
        <f>IF(OR(L$4=0,L16=""),"",IFERROR(ROUND(L16/INDEX(Undirviðmið!$F$6:$F$45,L$4)*INDEX(Undirviðmið!$E$6:$E$45,L$4)*KVARDI,2),""))</f>
        <v/>
      </c>
      <c r="N16" s="20" t="n"/>
      <c r="O16" s="31">
        <f>IF(OR(N$4=0,N16=""),"",IFERROR(ROUND(N16/INDEX(Undirviðmið!$F$6:$F$45,N$4)*INDEX(Undirviðmið!$E$6:$E$45,N$4)*KVARDI,2),""))</f>
        <v/>
      </c>
      <c r="P16" s="20" t="n"/>
      <c r="Q16" s="31">
        <f>IF(OR(P$4=0,P16=""),"",IFERROR(ROUND(P16/INDEX(Undirviðmið!$F$6:$F$45,P$4)*INDEX(Undirviðmið!$E$6:$E$45,P$4)*KVARDI,2),""))</f>
        <v/>
      </c>
      <c r="R16" s="20" t="n"/>
      <c r="S16" s="31">
        <f>IF(OR(R$4=0,R16=""),"",IFERROR(ROUND(R16/INDEX(Undirviðmið!$F$6:$F$45,R$4)*INDEX(Undirviðmið!$E$6:$E$45,R$4)*KVARDI,2),""))</f>
        <v/>
      </c>
      <c r="T16" s="20" t="n"/>
      <c r="U16" s="31">
        <f>IF(OR(T$4=0,T16=""),"",IFERROR(ROUND(T16/INDEX(Undirviðmið!$F$6:$F$45,T$4)*INDEX(Undirviðmið!$E$6:$E$45,T$4)*KVARDI,2),""))</f>
        <v/>
      </c>
      <c r="V16" s="20" t="n"/>
      <c r="W16" s="31">
        <f>IF(OR(V$4=0,V16=""),"",IFERROR(ROUND(V16/INDEX(Undirviðmið!$F$6:$F$45,V$4)*INDEX(Undirviðmið!$E$6:$E$45,V$4)*KVARDI,2),""))</f>
        <v/>
      </c>
      <c r="X16" s="20" t="n"/>
      <c r="Y16" s="31">
        <f>IF(OR(X$4=0,X16=""),"",IFERROR(ROUND(X16/INDEX(Undirviðmið!$F$6:$F$45,X$4)*INDEX(Undirviðmið!$E$6:$E$45,X$4)*KVARDI,2),""))</f>
        <v/>
      </c>
      <c r="Z16" s="20" t="n"/>
      <c r="AA16" s="31">
        <f>IF(OR(Z$4=0,Z16=""),"",IFERROR(ROUND(Z16/INDEX(Undirviðmið!$F$6:$F$45,Z$4)*INDEX(Undirviðmið!$E$6:$E$45,Z$4)*KVARDI,2),""))</f>
        <v/>
      </c>
      <c r="AB16" s="20" t="n"/>
      <c r="AC16" s="31">
        <f>IF(OR(AB$4=0,AB16=""),"",IFERROR(ROUND(AB16/INDEX(Undirviðmið!$F$6:$F$45,AB$4)*INDEX(Undirviðmið!$E$6:$E$45,AB$4)*KVARDI,2),""))</f>
        <v/>
      </c>
      <c r="AD16" s="20" t="n"/>
      <c r="AE16" s="31">
        <f>IF(OR(AD$4=0,AD16=""),"",IFERROR(ROUND(AD16/INDEX(Undirviðmið!$F$6:$F$45,AD$4)*INDEX(Undirviðmið!$E$6:$E$45,AD$4)*KVARDI,2),""))</f>
        <v/>
      </c>
      <c r="AF16" s="20" t="n"/>
      <c r="AG16" s="31">
        <f>IF(OR(AF$4=0,AF16=""),"",IFERROR(ROUND(AF16/INDEX(Undirviðmið!$F$6:$F$45,AF$4)*INDEX(Undirviðmið!$E$6:$E$45,AF$4)*KVARDI,2),""))</f>
        <v/>
      </c>
      <c r="AH16" s="37">
        <f>IFERROR(SUM(E16,G16,I16,K16,M16,O16,Q16,S16,U16,W16,Y16,AA16,AC16,AE16,AG16),0)</f>
        <v/>
      </c>
    </row>
    <row r="17">
      <c r="A17" s="19" t="n">
        <v>11</v>
      </c>
      <c r="B17" s="21">
        <f>IF(Starfsmenn!$B$16="","",Starfsmenn!$B$16)</f>
        <v/>
      </c>
      <c r="C17" s="21">
        <f>IF(Starfsmenn!$C$16="","",Starfsmenn!$C$16)</f>
        <v/>
      </c>
      <c r="D17" s="20" t="n"/>
      <c r="E17" s="31">
        <f>IF(OR(D$4=0,D17=""),"",IFERROR(ROUND(D17/INDEX(Undirviðmið!$F$6:$F$45,D$4)*INDEX(Undirviðmið!$E$6:$E$45,D$4)*KVARDI,2),""))</f>
        <v/>
      </c>
      <c r="F17" s="20" t="n"/>
      <c r="G17" s="31">
        <f>IF(OR(F$4=0,F17=""),"",IFERROR(ROUND(F17/INDEX(Undirviðmið!$F$6:$F$45,F$4)*INDEX(Undirviðmið!$E$6:$E$45,F$4)*KVARDI,2),""))</f>
        <v/>
      </c>
      <c r="H17" s="20" t="n"/>
      <c r="I17" s="31">
        <f>IF(OR(H$4=0,H17=""),"",IFERROR(ROUND(H17/INDEX(Undirviðmið!$F$6:$F$45,H$4)*INDEX(Undirviðmið!$E$6:$E$45,H$4)*KVARDI,2),""))</f>
        <v/>
      </c>
      <c r="J17" s="20" t="n"/>
      <c r="K17" s="31">
        <f>IF(OR(J$4=0,J17=""),"",IFERROR(ROUND(J17/INDEX(Undirviðmið!$F$6:$F$45,J$4)*INDEX(Undirviðmið!$E$6:$E$45,J$4)*KVARDI,2),""))</f>
        <v/>
      </c>
      <c r="L17" s="20" t="n"/>
      <c r="M17" s="31">
        <f>IF(OR(L$4=0,L17=""),"",IFERROR(ROUND(L17/INDEX(Undirviðmið!$F$6:$F$45,L$4)*INDEX(Undirviðmið!$E$6:$E$45,L$4)*KVARDI,2),""))</f>
        <v/>
      </c>
      <c r="N17" s="20" t="n"/>
      <c r="O17" s="31">
        <f>IF(OR(N$4=0,N17=""),"",IFERROR(ROUND(N17/INDEX(Undirviðmið!$F$6:$F$45,N$4)*INDEX(Undirviðmið!$E$6:$E$45,N$4)*KVARDI,2),""))</f>
        <v/>
      </c>
      <c r="P17" s="20" t="n"/>
      <c r="Q17" s="31">
        <f>IF(OR(P$4=0,P17=""),"",IFERROR(ROUND(P17/INDEX(Undirviðmið!$F$6:$F$45,P$4)*INDEX(Undirviðmið!$E$6:$E$45,P$4)*KVARDI,2),""))</f>
        <v/>
      </c>
      <c r="R17" s="20" t="n"/>
      <c r="S17" s="31">
        <f>IF(OR(R$4=0,R17=""),"",IFERROR(ROUND(R17/INDEX(Undirviðmið!$F$6:$F$45,R$4)*INDEX(Undirviðmið!$E$6:$E$45,R$4)*KVARDI,2),""))</f>
        <v/>
      </c>
      <c r="T17" s="20" t="n"/>
      <c r="U17" s="31">
        <f>IF(OR(T$4=0,T17=""),"",IFERROR(ROUND(T17/INDEX(Undirviðmið!$F$6:$F$45,T$4)*INDEX(Undirviðmið!$E$6:$E$45,T$4)*KVARDI,2),""))</f>
        <v/>
      </c>
      <c r="V17" s="20" t="n"/>
      <c r="W17" s="31">
        <f>IF(OR(V$4=0,V17=""),"",IFERROR(ROUND(V17/INDEX(Undirviðmið!$F$6:$F$45,V$4)*INDEX(Undirviðmið!$E$6:$E$45,V$4)*KVARDI,2),""))</f>
        <v/>
      </c>
      <c r="X17" s="20" t="n"/>
      <c r="Y17" s="31">
        <f>IF(OR(X$4=0,X17=""),"",IFERROR(ROUND(X17/INDEX(Undirviðmið!$F$6:$F$45,X$4)*INDEX(Undirviðmið!$E$6:$E$45,X$4)*KVARDI,2),""))</f>
        <v/>
      </c>
      <c r="Z17" s="20" t="n"/>
      <c r="AA17" s="31">
        <f>IF(OR(Z$4=0,Z17=""),"",IFERROR(ROUND(Z17/INDEX(Undirviðmið!$F$6:$F$45,Z$4)*INDEX(Undirviðmið!$E$6:$E$45,Z$4)*KVARDI,2),""))</f>
        <v/>
      </c>
      <c r="AB17" s="20" t="n"/>
      <c r="AC17" s="31">
        <f>IF(OR(AB$4=0,AB17=""),"",IFERROR(ROUND(AB17/INDEX(Undirviðmið!$F$6:$F$45,AB$4)*INDEX(Undirviðmið!$E$6:$E$45,AB$4)*KVARDI,2),""))</f>
        <v/>
      </c>
      <c r="AD17" s="20" t="n"/>
      <c r="AE17" s="31">
        <f>IF(OR(AD$4=0,AD17=""),"",IFERROR(ROUND(AD17/INDEX(Undirviðmið!$F$6:$F$45,AD$4)*INDEX(Undirviðmið!$E$6:$E$45,AD$4)*KVARDI,2),""))</f>
        <v/>
      </c>
      <c r="AF17" s="20" t="n"/>
      <c r="AG17" s="31">
        <f>IF(OR(AF$4=0,AF17=""),"",IFERROR(ROUND(AF17/INDEX(Undirviðmið!$F$6:$F$45,AF$4)*INDEX(Undirviðmið!$E$6:$E$45,AF$4)*KVARDI,2),""))</f>
        <v/>
      </c>
      <c r="AH17" s="37">
        <f>IFERROR(SUM(E17,G17,I17,K17,M17,O17,Q17,S17,U17,W17,Y17,AA17,AC17,AE17,AG17),0)</f>
        <v/>
      </c>
    </row>
    <row r="18">
      <c r="A18" s="19" t="n">
        <v>12</v>
      </c>
      <c r="B18" s="21">
        <f>IF(Starfsmenn!$B$17="","",Starfsmenn!$B$17)</f>
        <v/>
      </c>
      <c r="C18" s="21">
        <f>IF(Starfsmenn!$C$17="","",Starfsmenn!$C$17)</f>
        <v/>
      </c>
      <c r="D18" s="20" t="n"/>
      <c r="E18" s="31">
        <f>IF(OR(D$4=0,D18=""),"",IFERROR(ROUND(D18/INDEX(Undirviðmið!$F$6:$F$45,D$4)*INDEX(Undirviðmið!$E$6:$E$45,D$4)*KVARDI,2),""))</f>
        <v/>
      </c>
      <c r="F18" s="20" t="n"/>
      <c r="G18" s="31">
        <f>IF(OR(F$4=0,F18=""),"",IFERROR(ROUND(F18/INDEX(Undirviðmið!$F$6:$F$45,F$4)*INDEX(Undirviðmið!$E$6:$E$45,F$4)*KVARDI,2),""))</f>
        <v/>
      </c>
      <c r="H18" s="20" t="n"/>
      <c r="I18" s="31">
        <f>IF(OR(H$4=0,H18=""),"",IFERROR(ROUND(H18/INDEX(Undirviðmið!$F$6:$F$45,H$4)*INDEX(Undirviðmið!$E$6:$E$45,H$4)*KVARDI,2),""))</f>
        <v/>
      </c>
      <c r="J18" s="20" t="n"/>
      <c r="K18" s="31">
        <f>IF(OR(J$4=0,J18=""),"",IFERROR(ROUND(J18/INDEX(Undirviðmið!$F$6:$F$45,J$4)*INDEX(Undirviðmið!$E$6:$E$45,J$4)*KVARDI,2),""))</f>
        <v/>
      </c>
      <c r="L18" s="20" t="n"/>
      <c r="M18" s="31">
        <f>IF(OR(L$4=0,L18=""),"",IFERROR(ROUND(L18/INDEX(Undirviðmið!$F$6:$F$45,L$4)*INDEX(Undirviðmið!$E$6:$E$45,L$4)*KVARDI,2),""))</f>
        <v/>
      </c>
      <c r="N18" s="20" t="n"/>
      <c r="O18" s="31">
        <f>IF(OR(N$4=0,N18=""),"",IFERROR(ROUND(N18/INDEX(Undirviðmið!$F$6:$F$45,N$4)*INDEX(Undirviðmið!$E$6:$E$45,N$4)*KVARDI,2),""))</f>
        <v/>
      </c>
      <c r="P18" s="20" t="n"/>
      <c r="Q18" s="31">
        <f>IF(OR(P$4=0,P18=""),"",IFERROR(ROUND(P18/INDEX(Undirviðmið!$F$6:$F$45,P$4)*INDEX(Undirviðmið!$E$6:$E$45,P$4)*KVARDI,2),""))</f>
        <v/>
      </c>
      <c r="R18" s="20" t="n"/>
      <c r="S18" s="31">
        <f>IF(OR(R$4=0,R18=""),"",IFERROR(ROUND(R18/INDEX(Undirviðmið!$F$6:$F$45,R$4)*INDEX(Undirviðmið!$E$6:$E$45,R$4)*KVARDI,2),""))</f>
        <v/>
      </c>
      <c r="T18" s="20" t="n"/>
      <c r="U18" s="31">
        <f>IF(OR(T$4=0,T18=""),"",IFERROR(ROUND(T18/INDEX(Undirviðmið!$F$6:$F$45,T$4)*INDEX(Undirviðmið!$E$6:$E$45,T$4)*KVARDI,2),""))</f>
        <v/>
      </c>
      <c r="V18" s="20" t="n"/>
      <c r="W18" s="31">
        <f>IF(OR(V$4=0,V18=""),"",IFERROR(ROUND(V18/INDEX(Undirviðmið!$F$6:$F$45,V$4)*INDEX(Undirviðmið!$E$6:$E$45,V$4)*KVARDI,2),""))</f>
        <v/>
      </c>
      <c r="X18" s="20" t="n"/>
      <c r="Y18" s="31">
        <f>IF(OR(X$4=0,X18=""),"",IFERROR(ROUND(X18/INDEX(Undirviðmið!$F$6:$F$45,X$4)*INDEX(Undirviðmið!$E$6:$E$45,X$4)*KVARDI,2),""))</f>
        <v/>
      </c>
      <c r="Z18" s="20" t="n"/>
      <c r="AA18" s="31">
        <f>IF(OR(Z$4=0,Z18=""),"",IFERROR(ROUND(Z18/INDEX(Undirviðmið!$F$6:$F$45,Z$4)*INDEX(Undirviðmið!$E$6:$E$45,Z$4)*KVARDI,2),""))</f>
        <v/>
      </c>
      <c r="AB18" s="20" t="n"/>
      <c r="AC18" s="31">
        <f>IF(OR(AB$4=0,AB18=""),"",IFERROR(ROUND(AB18/INDEX(Undirviðmið!$F$6:$F$45,AB$4)*INDEX(Undirviðmið!$E$6:$E$45,AB$4)*KVARDI,2),""))</f>
        <v/>
      </c>
      <c r="AD18" s="20" t="n"/>
      <c r="AE18" s="31">
        <f>IF(OR(AD$4=0,AD18=""),"",IFERROR(ROUND(AD18/INDEX(Undirviðmið!$F$6:$F$45,AD$4)*INDEX(Undirviðmið!$E$6:$E$45,AD$4)*KVARDI,2),""))</f>
        <v/>
      </c>
      <c r="AF18" s="20" t="n"/>
      <c r="AG18" s="31">
        <f>IF(OR(AF$4=0,AF18=""),"",IFERROR(ROUND(AF18/INDEX(Undirviðmið!$F$6:$F$45,AF$4)*INDEX(Undirviðmið!$E$6:$E$45,AF$4)*KVARDI,2),""))</f>
        <v/>
      </c>
      <c r="AH18" s="37">
        <f>IFERROR(SUM(E18,G18,I18,K18,M18,O18,Q18,S18,U18,W18,Y18,AA18,AC18,AE18,AG18),0)</f>
        <v/>
      </c>
    </row>
    <row r="19">
      <c r="A19" s="19" t="n">
        <v>13</v>
      </c>
      <c r="B19" s="21">
        <f>IF(Starfsmenn!$B$18="","",Starfsmenn!$B$18)</f>
        <v/>
      </c>
      <c r="C19" s="21">
        <f>IF(Starfsmenn!$C$18="","",Starfsmenn!$C$18)</f>
        <v/>
      </c>
      <c r="D19" s="20" t="n"/>
      <c r="E19" s="31">
        <f>IF(OR(D$4=0,D19=""),"",IFERROR(ROUND(D19/INDEX(Undirviðmið!$F$6:$F$45,D$4)*INDEX(Undirviðmið!$E$6:$E$45,D$4)*KVARDI,2),""))</f>
        <v/>
      </c>
      <c r="F19" s="20" t="n"/>
      <c r="G19" s="31">
        <f>IF(OR(F$4=0,F19=""),"",IFERROR(ROUND(F19/INDEX(Undirviðmið!$F$6:$F$45,F$4)*INDEX(Undirviðmið!$E$6:$E$45,F$4)*KVARDI,2),""))</f>
        <v/>
      </c>
      <c r="H19" s="20" t="n"/>
      <c r="I19" s="31">
        <f>IF(OR(H$4=0,H19=""),"",IFERROR(ROUND(H19/INDEX(Undirviðmið!$F$6:$F$45,H$4)*INDEX(Undirviðmið!$E$6:$E$45,H$4)*KVARDI,2),""))</f>
        <v/>
      </c>
      <c r="J19" s="20" t="n"/>
      <c r="K19" s="31">
        <f>IF(OR(J$4=0,J19=""),"",IFERROR(ROUND(J19/INDEX(Undirviðmið!$F$6:$F$45,J$4)*INDEX(Undirviðmið!$E$6:$E$45,J$4)*KVARDI,2),""))</f>
        <v/>
      </c>
      <c r="L19" s="20" t="n"/>
      <c r="M19" s="31">
        <f>IF(OR(L$4=0,L19=""),"",IFERROR(ROUND(L19/INDEX(Undirviðmið!$F$6:$F$45,L$4)*INDEX(Undirviðmið!$E$6:$E$45,L$4)*KVARDI,2),""))</f>
        <v/>
      </c>
      <c r="N19" s="20" t="n"/>
      <c r="O19" s="31">
        <f>IF(OR(N$4=0,N19=""),"",IFERROR(ROUND(N19/INDEX(Undirviðmið!$F$6:$F$45,N$4)*INDEX(Undirviðmið!$E$6:$E$45,N$4)*KVARDI,2),""))</f>
        <v/>
      </c>
      <c r="P19" s="20" t="n"/>
      <c r="Q19" s="31">
        <f>IF(OR(P$4=0,P19=""),"",IFERROR(ROUND(P19/INDEX(Undirviðmið!$F$6:$F$45,P$4)*INDEX(Undirviðmið!$E$6:$E$45,P$4)*KVARDI,2),""))</f>
        <v/>
      </c>
      <c r="R19" s="20" t="n"/>
      <c r="S19" s="31">
        <f>IF(OR(R$4=0,R19=""),"",IFERROR(ROUND(R19/INDEX(Undirviðmið!$F$6:$F$45,R$4)*INDEX(Undirviðmið!$E$6:$E$45,R$4)*KVARDI,2),""))</f>
        <v/>
      </c>
      <c r="T19" s="20" t="n"/>
      <c r="U19" s="31">
        <f>IF(OR(T$4=0,T19=""),"",IFERROR(ROUND(T19/INDEX(Undirviðmið!$F$6:$F$45,T$4)*INDEX(Undirviðmið!$E$6:$E$45,T$4)*KVARDI,2),""))</f>
        <v/>
      </c>
      <c r="V19" s="20" t="n"/>
      <c r="W19" s="31">
        <f>IF(OR(V$4=0,V19=""),"",IFERROR(ROUND(V19/INDEX(Undirviðmið!$F$6:$F$45,V$4)*INDEX(Undirviðmið!$E$6:$E$45,V$4)*KVARDI,2),""))</f>
        <v/>
      </c>
      <c r="X19" s="20" t="n"/>
      <c r="Y19" s="31">
        <f>IF(OR(X$4=0,X19=""),"",IFERROR(ROUND(X19/INDEX(Undirviðmið!$F$6:$F$45,X$4)*INDEX(Undirviðmið!$E$6:$E$45,X$4)*KVARDI,2),""))</f>
        <v/>
      </c>
      <c r="Z19" s="20" t="n"/>
      <c r="AA19" s="31">
        <f>IF(OR(Z$4=0,Z19=""),"",IFERROR(ROUND(Z19/INDEX(Undirviðmið!$F$6:$F$45,Z$4)*INDEX(Undirviðmið!$E$6:$E$45,Z$4)*KVARDI,2),""))</f>
        <v/>
      </c>
      <c r="AB19" s="20" t="n"/>
      <c r="AC19" s="31">
        <f>IF(OR(AB$4=0,AB19=""),"",IFERROR(ROUND(AB19/INDEX(Undirviðmið!$F$6:$F$45,AB$4)*INDEX(Undirviðmið!$E$6:$E$45,AB$4)*KVARDI,2),""))</f>
        <v/>
      </c>
      <c r="AD19" s="20" t="n"/>
      <c r="AE19" s="31">
        <f>IF(OR(AD$4=0,AD19=""),"",IFERROR(ROUND(AD19/INDEX(Undirviðmið!$F$6:$F$45,AD$4)*INDEX(Undirviðmið!$E$6:$E$45,AD$4)*KVARDI,2),""))</f>
        <v/>
      </c>
      <c r="AF19" s="20" t="n"/>
      <c r="AG19" s="31">
        <f>IF(OR(AF$4=0,AF19=""),"",IFERROR(ROUND(AF19/INDEX(Undirviðmið!$F$6:$F$45,AF$4)*INDEX(Undirviðmið!$E$6:$E$45,AF$4)*KVARDI,2),""))</f>
        <v/>
      </c>
      <c r="AH19" s="37">
        <f>IFERROR(SUM(E19,G19,I19,K19,M19,O19,Q19,S19,U19,W19,Y19,AA19,AC19,AE19,AG19),0)</f>
        <v/>
      </c>
    </row>
    <row r="20">
      <c r="A20" s="19" t="n">
        <v>14</v>
      </c>
      <c r="B20" s="21">
        <f>IF(Starfsmenn!$B$19="","",Starfsmenn!$B$19)</f>
        <v/>
      </c>
      <c r="C20" s="21">
        <f>IF(Starfsmenn!$C$19="","",Starfsmenn!$C$19)</f>
        <v/>
      </c>
      <c r="D20" s="20" t="n"/>
      <c r="E20" s="31">
        <f>IF(OR(D$4=0,D20=""),"",IFERROR(ROUND(D20/INDEX(Undirviðmið!$F$6:$F$45,D$4)*INDEX(Undirviðmið!$E$6:$E$45,D$4)*KVARDI,2),""))</f>
        <v/>
      </c>
      <c r="F20" s="20" t="n"/>
      <c r="G20" s="31">
        <f>IF(OR(F$4=0,F20=""),"",IFERROR(ROUND(F20/INDEX(Undirviðmið!$F$6:$F$45,F$4)*INDEX(Undirviðmið!$E$6:$E$45,F$4)*KVARDI,2),""))</f>
        <v/>
      </c>
      <c r="H20" s="20" t="n"/>
      <c r="I20" s="31">
        <f>IF(OR(H$4=0,H20=""),"",IFERROR(ROUND(H20/INDEX(Undirviðmið!$F$6:$F$45,H$4)*INDEX(Undirviðmið!$E$6:$E$45,H$4)*KVARDI,2),""))</f>
        <v/>
      </c>
      <c r="J20" s="20" t="n"/>
      <c r="K20" s="31">
        <f>IF(OR(J$4=0,J20=""),"",IFERROR(ROUND(J20/INDEX(Undirviðmið!$F$6:$F$45,J$4)*INDEX(Undirviðmið!$E$6:$E$45,J$4)*KVARDI,2),""))</f>
        <v/>
      </c>
      <c r="L20" s="20" t="n"/>
      <c r="M20" s="31">
        <f>IF(OR(L$4=0,L20=""),"",IFERROR(ROUND(L20/INDEX(Undirviðmið!$F$6:$F$45,L$4)*INDEX(Undirviðmið!$E$6:$E$45,L$4)*KVARDI,2),""))</f>
        <v/>
      </c>
      <c r="N20" s="20" t="n"/>
      <c r="O20" s="31">
        <f>IF(OR(N$4=0,N20=""),"",IFERROR(ROUND(N20/INDEX(Undirviðmið!$F$6:$F$45,N$4)*INDEX(Undirviðmið!$E$6:$E$45,N$4)*KVARDI,2),""))</f>
        <v/>
      </c>
      <c r="P20" s="20" t="n"/>
      <c r="Q20" s="31">
        <f>IF(OR(P$4=0,P20=""),"",IFERROR(ROUND(P20/INDEX(Undirviðmið!$F$6:$F$45,P$4)*INDEX(Undirviðmið!$E$6:$E$45,P$4)*KVARDI,2),""))</f>
        <v/>
      </c>
      <c r="R20" s="20" t="n"/>
      <c r="S20" s="31">
        <f>IF(OR(R$4=0,R20=""),"",IFERROR(ROUND(R20/INDEX(Undirviðmið!$F$6:$F$45,R$4)*INDEX(Undirviðmið!$E$6:$E$45,R$4)*KVARDI,2),""))</f>
        <v/>
      </c>
      <c r="T20" s="20" t="n"/>
      <c r="U20" s="31">
        <f>IF(OR(T$4=0,T20=""),"",IFERROR(ROUND(T20/INDEX(Undirviðmið!$F$6:$F$45,T$4)*INDEX(Undirviðmið!$E$6:$E$45,T$4)*KVARDI,2),""))</f>
        <v/>
      </c>
      <c r="V20" s="20" t="n"/>
      <c r="W20" s="31">
        <f>IF(OR(V$4=0,V20=""),"",IFERROR(ROUND(V20/INDEX(Undirviðmið!$F$6:$F$45,V$4)*INDEX(Undirviðmið!$E$6:$E$45,V$4)*KVARDI,2),""))</f>
        <v/>
      </c>
      <c r="X20" s="20" t="n"/>
      <c r="Y20" s="31">
        <f>IF(OR(X$4=0,X20=""),"",IFERROR(ROUND(X20/INDEX(Undirviðmið!$F$6:$F$45,X$4)*INDEX(Undirviðmið!$E$6:$E$45,X$4)*KVARDI,2),""))</f>
        <v/>
      </c>
      <c r="Z20" s="20" t="n"/>
      <c r="AA20" s="31">
        <f>IF(OR(Z$4=0,Z20=""),"",IFERROR(ROUND(Z20/INDEX(Undirviðmið!$F$6:$F$45,Z$4)*INDEX(Undirviðmið!$E$6:$E$45,Z$4)*KVARDI,2),""))</f>
        <v/>
      </c>
      <c r="AB20" s="20" t="n"/>
      <c r="AC20" s="31">
        <f>IF(OR(AB$4=0,AB20=""),"",IFERROR(ROUND(AB20/INDEX(Undirviðmið!$F$6:$F$45,AB$4)*INDEX(Undirviðmið!$E$6:$E$45,AB$4)*KVARDI,2),""))</f>
        <v/>
      </c>
      <c r="AD20" s="20" t="n"/>
      <c r="AE20" s="31">
        <f>IF(OR(AD$4=0,AD20=""),"",IFERROR(ROUND(AD20/INDEX(Undirviðmið!$F$6:$F$45,AD$4)*INDEX(Undirviðmið!$E$6:$E$45,AD$4)*KVARDI,2),""))</f>
        <v/>
      </c>
      <c r="AF20" s="20" t="n"/>
      <c r="AG20" s="31">
        <f>IF(OR(AF$4=0,AF20=""),"",IFERROR(ROUND(AF20/INDEX(Undirviðmið!$F$6:$F$45,AF$4)*INDEX(Undirviðmið!$E$6:$E$45,AF$4)*KVARDI,2),""))</f>
        <v/>
      </c>
      <c r="AH20" s="37">
        <f>IFERROR(SUM(E20,G20,I20,K20,M20,O20,Q20,S20,U20,W20,Y20,AA20,AC20,AE20,AG20),0)</f>
        <v/>
      </c>
    </row>
    <row r="21">
      <c r="A21" s="19" t="n">
        <v>15</v>
      </c>
      <c r="B21" s="21">
        <f>IF(Starfsmenn!$B$20="","",Starfsmenn!$B$20)</f>
        <v/>
      </c>
      <c r="C21" s="21">
        <f>IF(Starfsmenn!$C$20="","",Starfsmenn!$C$20)</f>
        <v/>
      </c>
      <c r="D21" s="20" t="n"/>
      <c r="E21" s="31">
        <f>IF(OR(D$4=0,D21=""),"",IFERROR(ROUND(D21/INDEX(Undirviðmið!$F$6:$F$45,D$4)*INDEX(Undirviðmið!$E$6:$E$45,D$4)*KVARDI,2),""))</f>
        <v/>
      </c>
      <c r="F21" s="20" t="n"/>
      <c r="G21" s="31">
        <f>IF(OR(F$4=0,F21=""),"",IFERROR(ROUND(F21/INDEX(Undirviðmið!$F$6:$F$45,F$4)*INDEX(Undirviðmið!$E$6:$E$45,F$4)*KVARDI,2),""))</f>
        <v/>
      </c>
      <c r="H21" s="20" t="n"/>
      <c r="I21" s="31">
        <f>IF(OR(H$4=0,H21=""),"",IFERROR(ROUND(H21/INDEX(Undirviðmið!$F$6:$F$45,H$4)*INDEX(Undirviðmið!$E$6:$E$45,H$4)*KVARDI,2),""))</f>
        <v/>
      </c>
      <c r="J21" s="20" t="n"/>
      <c r="K21" s="31">
        <f>IF(OR(J$4=0,J21=""),"",IFERROR(ROUND(J21/INDEX(Undirviðmið!$F$6:$F$45,J$4)*INDEX(Undirviðmið!$E$6:$E$45,J$4)*KVARDI,2),""))</f>
        <v/>
      </c>
      <c r="L21" s="20" t="n"/>
      <c r="M21" s="31">
        <f>IF(OR(L$4=0,L21=""),"",IFERROR(ROUND(L21/INDEX(Undirviðmið!$F$6:$F$45,L$4)*INDEX(Undirviðmið!$E$6:$E$45,L$4)*KVARDI,2),""))</f>
        <v/>
      </c>
      <c r="N21" s="20" t="n"/>
      <c r="O21" s="31">
        <f>IF(OR(N$4=0,N21=""),"",IFERROR(ROUND(N21/INDEX(Undirviðmið!$F$6:$F$45,N$4)*INDEX(Undirviðmið!$E$6:$E$45,N$4)*KVARDI,2),""))</f>
        <v/>
      </c>
      <c r="P21" s="20" t="n"/>
      <c r="Q21" s="31">
        <f>IF(OR(P$4=0,P21=""),"",IFERROR(ROUND(P21/INDEX(Undirviðmið!$F$6:$F$45,P$4)*INDEX(Undirviðmið!$E$6:$E$45,P$4)*KVARDI,2),""))</f>
        <v/>
      </c>
      <c r="R21" s="20" t="n"/>
      <c r="S21" s="31">
        <f>IF(OR(R$4=0,R21=""),"",IFERROR(ROUND(R21/INDEX(Undirviðmið!$F$6:$F$45,R$4)*INDEX(Undirviðmið!$E$6:$E$45,R$4)*KVARDI,2),""))</f>
        <v/>
      </c>
      <c r="T21" s="20" t="n"/>
      <c r="U21" s="31">
        <f>IF(OR(T$4=0,T21=""),"",IFERROR(ROUND(T21/INDEX(Undirviðmið!$F$6:$F$45,T$4)*INDEX(Undirviðmið!$E$6:$E$45,T$4)*KVARDI,2),""))</f>
        <v/>
      </c>
      <c r="V21" s="20" t="n"/>
      <c r="W21" s="31">
        <f>IF(OR(V$4=0,V21=""),"",IFERROR(ROUND(V21/INDEX(Undirviðmið!$F$6:$F$45,V$4)*INDEX(Undirviðmið!$E$6:$E$45,V$4)*KVARDI,2),""))</f>
        <v/>
      </c>
      <c r="X21" s="20" t="n"/>
      <c r="Y21" s="31">
        <f>IF(OR(X$4=0,X21=""),"",IFERROR(ROUND(X21/INDEX(Undirviðmið!$F$6:$F$45,X$4)*INDEX(Undirviðmið!$E$6:$E$45,X$4)*KVARDI,2),""))</f>
        <v/>
      </c>
      <c r="Z21" s="20" t="n"/>
      <c r="AA21" s="31">
        <f>IF(OR(Z$4=0,Z21=""),"",IFERROR(ROUND(Z21/INDEX(Undirviðmið!$F$6:$F$45,Z$4)*INDEX(Undirviðmið!$E$6:$E$45,Z$4)*KVARDI,2),""))</f>
        <v/>
      </c>
      <c r="AB21" s="20" t="n"/>
      <c r="AC21" s="31">
        <f>IF(OR(AB$4=0,AB21=""),"",IFERROR(ROUND(AB21/INDEX(Undirviðmið!$F$6:$F$45,AB$4)*INDEX(Undirviðmið!$E$6:$E$45,AB$4)*KVARDI,2),""))</f>
        <v/>
      </c>
      <c r="AD21" s="20" t="n"/>
      <c r="AE21" s="31">
        <f>IF(OR(AD$4=0,AD21=""),"",IFERROR(ROUND(AD21/INDEX(Undirviðmið!$F$6:$F$45,AD$4)*INDEX(Undirviðmið!$E$6:$E$45,AD$4)*KVARDI,2),""))</f>
        <v/>
      </c>
      <c r="AF21" s="20" t="n"/>
      <c r="AG21" s="31">
        <f>IF(OR(AF$4=0,AF21=""),"",IFERROR(ROUND(AF21/INDEX(Undirviðmið!$F$6:$F$45,AF$4)*INDEX(Undirviðmið!$E$6:$E$45,AF$4)*KVARDI,2),""))</f>
        <v/>
      </c>
      <c r="AH21" s="37">
        <f>IFERROR(SUM(E21,G21,I21,K21,M21,O21,Q21,S21,U21,W21,Y21,AA21,AC21,AE21,AG21),0)</f>
        <v/>
      </c>
    </row>
    <row r="22">
      <c r="A22" s="19" t="n">
        <v>16</v>
      </c>
      <c r="B22" s="21">
        <f>IF(Starfsmenn!$B$21="","",Starfsmenn!$B$21)</f>
        <v/>
      </c>
      <c r="C22" s="21">
        <f>IF(Starfsmenn!$C$21="","",Starfsmenn!$C$21)</f>
        <v/>
      </c>
      <c r="D22" s="20" t="n"/>
      <c r="E22" s="31">
        <f>IF(OR(D$4=0,D22=""),"",IFERROR(ROUND(D22/INDEX(Undirviðmið!$F$6:$F$45,D$4)*INDEX(Undirviðmið!$E$6:$E$45,D$4)*KVARDI,2),""))</f>
        <v/>
      </c>
      <c r="F22" s="20" t="n"/>
      <c r="G22" s="31">
        <f>IF(OR(F$4=0,F22=""),"",IFERROR(ROUND(F22/INDEX(Undirviðmið!$F$6:$F$45,F$4)*INDEX(Undirviðmið!$E$6:$E$45,F$4)*KVARDI,2),""))</f>
        <v/>
      </c>
      <c r="H22" s="20" t="n"/>
      <c r="I22" s="31">
        <f>IF(OR(H$4=0,H22=""),"",IFERROR(ROUND(H22/INDEX(Undirviðmið!$F$6:$F$45,H$4)*INDEX(Undirviðmið!$E$6:$E$45,H$4)*KVARDI,2),""))</f>
        <v/>
      </c>
      <c r="J22" s="20" t="n"/>
      <c r="K22" s="31">
        <f>IF(OR(J$4=0,J22=""),"",IFERROR(ROUND(J22/INDEX(Undirviðmið!$F$6:$F$45,J$4)*INDEX(Undirviðmið!$E$6:$E$45,J$4)*KVARDI,2),""))</f>
        <v/>
      </c>
      <c r="L22" s="20" t="n"/>
      <c r="M22" s="31">
        <f>IF(OR(L$4=0,L22=""),"",IFERROR(ROUND(L22/INDEX(Undirviðmið!$F$6:$F$45,L$4)*INDEX(Undirviðmið!$E$6:$E$45,L$4)*KVARDI,2),""))</f>
        <v/>
      </c>
      <c r="N22" s="20" t="n"/>
      <c r="O22" s="31">
        <f>IF(OR(N$4=0,N22=""),"",IFERROR(ROUND(N22/INDEX(Undirviðmið!$F$6:$F$45,N$4)*INDEX(Undirviðmið!$E$6:$E$45,N$4)*KVARDI,2),""))</f>
        <v/>
      </c>
      <c r="P22" s="20" t="n"/>
      <c r="Q22" s="31">
        <f>IF(OR(P$4=0,P22=""),"",IFERROR(ROUND(P22/INDEX(Undirviðmið!$F$6:$F$45,P$4)*INDEX(Undirviðmið!$E$6:$E$45,P$4)*KVARDI,2),""))</f>
        <v/>
      </c>
      <c r="R22" s="20" t="n"/>
      <c r="S22" s="31">
        <f>IF(OR(R$4=0,R22=""),"",IFERROR(ROUND(R22/INDEX(Undirviðmið!$F$6:$F$45,R$4)*INDEX(Undirviðmið!$E$6:$E$45,R$4)*KVARDI,2),""))</f>
        <v/>
      </c>
      <c r="T22" s="20" t="n"/>
      <c r="U22" s="31">
        <f>IF(OR(T$4=0,T22=""),"",IFERROR(ROUND(T22/INDEX(Undirviðmið!$F$6:$F$45,T$4)*INDEX(Undirviðmið!$E$6:$E$45,T$4)*KVARDI,2),""))</f>
        <v/>
      </c>
      <c r="V22" s="20" t="n"/>
      <c r="W22" s="31">
        <f>IF(OR(V$4=0,V22=""),"",IFERROR(ROUND(V22/INDEX(Undirviðmið!$F$6:$F$45,V$4)*INDEX(Undirviðmið!$E$6:$E$45,V$4)*KVARDI,2),""))</f>
        <v/>
      </c>
      <c r="X22" s="20" t="n"/>
      <c r="Y22" s="31">
        <f>IF(OR(X$4=0,X22=""),"",IFERROR(ROUND(X22/INDEX(Undirviðmið!$F$6:$F$45,X$4)*INDEX(Undirviðmið!$E$6:$E$45,X$4)*KVARDI,2),""))</f>
        <v/>
      </c>
      <c r="Z22" s="20" t="n"/>
      <c r="AA22" s="31">
        <f>IF(OR(Z$4=0,Z22=""),"",IFERROR(ROUND(Z22/INDEX(Undirviðmið!$F$6:$F$45,Z$4)*INDEX(Undirviðmið!$E$6:$E$45,Z$4)*KVARDI,2),""))</f>
        <v/>
      </c>
      <c r="AB22" s="20" t="n"/>
      <c r="AC22" s="31">
        <f>IF(OR(AB$4=0,AB22=""),"",IFERROR(ROUND(AB22/INDEX(Undirviðmið!$F$6:$F$45,AB$4)*INDEX(Undirviðmið!$E$6:$E$45,AB$4)*KVARDI,2),""))</f>
        <v/>
      </c>
      <c r="AD22" s="20" t="n"/>
      <c r="AE22" s="31">
        <f>IF(OR(AD$4=0,AD22=""),"",IFERROR(ROUND(AD22/INDEX(Undirviðmið!$F$6:$F$45,AD$4)*INDEX(Undirviðmið!$E$6:$E$45,AD$4)*KVARDI,2),""))</f>
        <v/>
      </c>
      <c r="AF22" s="20" t="n"/>
      <c r="AG22" s="31">
        <f>IF(OR(AF$4=0,AF22=""),"",IFERROR(ROUND(AF22/INDEX(Undirviðmið!$F$6:$F$45,AF$4)*INDEX(Undirviðmið!$E$6:$E$45,AF$4)*KVARDI,2),""))</f>
        <v/>
      </c>
      <c r="AH22" s="37">
        <f>IFERROR(SUM(E22,G22,I22,K22,M22,O22,Q22,S22,U22,W22,Y22,AA22,AC22,AE22,AG22),0)</f>
        <v/>
      </c>
    </row>
    <row r="23">
      <c r="A23" s="19" t="n">
        <v>17</v>
      </c>
      <c r="B23" s="21">
        <f>IF(Starfsmenn!$B$22="","",Starfsmenn!$B$22)</f>
        <v/>
      </c>
      <c r="C23" s="21">
        <f>IF(Starfsmenn!$C$22="","",Starfsmenn!$C$22)</f>
        <v/>
      </c>
      <c r="D23" s="20" t="n"/>
      <c r="E23" s="31">
        <f>IF(OR(D$4=0,D23=""),"",IFERROR(ROUND(D23/INDEX(Undirviðmið!$F$6:$F$45,D$4)*INDEX(Undirviðmið!$E$6:$E$45,D$4)*KVARDI,2),""))</f>
        <v/>
      </c>
      <c r="F23" s="20" t="n"/>
      <c r="G23" s="31">
        <f>IF(OR(F$4=0,F23=""),"",IFERROR(ROUND(F23/INDEX(Undirviðmið!$F$6:$F$45,F$4)*INDEX(Undirviðmið!$E$6:$E$45,F$4)*KVARDI,2),""))</f>
        <v/>
      </c>
      <c r="H23" s="20" t="n"/>
      <c r="I23" s="31">
        <f>IF(OR(H$4=0,H23=""),"",IFERROR(ROUND(H23/INDEX(Undirviðmið!$F$6:$F$45,H$4)*INDEX(Undirviðmið!$E$6:$E$45,H$4)*KVARDI,2),""))</f>
        <v/>
      </c>
      <c r="J23" s="20" t="n"/>
      <c r="K23" s="31">
        <f>IF(OR(J$4=0,J23=""),"",IFERROR(ROUND(J23/INDEX(Undirviðmið!$F$6:$F$45,J$4)*INDEX(Undirviðmið!$E$6:$E$45,J$4)*KVARDI,2),""))</f>
        <v/>
      </c>
      <c r="L23" s="20" t="n"/>
      <c r="M23" s="31">
        <f>IF(OR(L$4=0,L23=""),"",IFERROR(ROUND(L23/INDEX(Undirviðmið!$F$6:$F$45,L$4)*INDEX(Undirviðmið!$E$6:$E$45,L$4)*KVARDI,2),""))</f>
        <v/>
      </c>
      <c r="N23" s="20" t="n"/>
      <c r="O23" s="31">
        <f>IF(OR(N$4=0,N23=""),"",IFERROR(ROUND(N23/INDEX(Undirviðmið!$F$6:$F$45,N$4)*INDEX(Undirviðmið!$E$6:$E$45,N$4)*KVARDI,2),""))</f>
        <v/>
      </c>
      <c r="P23" s="20" t="n"/>
      <c r="Q23" s="31">
        <f>IF(OR(P$4=0,P23=""),"",IFERROR(ROUND(P23/INDEX(Undirviðmið!$F$6:$F$45,P$4)*INDEX(Undirviðmið!$E$6:$E$45,P$4)*KVARDI,2),""))</f>
        <v/>
      </c>
      <c r="R23" s="20" t="n"/>
      <c r="S23" s="31">
        <f>IF(OR(R$4=0,R23=""),"",IFERROR(ROUND(R23/INDEX(Undirviðmið!$F$6:$F$45,R$4)*INDEX(Undirviðmið!$E$6:$E$45,R$4)*KVARDI,2),""))</f>
        <v/>
      </c>
      <c r="T23" s="20" t="n"/>
      <c r="U23" s="31">
        <f>IF(OR(T$4=0,T23=""),"",IFERROR(ROUND(T23/INDEX(Undirviðmið!$F$6:$F$45,T$4)*INDEX(Undirviðmið!$E$6:$E$45,T$4)*KVARDI,2),""))</f>
        <v/>
      </c>
      <c r="V23" s="20" t="n"/>
      <c r="W23" s="31">
        <f>IF(OR(V$4=0,V23=""),"",IFERROR(ROUND(V23/INDEX(Undirviðmið!$F$6:$F$45,V$4)*INDEX(Undirviðmið!$E$6:$E$45,V$4)*KVARDI,2),""))</f>
        <v/>
      </c>
      <c r="X23" s="20" t="n"/>
      <c r="Y23" s="31">
        <f>IF(OR(X$4=0,X23=""),"",IFERROR(ROUND(X23/INDEX(Undirviðmið!$F$6:$F$45,X$4)*INDEX(Undirviðmið!$E$6:$E$45,X$4)*KVARDI,2),""))</f>
        <v/>
      </c>
      <c r="Z23" s="20" t="n"/>
      <c r="AA23" s="31">
        <f>IF(OR(Z$4=0,Z23=""),"",IFERROR(ROUND(Z23/INDEX(Undirviðmið!$F$6:$F$45,Z$4)*INDEX(Undirviðmið!$E$6:$E$45,Z$4)*KVARDI,2),""))</f>
        <v/>
      </c>
      <c r="AB23" s="20" t="n"/>
      <c r="AC23" s="31">
        <f>IF(OR(AB$4=0,AB23=""),"",IFERROR(ROUND(AB23/INDEX(Undirviðmið!$F$6:$F$45,AB$4)*INDEX(Undirviðmið!$E$6:$E$45,AB$4)*KVARDI,2),""))</f>
        <v/>
      </c>
      <c r="AD23" s="20" t="n"/>
      <c r="AE23" s="31">
        <f>IF(OR(AD$4=0,AD23=""),"",IFERROR(ROUND(AD23/INDEX(Undirviðmið!$F$6:$F$45,AD$4)*INDEX(Undirviðmið!$E$6:$E$45,AD$4)*KVARDI,2),""))</f>
        <v/>
      </c>
      <c r="AF23" s="20" t="n"/>
      <c r="AG23" s="31">
        <f>IF(OR(AF$4=0,AF23=""),"",IFERROR(ROUND(AF23/INDEX(Undirviðmið!$F$6:$F$45,AF$4)*INDEX(Undirviðmið!$E$6:$E$45,AF$4)*KVARDI,2),""))</f>
        <v/>
      </c>
      <c r="AH23" s="37">
        <f>IFERROR(SUM(E23,G23,I23,K23,M23,O23,Q23,S23,U23,W23,Y23,AA23,AC23,AE23,AG23),0)</f>
        <v/>
      </c>
    </row>
    <row r="24">
      <c r="A24" s="19" t="n">
        <v>18</v>
      </c>
      <c r="B24" s="21">
        <f>IF(Starfsmenn!$B$23="","",Starfsmenn!$B$23)</f>
        <v/>
      </c>
      <c r="C24" s="21">
        <f>IF(Starfsmenn!$C$23="","",Starfsmenn!$C$23)</f>
        <v/>
      </c>
      <c r="D24" s="20" t="n"/>
      <c r="E24" s="31">
        <f>IF(OR(D$4=0,D24=""),"",IFERROR(ROUND(D24/INDEX(Undirviðmið!$F$6:$F$45,D$4)*INDEX(Undirviðmið!$E$6:$E$45,D$4)*KVARDI,2),""))</f>
        <v/>
      </c>
      <c r="F24" s="20" t="n"/>
      <c r="G24" s="31">
        <f>IF(OR(F$4=0,F24=""),"",IFERROR(ROUND(F24/INDEX(Undirviðmið!$F$6:$F$45,F$4)*INDEX(Undirviðmið!$E$6:$E$45,F$4)*KVARDI,2),""))</f>
        <v/>
      </c>
      <c r="H24" s="20" t="n"/>
      <c r="I24" s="31">
        <f>IF(OR(H$4=0,H24=""),"",IFERROR(ROUND(H24/INDEX(Undirviðmið!$F$6:$F$45,H$4)*INDEX(Undirviðmið!$E$6:$E$45,H$4)*KVARDI,2),""))</f>
        <v/>
      </c>
      <c r="J24" s="20" t="n"/>
      <c r="K24" s="31">
        <f>IF(OR(J$4=0,J24=""),"",IFERROR(ROUND(J24/INDEX(Undirviðmið!$F$6:$F$45,J$4)*INDEX(Undirviðmið!$E$6:$E$45,J$4)*KVARDI,2),""))</f>
        <v/>
      </c>
      <c r="L24" s="20" t="n"/>
      <c r="M24" s="31">
        <f>IF(OR(L$4=0,L24=""),"",IFERROR(ROUND(L24/INDEX(Undirviðmið!$F$6:$F$45,L$4)*INDEX(Undirviðmið!$E$6:$E$45,L$4)*KVARDI,2),""))</f>
        <v/>
      </c>
      <c r="N24" s="20" t="n"/>
      <c r="O24" s="31">
        <f>IF(OR(N$4=0,N24=""),"",IFERROR(ROUND(N24/INDEX(Undirviðmið!$F$6:$F$45,N$4)*INDEX(Undirviðmið!$E$6:$E$45,N$4)*KVARDI,2),""))</f>
        <v/>
      </c>
      <c r="P24" s="20" t="n"/>
      <c r="Q24" s="31">
        <f>IF(OR(P$4=0,P24=""),"",IFERROR(ROUND(P24/INDEX(Undirviðmið!$F$6:$F$45,P$4)*INDEX(Undirviðmið!$E$6:$E$45,P$4)*KVARDI,2),""))</f>
        <v/>
      </c>
      <c r="R24" s="20" t="n"/>
      <c r="S24" s="31">
        <f>IF(OR(R$4=0,R24=""),"",IFERROR(ROUND(R24/INDEX(Undirviðmið!$F$6:$F$45,R$4)*INDEX(Undirviðmið!$E$6:$E$45,R$4)*KVARDI,2),""))</f>
        <v/>
      </c>
      <c r="T24" s="20" t="n"/>
      <c r="U24" s="31">
        <f>IF(OR(T$4=0,T24=""),"",IFERROR(ROUND(T24/INDEX(Undirviðmið!$F$6:$F$45,T$4)*INDEX(Undirviðmið!$E$6:$E$45,T$4)*KVARDI,2),""))</f>
        <v/>
      </c>
      <c r="V24" s="20" t="n"/>
      <c r="W24" s="31">
        <f>IF(OR(V$4=0,V24=""),"",IFERROR(ROUND(V24/INDEX(Undirviðmið!$F$6:$F$45,V$4)*INDEX(Undirviðmið!$E$6:$E$45,V$4)*KVARDI,2),""))</f>
        <v/>
      </c>
      <c r="X24" s="20" t="n"/>
      <c r="Y24" s="31">
        <f>IF(OR(X$4=0,X24=""),"",IFERROR(ROUND(X24/INDEX(Undirviðmið!$F$6:$F$45,X$4)*INDEX(Undirviðmið!$E$6:$E$45,X$4)*KVARDI,2),""))</f>
        <v/>
      </c>
      <c r="Z24" s="20" t="n"/>
      <c r="AA24" s="31">
        <f>IF(OR(Z$4=0,Z24=""),"",IFERROR(ROUND(Z24/INDEX(Undirviðmið!$F$6:$F$45,Z$4)*INDEX(Undirviðmið!$E$6:$E$45,Z$4)*KVARDI,2),""))</f>
        <v/>
      </c>
      <c r="AB24" s="20" t="n"/>
      <c r="AC24" s="31">
        <f>IF(OR(AB$4=0,AB24=""),"",IFERROR(ROUND(AB24/INDEX(Undirviðmið!$F$6:$F$45,AB$4)*INDEX(Undirviðmið!$E$6:$E$45,AB$4)*KVARDI,2),""))</f>
        <v/>
      </c>
      <c r="AD24" s="20" t="n"/>
      <c r="AE24" s="31">
        <f>IF(OR(AD$4=0,AD24=""),"",IFERROR(ROUND(AD24/INDEX(Undirviðmið!$F$6:$F$45,AD$4)*INDEX(Undirviðmið!$E$6:$E$45,AD$4)*KVARDI,2),""))</f>
        <v/>
      </c>
      <c r="AF24" s="20" t="n"/>
      <c r="AG24" s="31">
        <f>IF(OR(AF$4=0,AF24=""),"",IFERROR(ROUND(AF24/INDEX(Undirviðmið!$F$6:$F$45,AF$4)*INDEX(Undirviðmið!$E$6:$E$45,AF$4)*KVARDI,2),""))</f>
        <v/>
      </c>
      <c r="AH24" s="37">
        <f>IFERROR(SUM(E24,G24,I24,K24,M24,O24,Q24,S24,U24,W24,Y24,AA24,AC24,AE24,AG24),0)</f>
        <v/>
      </c>
    </row>
    <row r="25">
      <c r="A25" s="19" t="n">
        <v>19</v>
      </c>
      <c r="B25" s="21">
        <f>IF(Starfsmenn!$B$24="","",Starfsmenn!$B$24)</f>
        <v/>
      </c>
      <c r="C25" s="21">
        <f>IF(Starfsmenn!$C$24="","",Starfsmenn!$C$24)</f>
        <v/>
      </c>
      <c r="D25" s="20" t="n"/>
      <c r="E25" s="31">
        <f>IF(OR(D$4=0,D25=""),"",IFERROR(ROUND(D25/INDEX(Undirviðmið!$F$6:$F$45,D$4)*INDEX(Undirviðmið!$E$6:$E$45,D$4)*KVARDI,2),""))</f>
        <v/>
      </c>
      <c r="F25" s="20" t="n"/>
      <c r="G25" s="31">
        <f>IF(OR(F$4=0,F25=""),"",IFERROR(ROUND(F25/INDEX(Undirviðmið!$F$6:$F$45,F$4)*INDEX(Undirviðmið!$E$6:$E$45,F$4)*KVARDI,2),""))</f>
        <v/>
      </c>
      <c r="H25" s="20" t="n"/>
      <c r="I25" s="31">
        <f>IF(OR(H$4=0,H25=""),"",IFERROR(ROUND(H25/INDEX(Undirviðmið!$F$6:$F$45,H$4)*INDEX(Undirviðmið!$E$6:$E$45,H$4)*KVARDI,2),""))</f>
        <v/>
      </c>
      <c r="J25" s="20" t="n"/>
      <c r="K25" s="31">
        <f>IF(OR(J$4=0,J25=""),"",IFERROR(ROUND(J25/INDEX(Undirviðmið!$F$6:$F$45,J$4)*INDEX(Undirviðmið!$E$6:$E$45,J$4)*KVARDI,2),""))</f>
        <v/>
      </c>
      <c r="L25" s="20" t="n"/>
      <c r="M25" s="31">
        <f>IF(OR(L$4=0,L25=""),"",IFERROR(ROUND(L25/INDEX(Undirviðmið!$F$6:$F$45,L$4)*INDEX(Undirviðmið!$E$6:$E$45,L$4)*KVARDI,2),""))</f>
        <v/>
      </c>
      <c r="N25" s="20" t="n"/>
      <c r="O25" s="31">
        <f>IF(OR(N$4=0,N25=""),"",IFERROR(ROUND(N25/INDEX(Undirviðmið!$F$6:$F$45,N$4)*INDEX(Undirviðmið!$E$6:$E$45,N$4)*KVARDI,2),""))</f>
        <v/>
      </c>
      <c r="P25" s="20" t="n"/>
      <c r="Q25" s="31">
        <f>IF(OR(P$4=0,P25=""),"",IFERROR(ROUND(P25/INDEX(Undirviðmið!$F$6:$F$45,P$4)*INDEX(Undirviðmið!$E$6:$E$45,P$4)*KVARDI,2),""))</f>
        <v/>
      </c>
      <c r="R25" s="20" t="n"/>
      <c r="S25" s="31">
        <f>IF(OR(R$4=0,R25=""),"",IFERROR(ROUND(R25/INDEX(Undirviðmið!$F$6:$F$45,R$4)*INDEX(Undirviðmið!$E$6:$E$45,R$4)*KVARDI,2),""))</f>
        <v/>
      </c>
      <c r="T25" s="20" t="n"/>
      <c r="U25" s="31">
        <f>IF(OR(T$4=0,T25=""),"",IFERROR(ROUND(T25/INDEX(Undirviðmið!$F$6:$F$45,T$4)*INDEX(Undirviðmið!$E$6:$E$45,T$4)*KVARDI,2),""))</f>
        <v/>
      </c>
      <c r="V25" s="20" t="n"/>
      <c r="W25" s="31">
        <f>IF(OR(V$4=0,V25=""),"",IFERROR(ROUND(V25/INDEX(Undirviðmið!$F$6:$F$45,V$4)*INDEX(Undirviðmið!$E$6:$E$45,V$4)*KVARDI,2),""))</f>
        <v/>
      </c>
      <c r="X25" s="20" t="n"/>
      <c r="Y25" s="31">
        <f>IF(OR(X$4=0,X25=""),"",IFERROR(ROUND(X25/INDEX(Undirviðmið!$F$6:$F$45,X$4)*INDEX(Undirviðmið!$E$6:$E$45,X$4)*KVARDI,2),""))</f>
        <v/>
      </c>
      <c r="Z25" s="20" t="n"/>
      <c r="AA25" s="31">
        <f>IF(OR(Z$4=0,Z25=""),"",IFERROR(ROUND(Z25/INDEX(Undirviðmið!$F$6:$F$45,Z$4)*INDEX(Undirviðmið!$E$6:$E$45,Z$4)*KVARDI,2),""))</f>
        <v/>
      </c>
      <c r="AB25" s="20" t="n"/>
      <c r="AC25" s="31">
        <f>IF(OR(AB$4=0,AB25=""),"",IFERROR(ROUND(AB25/INDEX(Undirviðmið!$F$6:$F$45,AB$4)*INDEX(Undirviðmið!$E$6:$E$45,AB$4)*KVARDI,2),""))</f>
        <v/>
      </c>
      <c r="AD25" s="20" t="n"/>
      <c r="AE25" s="31">
        <f>IF(OR(AD$4=0,AD25=""),"",IFERROR(ROUND(AD25/INDEX(Undirviðmið!$F$6:$F$45,AD$4)*INDEX(Undirviðmið!$E$6:$E$45,AD$4)*KVARDI,2),""))</f>
        <v/>
      </c>
      <c r="AF25" s="20" t="n"/>
      <c r="AG25" s="31">
        <f>IF(OR(AF$4=0,AF25=""),"",IFERROR(ROUND(AF25/INDEX(Undirviðmið!$F$6:$F$45,AF$4)*INDEX(Undirviðmið!$E$6:$E$45,AF$4)*KVARDI,2),""))</f>
        <v/>
      </c>
      <c r="AH25" s="37">
        <f>IFERROR(SUM(E25,G25,I25,K25,M25,O25,Q25,S25,U25,W25,Y25,AA25,AC25,AE25,AG25),0)</f>
        <v/>
      </c>
    </row>
    <row r="26">
      <c r="A26" s="19" t="n">
        <v>20</v>
      </c>
      <c r="B26" s="21">
        <f>IF(Starfsmenn!$B$25="","",Starfsmenn!$B$25)</f>
        <v/>
      </c>
      <c r="C26" s="21">
        <f>IF(Starfsmenn!$C$25="","",Starfsmenn!$C$25)</f>
        <v/>
      </c>
      <c r="D26" s="20" t="n"/>
      <c r="E26" s="31">
        <f>IF(OR(D$4=0,D26=""),"",IFERROR(ROUND(D26/INDEX(Undirviðmið!$F$6:$F$45,D$4)*INDEX(Undirviðmið!$E$6:$E$45,D$4)*KVARDI,2),""))</f>
        <v/>
      </c>
      <c r="F26" s="20" t="n"/>
      <c r="G26" s="31">
        <f>IF(OR(F$4=0,F26=""),"",IFERROR(ROUND(F26/INDEX(Undirviðmið!$F$6:$F$45,F$4)*INDEX(Undirviðmið!$E$6:$E$45,F$4)*KVARDI,2),""))</f>
        <v/>
      </c>
      <c r="H26" s="20" t="n"/>
      <c r="I26" s="31">
        <f>IF(OR(H$4=0,H26=""),"",IFERROR(ROUND(H26/INDEX(Undirviðmið!$F$6:$F$45,H$4)*INDEX(Undirviðmið!$E$6:$E$45,H$4)*KVARDI,2),""))</f>
        <v/>
      </c>
      <c r="J26" s="20" t="n"/>
      <c r="K26" s="31">
        <f>IF(OR(J$4=0,J26=""),"",IFERROR(ROUND(J26/INDEX(Undirviðmið!$F$6:$F$45,J$4)*INDEX(Undirviðmið!$E$6:$E$45,J$4)*KVARDI,2),""))</f>
        <v/>
      </c>
      <c r="L26" s="20" t="n"/>
      <c r="M26" s="31">
        <f>IF(OR(L$4=0,L26=""),"",IFERROR(ROUND(L26/INDEX(Undirviðmið!$F$6:$F$45,L$4)*INDEX(Undirviðmið!$E$6:$E$45,L$4)*KVARDI,2),""))</f>
        <v/>
      </c>
      <c r="N26" s="20" t="n"/>
      <c r="O26" s="31">
        <f>IF(OR(N$4=0,N26=""),"",IFERROR(ROUND(N26/INDEX(Undirviðmið!$F$6:$F$45,N$4)*INDEX(Undirviðmið!$E$6:$E$45,N$4)*KVARDI,2),""))</f>
        <v/>
      </c>
      <c r="P26" s="20" t="n"/>
      <c r="Q26" s="31">
        <f>IF(OR(P$4=0,P26=""),"",IFERROR(ROUND(P26/INDEX(Undirviðmið!$F$6:$F$45,P$4)*INDEX(Undirviðmið!$E$6:$E$45,P$4)*KVARDI,2),""))</f>
        <v/>
      </c>
      <c r="R26" s="20" t="n"/>
      <c r="S26" s="31">
        <f>IF(OR(R$4=0,R26=""),"",IFERROR(ROUND(R26/INDEX(Undirviðmið!$F$6:$F$45,R$4)*INDEX(Undirviðmið!$E$6:$E$45,R$4)*KVARDI,2),""))</f>
        <v/>
      </c>
      <c r="T26" s="20" t="n"/>
      <c r="U26" s="31">
        <f>IF(OR(T$4=0,T26=""),"",IFERROR(ROUND(T26/INDEX(Undirviðmið!$F$6:$F$45,T$4)*INDEX(Undirviðmið!$E$6:$E$45,T$4)*KVARDI,2),""))</f>
        <v/>
      </c>
      <c r="V26" s="20" t="n"/>
      <c r="W26" s="31">
        <f>IF(OR(V$4=0,V26=""),"",IFERROR(ROUND(V26/INDEX(Undirviðmið!$F$6:$F$45,V$4)*INDEX(Undirviðmið!$E$6:$E$45,V$4)*KVARDI,2),""))</f>
        <v/>
      </c>
      <c r="X26" s="20" t="n"/>
      <c r="Y26" s="31">
        <f>IF(OR(X$4=0,X26=""),"",IFERROR(ROUND(X26/INDEX(Undirviðmið!$F$6:$F$45,X$4)*INDEX(Undirviðmið!$E$6:$E$45,X$4)*KVARDI,2),""))</f>
        <v/>
      </c>
      <c r="Z26" s="20" t="n"/>
      <c r="AA26" s="31">
        <f>IF(OR(Z$4=0,Z26=""),"",IFERROR(ROUND(Z26/INDEX(Undirviðmið!$F$6:$F$45,Z$4)*INDEX(Undirviðmið!$E$6:$E$45,Z$4)*KVARDI,2),""))</f>
        <v/>
      </c>
      <c r="AB26" s="20" t="n"/>
      <c r="AC26" s="31">
        <f>IF(OR(AB$4=0,AB26=""),"",IFERROR(ROUND(AB26/INDEX(Undirviðmið!$F$6:$F$45,AB$4)*INDEX(Undirviðmið!$E$6:$E$45,AB$4)*KVARDI,2),""))</f>
        <v/>
      </c>
      <c r="AD26" s="20" t="n"/>
      <c r="AE26" s="31">
        <f>IF(OR(AD$4=0,AD26=""),"",IFERROR(ROUND(AD26/INDEX(Undirviðmið!$F$6:$F$45,AD$4)*INDEX(Undirviðmið!$E$6:$E$45,AD$4)*KVARDI,2),""))</f>
        <v/>
      </c>
      <c r="AF26" s="20" t="n"/>
      <c r="AG26" s="31">
        <f>IF(OR(AF$4=0,AF26=""),"",IFERROR(ROUND(AF26/INDEX(Undirviðmið!$F$6:$F$45,AF$4)*INDEX(Undirviðmið!$E$6:$E$45,AF$4)*KVARDI,2),""))</f>
        <v/>
      </c>
      <c r="AH26" s="37">
        <f>IFERROR(SUM(E26,G26,I26,K26,M26,O26,Q26,S26,U26,W26,Y26,AA26,AC26,AE26,AG26),0)</f>
        <v/>
      </c>
    </row>
    <row r="27">
      <c r="A27" s="19" t="n">
        <v>21</v>
      </c>
      <c r="B27" s="21">
        <f>IF(Starfsmenn!$B$26="","",Starfsmenn!$B$26)</f>
        <v/>
      </c>
      <c r="C27" s="21">
        <f>IF(Starfsmenn!$C$26="","",Starfsmenn!$C$26)</f>
        <v/>
      </c>
      <c r="D27" s="20" t="n"/>
      <c r="E27" s="31">
        <f>IF(OR(D$4=0,D27=""),"",IFERROR(ROUND(D27/INDEX(Undirviðmið!$F$6:$F$45,D$4)*INDEX(Undirviðmið!$E$6:$E$45,D$4)*KVARDI,2),""))</f>
        <v/>
      </c>
      <c r="F27" s="20" t="n"/>
      <c r="G27" s="31">
        <f>IF(OR(F$4=0,F27=""),"",IFERROR(ROUND(F27/INDEX(Undirviðmið!$F$6:$F$45,F$4)*INDEX(Undirviðmið!$E$6:$E$45,F$4)*KVARDI,2),""))</f>
        <v/>
      </c>
      <c r="H27" s="20" t="n"/>
      <c r="I27" s="31">
        <f>IF(OR(H$4=0,H27=""),"",IFERROR(ROUND(H27/INDEX(Undirviðmið!$F$6:$F$45,H$4)*INDEX(Undirviðmið!$E$6:$E$45,H$4)*KVARDI,2),""))</f>
        <v/>
      </c>
      <c r="J27" s="20" t="n"/>
      <c r="K27" s="31">
        <f>IF(OR(J$4=0,J27=""),"",IFERROR(ROUND(J27/INDEX(Undirviðmið!$F$6:$F$45,J$4)*INDEX(Undirviðmið!$E$6:$E$45,J$4)*KVARDI,2),""))</f>
        <v/>
      </c>
      <c r="L27" s="20" t="n"/>
      <c r="M27" s="31">
        <f>IF(OR(L$4=0,L27=""),"",IFERROR(ROUND(L27/INDEX(Undirviðmið!$F$6:$F$45,L$4)*INDEX(Undirviðmið!$E$6:$E$45,L$4)*KVARDI,2),""))</f>
        <v/>
      </c>
      <c r="N27" s="20" t="n"/>
      <c r="O27" s="31">
        <f>IF(OR(N$4=0,N27=""),"",IFERROR(ROUND(N27/INDEX(Undirviðmið!$F$6:$F$45,N$4)*INDEX(Undirviðmið!$E$6:$E$45,N$4)*KVARDI,2),""))</f>
        <v/>
      </c>
      <c r="P27" s="20" t="n"/>
      <c r="Q27" s="31">
        <f>IF(OR(P$4=0,P27=""),"",IFERROR(ROUND(P27/INDEX(Undirviðmið!$F$6:$F$45,P$4)*INDEX(Undirviðmið!$E$6:$E$45,P$4)*KVARDI,2),""))</f>
        <v/>
      </c>
      <c r="R27" s="20" t="n"/>
      <c r="S27" s="31">
        <f>IF(OR(R$4=0,R27=""),"",IFERROR(ROUND(R27/INDEX(Undirviðmið!$F$6:$F$45,R$4)*INDEX(Undirviðmið!$E$6:$E$45,R$4)*KVARDI,2),""))</f>
        <v/>
      </c>
      <c r="T27" s="20" t="n"/>
      <c r="U27" s="31">
        <f>IF(OR(T$4=0,T27=""),"",IFERROR(ROUND(T27/INDEX(Undirviðmið!$F$6:$F$45,T$4)*INDEX(Undirviðmið!$E$6:$E$45,T$4)*KVARDI,2),""))</f>
        <v/>
      </c>
      <c r="V27" s="20" t="n"/>
      <c r="W27" s="31">
        <f>IF(OR(V$4=0,V27=""),"",IFERROR(ROUND(V27/INDEX(Undirviðmið!$F$6:$F$45,V$4)*INDEX(Undirviðmið!$E$6:$E$45,V$4)*KVARDI,2),""))</f>
        <v/>
      </c>
      <c r="X27" s="20" t="n"/>
      <c r="Y27" s="31">
        <f>IF(OR(X$4=0,X27=""),"",IFERROR(ROUND(X27/INDEX(Undirviðmið!$F$6:$F$45,X$4)*INDEX(Undirviðmið!$E$6:$E$45,X$4)*KVARDI,2),""))</f>
        <v/>
      </c>
      <c r="Z27" s="20" t="n"/>
      <c r="AA27" s="31">
        <f>IF(OR(Z$4=0,Z27=""),"",IFERROR(ROUND(Z27/INDEX(Undirviðmið!$F$6:$F$45,Z$4)*INDEX(Undirviðmið!$E$6:$E$45,Z$4)*KVARDI,2),""))</f>
        <v/>
      </c>
      <c r="AB27" s="20" t="n"/>
      <c r="AC27" s="31">
        <f>IF(OR(AB$4=0,AB27=""),"",IFERROR(ROUND(AB27/INDEX(Undirviðmið!$F$6:$F$45,AB$4)*INDEX(Undirviðmið!$E$6:$E$45,AB$4)*KVARDI,2),""))</f>
        <v/>
      </c>
      <c r="AD27" s="20" t="n"/>
      <c r="AE27" s="31">
        <f>IF(OR(AD$4=0,AD27=""),"",IFERROR(ROUND(AD27/INDEX(Undirviðmið!$F$6:$F$45,AD$4)*INDEX(Undirviðmið!$E$6:$E$45,AD$4)*KVARDI,2),""))</f>
        <v/>
      </c>
      <c r="AF27" s="20" t="n"/>
      <c r="AG27" s="31">
        <f>IF(OR(AF$4=0,AF27=""),"",IFERROR(ROUND(AF27/INDEX(Undirviðmið!$F$6:$F$45,AF$4)*INDEX(Undirviðmið!$E$6:$E$45,AF$4)*KVARDI,2),""))</f>
        <v/>
      </c>
      <c r="AH27" s="37">
        <f>IFERROR(SUM(E27,G27,I27,K27,M27,O27,Q27,S27,U27,W27,Y27,AA27,AC27,AE27,AG27),0)</f>
        <v/>
      </c>
    </row>
    <row r="28">
      <c r="A28" s="19" t="n">
        <v>22</v>
      </c>
      <c r="B28" s="21">
        <f>IF(Starfsmenn!$B$27="","",Starfsmenn!$B$27)</f>
        <v/>
      </c>
      <c r="C28" s="21">
        <f>IF(Starfsmenn!$C$27="","",Starfsmenn!$C$27)</f>
        <v/>
      </c>
      <c r="D28" s="20" t="n"/>
      <c r="E28" s="31">
        <f>IF(OR(D$4=0,D28=""),"",IFERROR(ROUND(D28/INDEX(Undirviðmið!$F$6:$F$45,D$4)*INDEX(Undirviðmið!$E$6:$E$45,D$4)*KVARDI,2),""))</f>
        <v/>
      </c>
      <c r="F28" s="20" t="n"/>
      <c r="G28" s="31">
        <f>IF(OR(F$4=0,F28=""),"",IFERROR(ROUND(F28/INDEX(Undirviðmið!$F$6:$F$45,F$4)*INDEX(Undirviðmið!$E$6:$E$45,F$4)*KVARDI,2),""))</f>
        <v/>
      </c>
      <c r="H28" s="20" t="n"/>
      <c r="I28" s="31">
        <f>IF(OR(H$4=0,H28=""),"",IFERROR(ROUND(H28/INDEX(Undirviðmið!$F$6:$F$45,H$4)*INDEX(Undirviðmið!$E$6:$E$45,H$4)*KVARDI,2),""))</f>
        <v/>
      </c>
      <c r="J28" s="20" t="n"/>
      <c r="K28" s="31">
        <f>IF(OR(J$4=0,J28=""),"",IFERROR(ROUND(J28/INDEX(Undirviðmið!$F$6:$F$45,J$4)*INDEX(Undirviðmið!$E$6:$E$45,J$4)*KVARDI,2),""))</f>
        <v/>
      </c>
      <c r="L28" s="20" t="n"/>
      <c r="M28" s="31">
        <f>IF(OR(L$4=0,L28=""),"",IFERROR(ROUND(L28/INDEX(Undirviðmið!$F$6:$F$45,L$4)*INDEX(Undirviðmið!$E$6:$E$45,L$4)*KVARDI,2),""))</f>
        <v/>
      </c>
      <c r="N28" s="20" t="n"/>
      <c r="O28" s="31">
        <f>IF(OR(N$4=0,N28=""),"",IFERROR(ROUND(N28/INDEX(Undirviðmið!$F$6:$F$45,N$4)*INDEX(Undirviðmið!$E$6:$E$45,N$4)*KVARDI,2),""))</f>
        <v/>
      </c>
      <c r="P28" s="20" t="n"/>
      <c r="Q28" s="31">
        <f>IF(OR(P$4=0,P28=""),"",IFERROR(ROUND(P28/INDEX(Undirviðmið!$F$6:$F$45,P$4)*INDEX(Undirviðmið!$E$6:$E$45,P$4)*KVARDI,2),""))</f>
        <v/>
      </c>
      <c r="R28" s="20" t="n"/>
      <c r="S28" s="31">
        <f>IF(OR(R$4=0,R28=""),"",IFERROR(ROUND(R28/INDEX(Undirviðmið!$F$6:$F$45,R$4)*INDEX(Undirviðmið!$E$6:$E$45,R$4)*KVARDI,2),""))</f>
        <v/>
      </c>
      <c r="T28" s="20" t="n"/>
      <c r="U28" s="31">
        <f>IF(OR(T$4=0,T28=""),"",IFERROR(ROUND(T28/INDEX(Undirviðmið!$F$6:$F$45,T$4)*INDEX(Undirviðmið!$E$6:$E$45,T$4)*KVARDI,2),""))</f>
        <v/>
      </c>
      <c r="V28" s="20" t="n"/>
      <c r="W28" s="31">
        <f>IF(OR(V$4=0,V28=""),"",IFERROR(ROUND(V28/INDEX(Undirviðmið!$F$6:$F$45,V$4)*INDEX(Undirviðmið!$E$6:$E$45,V$4)*KVARDI,2),""))</f>
        <v/>
      </c>
      <c r="X28" s="20" t="n"/>
      <c r="Y28" s="31">
        <f>IF(OR(X$4=0,X28=""),"",IFERROR(ROUND(X28/INDEX(Undirviðmið!$F$6:$F$45,X$4)*INDEX(Undirviðmið!$E$6:$E$45,X$4)*KVARDI,2),""))</f>
        <v/>
      </c>
      <c r="Z28" s="20" t="n"/>
      <c r="AA28" s="31">
        <f>IF(OR(Z$4=0,Z28=""),"",IFERROR(ROUND(Z28/INDEX(Undirviðmið!$F$6:$F$45,Z$4)*INDEX(Undirviðmið!$E$6:$E$45,Z$4)*KVARDI,2),""))</f>
        <v/>
      </c>
      <c r="AB28" s="20" t="n"/>
      <c r="AC28" s="31">
        <f>IF(OR(AB$4=0,AB28=""),"",IFERROR(ROUND(AB28/INDEX(Undirviðmið!$F$6:$F$45,AB$4)*INDEX(Undirviðmið!$E$6:$E$45,AB$4)*KVARDI,2),""))</f>
        <v/>
      </c>
      <c r="AD28" s="20" t="n"/>
      <c r="AE28" s="31">
        <f>IF(OR(AD$4=0,AD28=""),"",IFERROR(ROUND(AD28/INDEX(Undirviðmið!$F$6:$F$45,AD$4)*INDEX(Undirviðmið!$E$6:$E$45,AD$4)*KVARDI,2),""))</f>
        <v/>
      </c>
      <c r="AF28" s="20" t="n"/>
      <c r="AG28" s="31">
        <f>IF(OR(AF$4=0,AF28=""),"",IFERROR(ROUND(AF28/INDEX(Undirviðmið!$F$6:$F$45,AF$4)*INDEX(Undirviðmið!$E$6:$E$45,AF$4)*KVARDI,2),""))</f>
        <v/>
      </c>
      <c r="AH28" s="37">
        <f>IFERROR(SUM(E28,G28,I28,K28,M28,O28,Q28,S28,U28,W28,Y28,AA28,AC28,AE28,AG28),0)</f>
        <v/>
      </c>
    </row>
    <row r="29">
      <c r="A29" s="19" t="n">
        <v>23</v>
      </c>
      <c r="B29" s="21">
        <f>IF(Starfsmenn!$B$28="","",Starfsmenn!$B$28)</f>
        <v/>
      </c>
      <c r="C29" s="21">
        <f>IF(Starfsmenn!$C$28="","",Starfsmenn!$C$28)</f>
        <v/>
      </c>
      <c r="D29" s="20" t="n"/>
      <c r="E29" s="31">
        <f>IF(OR(D$4=0,D29=""),"",IFERROR(ROUND(D29/INDEX(Undirviðmið!$F$6:$F$45,D$4)*INDEX(Undirviðmið!$E$6:$E$45,D$4)*KVARDI,2),""))</f>
        <v/>
      </c>
      <c r="F29" s="20" t="n"/>
      <c r="G29" s="31">
        <f>IF(OR(F$4=0,F29=""),"",IFERROR(ROUND(F29/INDEX(Undirviðmið!$F$6:$F$45,F$4)*INDEX(Undirviðmið!$E$6:$E$45,F$4)*KVARDI,2),""))</f>
        <v/>
      </c>
      <c r="H29" s="20" t="n"/>
      <c r="I29" s="31">
        <f>IF(OR(H$4=0,H29=""),"",IFERROR(ROUND(H29/INDEX(Undirviðmið!$F$6:$F$45,H$4)*INDEX(Undirviðmið!$E$6:$E$45,H$4)*KVARDI,2),""))</f>
        <v/>
      </c>
      <c r="J29" s="20" t="n"/>
      <c r="K29" s="31">
        <f>IF(OR(J$4=0,J29=""),"",IFERROR(ROUND(J29/INDEX(Undirviðmið!$F$6:$F$45,J$4)*INDEX(Undirviðmið!$E$6:$E$45,J$4)*KVARDI,2),""))</f>
        <v/>
      </c>
      <c r="L29" s="20" t="n"/>
      <c r="M29" s="31">
        <f>IF(OR(L$4=0,L29=""),"",IFERROR(ROUND(L29/INDEX(Undirviðmið!$F$6:$F$45,L$4)*INDEX(Undirviðmið!$E$6:$E$45,L$4)*KVARDI,2),""))</f>
        <v/>
      </c>
      <c r="N29" s="20" t="n"/>
      <c r="O29" s="31">
        <f>IF(OR(N$4=0,N29=""),"",IFERROR(ROUND(N29/INDEX(Undirviðmið!$F$6:$F$45,N$4)*INDEX(Undirviðmið!$E$6:$E$45,N$4)*KVARDI,2),""))</f>
        <v/>
      </c>
      <c r="P29" s="20" t="n"/>
      <c r="Q29" s="31">
        <f>IF(OR(P$4=0,P29=""),"",IFERROR(ROUND(P29/INDEX(Undirviðmið!$F$6:$F$45,P$4)*INDEX(Undirviðmið!$E$6:$E$45,P$4)*KVARDI,2),""))</f>
        <v/>
      </c>
      <c r="R29" s="20" t="n"/>
      <c r="S29" s="31">
        <f>IF(OR(R$4=0,R29=""),"",IFERROR(ROUND(R29/INDEX(Undirviðmið!$F$6:$F$45,R$4)*INDEX(Undirviðmið!$E$6:$E$45,R$4)*KVARDI,2),""))</f>
        <v/>
      </c>
      <c r="T29" s="20" t="n"/>
      <c r="U29" s="31">
        <f>IF(OR(T$4=0,T29=""),"",IFERROR(ROUND(T29/INDEX(Undirviðmið!$F$6:$F$45,T$4)*INDEX(Undirviðmið!$E$6:$E$45,T$4)*KVARDI,2),""))</f>
        <v/>
      </c>
      <c r="V29" s="20" t="n"/>
      <c r="W29" s="31">
        <f>IF(OR(V$4=0,V29=""),"",IFERROR(ROUND(V29/INDEX(Undirviðmið!$F$6:$F$45,V$4)*INDEX(Undirviðmið!$E$6:$E$45,V$4)*KVARDI,2),""))</f>
        <v/>
      </c>
      <c r="X29" s="20" t="n"/>
      <c r="Y29" s="31">
        <f>IF(OR(X$4=0,X29=""),"",IFERROR(ROUND(X29/INDEX(Undirviðmið!$F$6:$F$45,X$4)*INDEX(Undirviðmið!$E$6:$E$45,X$4)*KVARDI,2),""))</f>
        <v/>
      </c>
      <c r="Z29" s="20" t="n"/>
      <c r="AA29" s="31">
        <f>IF(OR(Z$4=0,Z29=""),"",IFERROR(ROUND(Z29/INDEX(Undirviðmið!$F$6:$F$45,Z$4)*INDEX(Undirviðmið!$E$6:$E$45,Z$4)*KVARDI,2),""))</f>
        <v/>
      </c>
      <c r="AB29" s="20" t="n"/>
      <c r="AC29" s="31">
        <f>IF(OR(AB$4=0,AB29=""),"",IFERROR(ROUND(AB29/INDEX(Undirviðmið!$F$6:$F$45,AB$4)*INDEX(Undirviðmið!$E$6:$E$45,AB$4)*KVARDI,2),""))</f>
        <v/>
      </c>
      <c r="AD29" s="20" t="n"/>
      <c r="AE29" s="31">
        <f>IF(OR(AD$4=0,AD29=""),"",IFERROR(ROUND(AD29/INDEX(Undirviðmið!$F$6:$F$45,AD$4)*INDEX(Undirviðmið!$E$6:$E$45,AD$4)*KVARDI,2),""))</f>
        <v/>
      </c>
      <c r="AF29" s="20" t="n"/>
      <c r="AG29" s="31">
        <f>IF(OR(AF$4=0,AF29=""),"",IFERROR(ROUND(AF29/INDEX(Undirviðmið!$F$6:$F$45,AF$4)*INDEX(Undirviðmið!$E$6:$E$45,AF$4)*KVARDI,2),""))</f>
        <v/>
      </c>
      <c r="AH29" s="37">
        <f>IFERROR(SUM(E29,G29,I29,K29,M29,O29,Q29,S29,U29,W29,Y29,AA29,AC29,AE29,AG29),0)</f>
        <v/>
      </c>
    </row>
    <row r="30">
      <c r="A30" s="19" t="n">
        <v>24</v>
      </c>
      <c r="B30" s="21">
        <f>IF(Starfsmenn!$B$29="","",Starfsmenn!$B$29)</f>
        <v/>
      </c>
      <c r="C30" s="21">
        <f>IF(Starfsmenn!$C$29="","",Starfsmenn!$C$29)</f>
        <v/>
      </c>
      <c r="D30" s="20" t="n"/>
      <c r="E30" s="31">
        <f>IF(OR(D$4=0,D30=""),"",IFERROR(ROUND(D30/INDEX(Undirviðmið!$F$6:$F$45,D$4)*INDEX(Undirviðmið!$E$6:$E$45,D$4)*KVARDI,2),""))</f>
        <v/>
      </c>
      <c r="F30" s="20" t="n"/>
      <c r="G30" s="31">
        <f>IF(OR(F$4=0,F30=""),"",IFERROR(ROUND(F30/INDEX(Undirviðmið!$F$6:$F$45,F$4)*INDEX(Undirviðmið!$E$6:$E$45,F$4)*KVARDI,2),""))</f>
        <v/>
      </c>
      <c r="H30" s="20" t="n"/>
      <c r="I30" s="31">
        <f>IF(OR(H$4=0,H30=""),"",IFERROR(ROUND(H30/INDEX(Undirviðmið!$F$6:$F$45,H$4)*INDEX(Undirviðmið!$E$6:$E$45,H$4)*KVARDI,2),""))</f>
        <v/>
      </c>
      <c r="J30" s="20" t="n"/>
      <c r="K30" s="31">
        <f>IF(OR(J$4=0,J30=""),"",IFERROR(ROUND(J30/INDEX(Undirviðmið!$F$6:$F$45,J$4)*INDEX(Undirviðmið!$E$6:$E$45,J$4)*KVARDI,2),""))</f>
        <v/>
      </c>
      <c r="L30" s="20" t="n"/>
      <c r="M30" s="31">
        <f>IF(OR(L$4=0,L30=""),"",IFERROR(ROUND(L30/INDEX(Undirviðmið!$F$6:$F$45,L$4)*INDEX(Undirviðmið!$E$6:$E$45,L$4)*KVARDI,2),""))</f>
        <v/>
      </c>
      <c r="N30" s="20" t="n"/>
      <c r="O30" s="31">
        <f>IF(OR(N$4=0,N30=""),"",IFERROR(ROUND(N30/INDEX(Undirviðmið!$F$6:$F$45,N$4)*INDEX(Undirviðmið!$E$6:$E$45,N$4)*KVARDI,2),""))</f>
        <v/>
      </c>
      <c r="P30" s="20" t="n"/>
      <c r="Q30" s="31">
        <f>IF(OR(P$4=0,P30=""),"",IFERROR(ROUND(P30/INDEX(Undirviðmið!$F$6:$F$45,P$4)*INDEX(Undirviðmið!$E$6:$E$45,P$4)*KVARDI,2),""))</f>
        <v/>
      </c>
      <c r="R30" s="20" t="n"/>
      <c r="S30" s="31">
        <f>IF(OR(R$4=0,R30=""),"",IFERROR(ROUND(R30/INDEX(Undirviðmið!$F$6:$F$45,R$4)*INDEX(Undirviðmið!$E$6:$E$45,R$4)*KVARDI,2),""))</f>
        <v/>
      </c>
      <c r="T30" s="20" t="n"/>
      <c r="U30" s="31">
        <f>IF(OR(T$4=0,T30=""),"",IFERROR(ROUND(T30/INDEX(Undirviðmið!$F$6:$F$45,T$4)*INDEX(Undirviðmið!$E$6:$E$45,T$4)*KVARDI,2),""))</f>
        <v/>
      </c>
      <c r="V30" s="20" t="n"/>
      <c r="W30" s="31">
        <f>IF(OR(V$4=0,V30=""),"",IFERROR(ROUND(V30/INDEX(Undirviðmið!$F$6:$F$45,V$4)*INDEX(Undirviðmið!$E$6:$E$45,V$4)*KVARDI,2),""))</f>
        <v/>
      </c>
      <c r="X30" s="20" t="n"/>
      <c r="Y30" s="31">
        <f>IF(OR(X$4=0,X30=""),"",IFERROR(ROUND(X30/INDEX(Undirviðmið!$F$6:$F$45,X$4)*INDEX(Undirviðmið!$E$6:$E$45,X$4)*KVARDI,2),""))</f>
        <v/>
      </c>
      <c r="Z30" s="20" t="n"/>
      <c r="AA30" s="31">
        <f>IF(OR(Z$4=0,Z30=""),"",IFERROR(ROUND(Z30/INDEX(Undirviðmið!$F$6:$F$45,Z$4)*INDEX(Undirviðmið!$E$6:$E$45,Z$4)*KVARDI,2),""))</f>
        <v/>
      </c>
      <c r="AB30" s="20" t="n"/>
      <c r="AC30" s="31">
        <f>IF(OR(AB$4=0,AB30=""),"",IFERROR(ROUND(AB30/INDEX(Undirviðmið!$F$6:$F$45,AB$4)*INDEX(Undirviðmið!$E$6:$E$45,AB$4)*KVARDI,2),""))</f>
        <v/>
      </c>
      <c r="AD30" s="20" t="n"/>
      <c r="AE30" s="31">
        <f>IF(OR(AD$4=0,AD30=""),"",IFERROR(ROUND(AD30/INDEX(Undirviðmið!$F$6:$F$45,AD$4)*INDEX(Undirviðmið!$E$6:$E$45,AD$4)*KVARDI,2),""))</f>
        <v/>
      </c>
      <c r="AF30" s="20" t="n"/>
      <c r="AG30" s="31">
        <f>IF(OR(AF$4=0,AF30=""),"",IFERROR(ROUND(AF30/INDEX(Undirviðmið!$F$6:$F$45,AF$4)*INDEX(Undirviðmið!$E$6:$E$45,AF$4)*KVARDI,2),""))</f>
        <v/>
      </c>
      <c r="AH30" s="37">
        <f>IFERROR(SUM(E30,G30,I30,K30,M30,O30,Q30,S30,U30,W30,Y30,AA30,AC30,AE30,AG30),0)</f>
        <v/>
      </c>
    </row>
    <row r="31">
      <c r="A31" s="19" t="n">
        <v>25</v>
      </c>
      <c r="B31" s="21">
        <f>IF(Starfsmenn!$B$30="","",Starfsmenn!$B$30)</f>
        <v/>
      </c>
      <c r="C31" s="21">
        <f>IF(Starfsmenn!$C$30="","",Starfsmenn!$C$30)</f>
        <v/>
      </c>
      <c r="D31" s="20" t="n"/>
      <c r="E31" s="31">
        <f>IF(OR(D$4=0,D31=""),"",IFERROR(ROUND(D31/INDEX(Undirviðmið!$F$6:$F$45,D$4)*INDEX(Undirviðmið!$E$6:$E$45,D$4)*KVARDI,2),""))</f>
        <v/>
      </c>
      <c r="F31" s="20" t="n"/>
      <c r="G31" s="31">
        <f>IF(OR(F$4=0,F31=""),"",IFERROR(ROUND(F31/INDEX(Undirviðmið!$F$6:$F$45,F$4)*INDEX(Undirviðmið!$E$6:$E$45,F$4)*KVARDI,2),""))</f>
        <v/>
      </c>
      <c r="H31" s="20" t="n"/>
      <c r="I31" s="31">
        <f>IF(OR(H$4=0,H31=""),"",IFERROR(ROUND(H31/INDEX(Undirviðmið!$F$6:$F$45,H$4)*INDEX(Undirviðmið!$E$6:$E$45,H$4)*KVARDI,2),""))</f>
        <v/>
      </c>
      <c r="J31" s="20" t="n"/>
      <c r="K31" s="31">
        <f>IF(OR(J$4=0,J31=""),"",IFERROR(ROUND(J31/INDEX(Undirviðmið!$F$6:$F$45,J$4)*INDEX(Undirviðmið!$E$6:$E$45,J$4)*KVARDI,2),""))</f>
        <v/>
      </c>
      <c r="L31" s="20" t="n"/>
      <c r="M31" s="31">
        <f>IF(OR(L$4=0,L31=""),"",IFERROR(ROUND(L31/INDEX(Undirviðmið!$F$6:$F$45,L$4)*INDEX(Undirviðmið!$E$6:$E$45,L$4)*KVARDI,2),""))</f>
        <v/>
      </c>
      <c r="N31" s="20" t="n"/>
      <c r="O31" s="31">
        <f>IF(OR(N$4=0,N31=""),"",IFERROR(ROUND(N31/INDEX(Undirviðmið!$F$6:$F$45,N$4)*INDEX(Undirviðmið!$E$6:$E$45,N$4)*KVARDI,2),""))</f>
        <v/>
      </c>
      <c r="P31" s="20" t="n"/>
      <c r="Q31" s="31">
        <f>IF(OR(P$4=0,P31=""),"",IFERROR(ROUND(P31/INDEX(Undirviðmið!$F$6:$F$45,P$4)*INDEX(Undirviðmið!$E$6:$E$45,P$4)*KVARDI,2),""))</f>
        <v/>
      </c>
      <c r="R31" s="20" t="n"/>
      <c r="S31" s="31">
        <f>IF(OR(R$4=0,R31=""),"",IFERROR(ROUND(R31/INDEX(Undirviðmið!$F$6:$F$45,R$4)*INDEX(Undirviðmið!$E$6:$E$45,R$4)*KVARDI,2),""))</f>
        <v/>
      </c>
      <c r="T31" s="20" t="n"/>
      <c r="U31" s="31">
        <f>IF(OR(T$4=0,T31=""),"",IFERROR(ROUND(T31/INDEX(Undirviðmið!$F$6:$F$45,T$4)*INDEX(Undirviðmið!$E$6:$E$45,T$4)*KVARDI,2),""))</f>
        <v/>
      </c>
      <c r="V31" s="20" t="n"/>
      <c r="W31" s="31">
        <f>IF(OR(V$4=0,V31=""),"",IFERROR(ROUND(V31/INDEX(Undirviðmið!$F$6:$F$45,V$4)*INDEX(Undirviðmið!$E$6:$E$45,V$4)*KVARDI,2),""))</f>
        <v/>
      </c>
      <c r="X31" s="20" t="n"/>
      <c r="Y31" s="31">
        <f>IF(OR(X$4=0,X31=""),"",IFERROR(ROUND(X31/INDEX(Undirviðmið!$F$6:$F$45,X$4)*INDEX(Undirviðmið!$E$6:$E$45,X$4)*KVARDI,2),""))</f>
        <v/>
      </c>
      <c r="Z31" s="20" t="n"/>
      <c r="AA31" s="31">
        <f>IF(OR(Z$4=0,Z31=""),"",IFERROR(ROUND(Z31/INDEX(Undirviðmið!$F$6:$F$45,Z$4)*INDEX(Undirviðmið!$E$6:$E$45,Z$4)*KVARDI,2),""))</f>
        <v/>
      </c>
      <c r="AB31" s="20" t="n"/>
      <c r="AC31" s="31">
        <f>IF(OR(AB$4=0,AB31=""),"",IFERROR(ROUND(AB31/INDEX(Undirviðmið!$F$6:$F$45,AB$4)*INDEX(Undirviðmið!$E$6:$E$45,AB$4)*KVARDI,2),""))</f>
        <v/>
      </c>
      <c r="AD31" s="20" t="n"/>
      <c r="AE31" s="31">
        <f>IF(OR(AD$4=0,AD31=""),"",IFERROR(ROUND(AD31/INDEX(Undirviðmið!$F$6:$F$45,AD$4)*INDEX(Undirviðmið!$E$6:$E$45,AD$4)*KVARDI,2),""))</f>
        <v/>
      </c>
      <c r="AF31" s="20" t="n"/>
      <c r="AG31" s="31">
        <f>IF(OR(AF$4=0,AF31=""),"",IFERROR(ROUND(AF31/INDEX(Undirviðmið!$F$6:$F$45,AF$4)*INDEX(Undirviðmið!$E$6:$E$45,AF$4)*KVARDI,2),""))</f>
        <v/>
      </c>
      <c r="AH31" s="37">
        <f>IFERROR(SUM(E31,G31,I31,K31,M31,O31,Q31,S31,U31,W31,Y31,AA31,AC31,AE31,AG31),0)</f>
        <v/>
      </c>
    </row>
    <row r="32">
      <c r="A32" s="19" t="n">
        <v>26</v>
      </c>
      <c r="B32" s="21">
        <f>IF(Starfsmenn!$B$31="","",Starfsmenn!$B$31)</f>
        <v/>
      </c>
      <c r="C32" s="21">
        <f>IF(Starfsmenn!$C$31="","",Starfsmenn!$C$31)</f>
        <v/>
      </c>
      <c r="D32" s="20" t="n"/>
      <c r="E32" s="31">
        <f>IF(OR(D$4=0,D32=""),"",IFERROR(ROUND(D32/INDEX(Undirviðmið!$F$6:$F$45,D$4)*INDEX(Undirviðmið!$E$6:$E$45,D$4)*KVARDI,2),""))</f>
        <v/>
      </c>
      <c r="F32" s="20" t="n"/>
      <c r="G32" s="31">
        <f>IF(OR(F$4=0,F32=""),"",IFERROR(ROUND(F32/INDEX(Undirviðmið!$F$6:$F$45,F$4)*INDEX(Undirviðmið!$E$6:$E$45,F$4)*KVARDI,2),""))</f>
        <v/>
      </c>
      <c r="H32" s="20" t="n"/>
      <c r="I32" s="31">
        <f>IF(OR(H$4=0,H32=""),"",IFERROR(ROUND(H32/INDEX(Undirviðmið!$F$6:$F$45,H$4)*INDEX(Undirviðmið!$E$6:$E$45,H$4)*KVARDI,2),""))</f>
        <v/>
      </c>
      <c r="J32" s="20" t="n"/>
      <c r="K32" s="31">
        <f>IF(OR(J$4=0,J32=""),"",IFERROR(ROUND(J32/INDEX(Undirviðmið!$F$6:$F$45,J$4)*INDEX(Undirviðmið!$E$6:$E$45,J$4)*KVARDI,2),""))</f>
        <v/>
      </c>
      <c r="L32" s="20" t="n"/>
      <c r="M32" s="31">
        <f>IF(OR(L$4=0,L32=""),"",IFERROR(ROUND(L32/INDEX(Undirviðmið!$F$6:$F$45,L$4)*INDEX(Undirviðmið!$E$6:$E$45,L$4)*KVARDI,2),""))</f>
        <v/>
      </c>
      <c r="N32" s="20" t="n"/>
      <c r="O32" s="31">
        <f>IF(OR(N$4=0,N32=""),"",IFERROR(ROUND(N32/INDEX(Undirviðmið!$F$6:$F$45,N$4)*INDEX(Undirviðmið!$E$6:$E$45,N$4)*KVARDI,2),""))</f>
        <v/>
      </c>
      <c r="P32" s="20" t="n"/>
      <c r="Q32" s="31">
        <f>IF(OR(P$4=0,P32=""),"",IFERROR(ROUND(P32/INDEX(Undirviðmið!$F$6:$F$45,P$4)*INDEX(Undirviðmið!$E$6:$E$45,P$4)*KVARDI,2),""))</f>
        <v/>
      </c>
      <c r="R32" s="20" t="n"/>
      <c r="S32" s="31">
        <f>IF(OR(R$4=0,R32=""),"",IFERROR(ROUND(R32/INDEX(Undirviðmið!$F$6:$F$45,R$4)*INDEX(Undirviðmið!$E$6:$E$45,R$4)*KVARDI,2),""))</f>
        <v/>
      </c>
      <c r="T32" s="20" t="n"/>
      <c r="U32" s="31">
        <f>IF(OR(T$4=0,T32=""),"",IFERROR(ROUND(T32/INDEX(Undirviðmið!$F$6:$F$45,T$4)*INDEX(Undirviðmið!$E$6:$E$45,T$4)*KVARDI,2),""))</f>
        <v/>
      </c>
      <c r="V32" s="20" t="n"/>
      <c r="W32" s="31">
        <f>IF(OR(V$4=0,V32=""),"",IFERROR(ROUND(V32/INDEX(Undirviðmið!$F$6:$F$45,V$4)*INDEX(Undirviðmið!$E$6:$E$45,V$4)*KVARDI,2),""))</f>
        <v/>
      </c>
      <c r="X32" s="20" t="n"/>
      <c r="Y32" s="31">
        <f>IF(OR(X$4=0,X32=""),"",IFERROR(ROUND(X32/INDEX(Undirviðmið!$F$6:$F$45,X$4)*INDEX(Undirviðmið!$E$6:$E$45,X$4)*KVARDI,2),""))</f>
        <v/>
      </c>
      <c r="Z32" s="20" t="n"/>
      <c r="AA32" s="31">
        <f>IF(OR(Z$4=0,Z32=""),"",IFERROR(ROUND(Z32/INDEX(Undirviðmið!$F$6:$F$45,Z$4)*INDEX(Undirviðmið!$E$6:$E$45,Z$4)*KVARDI,2),""))</f>
        <v/>
      </c>
      <c r="AB32" s="20" t="n"/>
      <c r="AC32" s="31">
        <f>IF(OR(AB$4=0,AB32=""),"",IFERROR(ROUND(AB32/INDEX(Undirviðmið!$F$6:$F$45,AB$4)*INDEX(Undirviðmið!$E$6:$E$45,AB$4)*KVARDI,2),""))</f>
        <v/>
      </c>
      <c r="AD32" s="20" t="n"/>
      <c r="AE32" s="31">
        <f>IF(OR(AD$4=0,AD32=""),"",IFERROR(ROUND(AD32/INDEX(Undirviðmið!$F$6:$F$45,AD$4)*INDEX(Undirviðmið!$E$6:$E$45,AD$4)*KVARDI,2),""))</f>
        <v/>
      </c>
      <c r="AF32" s="20" t="n"/>
      <c r="AG32" s="31">
        <f>IF(OR(AF$4=0,AF32=""),"",IFERROR(ROUND(AF32/INDEX(Undirviðmið!$F$6:$F$45,AF$4)*INDEX(Undirviðmið!$E$6:$E$45,AF$4)*KVARDI,2),""))</f>
        <v/>
      </c>
      <c r="AH32" s="37">
        <f>IFERROR(SUM(E32,G32,I32,K32,M32,O32,Q32,S32,U32,W32,Y32,AA32,AC32,AE32,AG32),0)</f>
        <v/>
      </c>
    </row>
    <row r="33">
      <c r="A33" s="19" t="n">
        <v>27</v>
      </c>
      <c r="B33" s="21">
        <f>IF(Starfsmenn!$B$32="","",Starfsmenn!$B$32)</f>
        <v/>
      </c>
      <c r="C33" s="21">
        <f>IF(Starfsmenn!$C$32="","",Starfsmenn!$C$32)</f>
        <v/>
      </c>
      <c r="D33" s="20" t="n"/>
      <c r="E33" s="31">
        <f>IF(OR(D$4=0,D33=""),"",IFERROR(ROUND(D33/INDEX(Undirviðmið!$F$6:$F$45,D$4)*INDEX(Undirviðmið!$E$6:$E$45,D$4)*KVARDI,2),""))</f>
        <v/>
      </c>
      <c r="F33" s="20" t="n"/>
      <c r="G33" s="31">
        <f>IF(OR(F$4=0,F33=""),"",IFERROR(ROUND(F33/INDEX(Undirviðmið!$F$6:$F$45,F$4)*INDEX(Undirviðmið!$E$6:$E$45,F$4)*KVARDI,2),""))</f>
        <v/>
      </c>
      <c r="H33" s="20" t="n"/>
      <c r="I33" s="31">
        <f>IF(OR(H$4=0,H33=""),"",IFERROR(ROUND(H33/INDEX(Undirviðmið!$F$6:$F$45,H$4)*INDEX(Undirviðmið!$E$6:$E$45,H$4)*KVARDI,2),""))</f>
        <v/>
      </c>
      <c r="J33" s="20" t="n"/>
      <c r="K33" s="31">
        <f>IF(OR(J$4=0,J33=""),"",IFERROR(ROUND(J33/INDEX(Undirviðmið!$F$6:$F$45,J$4)*INDEX(Undirviðmið!$E$6:$E$45,J$4)*KVARDI,2),""))</f>
        <v/>
      </c>
      <c r="L33" s="20" t="n"/>
      <c r="M33" s="31">
        <f>IF(OR(L$4=0,L33=""),"",IFERROR(ROUND(L33/INDEX(Undirviðmið!$F$6:$F$45,L$4)*INDEX(Undirviðmið!$E$6:$E$45,L$4)*KVARDI,2),""))</f>
        <v/>
      </c>
      <c r="N33" s="20" t="n"/>
      <c r="O33" s="31">
        <f>IF(OR(N$4=0,N33=""),"",IFERROR(ROUND(N33/INDEX(Undirviðmið!$F$6:$F$45,N$4)*INDEX(Undirviðmið!$E$6:$E$45,N$4)*KVARDI,2),""))</f>
        <v/>
      </c>
      <c r="P33" s="20" t="n"/>
      <c r="Q33" s="31">
        <f>IF(OR(P$4=0,P33=""),"",IFERROR(ROUND(P33/INDEX(Undirviðmið!$F$6:$F$45,P$4)*INDEX(Undirviðmið!$E$6:$E$45,P$4)*KVARDI,2),""))</f>
        <v/>
      </c>
      <c r="R33" s="20" t="n"/>
      <c r="S33" s="31">
        <f>IF(OR(R$4=0,R33=""),"",IFERROR(ROUND(R33/INDEX(Undirviðmið!$F$6:$F$45,R$4)*INDEX(Undirviðmið!$E$6:$E$45,R$4)*KVARDI,2),""))</f>
        <v/>
      </c>
      <c r="T33" s="20" t="n"/>
      <c r="U33" s="31">
        <f>IF(OR(T$4=0,T33=""),"",IFERROR(ROUND(T33/INDEX(Undirviðmið!$F$6:$F$45,T$4)*INDEX(Undirviðmið!$E$6:$E$45,T$4)*KVARDI,2),""))</f>
        <v/>
      </c>
      <c r="V33" s="20" t="n"/>
      <c r="W33" s="31">
        <f>IF(OR(V$4=0,V33=""),"",IFERROR(ROUND(V33/INDEX(Undirviðmið!$F$6:$F$45,V$4)*INDEX(Undirviðmið!$E$6:$E$45,V$4)*KVARDI,2),""))</f>
        <v/>
      </c>
      <c r="X33" s="20" t="n"/>
      <c r="Y33" s="31">
        <f>IF(OR(X$4=0,X33=""),"",IFERROR(ROUND(X33/INDEX(Undirviðmið!$F$6:$F$45,X$4)*INDEX(Undirviðmið!$E$6:$E$45,X$4)*KVARDI,2),""))</f>
        <v/>
      </c>
      <c r="Z33" s="20" t="n"/>
      <c r="AA33" s="31">
        <f>IF(OR(Z$4=0,Z33=""),"",IFERROR(ROUND(Z33/INDEX(Undirviðmið!$F$6:$F$45,Z$4)*INDEX(Undirviðmið!$E$6:$E$45,Z$4)*KVARDI,2),""))</f>
        <v/>
      </c>
      <c r="AB33" s="20" t="n"/>
      <c r="AC33" s="31">
        <f>IF(OR(AB$4=0,AB33=""),"",IFERROR(ROUND(AB33/INDEX(Undirviðmið!$F$6:$F$45,AB$4)*INDEX(Undirviðmið!$E$6:$E$45,AB$4)*KVARDI,2),""))</f>
        <v/>
      </c>
      <c r="AD33" s="20" t="n"/>
      <c r="AE33" s="31">
        <f>IF(OR(AD$4=0,AD33=""),"",IFERROR(ROUND(AD33/INDEX(Undirviðmið!$F$6:$F$45,AD$4)*INDEX(Undirviðmið!$E$6:$E$45,AD$4)*KVARDI,2),""))</f>
        <v/>
      </c>
      <c r="AF33" s="20" t="n"/>
      <c r="AG33" s="31">
        <f>IF(OR(AF$4=0,AF33=""),"",IFERROR(ROUND(AF33/INDEX(Undirviðmið!$F$6:$F$45,AF$4)*INDEX(Undirviðmið!$E$6:$E$45,AF$4)*KVARDI,2),""))</f>
        <v/>
      </c>
      <c r="AH33" s="37">
        <f>IFERROR(SUM(E33,G33,I33,K33,M33,O33,Q33,S33,U33,W33,Y33,AA33,AC33,AE33,AG33),0)</f>
        <v/>
      </c>
    </row>
    <row r="34">
      <c r="A34" s="19" t="n">
        <v>28</v>
      </c>
      <c r="B34" s="21">
        <f>IF(Starfsmenn!$B$33="","",Starfsmenn!$B$33)</f>
        <v/>
      </c>
      <c r="C34" s="21">
        <f>IF(Starfsmenn!$C$33="","",Starfsmenn!$C$33)</f>
        <v/>
      </c>
      <c r="D34" s="20" t="n"/>
      <c r="E34" s="31">
        <f>IF(OR(D$4=0,D34=""),"",IFERROR(ROUND(D34/INDEX(Undirviðmið!$F$6:$F$45,D$4)*INDEX(Undirviðmið!$E$6:$E$45,D$4)*KVARDI,2),""))</f>
        <v/>
      </c>
      <c r="F34" s="20" t="n"/>
      <c r="G34" s="31">
        <f>IF(OR(F$4=0,F34=""),"",IFERROR(ROUND(F34/INDEX(Undirviðmið!$F$6:$F$45,F$4)*INDEX(Undirviðmið!$E$6:$E$45,F$4)*KVARDI,2),""))</f>
        <v/>
      </c>
      <c r="H34" s="20" t="n"/>
      <c r="I34" s="31">
        <f>IF(OR(H$4=0,H34=""),"",IFERROR(ROUND(H34/INDEX(Undirviðmið!$F$6:$F$45,H$4)*INDEX(Undirviðmið!$E$6:$E$45,H$4)*KVARDI,2),""))</f>
        <v/>
      </c>
      <c r="J34" s="20" t="n"/>
      <c r="K34" s="31">
        <f>IF(OR(J$4=0,J34=""),"",IFERROR(ROUND(J34/INDEX(Undirviðmið!$F$6:$F$45,J$4)*INDEX(Undirviðmið!$E$6:$E$45,J$4)*KVARDI,2),""))</f>
        <v/>
      </c>
      <c r="L34" s="20" t="n"/>
      <c r="M34" s="31">
        <f>IF(OR(L$4=0,L34=""),"",IFERROR(ROUND(L34/INDEX(Undirviðmið!$F$6:$F$45,L$4)*INDEX(Undirviðmið!$E$6:$E$45,L$4)*KVARDI,2),""))</f>
        <v/>
      </c>
      <c r="N34" s="20" t="n"/>
      <c r="O34" s="31">
        <f>IF(OR(N$4=0,N34=""),"",IFERROR(ROUND(N34/INDEX(Undirviðmið!$F$6:$F$45,N$4)*INDEX(Undirviðmið!$E$6:$E$45,N$4)*KVARDI,2),""))</f>
        <v/>
      </c>
      <c r="P34" s="20" t="n"/>
      <c r="Q34" s="31">
        <f>IF(OR(P$4=0,P34=""),"",IFERROR(ROUND(P34/INDEX(Undirviðmið!$F$6:$F$45,P$4)*INDEX(Undirviðmið!$E$6:$E$45,P$4)*KVARDI,2),""))</f>
        <v/>
      </c>
      <c r="R34" s="20" t="n"/>
      <c r="S34" s="31">
        <f>IF(OR(R$4=0,R34=""),"",IFERROR(ROUND(R34/INDEX(Undirviðmið!$F$6:$F$45,R$4)*INDEX(Undirviðmið!$E$6:$E$45,R$4)*KVARDI,2),""))</f>
        <v/>
      </c>
      <c r="T34" s="20" t="n"/>
      <c r="U34" s="31">
        <f>IF(OR(T$4=0,T34=""),"",IFERROR(ROUND(T34/INDEX(Undirviðmið!$F$6:$F$45,T$4)*INDEX(Undirviðmið!$E$6:$E$45,T$4)*KVARDI,2),""))</f>
        <v/>
      </c>
      <c r="V34" s="20" t="n"/>
      <c r="W34" s="31">
        <f>IF(OR(V$4=0,V34=""),"",IFERROR(ROUND(V34/INDEX(Undirviðmið!$F$6:$F$45,V$4)*INDEX(Undirviðmið!$E$6:$E$45,V$4)*KVARDI,2),""))</f>
        <v/>
      </c>
      <c r="X34" s="20" t="n"/>
      <c r="Y34" s="31">
        <f>IF(OR(X$4=0,X34=""),"",IFERROR(ROUND(X34/INDEX(Undirviðmið!$F$6:$F$45,X$4)*INDEX(Undirviðmið!$E$6:$E$45,X$4)*KVARDI,2),""))</f>
        <v/>
      </c>
      <c r="Z34" s="20" t="n"/>
      <c r="AA34" s="31">
        <f>IF(OR(Z$4=0,Z34=""),"",IFERROR(ROUND(Z34/INDEX(Undirviðmið!$F$6:$F$45,Z$4)*INDEX(Undirviðmið!$E$6:$E$45,Z$4)*KVARDI,2),""))</f>
        <v/>
      </c>
      <c r="AB34" s="20" t="n"/>
      <c r="AC34" s="31">
        <f>IF(OR(AB$4=0,AB34=""),"",IFERROR(ROUND(AB34/INDEX(Undirviðmið!$F$6:$F$45,AB$4)*INDEX(Undirviðmið!$E$6:$E$45,AB$4)*KVARDI,2),""))</f>
        <v/>
      </c>
      <c r="AD34" s="20" t="n"/>
      <c r="AE34" s="31">
        <f>IF(OR(AD$4=0,AD34=""),"",IFERROR(ROUND(AD34/INDEX(Undirviðmið!$F$6:$F$45,AD$4)*INDEX(Undirviðmið!$E$6:$E$45,AD$4)*KVARDI,2),""))</f>
        <v/>
      </c>
      <c r="AF34" s="20" t="n"/>
      <c r="AG34" s="31">
        <f>IF(OR(AF$4=0,AF34=""),"",IFERROR(ROUND(AF34/INDEX(Undirviðmið!$F$6:$F$45,AF$4)*INDEX(Undirviðmið!$E$6:$E$45,AF$4)*KVARDI,2),""))</f>
        <v/>
      </c>
      <c r="AH34" s="37">
        <f>IFERROR(SUM(E34,G34,I34,K34,M34,O34,Q34,S34,U34,W34,Y34,AA34,AC34,AE34,AG34),0)</f>
        <v/>
      </c>
    </row>
    <row r="35">
      <c r="A35" s="19" t="n">
        <v>29</v>
      </c>
      <c r="B35" s="21">
        <f>IF(Starfsmenn!$B$34="","",Starfsmenn!$B$34)</f>
        <v/>
      </c>
      <c r="C35" s="21">
        <f>IF(Starfsmenn!$C$34="","",Starfsmenn!$C$34)</f>
        <v/>
      </c>
      <c r="D35" s="20" t="n"/>
      <c r="E35" s="31">
        <f>IF(OR(D$4=0,D35=""),"",IFERROR(ROUND(D35/INDEX(Undirviðmið!$F$6:$F$45,D$4)*INDEX(Undirviðmið!$E$6:$E$45,D$4)*KVARDI,2),""))</f>
        <v/>
      </c>
      <c r="F35" s="20" t="n"/>
      <c r="G35" s="31">
        <f>IF(OR(F$4=0,F35=""),"",IFERROR(ROUND(F35/INDEX(Undirviðmið!$F$6:$F$45,F$4)*INDEX(Undirviðmið!$E$6:$E$45,F$4)*KVARDI,2),""))</f>
        <v/>
      </c>
      <c r="H35" s="20" t="n"/>
      <c r="I35" s="31">
        <f>IF(OR(H$4=0,H35=""),"",IFERROR(ROUND(H35/INDEX(Undirviðmið!$F$6:$F$45,H$4)*INDEX(Undirviðmið!$E$6:$E$45,H$4)*KVARDI,2),""))</f>
        <v/>
      </c>
      <c r="J35" s="20" t="n"/>
      <c r="K35" s="31">
        <f>IF(OR(J$4=0,J35=""),"",IFERROR(ROUND(J35/INDEX(Undirviðmið!$F$6:$F$45,J$4)*INDEX(Undirviðmið!$E$6:$E$45,J$4)*KVARDI,2),""))</f>
        <v/>
      </c>
      <c r="L35" s="20" t="n"/>
      <c r="M35" s="31">
        <f>IF(OR(L$4=0,L35=""),"",IFERROR(ROUND(L35/INDEX(Undirviðmið!$F$6:$F$45,L$4)*INDEX(Undirviðmið!$E$6:$E$45,L$4)*KVARDI,2),""))</f>
        <v/>
      </c>
      <c r="N35" s="20" t="n"/>
      <c r="O35" s="31">
        <f>IF(OR(N$4=0,N35=""),"",IFERROR(ROUND(N35/INDEX(Undirviðmið!$F$6:$F$45,N$4)*INDEX(Undirviðmið!$E$6:$E$45,N$4)*KVARDI,2),""))</f>
        <v/>
      </c>
      <c r="P35" s="20" t="n"/>
      <c r="Q35" s="31">
        <f>IF(OR(P$4=0,P35=""),"",IFERROR(ROUND(P35/INDEX(Undirviðmið!$F$6:$F$45,P$4)*INDEX(Undirviðmið!$E$6:$E$45,P$4)*KVARDI,2),""))</f>
        <v/>
      </c>
      <c r="R35" s="20" t="n"/>
      <c r="S35" s="31">
        <f>IF(OR(R$4=0,R35=""),"",IFERROR(ROUND(R35/INDEX(Undirviðmið!$F$6:$F$45,R$4)*INDEX(Undirviðmið!$E$6:$E$45,R$4)*KVARDI,2),""))</f>
        <v/>
      </c>
      <c r="T35" s="20" t="n"/>
      <c r="U35" s="31">
        <f>IF(OR(T$4=0,T35=""),"",IFERROR(ROUND(T35/INDEX(Undirviðmið!$F$6:$F$45,T$4)*INDEX(Undirviðmið!$E$6:$E$45,T$4)*KVARDI,2),""))</f>
        <v/>
      </c>
      <c r="V35" s="20" t="n"/>
      <c r="W35" s="31">
        <f>IF(OR(V$4=0,V35=""),"",IFERROR(ROUND(V35/INDEX(Undirviðmið!$F$6:$F$45,V$4)*INDEX(Undirviðmið!$E$6:$E$45,V$4)*KVARDI,2),""))</f>
        <v/>
      </c>
      <c r="X35" s="20" t="n"/>
      <c r="Y35" s="31">
        <f>IF(OR(X$4=0,X35=""),"",IFERROR(ROUND(X35/INDEX(Undirviðmið!$F$6:$F$45,X$4)*INDEX(Undirviðmið!$E$6:$E$45,X$4)*KVARDI,2),""))</f>
        <v/>
      </c>
      <c r="Z35" s="20" t="n"/>
      <c r="AA35" s="31">
        <f>IF(OR(Z$4=0,Z35=""),"",IFERROR(ROUND(Z35/INDEX(Undirviðmið!$F$6:$F$45,Z$4)*INDEX(Undirviðmið!$E$6:$E$45,Z$4)*KVARDI,2),""))</f>
        <v/>
      </c>
      <c r="AB35" s="20" t="n"/>
      <c r="AC35" s="31">
        <f>IF(OR(AB$4=0,AB35=""),"",IFERROR(ROUND(AB35/INDEX(Undirviðmið!$F$6:$F$45,AB$4)*INDEX(Undirviðmið!$E$6:$E$45,AB$4)*KVARDI,2),""))</f>
        <v/>
      </c>
      <c r="AD35" s="20" t="n"/>
      <c r="AE35" s="31">
        <f>IF(OR(AD$4=0,AD35=""),"",IFERROR(ROUND(AD35/INDEX(Undirviðmið!$F$6:$F$45,AD$4)*INDEX(Undirviðmið!$E$6:$E$45,AD$4)*KVARDI,2),""))</f>
        <v/>
      </c>
      <c r="AF35" s="20" t="n"/>
      <c r="AG35" s="31">
        <f>IF(OR(AF$4=0,AF35=""),"",IFERROR(ROUND(AF35/INDEX(Undirviðmið!$F$6:$F$45,AF$4)*INDEX(Undirviðmið!$E$6:$E$45,AF$4)*KVARDI,2),""))</f>
        <v/>
      </c>
      <c r="AH35" s="37">
        <f>IFERROR(SUM(E35,G35,I35,K35,M35,O35,Q35,S35,U35,W35,Y35,AA35,AC35,AE35,AG35),0)</f>
        <v/>
      </c>
    </row>
    <row r="36">
      <c r="A36" s="19" t="n">
        <v>30</v>
      </c>
      <c r="B36" s="21">
        <f>IF(Starfsmenn!$B$35="","",Starfsmenn!$B$35)</f>
        <v/>
      </c>
      <c r="C36" s="21">
        <f>IF(Starfsmenn!$C$35="","",Starfsmenn!$C$35)</f>
        <v/>
      </c>
      <c r="D36" s="20" t="n"/>
      <c r="E36" s="31">
        <f>IF(OR(D$4=0,D36=""),"",IFERROR(ROUND(D36/INDEX(Undirviðmið!$F$6:$F$45,D$4)*INDEX(Undirviðmið!$E$6:$E$45,D$4)*KVARDI,2),""))</f>
        <v/>
      </c>
      <c r="F36" s="20" t="n"/>
      <c r="G36" s="31">
        <f>IF(OR(F$4=0,F36=""),"",IFERROR(ROUND(F36/INDEX(Undirviðmið!$F$6:$F$45,F$4)*INDEX(Undirviðmið!$E$6:$E$45,F$4)*KVARDI,2),""))</f>
        <v/>
      </c>
      <c r="H36" s="20" t="n"/>
      <c r="I36" s="31">
        <f>IF(OR(H$4=0,H36=""),"",IFERROR(ROUND(H36/INDEX(Undirviðmið!$F$6:$F$45,H$4)*INDEX(Undirviðmið!$E$6:$E$45,H$4)*KVARDI,2),""))</f>
        <v/>
      </c>
      <c r="J36" s="20" t="n"/>
      <c r="K36" s="31">
        <f>IF(OR(J$4=0,J36=""),"",IFERROR(ROUND(J36/INDEX(Undirviðmið!$F$6:$F$45,J$4)*INDEX(Undirviðmið!$E$6:$E$45,J$4)*KVARDI,2),""))</f>
        <v/>
      </c>
      <c r="L36" s="20" t="n"/>
      <c r="M36" s="31">
        <f>IF(OR(L$4=0,L36=""),"",IFERROR(ROUND(L36/INDEX(Undirviðmið!$F$6:$F$45,L$4)*INDEX(Undirviðmið!$E$6:$E$45,L$4)*KVARDI,2),""))</f>
        <v/>
      </c>
      <c r="N36" s="20" t="n"/>
      <c r="O36" s="31">
        <f>IF(OR(N$4=0,N36=""),"",IFERROR(ROUND(N36/INDEX(Undirviðmið!$F$6:$F$45,N$4)*INDEX(Undirviðmið!$E$6:$E$45,N$4)*KVARDI,2),""))</f>
        <v/>
      </c>
      <c r="P36" s="20" t="n"/>
      <c r="Q36" s="31">
        <f>IF(OR(P$4=0,P36=""),"",IFERROR(ROUND(P36/INDEX(Undirviðmið!$F$6:$F$45,P$4)*INDEX(Undirviðmið!$E$6:$E$45,P$4)*KVARDI,2),""))</f>
        <v/>
      </c>
      <c r="R36" s="20" t="n"/>
      <c r="S36" s="31">
        <f>IF(OR(R$4=0,R36=""),"",IFERROR(ROUND(R36/INDEX(Undirviðmið!$F$6:$F$45,R$4)*INDEX(Undirviðmið!$E$6:$E$45,R$4)*KVARDI,2),""))</f>
        <v/>
      </c>
      <c r="T36" s="20" t="n"/>
      <c r="U36" s="31">
        <f>IF(OR(T$4=0,T36=""),"",IFERROR(ROUND(T36/INDEX(Undirviðmið!$F$6:$F$45,T$4)*INDEX(Undirviðmið!$E$6:$E$45,T$4)*KVARDI,2),""))</f>
        <v/>
      </c>
      <c r="V36" s="20" t="n"/>
      <c r="W36" s="31">
        <f>IF(OR(V$4=0,V36=""),"",IFERROR(ROUND(V36/INDEX(Undirviðmið!$F$6:$F$45,V$4)*INDEX(Undirviðmið!$E$6:$E$45,V$4)*KVARDI,2),""))</f>
        <v/>
      </c>
      <c r="X36" s="20" t="n"/>
      <c r="Y36" s="31">
        <f>IF(OR(X$4=0,X36=""),"",IFERROR(ROUND(X36/INDEX(Undirviðmið!$F$6:$F$45,X$4)*INDEX(Undirviðmið!$E$6:$E$45,X$4)*KVARDI,2),""))</f>
        <v/>
      </c>
      <c r="Z36" s="20" t="n"/>
      <c r="AA36" s="31">
        <f>IF(OR(Z$4=0,Z36=""),"",IFERROR(ROUND(Z36/INDEX(Undirviðmið!$F$6:$F$45,Z$4)*INDEX(Undirviðmið!$E$6:$E$45,Z$4)*KVARDI,2),""))</f>
        <v/>
      </c>
      <c r="AB36" s="20" t="n"/>
      <c r="AC36" s="31">
        <f>IF(OR(AB$4=0,AB36=""),"",IFERROR(ROUND(AB36/INDEX(Undirviðmið!$F$6:$F$45,AB$4)*INDEX(Undirviðmið!$E$6:$E$45,AB$4)*KVARDI,2),""))</f>
        <v/>
      </c>
      <c r="AD36" s="20" t="n"/>
      <c r="AE36" s="31">
        <f>IF(OR(AD$4=0,AD36=""),"",IFERROR(ROUND(AD36/INDEX(Undirviðmið!$F$6:$F$45,AD$4)*INDEX(Undirviðmið!$E$6:$E$45,AD$4)*KVARDI,2),""))</f>
        <v/>
      </c>
      <c r="AF36" s="20" t="n"/>
      <c r="AG36" s="31">
        <f>IF(OR(AF$4=0,AF36=""),"",IFERROR(ROUND(AF36/INDEX(Undirviðmið!$F$6:$F$45,AF$4)*INDEX(Undirviðmið!$E$6:$E$45,AF$4)*KVARDI,2),""))</f>
        <v/>
      </c>
      <c r="AH36" s="37">
        <f>IFERROR(SUM(E36,G36,I36,K36,M36,O36,Q36,S36,U36,W36,Y36,AA36,AC36,AE36,AG36),0)</f>
        <v/>
      </c>
    </row>
    <row r="37">
      <c r="A37" s="19" t="n">
        <v>31</v>
      </c>
      <c r="B37" s="21">
        <f>IF(Starfsmenn!$B$36="","",Starfsmenn!$B$36)</f>
        <v/>
      </c>
      <c r="C37" s="21">
        <f>IF(Starfsmenn!$C$36="","",Starfsmenn!$C$36)</f>
        <v/>
      </c>
      <c r="D37" s="20" t="n"/>
      <c r="E37" s="31">
        <f>IF(OR(D$4=0,D37=""),"",IFERROR(ROUND(D37/INDEX(Undirviðmið!$F$6:$F$45,D$4)*INDEX(Undirviðmið!$E$6:$E$45,D$4)*KVARDI,2),""))</f>
        <v/>
      </c>
      <c r="F37" s="20" t="n"/>
      <c r="G37" s="31">
        <f>IF(OR(F$4=0,F37=""),"",IFERROR(ROUND(F37/INDEX(Undirviðmið!$F$6:$F$45,F$4)*INDEX(Undirviðmið!$E$6:$E$45,F$4)*KVARDI,2),""))</f>
        <v/>
      </c>
      <c r="H37" s="20" t="n"/>
      <c r="I37" s="31">
        <f>IF(OR(H$4=0,H37=""),"",IFERROR(ROUND(H37/INDEX(Undirviðmið!$F$6:$F$45,H$4)*INDEX(Undirviðmið!$E$6:$E$45,H$4)*KVARDI,2),""))</f>
        <v/>
      </c>
      <c r="J37" s="20" t="n"/>
      <c r="K37" s="31">
        <f>IF(OR(J$4=0,J37=""),"",IFERROR(ROUND(J37/INDEX(Undirviðmið!$F$6:$F$45,J$4)*INDEX(Undirviðmið!$E$6:$E$45,J$4)*KVARDI,2),""))</f>
        <v/>
      </c>
      <c r="L37" s="20" t="n"/>
      <c r="M37" s="31">
        <f>IF(OR(L$4=0,L37=""),"",IFERROR(ROUND(L37/INDEX(Undirviðmið!$F$6:$F$45,L$4)*INDEX(Undirviðmið!$E$6:$E$45,L$4)*KVARDI,2),""))</f>
        <v/>
      </c>
      <c r="N37" s="20" t="n"/>
      <c r="O37" s="31">
        <f>IF(OR(N$4=0,N37=""),"",IFERROR(ROUND(N37/INDEX(Undirviðmið!$F$6:$F$45,N$4)*INDEX(Undirviðmið!$E$6:$E$45,N$4)*KVARDI,2),""))</f>
        <v/>
      </c>
      <c r="P37" s="20" t="n"/>
      <c r="Q37" s="31">
        <f>IF(OR(P$4=0,P37=""),"",IFERROR(ROUND(P37/INDEX(Undirviðmið!$F$6:$F$45,P$4)*INDEX(Undirviðmið!$E$6:$E$45,P$4)*KVARDI,2),""))</f>
        <v/>
      </c>
      <c r="R37" s="20" t="n"/>
      <c r="S37" s="31">
        <f>IF(OR(R$4=0,R37=""),"",IFERROR(ROUND(R37/INDEX(Undirviðmið!$F$6:$F$45,R$4)*INDEX(Undirviðmið!$E$6:$E$45,R$4)*KVARDI,2),""))</f>
        <v/>
      </c>
      <c r="T37" s="20" t="n"/>
      <c r="U37" s="31">
        <f>IF(OR(T$4=0,T37=""),"",IFERROR(ROUND(T37/INDEX(Undirviðmið!$F$6:$F$45,T$4)*INDEX(Undirviðmið!$E$6:$E$45,T$4)*KVARDI,2),""))</f>
        <v/>
      </c>
      <c r="V37" s="20" t="n"/>
      <c r="W37" s="31">
        <f>IF(OR(V$4=0,V37=""),"",IFERROR(ROUND(V37/INDEX(Undirviðmið!$F$6:$F$45,V$4)*INDEX(Undirviðmið!$E$6:$E$45,V$4)*KVARDI,2),""))</f>
        <v/>
      </c>
      <c r="X37" s="20" t="n"/>
      <c r="Y37" s="31">
        <f>IF(OR(X$4=0,X37=""),"",IFERROR(ROUND(X37/INDEX(Undirviðmið!$F$6:$F$45,X$4)*INDEX(Undirviðmið!$E$6:$E$45,X$4)*KVARDI,2),""))</f>
        <v/>
      </c>
      <c r="Z37" s="20" t="n"/>
      <c r="AA37" s="31">
        <f>IF(OR(Z$4=0,Z37=""),"",IFERROR(ROUND(Z37/INDEX(Undirviðmið!$F$6:$F$45,Z$4)*INDEX(Undirviðmið!$E$6:$E$45,Z$4)*KVARDI,2),""))</f>
        <v/>
      </c>
      <c r="AB37" s="20" t="n"/>
      <c r="AC37" s="31">
        <f>IF(OR(AB$4=0,AB37=""),"",IFERROR(ROUND(AB37/INDEX(Undirviðmið!$F$6:$F$45,AB$4)*INDEX(Undirviðmið!$E$6:$E$45,AB$4)*KVARDI,2),""))</f>
        <v/>
      </c>
      <c r="AD37" s="20" t="n"/>
      <c r="AE37" s="31">
        <f>IF(OR(AD$4=0,AD37=""),"",IFERROR(ROUND(AD37/INDEX(Undirviðmið!$F$6:$F$45,AD$4)*INDEX(Undirviðmið!$E$6:$E$45,AD$4)*KVARDI,2),""))</f>
        <v/>
      </c>
      <c r="AF37" s="20" t="n"/>
      <c r="AG37" s="31">
        <f>IF(OR(AF$4=0,AF37=""),"",IFERROR(ROUND(AF37/INDEX(Undirviðmið!$F$6:$F$45,AF$4)*INDEX(Undirviðmið!$E$6:$E$45,AF$4)*KVARDI,2),""))</f>
        <v/>
      </c>
      <c r="AH37" s="37">
        <f>IFERROR(SUM(E37,G37,I37,K37,M37,O37,Q37,S37,U37,W37,Y37,AA37,AC37,AE37,AG37),0)</f>
        <v/>
      </c>
    </row>
    <row r="38">
      <c r="A38" s="19" t="n">
        <v>32</v>
      </c>
      <c r="B38" s="21">
        <f>IF(Starfsmenn!$B$37="","",Starfsmenn!$B$37)</f>
        <v/>
      </c>
      <c r="C38" s="21">
        <f>IF(Starfsmenn!$C$37="","",Starfsmenn!$C$37)</f>
        <v/>
      </c>
      <c r="D38" s="20" t="n"/>
      <c r="E38" s="31">
        <f>IF(OR(D$4=0,D38=""),"",IFERROR(ROUND(D38/INDEX(Undirviðmið!$F$6:$F$45,D$4)*INDEX(Undirviðmið!$E$6:$E$45,D$4)*KVARDI,2),""))</f>
        <v/>
      </c>
      <c r="F38" s="20" t="n"/>
      <c r="G38" s="31">
        <f>IF(OR(F$4=0,F38=""),"",IFERROR(ROUND(F38/INDEX(Undirviðmið!$F$6:$F$45,F$4)*INDEX(Undirviðmið!$E$6:$E$45,F$4)*KVARDI,2),""))</f>
        <v/>
      </c>
      <c r="H38" s="20" t="n"/>
      <c r="I38" s="31">
        <f>IF(OR(H$4=0,H38=""),"",IFERROR(ROUND(H38/INDEX(Undirviðmið!$F$6:$F$45,H$4)*INDEX(Undirviðmið!$E$6:$E$45,H$4)*KVARDI,2),""))</f>
        <v/>
      </c>
      <c r="J38" s="20" t="n"/>
      <c r="K38" s="31">
        <f>IF(OR(J$4=0,J38=""),"",IFERROR(ROUND(J38/INDEX(Undirviðmið!$F$6:$F$45,J$4)*INDEX(Undirviðmið!$E$6:$E$45,J$4)*KVARDI,2),""))</f>
        <v/>
      </c>
      <c r="L38" s="20" t="n"/>
      <c r="M38" s="31">
        <f>IF(OR(L$4=0,L38=""),"",IFERROR(ROUND(L38/INDEX(Undirviðmið!$F$6:$F$45,L$4)*INDEX(Undirviðmið!$E$6:$E$45,L$4)*KVARDI,2),""))</f>
        <v/>
      </c>
      <c r="N38" s="20" t="n"/>
      <c r="O38" s="31">
        <f>IF(OR(N$4=0,N38=""),"",IFERROR(ROUND(N38/INDEX(Undirviðmið!$F$6:$F$45,N$4)*INDEX(Undirviðmið!$E$6:$E$45,N$4)*KVARDI,2),""))</f>
        <v/>
      </c>
      <c r="P38" s="20" t="n"/>
      <c r="Q38" s="31">
        <f>IF(OR(P$4=0,P38=""),"",IFERROR(ROUND(P38/INDEX(Undirviðmið!$F$6:$F$45,P$4)*INDEX(Undirviðmið!$E$6:$E$45,P$4)*KVARDI,2),""))</f>
        <v/>
      </c>
      <c r="R38" s="20" t="n"/>
      <c r="S38" s="31">
        <f>IF(OR(R$4=0,R38=""),"",IFERROR(ROUND(R38/INDEX(Undirviðmið!$F$6:$F$45,R$4)*INDEX(Undirviðmið!$E$6:$E$45,R$4)*KVARDI,2),""))</f>
        <v/>
      </c>
      <c r="T38" s="20" t="n"/>
      <c r="U38" s="31">
        <f>IF(OR(T$4=0,T38=""),"",IFERROR(ROUND(T38/INDEX(Undirviðmið!$F$6:$F$45,T$4)*INDEX(Undirviðmið!$E$6:$E$45,T$4)*KVARDI,2),""))</f>
        <v/>
      </c>
      <c r="V38" s="20" t="n"/>
      <c r="W38" s="31">
        <f>IF(OR(V$4=0,V38=""),"",IFERROR(ROUND(V38/INDEX(Undirviðmið!$F$6:$F$45,V$4)*INDEX(Undirviðmið!$E$6:$E$45,V$4)*KVARDI,2),""))</f>
        <v/>
      </c>
      <c r="X38" s="20" t="n"/>
      <c r="Y38" s="31">
        <f>IF(OR(X$4=0,X38=""),"",IFERROR(ROUND(X38/INDEX(Undirviðmið!$F$6:$F$45,X$4)*INDEX(Undirviðmið!$E$6:$E$45,X$4)*KVARDI,2),""))</f>
        <v/>
      </c>
      <c r="Z38" s="20" t="n"/>
      <c r="AA38" s="31">
        <f>IF(OR(Z$4=0,Z38=""),"",IFERROR(ROUND(Z38/INDEX(Undirviðmið!$F$6:$F$45,Z$4)*INDEX(Undirviðmið!$E$6:$E$45,Z$4)*KVARDI,2),""))</f>
        <v/>
      </c>
      <c r="AB38" s="20" t="n"/>
      <c r="AC38" s="31">
        <f>IF(OR(AB$4=0,AB38=""),"",IFERROR(ROUND(AB38/INDEX(Undirviðmið!$F$6:$F$45,AB$4)*INDEX(Undirviðmið!$E$6:$E$45,AB$4)*KVARDI,2),""))</f>
        <v/>
      </c>
      <c r="AD38" s="20" t="n"/>
      <c r="AE38" s="31">
        <f>IF(OR(AD$4=0,AD38=""),"",IFERROR(ROUND(AD38/INDEX(Undirviðmið!$F$6:$F$45,AD$4)*INDEX(Undirviðmið!$E$6:$E$45,AD$4)*KVARDI,2),""))</f>
        <v/>
      </c>
      <c r="AF38" s="20" t="n"/>
      <c r="AG38" s="31">
        <f>IF(OR(AF$4=0,AF38=""),"",IFERROR(ROUND(AF38/INDEX(Undirviðmið!$F$6:$F$45,AF$4)*INDEX(Undirviðmið!$E$6:$E$45,AF$4)*KVARDI,2),""))</f>
        <v/>
      </c>
      <c r="AH38" s="37">
        <f>IFERROR(SUM(E38,G38,I38,K38,M38,O38,Q38,S38,U38,W38,Y38,AA38,AC38,AE38,AG38),0)</f>
        <v/>
      </c>
    </row>
    <row r="39">
      <c r="A39" s="19" t="n">
        <v>33</v>
      </c>
      <c r="B39" s="21">
        <f>IF(Starfsmenn!$B$38="","",Starfsmenn!$B$38)</f>
        <v/>
      </c>
      <c r="C39" s="21">
        <f>IF(Starfsmenn!$C$38="","",Starfsmenn!$C$38)</f>
        <v/>
      </c>
      <c r="D39" s="20" t="n"/>
      <c r="E39" s="31">
        <f>IF(OR(D$4=0,D39=""),"",IFERROR(ROUND(D39/INDEX(Undirviðmið!$F$6:$F$45,D$4)*INDEX(Undirviðmið!$E$6:$E$45,D$4)*KVARDI,2),""))</f>
        <v/>
      </c>
      <c r="F39" s="20" t="n"/>
      <c r="G39" s="31">
        <f>IF(OR(F$4=0,F39=""),"",IFERROR(ROUND(F39/INDEX(Undirviðmið!$F$6:$F$45,F$4)*INDEX(Undirviðmið!$E$6:$E$45,F$4)*KVARDI,2),""))</f>
        <v/>
      </c>
      <c r="H39" s="20" t="n"/>
      <c r="I39" s="31">
        <f>IF(OR(H$4=0,H39=""),"",IFERROR(ROUND(H39/INDEX(Undirviðmið!$F$6:$F$45,H$4)*INDEX(Undirviðmið!$E$6:$E$45,H$4)*KVARDI,2),""))</f>
        <v/>
      </c>
      <c r="J39" s="20" t="n"/>
      <c r="K39" s="31">
        <f>IF(OR(J$4=0,J39=""),"",IFERROR(ROUND(J39/INDEX(Undirviðmið!$F$6:$F$45,J$4)*INDEX(Undirviðmið!$E$6:$E$45,J$4)*KVARDI,2),""))</f>
        <v/>
      </c>
      <c r="L39" s="20" t="n"/>
      <c r="M39" s="31">
        <f>IF(OR(L$4=0,L39=""),"",IFERROR(ROUND(L39/INDEX(Undirviðmið!$F$6:$F$45,L$4)*INDEX(Undirviðmið!$E$6:$E$45,L$4)*KVARDI,2),""))</f>
        <v/>
      </c>
      <c r="N39" s="20" t="n"/>
      <c r="O39" s="31">
        <f>IF(OR(N$4=0,N39=""),"",IFERROR(ROUND(N39/INDEX(Undirviðmið!$F$6:$F$45,N$4)*INDEX(Undirviðmið!$E$6:$E$45,N$4)*KVARDI,2),""))</f>
        <v/>
      </c>
      <c r="P39" s="20" t="n"/>
      <c r="Q39" s="31">
        <f>IF(OR(P$4=0,P39=""),"",IFERROR(ROUND(P39/INDEX(Undirviðmið!$F$6:$F$45,P$4)*INDEX(Undirviðmið!$E$6:$E$45,P$4)*KVARDI,2),""))</f>
        <v/>
      </c>
      <c r="R39" s="20" t="n"/>
      <c r="S39" s="31">
        <f>IF(OR(R$4=0,R39=""),"",IFERROR(ROUND(R39/INDEX(Undirviðmið!$F$6:$F$45,R$4)*INDEX(Undirviðmið!$E$6:$E$45,R$4)*KVARDI,2),""))</f>
        <v/>
      </c>
      <c r="T39" s="20" t="n"/>
      <c r="U39" s="31">
        <f>IF(OR(T$4=0,T39=""),"",IFERROR(ROUND(T39/INDEX(Undirviðmið!$F$6:$F$45,T$4)*INDEX(Undirviðmið!$E$6:$E$45,T$4)*KVARDI,2),""))</f>
        <v/>
      </c>
      <c r="V39" s="20" t="n"/>
      <c r="W39" s="31">
        <f>IF(OR(V$4=0,V39=""),"",IFERROR(ROUND(V39/INDEX(Undirviðmið!$F$6:$F$45,V$4)*INDEX(Undirviðmið!$E$6:$E$45,V$4)*KVARDI,2),""))</f>
        <v/>
      </c>
      <c r="X39" s="20" t="n"/>
      <c r="Y39" s="31">
        <f>IF(OR(X$4=0,X39=""),"",IFERROR(ROUND(X39/INDEX(Undirviðmið!$F$6:$F$45,X$4)*INDEX(Undirviðmið!$E$6:$E$45,X$4)*KVARDI,2),""))</f>
        <v/>
      </c>
      <c r="Z39" s="20" t="n"/>
      <c r="AA39" s="31">
        <f>IF(OR(Z$4=0,Z39=""),"",IFERROR(ROUND(Z39/INDEX(Undirviðmið!$F$6:$F$45,Z$4)*INDEX(Undirviðmið!$E$6:$E$45,Z$4)*KVARDI,2),""))</f>
        <v/>
      </c>
      <c r="AB39" s="20" t="n"/>
      <c r="AC39" s="31">
        <f>IF(OR(AB$4=0,AB39=""),"",IFERROR(ROUND(AB39/INDEX(Undirviðmið!$F$6:$F$45,AB$4)*INDEX(Undirviðmið!$E$6:$E$45,AB$4)*KVARDI,2),""))</f>
        <v/>
      </c>
      <c r="AD39" s="20" t="n"/>
      <c r="AE39" s="31">
        <f>IF(OR(AD$4=0,AD39=""),"",IFERROR(ROUND(AD39/INDEX(Undirviðmið!$F$6:$F$45,AD$4)*INDEX(Undirviðmið!$E$6:$E$45,AD$4)*KVARDI,2),""))</f>
        <v/>
      </c>
      <c r="AF39" s="20" t="n"/>
      <c r="AG39" s="31">
        <f>IF(OR(AF$4=0,AF39=""),"",IFERROR(ROUND(AF39/INDEX(Undirviðmið!$F$6:$F$45,AF$4)*INDEX(Undirviðmið!$E$6:$E$45,AF$4)*KVARDI,2),""))</f>
        <v/>
      </c>
      <c r="AH39" s="37">
        <f>IFERROR(SUM(E39,G39,I39,K39,M39,O39,Q39,S39,U39,W39,Y39,AA39,AC39,AE39,AG39),0)</f>
        <v/>
      </c>
    </row>
    <row r="40">
      <c r="A40" s="19" t="n">
        <v>34</v>
      </c>
      <c r="B40" s="21">
        <f>IF(Starfsmenn!$B$39="","",Starfsmenn!$B$39)</f>
        <v/>
      </c>
      <c r="C40" s="21">
        <f>IF(Starfsmenn!$C$39="","",Starfsmenn!$C$39)</f>
        <v/>
      </c>
      <c r="D40" s="20" t="n"/>
      <c r="E40" s="31">
        <f>IF(OR(D$4=0,D40=""),"",IFERROR(ROUND(D40/INDEX(Undirviðmið!$F$6:$F$45,D$4)*INDEX(Undirviðmið!$E$6:$E$45,D$4)*KVARDI,2),""))</f>
        <v/>
      </c>
      <c r="F40" s="20" t="n"/>
      <c r="G40" s="31">
        <f>IF(OR(F$4=0,F40=""),"",IFERROR(ROUND(F40/INDEX(Undirviðmið!$F$6:$F$45,F$4)*INDEX(Undirviðmið!$E$6:$E$45,F$4)*KVARDI,2),""))</f>
        <v/>
      </c>
      <c r="H40" s="20" t="n"/>
      <c r="I40" s="31">
        <f>IF(OR(H$4=0,H40=""),"",IFERROR(ROUND(H40/INDEX(Undirviðmið!$F$6:$F$45,H$4)*INDEX(Undirviðmið!$E$6:$E$45,H$4)*KVARDI,2),""))</f>
        <v/>
      </c>
      <c r="J40" s="20" t="n"/>
      <c r="K40" s="31">
        <f>IF(OR(J$4=0,J40=""),"",IFERROR(ROUND(J40/INDEX(Undirviðmið!$F$6:$F$45,J$4)*INDEX(Undirviðmið!$E$6:$E$45,J$4)*KVARDI,2),""))</f>
        <v/>
      </c>
      <c r="L40" s="20" t="n"/>
      <c r="M40" s="31">
        <f>IF(OR(L$4=0,L40=""),"",IFERROR(ROUND(L40/INDEX(Undirviðmið!$F$6:$F$45,L$4)*INDEX(Undirviðmið!$E$6:$E$45,L$4)*KVARDI,2),""))</f>
        <v/>
      </c>
      <c r="N40" s="20" t="n"/>
      <c r="O40" s="31">
        <f>IF(OR(N$4=0,N40=""),"",IFERROR(ROUND(N40/INDEX(Undirviðmið!$F$6:$F$45,N$4)*INDEX(Undirviðmið!$E$6:$E$45,N$4)*KVARDI,2),""))</f>
        <v/>
      </c>
      <c r="P40" s="20" t="n"/>
      <c r="Q40" s="31">
        <f>IF(OR(P$4=0,P40=""),"",IFERROR(ROUND(P40/INDEX(Undirviðmið!$F$6:$F$45,P$4)*INDEX(Undirviðmið!$E$6:$E$45,P$4)*KVARDI,2),""))</f>
        <v/>
      </c>
      <c r="R40" s="20" t="n"/>
      <c r="S40" s="31">
        <f>IF(OR(R$4=0,R40=""),"",IFERROR(ROUND(R40/INDEX(Undirviðmið!$F$6:$F$45,R$4)*INDEX(Undirviðmið!$E$6:$E$45,R$4)*KVARDI,2),""))</f>
        <v/>
      </c>
      <c r="T40" s="20" t="n"/>
      <c r="U40" s="31">
        <f>IF(OR(T$4=0,T40=""),"",IFERROR(ROUND(T40/INDEX(Undirviðmið!$F$6:$F$45,T$4)*INDEX(Undirviðmið!$E$6:$E$45,T$4)*KVARDI,2),""))</f>
        <v/>
      </c>
      <c r="V40" s="20" t="n"/>
      <c r="W40" s="31">
        <f>IF(OR(V$4=0,V40=""),"",IFERROR(ROUND(V40/INDEX(Undirviðmið!$F$6:$F$45,V$4)*INDEX(Undirviðmið!$E$6:$E$45,V$4)*KVARDI,2),""))</f>
        <v/>
      </c>
      <c r="X40" s="20" t="n"/>
      <c r="Y40" s="31">
        <f>IF(OR(X$4=0,X40=""),"",IFERROR(ROUND(X40/INDEX(Undirviðmið!$F$6:$F$45,X$4)*INDEX(Undirviðmið!$E$6:$E$45,X$4)*KVARDI,2),""))</f>
        <v/>
      </c>
      <c r="Z40" s="20" t="n"/>
      <c r="AA40" s="31">
        <f>IF(OR(Z$4=0,Z40=""),"",IFERROR(ROUND(Z40/INDEX(Undirviðmið!$F$6:$F$45,Z$4)*INDEX(Undirviðmið!$E$6:$E$45,Z$4)*KVARDI,2),""))</f>
        <v/>
      </c>
      <c r="AB40" s="20" t="n"/>
      <c r="AC40" s="31">
        <f>IF(OR(AB$4=0,AB40=""),"",IFERROR(ROUND(AB40/INDEX(Undirviðmið!$F$6:$F$45,AB$4)*INDEX(Undirviðmið!$E$6:$E$45,AB$4)*KVARDI,2),""))</f>
        <v/>
      </c>
      <c r="AD40" s="20" t="n"/>
      <c r="AE40" s="31">
        <f>IF(OR(AD$4=0,AD40=""),"",IFERROR(ROUND(AD40/INDEX(Undirviðmið!$F$6:$F$45,AD$4)*INDEX(Undirviðmið!$E$6:$E$45,AD$4)*KVARDI,2),""))</f>
        <v/>
      </c>
      <c r="AF40" s="20" t="n"/>
      <c r="AG40" s="31">
        <f>IF(OR(AF$4=0,AF40=""),"",IFERROR(ROUND(AF40/INDEX(Undirviðmið!$F$6:$F$45,AF$4)*INDEX(Undirviðmið!$E$6:$E$45,AF$4)*KVARDI,2),""))</f>
        <v/>
      </c>
      <c r="AH40" s="37">
        <f>IFERROR(SUM(E40,G40,I40,K40,M40,O40,Q40,S40,U40,W40,Y40,AA40,AC40,AE40,AG40),0)</f>
        <v/>
      </c>
    </row>
    <row r="41">
      <c r="A41" s="19" t="n">
        <v>35</v>
      </c>
      <c r="B41" s="21">
        <f>IF(Starfsmenn!$B$40="","",Starfsmenn!$B$40)</f>
        <v/>
      </c>
      <c r="C41" s="21">
        <f>IF(Starfsmenn!$C$40="","",Starfsmenn!$C$40)</f>
        <v/>
      </c>
      <c r="D41" s="20" t="n"/>
      <c r="E41" s="31">
        <f>IF(OR(D$4=0,D41=""),"",IFERROR(ROUND(D41/INDEX(Undirviðmið!$F$6:$F$45,D$4)*INDEX(Undirviðmið!$E$6:$E$45,D$4)*KVARDI,2),""))</f>
        <v/>
      </c>
      <c r="F41" s="20" t="n"/>
      <c r="G41" s="31">
        <f>IF(OR(F$4=0,F41=""),"",IFERROR(ROUND(F41/INDEX(Undirviðmið!$F$6:$F$45,F$4)*INDEX(Undirviðmið!$E$6:$E$45,F$4)*KVARDI,2),""))</f>
        <v/>
      </c>
      <c r="H41" s="20" t="n"/>
      <c r="I41" s="31">
        <f>IF(OR(H$4=0,H41=""),"",IFERROR(ROUND(H41/INDEX(Undirviðmið!$F$6:$F$45,H$4)*INDEX(Undirviðmið!$E$6:$E$45,H$4)*KVARDI,2),""))</f>
        <v/>
      </c>
      <c r="J41" s="20" t="n"/>
      <c r="K41" s="31">
        <f>IF(OR(J$4=0,J41=""),"",IFERROR(ROUND(J41/INDEX(Undirviðmið!$F$6:$F$45,J$4)*INDEX(Undirviðmið!$E$6:$E$45,J$4)*KVARDI,2),""))</f>
        <v/>
      </c>
      <c r="L41" s="20" t="n"/>
      <c r="M41" s="31">
        <f>IF(OR(L$4=0,L41=""),"",IFERROR(ROUND(L41/INDEX(Undirviðmið!$F$6:$F$45,L$4)*INDEX(Undirviðmið!$E$6:$E$45,L$4)*KVARDI,2),""))</f>
        <v/>
      </c>
      <c r="N41" s="20" t="n"/>
      <c r="O41" s="31">
        <f>IF(OR(N$4=0,N41=""),"",IFERROR(ROUND(N41/INDEX(Undirviðmið!$F$6:$F$45,N$4)*INDEX(Undirviðmið!$E$6:$E$45,N$4)*KVARDI,2),""))</f>
        <v/>
      </c>
      <c r="P41" s="20" t="n"/>
      <c r="Q41" s="31">
        <f>IF(OR(P$4=0,P41=""),"",IFERROR(ROUND(P41/INDEX(Undirviðmið!$F$6:$F$45,P$4)*INDEX(Undirviðmið!$E$6:$E$45,P$4)*KVARDI,2),""))</f>
        <v/>
      </c>
      <c r="R41" s="20" t="n"/>
      <c r="S41" s="31">
        <f>IF(OR(R$4=0,R41=""),"",IFERROR(ROUND(R41/INDEX(Undirviðmið!$F$6:$F$45,R$4)*INDEX(Undirviðmið!$E$6:$E$45,R$4)*KVARDI,2),""))</f>
        <v/>
      </c>
      <c r="T41" s="20" t="n"/>
      <c r="U41" s="31">
        <f>IF(OR(T$4=0,T41=""),"",IFERROR(ROUND(T41/INDEX(Undirviðmið!$F$6:$F$45,T$4)*INDEX(Undirviðmið!$E$6:$E$45,T$4)*KVARDI,2),""))</f>
        <v/>
      </c>
      <c r="V41" s="20" t="n"/>
      <c r="W41" s="31">
        <f>IF(OR(V$4=0,V41=""),"",IFERROR(ROUND(V41/INDEX(Undirviðmið!$F$6:$F$45,V$4)*INDEX(Undirviðmið!$E$6:$E$45,V$4)*KVARDI,2),""))</f>
        <v/>
      </c>
      <c r="X41" s="20" t="n"/>
      <c r="Y41" s="31">
        <f>IF(OR(X$4=0,X41=""),"",IFERROR(ROUND(X41/INDEX(Undirviðmið!$F$6:$F$45,X$4)*INDEX(Undirviðmið!$E$6:$E$45,X$4)*KVARDI,2),""))</f>
        <v/>
      </c>
      <c r="Z41" s="20" t="n"/>
      <c r="AA41" s="31">
        <f>IF(OR(Z$4=0,Z41=""),"",IFERROR(ROUND(Z41/INDEX(Undirviðmið!$F$6:$F$45,Z$4)*INDEX(Undirviðmið!$E$6:$E$45,Z$4)*KVARDI,2),""))</f>
        <v/>
      </c>
      <c r="AB41" s="20" t="n"/>
      <c r="AC41" s="31">
        <f>IF(OR(AB$4=0,AB41=""),"",IFERROR(ROUND(AB41/INDEX(Undirviðmið!$F$6:$F$45,AB$4)*INDEX(Undirviðmið!$E$6:$E$45,AB$4)*KVARDI,2),""))</f>
        <v/>
      </c>
      <c r="AD41" s="20" t="n"/>
      <c r="AE41" s="31">
        <f>IF(OR(AD$4=0,AD41=""),"",IFERROR(ROUND(AD41/INDEX(Undirviðmið!$F$6:$F$45,AD$4)*INDEX(Undirviðmið!$E$6:$E$45,AD$4)*KVARDI,2),""))</f>
        <v/>
      </c>
      <c r="AF41" s="20" t="n"/>
      <c r="AG41" s="31">
        <f>IF(OR(AF$4=0,AF41=""),"",IFERROR(ROUND(AF41/INDEX(Undirviðmið!$F$6:$F$45,AF$4)*INDEX(Undirviðmið!$E$6:$E$45,AF$4)*KVARDI,2),""))</f>
        <v/>
      </c>
      <c r="AH41" s="37">
        <f>IFERROR(SUM(E41,G41,I41,K41,M41,O41,Q41,S41,U41,W41,Y41,AA41,AC41,AE41,AG41),0)</f>
        <v/>
      </c>
    </row>
    <row r="42">
      <c r="A42" s="19" t="n">
        <v>36</v>
      </c>
      <c r="B42" s="21">
        <f>IF(Starfsmenn!$B$41="","",Starfsmenn!$B$41)</f>
        <v/>
      </c>
      <c r="C42" s="21">
        <f>IF(Starfsmenn!$C$41="","",Starfsmenn!$C$41)</f>
        <v/>
      </c>
      <c r="D42" s="20" t="n"/>
      <c r="E42" s="31">
        <f>IF(OR(D$4=0,D42=""),"",IFERROR(ROUND(D42/INDEX(Undirviðmið!$F$6:$F$45,D$4)*INDEX(Undirviðmið!$E$6:$E$45,D$4)*KVARDI,2),""))</f>
        <v/>
      </c>
      <c r="F42" s="20" t="n"/>
      <c r="G42" s="31">
        <f>IF(OR(F$4=0,F42=""),"",IFERROR(ROUND(F42/INDEX(Undirviðmið!$F$6:$F$45,F$4)*INDEX(Undirviðmið!$E$6:$E$45,F$4)*KVARDI,2),""))</f>
        <v/>
      </c>
      <c r="H42" s="20" t="n"/>
      <c r="I42" s="31">
        <f>IF(OR(H$4=0,H42=""),"",IFERROR(ROUND(H42/INDEX(Undirviðmið!$F$6:$F$45,H$4)*INDEX(Undirviðmið!$E$6:$E$45,H$4)*KVARDI,2),""))</f>
        <v/>
      </c>
      <c r="J42" s="20" t="n"/>
      <c r="K42" s="31">
        <f>IF(OR(J$4=0,J42=""),"",IFERROR(ROUND(J42/INDEX(Undirviðmið!$F$6:$F$45,J$4)*INDEX(Undirviðmið!$E$6:$E$45,J$4)*KVARDI,2),""))</f>
        <v/>
      </c>
      <c r="L42" s="20" t="n"/>
      <c r="M42" s="31">
        <f>IF(OR(L$4=0,L42=""),"",IFERROR(ROUND(L42/INDEX(Undirviðmið!$F$6:$F$45,L$4)*INDEX(Undirviðmið!$E$6:$E$45,L$4)*KVARDI,2),""))</f>
        <v/>
      </c>
      <c r="N42" s="20" t="n"/>
      <c r="O42" s="31">
        <f>IF(OR(N$4=0,N42=""),"",IFERROR(ROUND(N42/INDEX(Undirviðmið!$F$6:$F$45,N$4)*INDEX(Undirviðmið!$E$6:$E$45,N$4)*KVARDI,2),""))</f>
        <v/>
      </c>
      <c r="P42" s="20" t="n"/>
      <c r="Q42" s="31">
        <f>IF(OR(P$4=0,P42=""),"",IFERROR(ROUND(P42/INDEX(Undirviðmið!$F$6:$F$45,P$4)*INDEX(Undirviðmið!$E$6:$E$45,P$4)*KVARDI,2),""))</f>
        <v/>
      </c>
      <c r="R42" s="20" t="n"/>
      <c r="S42" s="31">
        <f>IF(OR(R$4=0,R42=""),"",IFERROR(ROUND(R42/INDEX(Undirviðmið!$F$6:$F$45,R$4)*INDEX(Undirviðmið!$E$6:$E$45,R$4)*KVARDI,2),""))</f>
        <v/>
      </c>
      <c r="T42" s="20" t="n"/>
      <c r="U42" s="31">
        <f>IF(OR(T$4=0,T42=""),"",IFERROR(ROUND(T42/INDEX(Undirviðmið!$F$6:$F$45,T$4)*INDEX(Undirviðmið!$E$6:$E$45,T$4)*KVARDI,2),""))</f>
        <v/>
      </c>
      <c r="V42" s="20" t="n"/>
      <c r="W42" s="31">
        <f>IF(OR(V$4=0,V42=""),"",IFERROR(ROUND(V42/INDEX(Undirviðmið!$F$6:$F$45,V$4)*INDEX(Undirviðmið!$E$6:$E$45,V$4)*KVARDI,2),""))</f>
        <v/>
      </c>
      <c r="X42" s="20" t="n"/>
      <c r="Y42" s="31">
        <f>IF(OR(X$4=0,X42=""),"",IFERROR(ROUND(X42/INDEX(Undirviðmið!$F$6:$F$45,X$4)*INDEX(Undirviðmið!$E$6:$E$45,X$4)*KVARDI,2),""))</f>
        <v/>
      </c>
      <c r="Z42" s="20" t="n"/>
      <c r="AA42" s="31">
        <f>IF(OR(Z$4=0,Z42=""),"",IFERROR(ROUND(Z42/INDEX(Undirviðmið!$F$6:$F$45,Z$4)*INDEX(Undirviðmið!$E$6:$E$45,Z$4)*KVARDI,2),""))</f>
        <v/>
      </c>
      <c r="AB42" s="20" t="n"/>
      <c r="AC42" s="31">
        <f>IF(OR(AB$4=0,AB42=""),"",IFERROR(ROUND(AB42/INDEX(Undirviðmið!$F$6:$F$45,AB$4)*INDEX(Undirviðmið!$E$6:$E$45,AB$4)*KVARDI,2),""))</f>
        <v/>
      </c>
      <c r="AD42" s="20" t="n"/>
      <c r="AE42" s="31">
        <f>IF(OR(AD$4=0,AD42=""),"",IFERROR(ROUND(AD42/INDEX(Undirviðmið!$F$6:$F$45,AD$4)*INDEX(Undirviðmið!$E$6:$E$45,AD$4)*KVARDI,2),""))</f>
        <v/>
      </c>
      <c r="AF42" s="20" t="n"/>
      <c r="AG42" s="31">
        <f>IF(OR(AF$4=0,AF42=""),"",IFERROR(ROUND(AF42/INDEX(Undirviðmið!$F$6:$F$45,AF$4)*INDEX(Undirviðmið!$E$6:$E$45,AF$4)*KVARDI,2),""))</f>
        <v/>
      </c>
      <c r="AH42" s="37">
        <f>IFERROR(SUM(E42,G42,I42,K42,M42,O42,Q42,S42,U42,W42,Y42,AA42,AC42,AE42,AG42),0)</f>
        <v/>
      </c>
    </row>
    <row r="43">
      <c r="A43" s="19" t="n">
        <v>37</v>
      </c>
      <c r="B43" s="21">
        <f>IF(Starfsmenn!$B$42="","",Starfsmenn!$B$42)</f>
        <v/>
      </c>
      <c r="C43" s="21">
        <f>IF(Starfsmenn!$C$42="","",Starfsmenn!$C$42)</f>
        <v/>
      </c>
      <c r="D43" s="20" t="n"/>
      <c r="E43" s="31">
        <f>IF(OR(D$4=0,D43=""),"",IFERROR(ROUND(D43/INDEX(Undirviðmið!$F$6:$F$45,D$4)*INDEX(Undirviðmið!$E$6:$E$45,D$4)*KVARDI,2),""))</f>
        <v/>
      </c>
      <c r="F43" s="20" t="n"/>
      <c r="G43" s="31">
        <f>IF(OR(F$4=0,F43=""),"",IFERROR(ROUND(F43/INDEX(Undirviðmið!$F$6:$F$45,F$4)*INDEX(Undirviðmið!$E$6:$E$45,F$4)*KVARDI,2),""))</f>
        <v/>
      </c>
      <c r="H43" s="20" t="n"/>
      <c r="I43" s="31">
        <f>IF(OR(H$4=0,H43=""),"",IFERROR(ROUND(H43/INDEX(Undirviðmið!$F$6:$F$45,H$4)*INDEX(Undirviðmið!$E$6:$E$45,H$4)*KVARDI,2),""))</f>
        <v/>
      </c>
      <c r="J43" s="20" t="n"/>
      <c r="K43" s="31">
        <f>IF(OR(J$4=0,J43=""),"",IFERROR(ROUND(J43/INDEX(Undirviðmið!$F$6:$F$45,J$4)*INDEX(Undirviðmið!$E$6:$E$45,J$4)*KVARDI,2),""))</f>
        <v/>
      </c>
      <c r="L43" s="20" t="n"/>
      <c r="M43" s="31">
        <f>IF(OR(L$4=0,L43=""),"",IFERROR(ROUND(L43/INDEX(Undirviðmið!$F$6:$F$45,L$4)*INDEX(Undirviðmið!$E$6:$E$45,L$4)*KVARDI,2),""))</f>
        <v/>
      </c>
      <c r="N43" s="20" t="n"/>
      <c r="O43" s="31">
        <f>IF(OR(N$4=0,N43=""),"",IFERROR(ROUND(N43/INDEX(Undirviðmið!$F$6:$F$45,N$4)*INDEX(Undirviðmið!$E$6:$E$45,N$4)*KVARDI,2),""))</f>
        <v/>
      </c>
      <c r="P43" s="20" t="n"/>
      <c r="Q43" s="31">
        <f>IF(OR(P$4=0,P43=""),"",IFERROR(ROUND(P43/INDEX(Undirviðmið!$F$6:$F$45,P$4)*INDEX(Undirviðmið!$E$6:$E$45,P$4)*KVARDI,2),""))</f>
        <v/>
      </c>
      <c r="R43" s="20" t="n"/>
      <c r="S43" s="31">
        <f>IF(OR(R$4=0,R43=""),"",IFERROR(ROUND(R43/INDEX(Undirviðmið!$F$6:$F$45,R$4)*INDEX(Undirviðmið!$E$6:$E$45,R$4)*KVARDI,2),""))</f>
        <v/>
      </c>
      <c r="T43" s="20" t="n"/>
      <c r="U43" s="31">
        <f>IF(OR(T$4=0,T43=""),"",IFERROR(ROUND(T43/INDEX(Undirviðmið!$F$6:$F$45,T$4)*INDEX(Undirviðmið!$E$6:$E$45,T$4)*KVARDI,2),""))</f>
        <v/>
      </c>
      <c r="V43" s="20" t="n"/>
      <c r="W43" s="31">
        <f>IF(OR(V$4=0,V43=""),"",IFERROR(ROUND(V43/INDEX(Undirviðmið!$F$6:$F$45,V$4)*INDEX(Undirviðmið!$E$6:$E$45,V$4)*KVARDI,2),""))</f>
        <v/>
      </c>
      <c r="X43" s="20" t="n"/>
      <c r="Y43" s="31">
        <f>IF(OR(X$4=0,X43=""),"",IFERROR(ROUND(X43/INDEX(Undirviðmið!$F$6:$F$45,X$4)*INDEX(Undirviðmið!$E$6:$E$45,X$4)*KVARDI,2),""))</f>
        <v/>
      </c>
      <c r="Z43" s="20" t="n"/>
      <c r="AA43" s="31">
        <f>IF(OR(Z$4=0,Z43=""),"",IFERROR(ROUND(Z43/INDEX(Undirviðmið!$F$6:$F$45,Z$4)*INDEX(Undirviðmið!$E$6:$E$45,Z$4)*KVARDI,2),""))</f>
        <v/>
      </c>
      <c r="AB43" s="20" t="n"/>
      <c r="AC43" s="31">
        <f>IF(OR(AB$4=0,AB43=""),"",IFERROR(ROUND(AB43/INDEX(Undirviðmið!$F$6:$F$45,AB$4)*INDEX(Undirviðmið!$E$6:$E$45,AB$4)*KVARDI,2),""))</f>
        <v/>
      </c>
      <c r="AD43" s="20" t="n"/>
      <c r="AE43" s="31">
        <f>IF(OR(AD$4=0,AD43=""),"",IFERROR(ROUND(AD43/INDEX(Undirviðmið!$F$6:$F$45,AD$4)*INDEX(Undirviðmið!$E$6:$E$45,AD$4)*KVARDI,2),""))</f>
        <v/>
      </c>
      <c r="AF43" s="20" t="n"/>
      <c r="AG43" s="31">
        <f>IF(OR(AF$4=0,AF43=""),"",IFERROR(ROUND(AF43/INDEX(Undirviðmið!$F$6:$F$45,AF$4)*INDEX(Undirviðmið!$E$6:$E$45,AF$4)*KVARDI,2),""))</f>
        <v/>
      </c>
      <c r="AH43" s="37">
        <f>IFERROR(SUM(E43,G43,I43,K43,M43,O43,Q43,S43,U43,W43,Y43,AA43,AC43,AE43,AG43),0)</f>
        <v/>
      </c>
    </row>
    <row r="44">
      <c r="A44" s="19" t="n">
        <v>38</v>
      </c>
      <c r="B44" s="21">
        <f>IF(Starfsmenn!$B$43="","",Starfsmenn!$B$43)</f>
        <v/>
      </c>
      <c r="C44" s="21">
        <f>IF(Starfsmenn!$C$43="","",Starfsmenn!$C$43)</f>
        <v/>
      </c>
      <c r="D44" s="20" t="n"/>
      <c r="E44" s="31">
        <f>IF(OR(D$4=0,D44=""),"",IFERROR(ROUND(D44/INDEX(Undirviðmið!$F$6:$F$45,D$4)*INDEX(Undirviðmið!$E$6:$E$45,D$4)*KVARDI,2),""))</f>
        <v/>
      </c>
      <c r="F44" s="20" t="n"/>
      <c r="G44" s="31">
        <f>IF(OR(F$4=0,F44=""),"",IFERROR(ROUND(F44/INDEX(Undirviðmið!$F$6:$F$45,F$4)*INDEX(Undirviðmið!$E$6:$E$45,F$4)*KVARDI,2),""))</f>
        <v/>
      </c>
      <c r="H44" s="20" t="n"/>
      <c r="I44" s="31">
        <f>IF(OR(H$4=0,H44=""),"",IFERROR(ROUND(H44/INDEX(Undirviðmið!$F$6:$F$45,H$4)*INDEX(Undirviðmið!$E$6:$E$45,H$4)*KVARDI,2),""))</f>
        <v/>
      </c>
      <c r="J44" s="20" t="n"/>
      <c r="K44" s="31">
        <f>IF(OR(J$4=0,J44=""),"",IFERROR(ROUND(J44/INDEX(Undirviðmið!$F$6:$F$45,J$4)*INDEX(Undirviðmið!$E$6:$E$45,J$4)*KVARDI,2),""))</f>
        <v/>
      </c>
      <c r="L44" s="20" t="n"/>
      <c r="M44" s="31">
        <f>IF(OR(L$4=0,L44=""),"",IFERROR(ROUND(L44/INDEX(Undirviðmið!$F$6:$F$45,L$4)*INDEX(Undirviðmið!$E$6:$E$45,L$4)*KVARDI,2),""))</f>
        <v/>
      </c>
      <c r="N44" s="20" t="n"/>
      <c r="O44" s="31">
        <f>IF(OR(N$4=0,N44=""),"",IFERROR(ROUND(N44/INDEX(Undirviðmið!$F$6:$F$45,N$4)*INDEX(Undirviðmið!$E$6:$E$45,N$4)*KVARDI,2),""))</f>
        <v/>
      </c>
      <c r="P44" s="20" t="n"/>
      <c r="Q44" s="31">
        <f>IF(OR(P$4=0,P44=""),"",IFERROR(ROUND(P44/INDEX(Undirviðmið!$F$6:$F$45,P$4)*INDEX(Undirviðmið!$E$6:$E$45,P$4)*KVARDI,2),""))</f>
        <v/>
      </c>
      <c r="R44" s="20" t="n"/>
      <c r="S44" s="31">
        <f>IF(OR(R$4=0,R44=""),"",IFERROR(ROUND(R44/INDEX(Undirviðmið!$F$6:$F$45,R$4)*INDEX(Undirviðmið!$E$6:$E$45,R$4)*KVARDI,2),""))</f>
        <v/>
      </c>
      <c r="T44" s="20" t="n"/>
      <c r="U44" s="31">
        <f>IF(OR(T$4=0,T44=""),"",IFERROR(ROUND(T44/INDEX(Undirviðmið!$F$6:$F$45,T$4)*INDEX(Undirviðmið!$E$6:$E$45,T$4)*KVARDI,2),""))</f>
        <v/>
      </c>
      <c r="V44" s="20" t="n"/>
      <c r="W44" s="31">
        <f>IF(OR(V$4=0,V44=""),"",IFERROR(ROUND(V44/INDEX(Undirviðmið!$F$6:$F$45,V$4)*INDEX(Undirviðmið!$E$6:$E$45,V$4)*KVARDI,2),""))</f>
        <v/>
      </c>
      <c r="X44" s="20" t="n"/>
      <c r="Y44" s="31">
        <f>IF(OR(X$4=0,X44=""),"",IFERROR(ROUND(X44/INDEX(Undirviðmið!$F$6:$F$45,X$4)*INDEX(Undirviðmið!$E$6:$E$45,X$4)*KVARDI,2),""))</f>
        <v/>
      </c>
      <c r="Z44" s="20" t="n"/>
      <c r="AA44" s="31">
        <f>IF(OR(Z$4=0,Z44=""),"",IFERROR(ROUND(Z44/INDEX(Undirviðmið!$F$6:$F$45,Z$4)*INDEX(Undirviðmið!$E$6:$E$45,Z$4)*KVARDI,2),""))</f>
        <v/>
      </c>
      <c r="AB44" s="20" t="n"/>
      <c r="AC44" s="31">
        <f>IF(OR(AB$4=0,AB44=""),"",IFERROR(ROUND(AB44/INDEX(Undirviðmið!$F$6:$F$45,AB$4)*INDEX(Undirviðmið!$E$6:$E$45,AB$4)*KVARDI,2),""))</f>
        <v/>
      </c>
      <c r="AD44" s="20" t="n"/>
      <c r="AE44" s="31">
        <f>IF(OR(AD$4=0,AD44=""),"",IFERROR(ROUND(AD44/INDEX(Undirviðmið!$F$6:$F$45,AD$4)*INDEX(Undirviðmið!$E$6:$E$45,AD$4)*KVARDI,2),""))</f>
        <v/>
      </c>
      <c r="AF44" s="20" t="n"/>
      <c r="AG44" s="31">
        <f>IF(OR(AF$4=0,AF44=""),"",IFERROR(ROUND(AF44/INDEX(Undirviðmið!$F$6:$F$45,AF$4)*INDEX(Undirviðmið!$E$6:$E$45,AF$4)*KVARDI,2),""))</f>
        <v/>
      </c>
      <c r="AH44" s="37">
        <f>IFERROR(SUM(E44,G44,I44,K44,M44,O44,Q44,S44,U44,W44,Y44,AA44,AC44,AE44,AG44),0)</f>
        <v/>
      </c>
    </row>
    <row r="45">
      <c r="A45" s="19" t="n">
        <v>39</v>
      </c>
      <c r="B45" s="21">
        <f>IF(Starfsmenn!$B$44="","",Starfsmenn!$B$44)</f>
        <v/>
      </c>
      <c r="C45" s="21">
        <f>IF(Starfsmenn!$C$44="","",Starfsmenn!$C$44)</f>
        <v/>
      </c>
      <c r="D45" s="20" t="n"/>
      <c r="E45" s="31">
        <f>IF(OR(D$4=0,D45=""),"",IFERROR(ROUND(D45/INDEX(Undirviðmið!$F$6:$F$45,D$4)*INDEX(Undirviðmið!$E$6:$E$45,D$4)*KVARDI,2),""))</f>
        <v/>
      </c>
      <c r="F45" s="20" t="n"/>
      <c r="G45" s="31">
        <f>IF(OR(F$4=0,F45=""),"",IFERROR(ROUND(F45/INDEX(Undirviðmið!$F$6:$F$45,F$4)*INDEX(Undirviðmið!$E$6:$E$45,F$4)*KVARDI,2),""))</f>
        <v/>
      </c>
      <c r="H45" s="20" t="n"/>
      <c r="I45" s="31">
        <f>IF(OR(H$4=0,H45=""),"",IFERROR(ROUND(H45/INDEX(Undirviðmið!$F$6:$F$45,H$4)*INDEX(Undirviðmið!$E$6:$E$45,H$4)*KVARDI,2),""))</f>
        <v/>
      </c>
      <c r="J45" s="20" t="n"/>
      <c r="K45" s="31">
        <f>IF(OR(J$4=0,J45=""),"",IFERROR(ROUND(J45/INDEX(Undirviðmið!$F$6:$F$45,J$4)*INDEX(Undirviðmið!$E$6:$E$45,J$4)*KVARDI,2),""))</f>
        <v/>
      </c>
      <c r="L45" s="20" t="n"/>
      <c r="M45" s="31">
        <f>IF(OR(L$4=0,L45=""),"",IFERROR(ROUND(L45/INDEX(Undirviðmið!$F$6:$F$45,L$4)*INDEX(Undirviðmið!$E$6:$E$45,L$4)*KVARDI,2),""))</f>
        <v/>
      </c>
      <c r="N45" s="20" t="n"/>
      <c r="O45" s="31">
        <f>IF(OR(N$4=0,N45=""),"",IFERROR(ROUND(N45/INDEX(Undirviðmið!$F$6:$F$45,N$4)*INDEX(Undirviðmið!$E$6:$E$45,N$4)*KVARDI,2),""))</f>
        <v/>
      </c>
      <c r="P45" s="20" t="n"/>
      <c r="Q45" s="31">
        <f>IF(OR(P$4=0,P45=""),"",IFERROR(ROUND(P45/INDEX(Undirviðmið!$F$6:$F$45,P$4)*INDEX(Undirviðmið!$E$6:$E$45,P$4)*KVARDI,2),""))</f>
        <v/>
      </c>
      <c r="R45" s="20" t="n"/>
      <c r="S45" s="31">
        <f>IF(OR(R$4=0,R45=""),"",IFERROR(ROUND(R45/INDEX(Undirviðmið!$F$6:$F$45,R$4)*INDEX(Undirviðmið!$E$6:$E$45,R$4)*KVARDI,2),""))</f>
        <v/>
      </c>
      <c r="T45" s="20" t="n"/>
      <c r="U45" s="31">
        <f>IF(OR(T$4=0,T45=""),"",IFERROR(ROUND(T45/INDEX(Undirviðmið!$F$6:$F$45,T$4)*INDEX(Undirviðmið!$E$6:$E$45,T$4)*KVARDI,2),""))</f>
        <v/>
      </c>
      <c r="V45" s="20" t="n"/>
      <c r="W45" s="31">
        <f>IF(OR(V$4=0,V45=""),"",IFERROR(ROUND(V45/INDEX(Undirviðmið!$F$6:$F$45,V$4)*INDEX(Undirviðmið!$E$6:$E$45,V$4)*KVARDI,2),""))</f>
        <v/>
      </c>
      <c r="X45" s="20" t="n"/>
      <c r="Y45" s="31">
        <f>IF(OR(X$4=0,X45=""),"",IFERROR(ROUND(X45/INDEX(Undirviðmið!$F$6:$F$45,X$4)*INDEX(Undirviðmið!$E$6:$E$45,X$4)*KVARDI,2),""))</f>
        <v/>
      </c>
      <c r="Z45" s="20" t="n"/>
      <c r="AA45" s="31">
        <f>IF(OR(Z$4=0,Z45=""),"",IFERROR(ROUND(Z45/INDEX(Undirviðmið!$F$6:$F$45,Z$4)*INDEX(Undirviðmið!$E$6:$E$45,Z$4)*KVARDI,2),""))</f>
        <v/>
      </c>
      <c r="AB45" s="20" t="n"/>
      <c r="AC45" s="31">
        <f>IF(OR(AB$4=0,AB45=""),"",IFERROR(ROUND(AB45/INDEX(Undirviðmið!$F$6:$F$45,AB$4)*INDEX(Undirviðmið!$E$6:$E$45,AB$4)*KVARDI,2),""))</f>
        <v/>
      </c>
      <c r="AD45" s="20" t="n"/>
      <c r="AE45" s="31">
        <f>IF(OR(AD$4=0,AD45=""),"",IFERROR(ROUND(AD45/INDEX(Undirviðmið!$F$6:$F$45,AD$4)*INDEX(Undirviðmið!$E$6:$E$45,AD$4)*KVARDI,2),""))</f>
        <v/>
      </c>
      <c r="AF45" s="20" t="n"/>
      <c r="AG45" s="31">
        <f>IF(OR(AF$4=0,AF45=""),"",IFERROR(ROUND(AF45/INDEX(Undirviðmið!$F$6:$F$45,AF$4)*INDEX(Undirviðmið!$E$6:$E$45,AF$4)*KVARDI,2),""))</f>
        <v/>
      </c>
      <c r="AH45" s="37">
        <f>IFERROR(SUM(E45,G45,I45,K45,M45,O45,Q45,S45,U45,W45,Y45,AA45,AC45,AE45,AG45),0)</f>
        <v/>
      </c>
    </row>
    <row r="46">
      <c r="A46" s="19" t="n">
        <v>40</v>
      </c>
      <c r="B46" s="21">
        <f>IF(Starfsmenn!$B$45="","",Starfsmenn!$B$45)</f>
        <v/>
      </c>
      <c r="C46" s="21">
        <f>IF(Starfsmenn!$C$45="","",Starfsmenn!$C$45)</f>
        <v/>
      </c>
      <c r="D46" s="20" t="n"/>
      <c r="E46" s="31">
        <f>IF(OR(D$4=0,D46=""),"",IFERROR(ROUND(D46/INDEX(Undirviðmið!$F$6:$F$45,D$4)*INDEX(Undirviðmið!$E$6:$E$45,D$4)*KVARDI,2),""))</f>
        <v/>
      </c>
      <c r="F46" s="20" t="n"/>
      <c r="G46" s="31">
        <f>IF(OR(F$4=0,F46=""),"",IFERROR(ROUND(F46/INDEX(Undirviðmið!$F$6:$F$45,F$4)*INDEX(Undirviðmið!$E$6:$E$45,F$4)*KVARDI,2),""))</f>
        <v/>
      </c>
      <c r="H46" s="20" t="n"/>
      <c r="I46" s="31">
        <f>IF(OR(H$4=0,H46=""),"",IFERROR(ROUND(H46/INDEX(Undirviðmið!$F$6:$F$45,H$4)*INDEX(Undirviðmið!$E$6:$E$45,H$4)*KVARDI,2),""))</f>
        <v/>
      </c>
      <c r="J46" s="20" t="n"/>
      <c r="K46" s="31">
        <f>IF(OR(J$4=0,J46=""),"",IFERROR(ROUND(J46/INDEX(Undirviðmið!$F$6:$F$45,J$4)*INDEX(Undirviðmið!$E$6:$E$45,J$4)*KVARDI,2),""))</f>
        <v/>
      </c>
      <c r="L46" s="20" t="n"/>
      <c r="M46" s="31">
        <f>IF(OR(L$4=0,L46=""),"",IFERROR(ROUND(L46/INDEX(Undirviðmið!$F$6:$F$45,L$4)*INDEX(Undirviðmið!$E$6:$E$45,L$4)*KVARDI,2),""))</f>
        <v/>
      </c>
      <c r="N46" s="20" t="n"/>
      <c r="O46" s="31">
        <f>IF(OR(N$4=0,N46=""),"",IFERROR(ROUND(N46/INDEX(Undirviðmið!$F$6:$F$45,N$4)*INDEX(Undirviðmið!$E$6:$E$45,N$4)*KVARDI,2),""))</f>
        <v/>
      </c>
      <c r="P46" s="20" t="n"/>
      <c r="Q46" s="31">
        <f>IF(OR(P$4=0,P46=""),"",IFERROR(ROUND(P46/INDEX(Undirviðmið!$F$6:$F$45,P$4)*INDEX(Undirviðmið!$E$6:$E$45,P$4)*KVARDI,2),""))</f>
        <v/>
      </c>
      <c r="R46" s="20" t="n"/>
      <c r="S46" s="31">
        <f>IF(OR(R$4=0,R46=""),"",IFERROR(ROUND(R46/INDEX(Undirviðmið!$F$6:$F$45,R$4)*INDEX(Undirviðmið!$E$6:$E$45,R$4)*KVARDI,2),""))</f>
        <v/>
      </c>
      <c r="T46" s="20" t="n"/>
      <c r="U46" s="31">
        <f>IF(OR(T$4=0,T46=""),"",IFERROR(ROUND(T46/INDEX(Undirviðmið!$F$6:$F$45,T$4)*INDEX(Undirviðmið!$E$6:$E$45,T$4)*KVARDI,2),""))</f>
        <v/>
      </c>
      <c r="V46" s="20" t="n"/>
      <c r="W46" s="31">
        <f>IF(OR(V$4=0,V46=""),"",IFERROR(ROUND(V46/INDEX(Undirviðmið!$F$6:$F$45,V$4)*INDEX(Undirviðmið!$E$6:$E$45,V$4)*KVARDI,2),""))</f>
        <v/>
      </c>
      <c r="X46" s="20" t="n"/>
      <c r="Y46" s="31">
        <f>IF(OR(X$4=0,X46=""),"",IFERROR(ROUND(X46/INDEX(Undirviðmið!$F$6:$F$45,X$4)*INDEX(Undirviðmið!$E$6:$E$45,X$4)*KVARDI,2),""))</f>
        <v/>
      </c>
      <c r="Z46" s="20" t="n"/>
      <c r="AA46" s="31">
        <f>IF(OR(Z$4=0,Z46=""),"",IFERROR(ROUND(Z46/INDEX(Undirviðmið!$F$6:$F$45,Z$4)*INDEX(Undirviðmið!$E$6:$E$45,Z$4)*KVARDI,2),""))</f>
        <v/>
      </c>
      <c r="AB46" s="20" t="n"/>
      <c r="AC46" s="31">
        <f>IF(OR(AB$4=0,AB46=""),"",IFERROR(ROUND(AB46/INDEX(Undirviðmið!$F$6:$F$45,AB$4)*INDEX(Undirviðmið!$E$6:$E$45,AB$4)*KVARDI,2),""))</f>
        <v/>
      </c>
      <c r="AD46" s="20" t="n"/>
      <c r="AE46" s="31">
        <f>IF(OR(AD$4=0,AD46=""),"",IFERROR(ROUND(AD46/INDEX(Undirviðmið!$F$6:$F$45,AD$4)*INDEX(Undirviðmið!$E$6:$E$45,AD$4)*KVARDI,2),""))</f>
        <v/>
      </c>
      <c r="AF46" s="20" t="n"/>
      <c r="AG46" s="31">
        <f>IF(OR(AF$4=0,AF46=""),"",IFERROR(ROUND(AF46/INDEX(Undirviðmið!$F$6:$F$45,AF$4)*INDEX(Undirviðmið!$E$6:$E$45,AF$4)*KVARDI,2),""))</f>
        <v/>
      </c>
      <c r="AH46" s="37">
        <f>IFERROR(SUM(E46,G46,I46,K46,M46,O46,Q46,S46,U46,W46,Y46,AA46,AC46,AE46,AG46),0)</f>
        <v/>
      </c>
    </row>
    <row r="47">
      <c r="A47" s="19" t="n">
        <v>41</v>
      </c>
      <c r="B47" s="21">
        <f>IF(Starfsmenn!$B$46="","",Starfsmenn!$B$46)</f>
        <v/>
      </c>
      <c r="C47" s="21">
        <f>IF(Starfsmenn!$C$46="","",Starfsmenn!$C$46)</f>
        <v/>
      </c>
      <c r="D47" s="20" t="n"/>
      <c r="E47" s="31">
        <f>IF(OR(D$4=0,D47=""),"",IFERROR(ROUND(D47/INDEX(Undirviðmið!$F$6:$F$45,D$4)*INDEX(Undirviðmið!$E$6:$E$45,D$4)*KVARDI,2),""))</f>
        <v/>
      </c>
      <c r="F47" s="20" t="n"/>
      <c r="G47" s="31">
        <f>IF(OR(F$4=0,F47=""),"",IFERROR(ROUND(F47/INDEX(Undirviðmið!$F$6:$F$45,F$4)*INDEX(Undirviðmið!$E$6:$E$45,F$4)*KVARDI,2),""))</f>
        <v/>
      </c>
      <c r="H47" s="20" t="n"/>
      <c r="I47" s="31">
        <f>IF(OR(H$4=0,H47=""),"",IFERROR(ROUND(H47/INDEX(Undirviðmið!$F$6:$F$45,H$4)*INDEX(Undirviðmið!$E$6:$E$45,H$4)*KVARDI,2),""))</f>
        <v/>
      </c>
      <c r="J47" s="20" t="n"/>
      <c r="K47" s="31">
        <f>IF(OR(J$4=0,J47=""),"",IFERROR(ROUND(J47/INDEX(Undirviðmið!$F$6:$F$45,J$4)*INDEX(Undirviðmið!$E$6:$E$45,J$4)*KVARDI,2),""))</f>
        <v/>
      </c>
      <c r="L47" s="20" t="n"/>
      <c r="M47" s="31">
        <f>IF(OR(L$4=0,L47=""),"",IFERROR(ROUND(L47/INDEX(Undirviðmið!$F$6:$F$45,L$4)*INDEX(Undirviðmið!$E$6:$E$45,L$4)*KVARDI,2),""))</f>
        <v/>
      </c>
      <c r="N47" s="20" t="n"/>
      <c r="O47" s="31">
        <f>IF(OR(N$4=0,N47=""),"",IFERROR(ROUND(N47/INDEX(Undirviðmið!$F$6:$F$45,N$4)*INDEX(Undirviðmið!$E$6:$E$45,N$4)*KVARDI,2),""))</f>
        <v/>
      </c>
      <c r="P47" s="20" t="n"/>
      <c r="Q47" s="31">
        <f>IF(OR(P$4=0,P47=""),"",IFERROR(ROUND(P47/INDEX(Undirviðmið!$F$6:$F$45,P$4)*INDEX(Undirviðmið!$E$6:$E$45,P$4)*KVARDI,2),""))</f>
        <v/>
      </c>
      <c r="R47" s="20" t="n"/>
      <c r="S47" s="31">
        <f>IF(OR(R$4=0,R47=""),"",IFERROR(ROUND(R47/INDEX(Undirviðmið!$F$6:$F$45,R$4)*INDEX(Undirviðmið!$E$6:$E$45,R$4)*KVARDI,2),""))</f>
        <v/>
      </c>
      <c r="T47" s="20" t="n"/>
      <c r="U47" s="31">
        <f>IF(OR(T$4=0,T47=""),"",IFERROR(ROUND(T47/INDEX(Undirviðmið!$F$6:$F$45,T$4)*INDEX(Undirviðmið!$E$6:$E$45,T$4)*KVARDI,2),""))</f>
        <v/>
      </c>
      <c r="V47" s="20" t="n"/>
      <c r="W47" s="31">
        <f>IF(OR(V$4=0,V47=""),"",IFERROR(ROUND(V47/INDEX(Undirviðmið!$F$6:$F$45,V$4)*INDEX(Undirviðmið!$E$6:$E$45,V$4)*KVARDI,2),""))</f>
        <v/>
      </c>
      <c r="X47" s="20" t="n"/>
      <c r="Y47" s="31">
        <f>IF(OR(X$4=0,X47=""),"",IFERROR(ROUND(X47/INDEX(Undirviðmið!$F$6:$F$45,X$4)*INDEX(Undirviðmið!$E$6:$E$45,X$4)*KVARDI,2),""))</f>
        <v/>
      </c>
      <c r="Z47" s="20" t="n"/>
      <c r="AA47" s="31">
        <f>IF(OR(Z$4=0,Z47=""),"",IFERROR(ROUND(Z47/INDEX(Undirviðmið!$F$6:$F$45,Z$4)*INDEX(Undirviðmið!$E$6:$E$45,Z$4)*KVARDI,2),""))</f>
        <v/>
      </c>
      <c r="AB47" s="20" t="n"/>
      <c r="AC47" s="31">
        <f>IF(OR(AB$4=0,AB47=""),"",IFERROR(ROUND(AB47/INDEX(Undirviðmið!$F$6:$F$45,AB$4)*INDEX(Undirviðmið!$E$6:$E$45,AB$4)*KVARDI,2),""))</f>
        <v/>
      </c>
      <c r="AD47" s="20" t="n"/>
      <c r="AE47" s="31">
        <f>IF(OR(AD$4=0,AD47=""),"",IFERROR(ROUND(AD47/INDEX(Undirviðmið!$F$6:$F$45,AD$4)*INDEX(Undirviðmið!$E$6:$E$45,AD$4)*KVARDI,2),""))</f>
        <v/>
      </c>
      <c r="AF47" s="20" t="n"/>
      <c r="AG47" s="31">
        <f>IF(OR(AF$4=0,AF47=""),"",IFERROR(ROUND(AF47/INDEX(Undirviðmið!$F$6:$F$45,AF$4)*INDEX(Undirviðmið!$E$6:$E$45,AF$4)*KVARDI,2),""))</f>
        <v/>
      </c>
      <c r="AH47" s="37">
        <f>IFERROR(SUM(E47,G47,I47,K47,M47,O47,Q47,S47,U47,W47,Y47,AA47,AC47,AE47,AG47),0)</f>
        <v/>
      </c>
    </row>
    <row r="48">
      <c r="A48" s="19" t="n">
        <v>42</v>
      </c>
      <c r="B48" s="21">
        <f>IF(Starfsmenn!$B$47="","",Starfsmenn!$B$47)</f>
        <v/>
      </c>
      <c r="C48" s="21">
        <f>IF(Starfsmenn!$C$47="","",Starfsmenn!$C$47)</f>
        <v/>
      </c>
      <c r="D48" s="20" t="n"/>
      <c r="E48" s="31">
        <f>IF(OR(D$4=0,D48=""),"",IFERROR(ROUND(D48/INDEX(Undirviðmið!$F$6:$F$45,D$4)*INDEX(Undirviðmið!$E$6:$E$45,D$4)*KVARDI,2),""))</f>
        <v/>
      </c>
      <c r="F48" s="20" t="n"/>
      <c r="G48" s="31">
        <f>IF(OR(F$4=0,F48=""),"",IFERROR(ROUND(F48/INDEX(Undirviðmið!$F$6:$F$45,F$4)*INDEX(Undirviðmið!$E$6:$E$45,F$4)*KVARDI,2),""))</f>
        <v/>
      </c>
      <c r="H48" s="20" t="n"/>
      <c r="I48" s="31">
        <f>IF(OR(H$4=0,H48=""),"",IFERROR(ROUND(H48/INDEX(Undirviðmið!$F$6:$F$45,H$4)*INDEX(Undirviðmið!$E$6:$E$45,H$4)*KVARDI,2),""))</f>
        <v/>
      </c>
      <c r="J48" s="20" t="n"/>
      <c r="K48" s="31">
        <f>IF(OR(J$4=0,J48=""),"",IFERROR(ROUND(J48/INDEX(Undirviðmið!$F$6:$F$45,J$4)*INDEX(Undirviðmið!$E$6:$E$45,J$4)*KVARDI,2),""))</f>
        <v/>
      </c>
      <c r="L48" s="20" t="n"/>
      <c r="M48" s="31">
        <f>IF(OR(L$4=0,L48=""),"",IFERROR(ROUND(L48/INDEX(Undirviðmið!$F$6:$F$45,L$4)*INDEX(Undirviðmið!$E$6:$E$45,L$4)*KVARDI,2),""))</f>
        <v/>
      </c>
      <c r="N48" s="20" t="n"/>
      <c r="O48" s="31">
        <f>IF(OR(N$4=0,N48=""),"",IFERROR(ROUND(N48/INDEX(Undirviðmið!$F$6:$F$45,N$4)*INDEX(Undirviðmið!$E$6:$E$45,N$4)*KVARDI,2),""))</f>
        <v/>
      </c>
      <c r="P48" s="20" t="n"/>
      <c r="Q48" s="31">
        <f>IF(OR(P$4=0,P48=""),"",IFERROR(ROUND(P48/INDEX(Undirviðmið!$F$6:$F$45,P$4)*INDEX(Undirviðmið!$E$6:$E$45,P$4)*KVARDI,2),""))</f>
        <v/>
      </c>
      <c r="R48" s="20" t="n"/>
      <c r="S48" s="31">
        <f>IF(OR(R$4=0,R48=""),"",IFERROR(ROUND(R48/INDEX(Undirviðmið!$F$6:$F$45,R$4)*INDEX(Undirviðmið!$E$6:$E$45,R$4)*KVARDI,2),""))</f>
        <v/>
      </c>
      <c r="T48" s="20" t="n"/>
      <c r="U48" s="31">
        <f>IF(OR(T$4=0,T48=""),"",IFERROR(ROUND(T48/INDEX(Undirviðmið!$F$6:$F$45,T$4)*INDEX(Undirviðmið!$E$6:$E$45,T$4)*KVARDI,2),""))</f>
        <v/>
      </c>
      <c r="V48" s="20" t="n"/>
      <c r="W48" s="31">
        <f>IF(OR(V$4=0,V48=""),"",IFERROR(ROUND(V48/INDEX(Undirviðmið!$F$6:$F$45,V$4)*INDEX(Undirviðmið!$E$6:$E$45,V$4)*KVARDI,2),""))</f>
        <v/>
      </c>
      <c r="X48" s="20" t="n"/>
      <c r="Y48" s="31">
        <f>IF(OR(X$4=0,X48=""),"",IFERROR(ROUND(X48/INDEX(Undirviðmið!$F$6:$F$45,X$4)*INDEX(Undirviðmið!$E$6:$E$45,X$4)*KVARDI,2),""))</f>
        <v/>
      </c>
      <c r="Z48" s="20" t="n"/>
      <c r="AA48" s="31">
        <f>IF(OR(Z$4=0,Z48=""),"",IFERROR(ROUND(Z48/INDEX(Undirviðmið!$F$6:$F$45,Z$4)*INDEX(Undirviðmið!$E$6:$E$45,Z$4)*KVARDI,2),""))</f>
        <v/>
      </c>
      <c r="AB48" s="20" t="n"/>
      <c r="AC48" s="31">
        <f>IF(OR(AB$4=0,AB48=""),"",IFERROR(ROUND(AB48/INDEX(Undirviðmið!$F$6:$F$45,AB$4)*INDEX(Undirviðmið!$E$6:$E$45,AB$4)*KVARDI,2),""))</f>
        <v/>
      </c>
      <c r="AD48" s="20" t="n"/>
      <c r="AE48" s="31">
        <f>IF(OR(AD$4=0,AD48=""),"",IFERROR(ROUND(AD48/INDEX(Undirviðmið!$F$6:$F$45,AD$4)*INDEX(Undirviðmið!$E$6:$E$45,AD$4)*KVARDI,2),""))</f>
        <v/>
      </c>
      <c r="AF48" s="20" t="n"/>
      <c r="AG48" s="31">
        <f>IF(OR(AF$4=0,AF48=""),"",IFERROR(ROUND(AF48/INDEX(Undirviðmið!$F$6:$F$45,AF$4)*INDEX(Undirviðmið!$E$6:$E$45,AF$4)*KVARDI,2),""))</f>
        <v/>
      </c>
      <c r="AH48" s="37">
        <f>IFERROR(SUM(E48,G48,I48,K48,M48,O48,Q48,S48,U48,W48,Y48,AA48,AC48,AE48,AG48),0)</f>
        <v/>
      </c>
    </row>
    <row r="49">
      <c r="A49" s="19" t="n">
        <v>43</v>
      </c>
      <c r="B49" s="21">
        <f>IF(Starfsmenn!$B$48="","",Starfsmenn!$B$48)</f>
        <v/>
      </c>
      <c r="C49" s="21">
        <f>IF(Starfsmenn!$C$48="","",Starfsmenn!$C$48)</f>
        <v/>
      </c>
      <c r="D49" s="20" t="n"/>
      <c r="E49" s="31">
        <f>IF(OR(D$4=0,D49=""),"",IFERROR(ROUND(D49/INDEX(Undirviðmið!$F$6:$F$45,D$4)*INDEX(Undirviðmið!$E$6:$E$45,D$4)*KVARDI,2),""))</f>
        <v/>
      </c>
      <c r="F49" s="20" t="n"/>
      <c r="G49" s="31">
        <f>IF(OR(F$4=0,F49=""),"",IFERROR(ROUND(F49/INDEX(Undirviðmið!$F$6:$F$45,F$4)*INDEX(Undirviðmið!$E$6:$E$45,F$4)*KVARDI,2),""))</f>
        <v/>
      </c>
      <c r="H49" s="20" t="n"/>
      <c r="I49" s="31">
        <f>IF(OR(H$4=0,H49=""),"",IFERROR(ROUND(H49/INDEX(Undirviðmið!$F$6:$F$45,H$4)*INDEX(Undirviðmið!$E$6:$E$45,H$4)*KVARDI,2),""))</f>
        <v/>
      </c>
      <c r="J49" s="20" t="n"/>
      <c r="K49" s="31">
        <f>IF(OR(J$4=0,J49=""),"",IFERROR(ROUND(J49/INDEX(Undirviðmið!$F$6:$F$45,J$4)*INDEX(Undirviðmið!$E$6:$E$45,J$4)*KVARDI,2),""))</f>
        <v/>
      </c>
      <c r="L49" s="20" t="n"/>
      <c r="M49" s="31">
        <f>IF(OR(L$4=0,L49=""),"",IFERROR(ROUND(L49/INDEX(Undirviðmið!$F$6:$F$45,L$4)*INDEX(Undirviðmið!$E$6:$E$45,L$4)*KVARDI,2),""))</f>
        <v/>
      </c>
      <c r="N49" s="20" t="n"/>
      <c r="O49" s="31">
        <f>IF(OR(N$4=0,N49=""),"",IFERROR(ROUND(N49/INDEX(Undirviðmið!$F$6:$F$45,N$4)*INDEX(Undirviðmið!$E$6:$E$45,N$4)*KVARDI,2),""))</f>
        <v/>
      </c>
      <c r="P49" s="20" t="n"/>
      <c r="Q49" s="31">
        <f>IF(OR(P$4=0,P49=""),"",IFERROR(ROUND(P49/INDEX(Undirviðmið!$F$6:$F$45,P$4)*INDEX(Undirviðmið!$E$6:$E$45,P$4)*KVARDI,2),""))</f>
        <v/>
      </c>
      <c r="R49" s="20" t="n"/>
      <c r="S49" s="31">
        <f>IF(OR(R$4=0,R49=""),"",IFERROR(ROUND(R49/INDEX(Undirviðmið!$F$6:$F$45,R$4)*INDEX(Undirviðmið!$E$6:$E$45,R$4)*KVARDI,2),""))</f>
        <v/>
      </c>
      <c r="T49" s="20" t="n"/>
      <c r="U49" s="31">
        <f>IF(OR(T$4=0,T49=""),"",IFERROR(ROUND(T49/INDEX(Undirviðmið!$F$6:$F$45,T$4)*INDEX(Undirviðmið!$E$6:$E$45,T$4)*KVARDI,2),""))</f>
        <v/>
      </c>
      <c r="V49" s="20" t="n"/>
      <c r="W49" s="31">
        <f>IF(OR(V$4=0,V49=""),"",IFERROR(ROUND(V49/INDEX(Undirviðmið!$F$6:$F$45,V$4)*INDEX(Undirviðmið!$E$6:$E$45,V$4)*KVARDI,2),""))</f>
        <v/>
      </c>
      <c r="X49" s="20" t="n"/>
      <c r="Y49" s="31">
        <f>IF(OR(X$4=0,X49=""),"",IFERROR(ROUND(X49/INDEX(Undirviðmið!$F$6:$F$45,X$4)*INDEX(Undirviðmið!$E$6:$E$45,X$4)*KVARDI,2),""))</f>
        <v/>
      </c>
      <c r="Z49" s="20" t="n"/>
      <c r="AA49" s="31">
        <f>IF(OR(Z$4=0,Z49=""),"",IFERROR(ROUND(Z49/INDEX(Undirviðmið!$F$6:$F$45,Z$4)*INDEX(Undirviðmið!$E$6:$E$45,Z$4)*KVARDI,2),""))</f>
        <v/>
      </c>
      <c r="AB49" s="20" t="n"/>
      <c r="AC49" s="31">
        <f>IF(OR(AB$4=0,AB49=""),"",IFERROR(ROUND(AB49/INDEX(Undirviðmið!$F$6:$F$45,AB$4)*INDEX(Undirviðmið!$E$6:$E$45,AB$4)*KVARDI,2),""))</f>
        <v/>
      </c>
      <c r="AD49" s="20" t="n"/>
      <c r="AE49" s="31">
        <f>IF(OR(AD$4=0,AD49=""),"",IFERROR(ROUND(AD49/INDEX(Undirviðmið!$F$6:$F$45,AD$4)*INDEX(Undirviðmið!$E$6:$E$45,AD$4)*KVARDI,2),""))</f>
        <v/>
      </c>
      <c r="AF49" s="20" t="n"/>
      <c r="AG49" s="31">
        <f>IF(OR(AF$4=0,AF49=""),"",IFERROR(ROUND(AF49/INDEX(Undirviðmið!$F$6:$F$45,AF$4)*INDEX(Undirviðmið!$E$6:$E$45,AF$4)*KVARDI,2),""))</f>
        <v/>
      </c>
      <c r="AH49" s="37">
        <f>IFERROR(SUM(E49,G49,I49,K49,M49,O49,Q49,S49,U49,W49,Y49,AA49,AC49,AE49,AG49),0)</f>
        <v/>
      </c>
    </row>
    <row r="50">
      <c r="A50" s="19" t="n">
        <v>44</v>
      </c>
      <c r="B50" s="21">
        <f>IF(Starfsmenn!$B$49="","",Starfsmenn!$B$49)</f>
        <v/>
      </c>
      <c r="C50" s="21">
        <f>IF(Starfsmenn!$C$49="","",Starfsmenn!$C$49)</f>
        <v/>
      </c>
      <c r="D50" s="20" t="n"/>
      <c r="E50" s="31">
        <f>IF(OR(D$4=0,D50=""),"",IFERROR(ROUND(D50/INDEX(Undirviðmið!$F$6:$F$45,D$4)*INDEX(Undirviðmið!$E$6:$E$45,D$4)*KVARDI,2),""))</f>
        <v/>
      </c>
      <c r="F50" s="20" t="n"/>
      <c r="G50" s="31">
        <f>IF(OR(F$4=0,F50=""),"",IFERROR(ROUND(F50/INDEX(Undirviðmið!$F$6:$F$45,F$4)*INDEX(Undirviðmið!$E$6:$E$45,F$4)*KVARDI,2),""))</f>
        <v/>
      </c>
      <c r="H50" s="20" t="n"/>
      <c r="I50" s="31">
        <f>IF(OR(H$4=0,H50=""),"",IFERROR(ROUND(H50/INDEX(Undirviðmið!$F$6:$F$45,H$4)*INDEX(Undirviðmið!$E$6:$E$45,H$4)*KVARDI,2),""))</f>
        <v/>
      </c>
      <c r="J50" s="20" t="n"/>
      <c r="K50" s="31">
        <f>IF(OR(J$4=0,J50=""),"",IFERROR(ROUND(J50/INDEX(Undirviðmið!$F$6:$F$45,J$4)*INDEX(Undirviðmið!$E$6:$E$45,J$4)*KVARDI,2),""))</f>
        <v/>
      </c>
      <c r="L50" s="20" t="n"/>
      <c r="M50" s="31">
        <f>IF(OR(L$4=0,L50=""),"",IFERROR(ROUND(L50/INDEX(Undirviðmið!$F$6:$F$45,L$4)*INDEX(Undirviðmið!$E$6:$E$45,L$4)*KVARDI,2),""))</f>
        <v/>
      </c>
      <c r="N50" s="20" t="n"/>
      <c r="O50" s="31">
        <f>IF(OR(N$4=0,N50=""),"",IFERROR(ROUND(N50/INDEX(Undirviðmið!$F$6:$F$45,N$4)*INDEX(Undirviðmið!$E$6:$E$45,N$4)*KVARDI,2),""))</f>
        <v/>
      </c>
      <c r="P50" s="20" t="n"/>
      <c r="Q50" s="31">
        <f>IF(OR(P$4=0,P50=""),"",IFERROR(ROUND(P50/INDEX(Undirviðmið!$F$6:$F$45,P$4)*INDEX(Undirviðmið!$E$6:$E$45,P$4)*KVARDI,2),""))</f>
        <v/>
      </c>
      <c r="R50" s="20" t="n"/>
      <c r="S50" s="31">
        <f>IF(OR(R$4=0,R50=""),"",IFERROR(ROUND(R50/INDEX(Undirviðmið!$F$6:$F$45,R$4)*INDEX(Undirviðmið!$E$6:$E$45,R$4)*KVARDI,2),""))</f>
        <v/>
      </c>
      <c r="T50" s="20" t="n"/>
      <c r="U50" s="31">
        <f>IF(OR(T$4=0,T50=""),"",IFERROR(ROUND(T50/INDEX(Undirviðmið!$F$6:$F$45,T$4)*INDEX(Undirviðmið!$E$6:$E$45,T$4)*KVARDI,2),""))</f>
        <v/>
      </c>
      <c r="V50" s="20" t="n"/>
      <c r="W50" s="31">
        <f>IF(OR(V$4=0,V50=""),"",IFERROR(ROUND(V50/INDEX(Undirviðmið!$F$6:$F$45,V$4)*INDEX(Undirviðmið!$E$6:$E$45,V$4)*KVARDI,2),""))</f>
        <v/>
      </c>
      <c r="X50" s="20" t="n"/>
      <c r="Y50" s="31">
        <f>IF(OR(X$4=0,X50=""),"",IFERROR(ROUND(X50/INDEX(Undirviðmið!$F$6:$F$45,X$4)*INDEX(Undirviðmið!$E$6:$E$45,X$4)*KVARDI,2),""))</f>
        <v/>
      </c>
      <c r="Z50" s="20" t="n"/>
      <c r="AA50" s="31">
        <f>IF(OR(Z$4=0,Z50=""),"",IFERROR(ROUND(Z50/INDEX(Undirviðmið!$F$6:$F$45,Z$4)*INDEX(Undirviðmið!$E$6:$E$45,Z$4)*KVARDI,2),""))</f>
        <v/>
      </c>
      <c r="AB50" s="20" t="n"/>
      <c r="AC50" s="31">
        <f>IF(OR(AB$4=0,AB50=""),"",IFERROR(ROUND(AB50/INDEX(Undirviðmið!$F$6:$F$45,AB$4)*INDEX(Undirviðmið!$E$6:$E$45,AB$4)*KVARDI,2),""))</f>
        <v/>
      </c>
      <c r="AD50" s="20" t="n"/>
      <c r="AE50" s="31">
        <f>IF(OR(AD$4=0,AD50=""),"",IFERROR(ROUND(AD50/INDEX(Undirviðmið!$F$6:$F$45,AD$4)*INDEX(Undirviðmið!$E$6:$E$45,AD$4)*KVARDI,2),""))</f>
        <v/>
      </c>
      <c r="AF50" s="20" t="n"/>
      <c r="AG50" s="31">
        <f>IF(OR(AF$4=0,AF50=""),"",IFERROR(ROUND(AF50/INDEX(Undirviðmið!$F$6:$F$45,AF$4)*INDEX(Undirviðmið!$E$6:$E$45,AF$4)*KVARDI,2),""))</f>
        <v/>
      </c>
      <c r="AH50" s="37">
        <f>IFERROR(SUM(E50,G50,I50,K50,M50,O50,Q50,S50,U50,W50,Y50,AA50,AC50,AE50,AG50),0)</f>
        <v/>
      </c>
    </row>
    <row r="51">
      <c r="A51" s="19" t="n">
        <v>45</v>
      </c>
      <c r="B51" s="21">
        <f>IF(Starfsmenn!$B$50="","",Starfsmenn!$B$50)</f>
        <v/>
      </c>
      <c r="C51" s="21">
        <f>IF(Starfsmenn!$C$50="","",Starfsmenn!$C$50)</f>
        <v/>
      </c>
      <c r="D51" s="20" t="n"/>
      <c r="E51" s="31">
        <f>IF(OR(D$4=0,D51=""),"",IFERROR(ROUND(D51/INDEX(Undirviðmið!$F$6:$F$45,D$4)*INDEX(Undirviðmið!$E$6:$E$45,D$4)*KVARDI,2),""))</f>
        <v/>
      </c>
      <c r="F51" s="20" t="n"/>
      <c r="G51" s="31">
        <f>IF(OR(F$4=0,F51=""),"",IFERROR(ROUND(F51/INDEX(Undirviðmið!$F$6:$F$45,F$4)*INDEX(Undirviðmið!$E$6:$E$45,F$4)*KVARDI,2),""))</f>
        <v/>
      </c>
      <c r="H51" s="20" t="n"/>
      <c r="I51" s="31">
        <f>IF(OR(H$4=0,H51=""),"",IFERROR(ROUND(H51/INDEX(Undirviðmið!$F$6:$F$45,H$4)*INDEX(Undirviðmið!$E$6:$E$45,H$4)*KVARDI,2),""))</f>
        <v/>
      </c>
      <c r="J51" s="20" t="n"/>
      <c r="K51" s="31">
        <f>IF(OR(J$4=0,J51=""),"",IFERROR(ROUND(J51/INDEX(Undirviðmið!$F$6:$F$45,J$4)*INDEX(Undirviðmið!$E$6:$E$45,J$4)*KVARDI,2),""))</f>
        <v/>
      </c>
      <c r="L51" s="20" t="n"/>
      <c r="M51" s="31">
        <f>IF(OR(L$4=0,L51=""),"",IFERROR(ROUND(L51/INDEX(Undirviðmið!$F$6:$F$45,L$4)*INDEX(Undirviðmið!$E$6:$E$45,L$4)*KVARDI,2),""))</f>
        <v/>
      </c>
      <c r="N51" s="20" t="n"/>
      <c r="O51" s="31">
        <f>IF(OR(N$4=0,N51=""),"",IFERROR(ROUND(N51/INDEX(Undirviðmið!$F$6:$F$45,N$4)*INDEX(Undirviðmið!$E$6:$E$45,N$4)*KVARDI,2),""))</f>
        <v/>
      </c>
      <c r="P51" s="20" t="n"/>
      <c r="Q51" s="31">
        <f>IF(OR(P$4=0,P51=""),"",IFERROR(ROUND(P51/INDEX(Undirviðmið!$F$6:$F$45,P$4)*INDEX(Undirviðmið!$E$6:$E$45,P$4)*KVARDI,2),""))</f>
        <v/>
      </c>
      <c r="R51" s="20" t="n"/>
      <c r="S51" s="31">
        <f>IF(OR(R$4=0,R51=""),"",IFERROR(ROUND(R51/INDEX(Undirviðmið!$F$6:$F$45,R$4)*INDEX(Undirviðmið!$E$6:$E$45,R$4)*KVARDI,2),""))</f>
        <v/>
      </c>
      <c r="T51" s="20" t="n"/>
      <c r="U51" s="31">
        <f>IF(OR(T$4=0,T51=""),"",IFERROR(ROUND(T51/INDEX(Undirviðmið!$F$6:$F$45,T$4)*INDEX(Undirviðmið!$E$6:$E$45,T$4)*KVARDI,2),""))</f>
        <v/>
      </c>
      <c r="V51" s="20" t="n"/>
      <c r="W51" s="31">
        <f>IF(OR(V$4=0,V51=""),"",IFERROR(ROUND(V51/INDEX(Undirviðmið!$F$6:$F$45,V$4)*INDEX(Undirviðmið!$E$6:$E$45,V$4)*KVARDI,2),""))</f>
        <v/>
      </c>
      <c r="X51" s="20" t="n"/>
      <c r="Y51" s="31">
        <f>IF(OR(X$4=0,X51=""),"",IFERROR(ROUND(X51/INDEX(Undirviðmið!$F$6:$F$45,X$4)*INDEX(Undirviðmið!$E$6:$E$45,X$4)*KVARDI,2),""))</f>
        <v/>
      </c>
      <c r="Z51" s="20" t="n"/>
      <c r="AA51" s="31">
        <f>IF(OR(Z$4=0,Z51=""),"",IFERROR(ROUND(Z51/INDEX(Undirviðmið!$F$6:$F$45,Z$4)*INDEX(Undirviðmið!$E$6:$E$45,Z$4)*KVARDI,2),""))</f>
        <v/>
      </c>
      <c r="AB51" s="20" t="n"/>
      <c r="AC51" s="31">
        <f>IF(OR(AB$4=0,AB51=""),"",IFERROR(ROUND(AB51/INDEX(Undirviðmið!$F$6:$F$45,AB$4)*INDEX(Undirviðmið!$E$6:$E$45,AB$4)*KVARDI,2),""))</f>
        <v/>
      </c>
      <c r="AD51" s="20" t="n"/>
      <c r="AE51" s="31">
        <f>IF(OR(AD$4=0,AD51=""),"",IFERROR(ROUND(AD51/INDEX(Undirviðmið!$F$6:$F$45,AD$4)*INDEX(Undirviðmið!$E$6:$E$45,AD$4)*KVARDI,2),""))</f>
        <v/>
      </c>
      <c r="AF51" s="20" t="n"/>
      <c r="AG51" s="31">
        <f>IF(OR(AF$4=0,AF51=""),"",IFERROR(ROUND(AF51/INDEX(Undirviðmið!$F$6:$F$45,AF$4)*INDEX(Undirviðmið!$E$6:$E$45,AF$4)*KVARDI,2),""))</f>
        <v/>
      </c>
      <c r="AH51" s="37">
        <f>IFERROR(SUM(E51,G51,I51,K51,M51,O51,Q51,S51,U51,W51,Y51,AA51,AC51,AE51,AG51),0)</f>
        <v/>
      </c>
    </row>
    <row r="52">
      <c r="A52" s="19" t="n">
        <v>46</v>
      </c>
      <c r="B52" s="21">
        <f>IF(Starfsmenn!$B$51="","",Starfsmenn!$B$51)</f>
        <v/>
      </c>
      <c r="C52" s="21">
        <f>IF(Starfsmenn!$C$51="","",Starfsmenn!$C$51)</f>
        <v/>
      </c>
      <c r="D52" s="20" t="n"/>
      <c r="E52" s="31">
        <f>IF(OR(D$4=0,D52=""),"",IFERROR(ROUND(D52/INDEX(Undirviðmið!$F$6:$F$45,D$4)*INDEX(Undirviðmið!$E$6:$E$45,D$4)*KVARDI,2),""))</f>
        <v/>
      </c>
      <c r="F52" s="20" t="n"/>
      <c r="G52" s="31">
        <f>IF(OR(F$4=0,F52=""),"",IFERROR(ROUND(F52/INDEX(Undirviðmið!$F$6:$F$45,F$4)*INDEX(Undirviðmið!$E$6:$E$45,F$4)*KVARDI,2),""))</f>
        <v/>
      </c>
      <c r="H52" s="20" t="n"/>
      <c r="I52" s="31">
        <f>IF(OR(H$4=0,H52=""),"",IFERROR(ROUND(H52/INDEX(Undirviðmið!$F$6:$F$45,H$4)*INDEX(Undirviðmið!$E$6:$E$45,H$4)*KVARDI,2),""))</f>
        <v/>
      </c>
      <c r="J52" s="20" t="n"/>
      <c r="K52" s="31">
        <f>IF(OR(J$4=0,J52=""),"",IFERROR(ROUND(J52/INDEX(Undirviðmið!$F$6:$F$45,J$4)*INDEX(Undirviðmið!$E$6:$E$45,J$4)*KVARDI,2),""))</f>
        <v/>
      </c>
      <c r="L52" s="20" t="n"/>
      <c r="M52" s="31">
        <f>IF(OR(L$4=0,L52=""),"",IFERROR(ROUND(L52/INDEX(Undirviðmið!$F$6:$F$45,L$4)*INDEX(Undirviðmið!$E$6:$E$45,L$4)*KVARDI,2),""))</f>
        <v/>
      </c>
      <c r="N52" s="20" t="n"/>
      <c r="O52" s="31">
        <f>IF(OR(N$4=0,N52=""),"",IFERROR(ROUND(N52/INDEX(Undirviðmið!$F$6:$F$45,N$4)*INDEX(Undirviðmið!$E$6:$E$45,N$4)*KVARDI,2),""))</f>
        <v/>
      </c>
      <c r="P52" s="20" t="n"/>
      <c r="Q52" s="31">
        <f>IF(OR(P$4=0,P52=""),"",IFERROR(ROUND(P52/INDEX(Undirviðmið!$F$6:$F$45,P$4)*INDEX(Undirviðmið!$E$6:$E$45,P$4)*KVARDI,2),""))</f>
        <v/>
      </c>
      <c r="R52" s="20" t="n"/>
      <c r="S52" s="31">
        <f>IF(OR(R$4=0,R52=""),"",IFERROR(ROUND(R52/INDEX(Undirviðmið!$F$6:$F$45,R$4)*INDEX(Undirviðmið!$E$6:$E$45,R$4)*KVARDI,2),""))</f>
        <v/>
      </c>
      <c r="T52" s="20" t="n"/>
      <c r="U52" s="31">
        <f>IF(OR(T$4=0,T52=""),"",IFERROR(ROUND(T52/INDEX(Undirviðmið!$F$6:$F$45,T$4)*INDEX(Undirviðmið!$E$6:$E$45,T$4)*KVARDI,2),""))</f>
        <v/>
      </c>
      <c r="V52" s="20" t="n"/>
      <c r="W52" s="31">
        <f>IF(OR(V$4=0,V52=""),"",IFERROR(ROUND(V52/INDEX(Undirviðmið!$F$6:$F$45,V$4)*INDEX(Undirviðmið!$E$6:$E$45,V$4)*KVARDI,2),""))</f>
        <v/>
      </c>
      <c r="X52" s="20" t="n"/>
      <c r="Y52" s="31">
        <f>IF(OR(X$4=0,X52=""),"",IFERROR(ROUND(X52/INDEX(Undirviðmið!$F$6:$F$45,X$4)*INDEX(Undirviðmið!$E$6:$E$45,X$4)*KVARDI,2),""))</f>
        <v/>
      </c>
      <c r="Z52" s="20" t="n"/>
      <c r="AA52" s="31">
        <f>IF(OR(Z$4=0,Z52=""),"",IFERROR(ROUND(Z52/INDEX(Undirviðmið!$F$6:$F$45,Z$4)*INDEX(Undirviðmið!$E$6:$E$45,Z$4)*KVARDI,2),""))</f>
        <v/>
      </c>
      <c r="AB52" s="20" t="n"/>
      <c r="AC52" s="31">
        <f>IF(OR(AB$4=0,AB52=""),"",IFERROR(ROUND(AB52/INDEX(Undirviðmið!$F$6:$F$45,AB$4)*INDEX(Undirviðmið!$E$6:$E$45,AB$4)*KVARDI,2),""))</f>
        <v/>
      </c>
      <c r="AD52" s="20" t="n"/>
      <c r="AE52" s="31">
        <f>IF(OR(AD$4=0,AD52=""),"",IFERROR(ROUND(AD52/INDEX(Undirviðmið!$F$6:$F$45,AD$4)*INDEX(Undirviðmið!$E$6:$E$45,AD$4)*KVARDI,2),""))</f>
        <v/>
      </c>
      <c r="AF52" s="20" t="n"/>
      <c r="AG52" s="31">
        <f>IF(OR(AF$4=0,AF52=""),"",IFERROR(ROUND(AF52/INDEX(Undirviðmið!$F$6:$F$45,AF$4)*INDEX(Undirviðmið!$E$6:$E$45,AF$4)*KVARDI,2),""))</f>
        <v/>
      </c>
      <c r="AH52" s="37">
        <f>IFERROR(SUM(E52,G52,I52,K52,M52,O52,Q52,S52,U52,W52,Y52,AA52,AC52,AE52,AG52),0)</f>
        <v/>
      </c>
    </row>
    <row r="53">
      <c r="A53" s="19" t="n">
        <v>47</v>
      </c>
      <c r="B53" s="21">
        <f>IF(Starfsmenn!$B$52="","",Starfsmenn!$B$52)</f>
        <v/>
      </c>
      <c r="C53" s="21">
        <f>IF(Starfsmenn!$C$52="","",Starfsmenn!$C$52)</f>
        <v/>
      </c>
      <c r="D53" s="20" t="n"/>
      <c r="E53" s="31">
        <f>IF(OR(D$4=0,D53=""),"",IFERROR(ROUND(D53/INDEX(Undirviðmið!$F$6:$F$45,D$4)*INDEX(Undirviðmið!$E$6:$E$45,D$4)*KVARDI,2),""))</f>
        <v/>
      </c>
      <c r="F53" s="20" t="n"/>
      <c r="G53" s="31">
        <f>IF(OR(F$4=0,F53=""),"",IFERROR(ROUND(F53/INDEX(Undirviðmið!$F$6:$F$45,F$4)*INDEX(Undirviðmið!$E$6:$E$45,F$4)*KVARDI,2),""))</f>
        <v/>
      </c>
      <c r="H53" s="20" t="n"/>
      <c r="I53" s="31">
        <f>IF(OR(H$4=0,H53=""),"",IFERROR(ROUND(H53/INDEX(Undirviðmið!$F$6:$F$45,H$4)*INDEX(Undirviðmið!$E$6:$E$45,H$4)*KVARDI,2),""))</f>
        <v/>
      </c>
      <c r="J53" s="20" t="n"/>
      <c r="K53" s="31">
        <f>IF(OR(J$4=0,J53=""),"",IFERROR(ROUND(J53/INDEX(Undirviðmið!$F$6:$F$45,J$4)*INDEX(Undirviðmið!$E$6:$E$45,J$4)*KVARDI,2),""))</f>
        <v/>
      </c>
      <c r="L53" s="20" t="n"/>
      <c r="M53" s="31">
        <f>IF(OR(L$4=0,L53=""),"",IFERROR(ROUND(L53/INDEX(Undirviðmið!$F$6:$F$45,L$4)*INDEX(Undirviðmið!$E$6:$E$45,L$4)*KVARDI,2),""))</f>
        <v/>
      </c>
      <c r="N53" s="20" t="n"/>
      <c r="O53" s="31">
        <f>IF(OR(N$4=0,N53=""),"",IFERROR(ROUND(N53/INDEX(Undirviðmið!$F$6:$F$45,N$4)*INDEX(Undirviðmið!$E$6:$E$45,N$4)*KVARDI,2),""))</f>
        <v/>
      </c>
      <c r="P53" s="20" t="n"/>
      <c r="Q53" s="31">
        <f>IF(OR(P$4=0,P53=""),"",IFERROR(ROUND(P53/INDEX(Undirviðmið!$F$6:$F$45,P$4)*INDEX(Undirviðmið!$E$6:$E$45,P$4)*KVARDI,2),""))</f>
        <v/>
      </c>
      <c r="R53" s="20" t="n"/>
      <c r="S53" s="31">
        <f>IF(OR(R$4=0,R53=""),"",IFERROR(ROUND(R53/INDEX(Undirviðmið!$F$6:$F$45,R$4)*INDEX(Undirviðmið!$E$6:$E$45,R$4)*KVARDI,2),""))</f>
        <v/>
      </c>
      <c r="T53" s="20" t="n"/>
      <c r="U53" s="31">
        <f>IF(OR(T$4=0,T53=""),"",IFERROR(ROUND(T53/INDEX(Undirviðmið!$F$6:$F$45,T$4)*INDEX(Undirviðmið!$E$6:$E$45,T$4)*KVARDI,2),""))</f>
        <v/>
      </c>
      <c r="V53" s="20" t="n"/>
      <c r="W53" s="31">
        <f>IF(OR(V$4=0,V53=""),"",IFERROR(ROUND(V53/INDEX(Undirviðmið!$F$6:$F$45,V$4)*INDEX(Undirviðmið!$E$6:$E$45,V$4)*KVARDI,2),""))</f>
        <v/>
      </c>
      <c r="X53" s="20" t="n"/>
      <c r="Y53" s="31">
        <f>IF(OR(X$4=0,X53=""),"",IFERROR(ROUND(X53/INDEX(Undirviðmið!$F$6:$F$45,X$4)*INDEX(Undirviðmið!$E$6:$E$45,X$4)*KVARDI,2),""))</f>
        <v/>
      </c>
      <c r="Z53" s="20" t="n"/>
      <c r="AA53" s="31">
        <f>IF(OR(Z$4=0,Z53=""),"",IFERROR(ROUND(Z53/INDEX(Undirviðmið!$F$6:$F$45,Z$4)*INDEX(Undirviðmið!$E$6:$E$45,Z$4)*KVARDI,2),""))</f>
        <v/>
      </c>
      <c r="AB53" s="20" t="n"/>
      <c r="AC53" s="31">
        <f>IF(OR(AB$4=0,AB53=""),"",IFERROR(ROUND(AB53/INDEX(Undirviðmið!$F$6:$F$45,AB$4)*INDEX(Undirviðmið!$E$6:$E$45,AB$4)*KVARDI,2),""))</f>
        <v/>
      </c>
      <c r="AD53" s="20" t="n"/>
      <c r="AE53" s="31">
        <f>IF(OR(AD$4=0,AD53=""),"",IFERROR(ROUND(AD53/INDEX(Undirviðmið!$F$6:$F$45,AD$4)*INDEX(Undirviðmið!$E$6:$E$45,AD$4)*KVARDI,2),""))</f>
        <v/>
      </c>
      <c r="AF53" s="20" t="n"/>
      <c r="AG53" s="31">
        <f>IF(OR(AF$4=0,AF53=""),"",IFERROR(ROUND(AF53/INDEX(Undirviðmið!$F$6:$F$45,AF$4)*INDEX(Undirviðmið!$E$6:$E$45,AF$4)*KVARDI,2),""))</f>
        <v/>
      </c>
      <c r="AH53" s="37">
        <f>IFERROR(SUM(E53,G53,I53,K53,M53,O53,Q53,S53,U53,W53,Y53,AA53,AC53,AE53,AG53),0)</f>
        <v/>
      </c>
    </row>
    <row r="54">
      <c r="A54" s="19" t="n">
        <v>48</v>
      </c>
      <c r="B54" s="21">
        <f>IF(Starfsmenn!$B$53="","",Starfsmenn!$B$53)</f>
        <v/>
      </c>
      <c r="C54" s="21">
        <f>IF(Starfsmenn!$C$53="","",Starfsmenn!$C$53)</f>
        <v/>
      </c>
      <c r="D54" s="20" t="n"/>
      <c r="E54" s="31">
        <f>IF(OR(D$4=0,D54=""),"",IFERROR(ROUND(D54/INDEX(Undirviðmið!$F$6:$F$45,D$4)*INDEX(Undirviðmið!$E$6:$E$45,D$4)*KVARDI,2),""))</f>
        <v/>
      </c>
      <c r="F54" s="20" t="n"/>
      <c r="G54" s="31">
        <f>IF(OR(F$4=0,F54=""),"",IFERROR(ROUND(F54/INDEX(Undirviðmið!$F$6:$F$45,F$4)*INDEX(Undirviðmið!$E$6:$E$45,F$4)*KVARDI,2),""))</f>
        <v/>
      </c>
      <c r="H54" s="20" t="n"/>
      <c r="I54" s="31">
        <f>IF(OR(H$4=0,H54=""),"",IFERROR(ROUND(H54/INDEX(Undirviðmið!$F$6:$F$45,H$4)*INDEX(Undirviðmið!$E$6:$E$45,H$4)*KVARDI,2),""))</f>
        <v/>
      </c>
      <c r="J54" s="20" t="n"/>
      <c r="K54" s="31">
        <f>IF(OR(J$4=0,J54=""),"",IFERROR(ROUND(J54/INDEX(Undirviðmið!$F$6:$F$45,J$4)*INDEX(Undirviðmið!$E$6:$E$45,J$4)*KVARDI,2),""))</f>
        <v/>
      </c>
      <c r="L54" s="20" t="n"/>
      <c r="M54" s="31">
        <f>IF(OR(L$4=0,L54=""),"",IFERROR(ROUND(L54/INDEX(Undirviðmið!$F$6:$F$45,L$4)*INDEX(Undirviðmið!$E$6:$E$45,L$4)*KVARDI,2),""))</f>
        <v/>
      </c>
      <c r="N54" s="20" t="n"/>
      <c r="O54" s="31">
        <f>IF(OR(N$4=0,N54=""),"",IFERROR(ROUND(N54/INDEX(Undirviðmið!$F$6:$F$45,N$4)*INDEX(Undirviðmið!$E$6:$E$45,N$4)*KVARDI,2),""))</f>
        <v/>
      </c>
      <c r="P54" s="20" t="n"/>
      <c r="Q54" s="31">
        <f>IF(OR(P$4=0,P54=""),"",IFERROR(ROUND(P54/INDEX(Undirviðmið!$F$6:$F$45,P$4)*INDEX(Undirviðmið!$E$6:$E$45,P$4)*KVARDI,2),""))</f>
        <v/>
      </c>
      <c r="R54" s="20" t="n"/>
      <c r="S54" s="31">
        <f>IF(OR(R$4=0,R54=""),"",IFERROR(ROUND(R54/INDEX(Undirviðmið!$F$6:$F$45,R$4)*INDEX(Undirviðmið!$E$6:$E$45,R$4)*KVARDI,2),""))</f>
        <v/>
      </c>
      <c r="T54" s="20" t="n"/>
      <c r="U54" s="31">
        <f>IF(OR(T$4=0,T54=""),"",IFERROR(ROUND(T54/INDEX(Undirviðmið!$F$6:$F$45,T$4)*INDEX(Undirviðmið!$E$6:$E$45,T$4)*KVARDI,2),""))</f>
        <v/>
      </c>
      <c r="V54" s="20" t="n"/>
      <c r="W54" s="31">
        <f>IF(OR(V$4=0,V54=""),"",IFERROR(ROUND(V54/INDEX(Undirviðmið!$F$6:$F$45,V$4)*INDEX(Undirviðmið!$E$6:$E$45,V$4)*KVARDI,2),""))</f>
        <v/>
      </c>
      <c r="X54" s="20" t="n"/>
      <c r="Y54" s="31">
        <f>IF(OR(X$4=0,X54=""),"",IFERROR(ROUND(X54/INDEX(Undirviðmið!$F$6:$F$45,X$4)*INDEX(Undirviðmið!$E$6:$E$45,X$4)*KVARDI,2),""))</f>
        <v/>
      </c>
      <c r="Z54" s="20" t="n"/>
      <c r="AA54" s="31">
        <f>IF(OR(Z$4=0,Z54=""),"",IFERROR(ROUND(Z54/INDEX(Undirviðmið!$F$6:$F$45,Z$4)*INDEX(Undirviðmið!$E$6:$E$45,Z$4)*KVARDI,2),""))</f>
        <v/>
      </c>
      <c r="AB54" s="20" t="n"/>
      <c r="AC54" s="31">
        <f>IF(OR(AB$4=0,AB54=""),"",IFERROR(ROUND(AB54/INDEX(Undirviðmið!$F$6:$F$45,AB$4)*INDEX(Undirviðmið!$E$6:$E$45,AB$4)*KVARDI,2),""))</f>
        <v/>
      </c>
      <c r="AD54" s="20" t="n"/>
      <c r="AE54" s="31">
        <f>IF(OR(AD$4=0,AD54=""),"",IFERROR(ROUND(AD54/INDEX(Undirviðmið!$F$6:$F$45,AD$4)*INDEX(Undirviðmið!$E$6:$E$45,AD$4)*KVARDI,2),""))</f>
        <v/>
      </c>
      <c r="AF54" s="20" t="n"/>
      <c r="AG54" s="31">
        <f>IF(OR(AF$4=0,AF54=""),"",IFERROR(ROUND(AF54/INDEX(Undirviðmið!$F$6:$F$45,AF$4)*INDEX(Undirviðmið!$E$6:$E$45,AF$4)*KVARDI,2),""))</f>
        <v/>
      </c>
      <c r="AH54" s="37">
        <f>IFERROR(SUM(E54,G54,I54,K54,M54,O54,Q54,S54,U54,W54,Y54,AA54,AC54,AE54,AG54),0)</f>
        <v/>
      </c>
    </row>
    <row r="55">
      <c r="A55" s="19" t="n">
        <v>49</v>
      </c>
      <c r="B55" s="21">
        <f>IF(Starfsmenn!$B$54="","",Starfsmenn!$B$54)</f>
        <v/>
      </c>
      <c r="C55" s="21">
        <f>IF(Starfsmenn!$C$54="","",Starfsmenn!$C$54)</f>
        <v/>
      </c>
      <c r="D55" s="20" t="n"/>
      <c r="E55" s="31">
        <f>IF(OR(D$4=0,D55=""),"",IFERROR(ROUND(D55/INDEX(Undirviðmið!$F$6:$F$45,D$4)*INDEX(Undirviðmið!$E$6:$E$45,D$4)*KVARDI,2),""))</f>
        <v/>
      </c>
      <c r="F55" s="20" t="n"/>
      <c r="G55" s="31">
        <f>IF(OR(F$4=0,F55=""),"",IFERROR(ROUND(F55/INDEX(Undirviðmið!$F$6:$F$45,F$4)*INDEX(Undirviðmið!$E$6:$E$45,F$4)*KVARDI,2),""))</f>
        <v/>
      </c>
      <c r="H55" s="20" t="n"/>
      <c r="I55" s="31">
        <f>IF(OR(H$4=0,H55=""),"",IFERROR(ROUND(H55/INDEX(Undirviðmið!$F$6:$F$45,H$4)*INDEX(Undirviðmið!$E$6:$E$45,H$4)*KVARDI,2),""))</f>
        <v/>
      </c>
      <c r="J55" s="20" t="n"/>
      <c r="K55" s="31">
        <f>IF(OR(J$4=0,J55=""),"",IFERROR(ROUND(J55/INDEX(Undirviðmið!$F$6:$F$45,J$4)*INDEX(Undirviðmið!$E$6:$E$45,J$4)*KVARDI,2),""))</f>
        <v/>
      </c>
      <c r="L55" s="20" t="n"/>
      <c r="M55" s="31">
        <f>IF(OR(L$4=0,L55=""),"",IFERROR(ROUND(L55/INDEX(Undirviðmið!$F$6:$F$45,L$4)*INDEX(Undirviðmið!$E$6:$E$45,L$4)*KVARDI,2),""))</f>
        <v/>
      </c>
      <c r="N55" s="20" t="n"/>
      <c r="O55" s="31">
        <f>IF(OR(N$4=0,N55=""),"",IFERROR(ROUND(N55/INDEX(Undirviðmið!$F$6:$F$45,N$4)*INDEX(Undirviðmið!$E$6:$E$45,N$4)*KVARDI,2),""))</f>
        <v/>
      </c>
      <c r="P55" s="20" t="n"/>
      <c r="Q55" s="31">
        <f>IF(OR(P$4=0,P55=""),"",IFERROR(ROUND(P55/INDEX(Undirviðmið!$F$6:$F$45,P$4)*INDEX(Undirviðmið!$E$6:$E$45,P$4)*KVARDI,2),""))</f>
        <v/>
      </c>
      <c r="R55" s="20" t="n"/>
      <c r="S55" s="31">
        <f>IF(OR(R$4=0,R55=""),"",IFERROR(ROUND(R55/INDEX(Undirviðmið!$F$6:$F$45,R$4)*INDEX(Undirviðmið!$E$6:$E$45,R$4)*KVARDI,2),""))</f>
        <v/>
      </c>
      <c r="T55" s="20" t="n"/>
      <c r="U55" s="31">
        <f>IF(OR(T$4=0,T55=""),"",IFERROR(ROUND(T55/INDEX(Undirviðmið!$F$6:$F$45,T$4)*INDEX(Undirviðmið!$E$6:$E$45,T$4)*KVARDI,2),""))</f>
        <v/>
      </c>
      <c r="V55" s="20" t="n"/>
      <c r="W55" s="31">
        <f>IF(OR(V$4=0,V55=""),"",IFERROR(ROUND(V55/INDEX(Undirviðmið!$F$6:$F$45,V$4)*INDEX(Undirviðmið!$E$6:$E$45,V$4)*KVARDI,2),""))</f>
        <v/>
      </c>
      <c r="X55" s="20" t="n"/>
      <c r="Y55" s="31">
        <f>IF(OR(X$4=0,X55=""),"",IFERROR(ROUND(X55/INDEX(Undirviðmið!$F$6:$F$45,X$4)*INDEX(Undirviðmið!$E$6:$E$45,X$4)*KVARDI,2),""))</f>
        <v/>
      </c>
      <c r="Z55" s="20" t="n"/>
      <c r="AA55" s="31">
        <f>IF(OR(Z$4=0,Z55=""),"",IFERROR(ROUND(Z55/INDEX(Undirviðmið!$F$6:$F$45,Z$4)*INDEX(Undirviðmið!$E$6:$E$45,Z$4)*KVARDI,2),""))</f>
        <v/>
      </c>
      <c r="AB55" s="20" t="n"/>
      <c r="AC55" s="31">
        <f>IF(OR(AB$4=0,AB55=""),"",IFERROR(ROUND(AB55/INDEX(Undirviðmið!$F$6:$F$45,AB$4)*INDEX(Undirviðmið!$E$6:$E$45,AB$4)*KVARDI,2),""))</f>
        <v/>
      </c>
      <c r="AD55" s="20" t="n"/>
      <c r="AE55" s="31">
        <f>IF(OR(AD$4=0,AD55=""),"",IFERROR(ROUND(AD55/INDEX(Undirviðmið!$F$6:$F$45,AD$4)*INDEX(Undirviðmið!$E$6:$E$45,AD$4)*KVARDI,2),""))</f>
        <v/>
      </c>
      <c r="AF55" s="20" t="n"/>
      <c r="AG55" s="31">
        <f>IF(OR(AF$4=0,AF55=""),"",IFERROR(ROUND(AF55/INDEX(Undirviðmið!$F$6:$F$45,AF$4)*INDEX(Undirviðmið!$E$6:$E$45,AF$4)*KVARDI,2),""))</f>
        <v/>
      </c>
      <c r="AH55" s="37">
        <f>IFERROR(SUM(E55,G55,I55,K55,M55,O55,Q55,S55,U55,W55,Y55,AA55,AC55,AE55,AG55),0)</f>
        <v/>
      </c>
    </row>
    <row r="56">
      <c r="A56" s="19" t="n">
        <v>50</v>
      </c>
      <c r="B56" s="21">
        <f>IF(Starfsmenn!$B$55="","",Starfsmenn!$B$55)</f>
        <v/>
      </c>
      <c r="C56" s="21">
        <f>IF(Starfsmenn!$C$55="","",Starfsmenn!$C$55)</f>
        <v/>
      </c>
      <c r="D56" s="20" t="n"/>
      <c r="E56" s="31">
        <f>IF(OR(D$4=0,D56=""),"",IFERROR(ROUND(D56/INDEX(Undirviðmið!$F$6:$F$45,D$4)*INDEX(Undirviðmið!$E$6:$E$45,D$4)*KVARDI,2),""))</f>
        <v/>
      </c>
      <c r="F56" s="20" t="n"/>
      <c r="G56" s="31">
        <f>IF(OR(F$4=0,F56=""),"",IFERROR(ROUND(F56/INDEX(Undirviðmið!$F$6:$F$45,F$4)*INDEX(Undirviðmið!$E$6:$E$45,F$4)*KVARDI,2),""))</f>
        <v/>
      </c>
      <c r="H56" s="20" t="n"/>
      <c r="I56" s="31">
        <f>IF(OR(H$4=0,H56=""),"",IFERROR(ROUND(H56/INDEX(Undirviðmið!$F$6:$F$45,H$4)*INDEX(Undirviðmið!$E$6:$E$45,H$4)*KVARDI,2),""))</f>
        <v/>
      </c>
      <c r="J56" s="20" t="n"/>
      <c r="K56" s="31">
        <f>IF(OR(J$4=0,J56=""),"",IFERROR(ROUND(J56/INDEX(Undirviðmið!$F$6:$F$45,J$4)*INDEX(Undirviðmið!$E$6:$E$45,J$4)*KVARDI,2),""))</f>
        <v/>
      </c>
      <c r="L56" s="20" t="n"/>
      <c r="M56" s="31">
        <f>IF(OR(L$4=0,L56=""),"",IFERROR(ROUND(L56/INDEX(Undirviðmið!$F$6:$F$45,L$4)*INDEX(Undirviðmið!$E$6:$E$45,L$4)*KVARDI,2),""))</f>
        <v/>
      </c>
      <c r="N56" s="20" t="n"/>
      <c r="O56" s="31">
        <f>IF(OR(N$4=0,N56=""),"",IFERROR(ROUND(N56/INDEX(Undirviðmið!$F$6:$F$45,N$4)*INDEX(Undirviðmið!$E$6:$E$45,N$4)*KVARDI,2),""))</f>
        <v/>
      </c>
      <c r="P56" s="20" t="n"/>
      <c r="Q56" s="31">
        <f>IF(OR(P$4=0,P56=""),"",IFERROR(ROUND(P56/INDEX(Undirviðmið!$F$6:$F$45,P$4)*INDEX(Undirviðmið!$E$6:$E$45,P$4)*KVARDI,2),""))</f>
        <v/>
      </c>
      <c r="R56" s="20" t="n"/>
      <c r="S56" s="31">
        <f>IF(OR(R$4=0,R56=""),"",IFERROR(ROUND(R56/INDEX(Undirviðmið!$F$6:$F$45,R$4)*INDEX(Undirviðmið!$E$6:$E$45,R$4)*KVARDI,2),""))</f>
        <v/>
      </c>
      <c r="T56" s="20" t="n"/>
      <c r="U56" s="31">
        <f>IF(OR(T$4=0,T56=""),"",IFERROR(ROUND(T56/INDEX(Undirviðmið!$F$6:$F$45,T$4)*INDEX(Undirviðmið!$E$6:$E$45,T$4)*KVARDI,2),""))</f>
        <v/>
      </c>
      <c r="V56" s="20" t="n"/>
      <c r="W56" s="31">
        <f>IF(OR(V$4=0,V56=""),"",IFERROR(ROUND(V56/INDEX(Undirviðmið!$F$6:$F$45,V$4)*INDEX(Undirviðmið!$E$6:$E$45,V$4)*KVARDI,2),""))</f>
        <v/>
      </c>
      <c r="X56" s="20" t="n"/>
      <c r="Y56" s="31">
        <f>IF(OR(X$4=0,X56=""),"",IFERROR(ROUND(X56/INDEX(Undirviðmið!$F$6:$F$45,X$4)*INDEX(Undirviðmið!$E$6:$E$45,X$4)*KVARDI,2),""))</f>
        <v/>
      </c>
      <c r="Z56" s="20" t="n"/>
      <c r="AA56" s="31">
        <f>IF(OR(Z$4=0,Z56=""),"",IFERROR(ROUND(Z56/INDEX(Undirviðmið!$F$6:$F$45,Z$4)*INDEX(Undirviðmið!$E$6:$E$45,Z$4)*KVARDI,2),""))</f>
        <v/>
      </c>
      <c r="AB56" s="20" t="n"/>
      <c r="AC56" s="31">
        <f>IF(OR(AB$4=0,AB56=""),"",IFERROR(ROUND(AB56/INDEX(Undirviðmið!$F$6:$F$45,AB$4)*INDEX(Undirviðmið!$E$6:$E$45,AB$4)*KVARDI,2),""))</f>
        <v/>
      </c>
      <c r="AD56" s="20" t="n"/>
      <c r="AE56" s="31">
        <f>IF(OR(AD$4=0,AD56=""),"",IFERROR(ROUND(AD56/INDEX(Undirviðmið!$F$6:$F$45,AD$4)*INDEX(Undirviðmið!$E$6:$E$45,AD$4)*KVARDI,2),""))</f>
        <v/>
      </c>
      <c r="AF56" s="20" t="n"/>
      <c r="AG56" s="31">
        <f>IF(OR(AF$4=0,AF56=""),"",IFERROR(ROUND(AF56/INDEX(Undirviðmið!$F$6:$F$45,AF$4)*INDEX(Undirviðmið!$E$6:$E$45,AF$4)*KVARDI,2),""))</f>
        <v/>
      </c>
      <c r="AH56" s="37">
        <f>IFERROR(SUM(E56,G56,I56,K56,M56,O56,Q56,S56,U56,W56,Y56,AA56,AC56,AE56,AG56),0)</f>
        <v/>
      </c>
    </row>
  </sheetData>
  <mergeCells count="18">
    <mergeCell ref="AH5:AH6"/>
    <mergeCell ref="B2:F2"/>
    <mergeCell ref="B3:M3"/>
    <mergeCell ref="J5:K5"/>
    <mergeCell ref="F5:G5"/>
    <mergeCell ref="D5:E5"/>
    <mergeCell ref="T5:U5"/>
    <mergeCell ref="X5:Y5"/>
    <mergeCell ref="V5:W5"/>
    <mergeCell ref="AB5:AC5"/>
    <mergeCell ref="H5:I5"/>
    <mergeCell ref="Z5:AA5"/>
    <mergeCell ref="L5:M5"/>
    <mergeCell ref="AD5:AE5"/>
    <mergeCell ref="P5:Q5"/>
    <mergeCell ref="N5:O5"/>
    <mergeCell ref="AF5:AG5"/>
    <mergeCell ref="R5:S5"/>
  </mergeCells>
  <conditionalFormatting sqref="D7:D56">
    <cfRule type="expression" priority="1" dxfId="2">
      <formula>D$4=0</formula>
    </cfRule>
    <cfRule type="expression" priority="3" dxfId="1">
      <formula>AND(D7&lt;&gt;"",D$4&lt;&gt;0,D7&gt;INDEX(Undirviðmið!$F$6:$F$45,D$4))</formula>
    </cfRule>
  </conditionalFormatting>
  <conditionalFormatting sqref="E7:E56">
    <cfRule type="expression" priority="2" dxfId="2">
      <formula>D$4=0</formula>
    </cfRule>
  </conditionalFormatting>
  <conditionalFormatting sqref="F7:F56">
    <cfRule type="expression" priority="4" dxfId="2">
      <formula>F$4=0</formula>
    </cfRule>
    <cfRule type="expression" priority="6" dxfId="1">
      <formula>AND(F7&lt;&gt;"",F$4&lt;&gt;0,F7&gt;INDEX(Undirviðmið!$F$6:$F$45,F$4))</formula>
    </cfRule>
  </conditionalFormatting>
  <conditionalFormatting sqref="G7:G56">
    <cfRule type="expression" priority="5" dxfId="2">
      <formula>F$4=0</formula>
    </cfRule>
  </conditionalFormatting>
  <conditionalFormatting sqref="H7:H56">
    <cfRule type="expression" priority="7" dxfId="2">
      <formula>H$4=0</formula>
    </cfRule>
    <cfRule type="expression" priority="9" dxfId="1">
      <formula>AND(H7&lt;&gt;"",H$4&lt;&gt;0,H7&gt;INDEX(Undirviðmið!$F$6:$F$45,H$4))</formula>
    </cfRule>
  </conditionalFormatting>
  <conditionalFormatting sqref="I7:I56">
    <cfRule type="expression" priority="8" dxfId="2">
      <formula>H$4=0</formula>
    </cfRule>
  </conditionalFormatting>
  <conditionalFormatting sqref="J7:J56">
    <cfRule type="expression" priority="10" dxfId="2">
      <formula>J$4=0</formula>
    </cfRule>
    <cfRule type="expression" priority="12" dxfId="1">
      <formula>AND(J7&lt;&gt;"",J$4&lt;&gt;0,J7&gt;INDEX(Undirviðmið!$F$6:$F$45,J$4))</formula>
    </cfRule>
  </conditionalFormatting>
  <conditionalFormatting sqref="K7:K56">
    <cfRule type="expression" priority="11" dxfId="2">
      <formula>J$4=0</formula>
    </cfRule>
  </conditionalFormatting>
  <conditionalFormatting sqref="L7:L56">
    <cfRule type="expression" priority="13" dxfId="2">
      <formula>L$4=0</formula>
    </cfRule>
    <cfRule type="expression" priority="15" dxfId="1">
      <formula>AND(L7&lt;&gt;"",L$4&lt;&gt;0,L7&gt;INDEX(Undirviðmið!$F$6:$F$45,L$4))</formula>
    </cfRule>
  </conditionalFormatting>
  <conditionalFormatting sqref="M7:M56">
    <cfRule type="expression" priority="14" dxfId="2">
      <formula>L$4=0</formula>
    </cfRule>
  </conditionalFormatting>
  <conditionalFormatting sqref="N7:N56">
    <cfRule type="expression" priority="16" dxfId="2">
      <formula>N$4=0</formula>
    </cfRule>
    <cfRule type="expression" priority="18" dxfId="1">
      <formula>AND(N7&lt;&gt;"",N$4&lt;&gt;0,N7&gt;INDEX(Undirviðmið!$F$6:$F$45,N$4))</formula>
    </cfRule>
  </conditionalFormatting>
  <conditionalFormatting sqref="O7:O56">
    <cfRule type="expression" priority="17" dxfId="2">
      <formula>N$4=0</formula>
    </cfRule>
  </conditionalFormatting>
  <conditionalFormatting sqref="P7:P56">
    <cfRule type="expression" priority="19" dxfId="2">
      <formula>P$4=0</formula>
    </cfRule>
    <cfRule type="expression" priority="21" dxfId="1">
      <formula>AND(P7&lt;&gt;"",P$4&lt;&gt;0,P7&gt;INDEX(Undirviðmið!$F$6:$F$45,P$4))</formula>
    </cfRule>
  </conditionalFormatting>
  <conditionalFormatting sqref="Q7:Q56">
    <cfRule type="expression" priority="20" dxfId="2">
      <formula>P$4=0</formula>
    </cfRule>
  </conditionalFormatting>
  <conditionalFormatting sqref="R7:R56">
    <cfRule type="expression" priority="22" dxfId="2">
      <formula>R$4=0</formula>
    </cfRule>
    <cfRule type="expression" priority="24" dxfId="1">
      <formula>AND(R7&lt;&gt;"",R$4&lt;&gt;0,R7&gt;INDEX(Undirviðmið!$F$6:$F$45,R$4))</formula>
    </cfRule>
  </conditionalFormatting>
  <conditionalFormatting sqref="S7:S56">
    <cfRule type="expression" priority="23" dxfId="2">
      <formula>R$4=0</formula>
    </cfRule>
  </conditionalFormatting>
  <conditionalFormatting sqref="T7:T56">
    <cfRule type="expression" priority="25" dxfId="2">
      <formula>T$4=0</formula>
    </cfRule>
    <cfRule type="expression" priority="27" dxfId="1">
      <formula>AND(T7&lt;&gt;"",T$4&lt;&gt;0,T7&gt;INDEX(Undirviðmið!$F$6:$F$45,T$4))</formula>
    </cfRule>
  </conditionalFormatting>
  <conditionalFormatting sqref="U7:U56">
    <cfRule type="expression" priority="26" dxfId="2">
      <formula>T$4=0</formula>
    </cfRule>
  </conditionalFormatting>
  <conditionalFormatting sqref="V7:V56">
    <cfRule type="expression" priority="28" dxfId="2">
      <formula>V$4=0</formula>
    </cfRule>
    <cfRule type="expression" priority="30" dxfId="1">
      <formula>AND(V7&lt;&gt;"",V$4&lt;&gt;0,V7&gt;INDEX(Undirviðmið!$F$6:$F$45,V$4))</formula>
    </cfRule>
  </conditionalFormatting>
  <conditionalFormatting sqref="W7:W56">
    <cfRule type="expression" priority="29" dxfId="2">
      <formula>V$4=0</formula>
    </cfRule>
  </conditionalFormatting>
  <conditionalFormatting sqref="X7:X56">
    <cfRule type="expression" priority="31" dxfId="2">
      <formula>X$4=0</formula>
    </cfRule>
    <cfRule type="expression" priority="33" dxfId="1">
      <formula>AND(X7&lt;&gt;"",X$4&lt;&gt;0,X7&gt;INDEX(Undirviðmið!$F$6:$F$45,X$4))</formula>
    </cfRule>
  </conditionalFormatting>
  <conditionalFormatting sqref="Y7:Y56">
    <cfRule type="expression" priority="32" dxfId="2">
      <formula>X$4=0</formula>
    </cfRule>
  </conditionalFormatting>
  <conditionalFormatting sqref="Z7:Z56">
    <cfRule type="expression" priority="34" dxfId="2">
      <formula>Z$4=0</formula>
    </cfRule>
    <cfRule type="expression" priority="36" dxfId="1">
      <formula>AND(Z7&lt;&gt;"",Z$4&lt;&gt;0,Z7&gt;INDEX(Undirviðmið!$F$6:$F$45,Z$4))</formula>
    </cfRule>
  </conditionalFormatting>
  <conditionalFormatting sqref="AA7:AA56">
    <cfRule type="expression" priority="35" dxfId="2">
      <formula>Z$4=0</formula>
    </cfRule>
  </conditionalFormatting>
  <conditionalFormatting sqref="AB7:AB56">
    <cfRule type="expression" priority="37" dxfId="2">
      <formula>AB$4=0</formula>
    </cfRule>
    <cfRule type="expression" priority="39" dxfId="1">
      <formula>AND(AB7&lt;&gt;"",AB$4&lt;&gt;0,AB7&gt;INDEX(Undirviðmið!$F$6:$F$45,AB$4))</formula>
    </cfRule>
  </conditionalFormatting>
  <conditionalFormatting sqref="AC7:AC56">
    <cfRule type="expression" priority="38" dxfId="2">
      <formula>AB$4=0</formula>
    </cfRule>
  </conditionalFormatting>
  <conditionalFormatting sqref="AD7:AD56">
    <cfRule type="expression" priority="40" dxfId="2">
      <formula>AD$4=0</formula>
    </cfRule>
    <cfRule type="expression" priority="42" dxfId="1">
      <formula>AND(AD7&lt;&gt;"",AD$4&lt;&gt;0,AD7&gt;INDEX(Undirviðmið!$F$6:$F$45,AD$4))</formula>
    </cfRule>
  </conditionalFormatting>
  <conditionalFormatting sqref="AE7:AE56">
    <cfRule type="expression" priority="41" dxfId="2">
      <formula>AD$4=0</formula>
    </cfRule>
  </conditionalFormatting>
  <conditionalFormatting sqref="AF7:AF56">
    <cfRule type="expression" priority="43" dxfId="2">
      <formula>AF$4=0</formula>
    </cfRule>
    <cfRule type="expression" priority="45" dxfId="1">
      <formula>AND(AF7&lt;&gt;"",AF$4&lt;&gt;0,AF7&gt;INDEX(Undirviðmið!$F$6:$F$45,AF$4))</formula>
    </cfRule>
  </conditionalFormatting>
  <conditionalFormatting sqref="AG7:AG56">
    <cfRule type="expression" priority="44" dxfId="2">
      <formula>AF$4=0</formula>
    </cfRule>
  </conditionalFormatting>
  <dataValidations count="15">
    <dataValidation sqref="D7:D56" showDropDown="0" showInputMessage="0" showErrorMessage="1" allowBlank="1" errorTitle="Ógilt þrep" error="Þrep verður að vera heil tala milli 1 og fjölda þrepa fyrir viðkomandi undirviðmið." type="whole" operator="between">
      <formula1>1</formula1>
      <formula2>10</formula2>
    </dataValidation>
    <dataValidation sqref="F7:F56" showDropDown="0" showInputMessage="0" showErrorMessage="1" allowBlank="1" errorTitle="Ógilt þrep" error="Þrep verður að vera heil tala milli 1 og fjölda þrepa fyrir viðkomandi undirviðmið." type="whole" operator="between">
      <formula1>1</formula1>
      <formula2>10</formula2>
    </dataValidation>
    <dataValidation sqref="H7:H56" showDropDown="0" showInputMessage="0" showErrorMessage="1" allowBlank="1" errorTitle="Ógilt þrep" error="Þrep verður að vera heil tala milli 1 og fjölda þrepa fyrir viðkomandi undirviðmið." type="whole" operator="between">
      <formula1>1</formula1>
      <formula2>10</formula2>
    </dataValidation>
    <dataValidation sqref="J7:J56" showDropDown="0" showInputMessage="0" showErrorMessage="1" allowBlank="1" errorTitle="Ógilt þrep" error="Þrep verður að vera heil tala milli 1 og fjölda þrepa fyrir viðkomandi undirviðmið." type="whole" operator="between">
      <formula1>1</formula1>
      <formula2>10</formula2>
    </dataValidation>
    <dataValidation sqref="L7:L56" showDropDown="0" showInputMessage="0" showErrorMessage="1" allowBlank="1" errorTitle="Ógilt þrep" error="Þrep verður að vera heil tala milli 1 og fjölda þrepa fyrir viðkomandi undirviðmið." type="whole" operator="between">
      <formula1>1</formula1>
      <formula2>10</formula2>
    </dataValidation>
    <dataValidation sqref="N7:N56" showDropDown="0" showInputMessage="0" showErrorMessage="1" allowBlank="1" errorTitle="Ógilt þrep" error="Þrep verður að vera heil tala milli 1 og fjölda þrepa fyrir viðkomandi undirviðmið." type="whole" operator="between">
      <formula1>1</formula1>
      <formula2>10</formula2>
    </dataValidation>
    <dataValidation sqref="P7:P56" showDropDown="0" showInputMessage="0" showErrorMessage="1" allowBlank="1" errorTitle="Ógilt þrep" error="Þrep verður að vera heil tala milli 1 og fjölda þrepa fyrir viðkomandi undirviðmið." type="whole" operator="between">
      <formula1>1</formula1>
      <formula2>10</formula2>
    </dataValidation>
    <dataValidation sqref="R7:R56" showDropDown="0" showInputMessage="0" showErrorMessage="1" allowBlank="1" errorTitle="Ógilt þrep" error="Þrep verður að vera heil tala milli 1 og fjölda þrepa fyrir viðkomandi undirviðmið." type="whole" operator="between">
      <formula1>1</formula1>
      <formula2>10</formula2>
    </dataValidation>
    <dataValidation sqref="T7:T56" showDropDown="0" showInputMessage="0" showErrorMessage="1" allowBlank="1" errorTitle="Ógilt þrep" error="Þrep verður að vera heil tala milli 1 og fjölda þrepa fyrir viðkomandi undirviðmið." type="whole" operator="between">
      <formula1>1</formula1>
      <formula2>10</formula2>
    </dataValidation>
    <dataValidation sqref="V7:V56" showDropDown="0" showInputMessage="0" showErrorMessage="1" allowBlank="1" errorTitle="Ógilt þrep" error="Þrep verður að vera heil tala milli 1 og fjölda þrepa fyrir viðkomandi undirviðmið." type="whole" operator="between">
      <formula1>1</formula1>
      <formula2>10</formula2>
    </dataValidation>
    <dataValidation sqref="X7:X56" showDropDown="0" showInputMessage="0" showErrorMessage="1" allowBlank="1" errorTitle="Ógilt þrep" error="Þrep verður að vera heil tala milli 1 og fjölda þrepa fyrir viðkomandi undirviðmið." type="whole" operator="between">
      <formula1>1</formula1>
      <formula2>10</formula2>
    </dataValidation>
    <dataValidation sqref="Z7:Z56" showDropDown="0" showInputMessage="0" showErrorMessage="1" allowBlank="1" errorTitle="Ógilt þrep" error="Þrep verður að vera heil tala milli 1 og fjölda þrepa fyrir viðkomandi undirviðmið." type="whole" operator="between">
      <formula1>1</formula1>
      <formula2>10</formula2>
    </dataValidation>
    <dataValidation sqref="AB7:AB56" showDropDown="0" showInputMessage="0" showErrorMessage="1" allowBlank="1" errorTitle="Ógilt þrep" error="Þrep verður að vera heil tala milli 1 og fjölda þrepa fyrir viðkomandi undirviðmið." type="whole" operator="between">
      <formula1>1</formula1>
      <formula2>10</formula2>
    </dataValidation>
    <dataValidation sqref="AD7:AD56" showDropDown="0" showInputMessage="0" showErrorMessage="1" allowBlank="1" errorTitle="Ógilt þrep" error="Þrep verður að vera heil tala milli 1 og fjölda þrepa fyrir viðkomandi undirviðmið." type="whole" operator="between">
      <formula1>1</formula1>
      <formula2>10</formula2>
    </dataValidation>
    <dataValidation sqref="AF7:AF56" showDropDown="0" showInputMessage="0" showErrorMessage="1" allowBlank="1" errorTitle="Ógilt þrep" error="Þrep verður að vera heil tala milli 1 og fjölda þrepa fyrir viðkomandi undirviðmið." type="whole" operator="between">
      <formula1>1</formula1>
      <formula2>10</formula2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A4C93"/>
    <outlinePr summaryBelow="1" summaryRight="1"/>
    <pageSetUpPr/>
  </sheetPr>
  <dimension ref="A2:L6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20" customWidth="1" min="3" max="3"/>
    <col width="8" customWidth="1" min="4" max="4"/>
    <col width="12" customWidth="1" min="5" max="5"/>
    <col width="14" customWidth="1" min="6" max="6"/>
    <col width="14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2">
      <c r="B2" s="8" t="inlineStr">
        <is>
          <t>Yfirlit – Launagreining</t>
        </is>
      </c>
    </row>
    <row r="3">
      <c r="B3" s="9" t="inlineStr">
        <is>
          <t>Samantekt per starfsmann: starfsbundið (frá starfsheiti) + persónubundið stig + launaupplýsingar. Heildarlaun = Grunnlaun + Viðbótarlaun + Hlunnindi.</t>
        </is>
      </c>
    </row>
    <row r="5" ht="30" customHeight="1">
      <c r="A5" s="10" t="inlineStr">
        <is>
          <t>#</t>
        </is>
      </c>
      <c r="B5" s="10" t="inlineStr">
        <is>
          <t>Nafn</t>
        </is>
      </c>
      <c r="C5" s="10" t="inlineStr">
        <is>
          <t>Starf</t>
        </is>
      </c>
      <c r="D5" s="10" t="inlineStr">
        <is>
          <t>Kyn</t>
        </is>
      </c>
      <c r="E5" s="10" t="inlineStr">
        <is>
          <t>Starfshlutfall</t>
        </is>
      </c>
      <c r="F5" s="10" t="inlineStr">
        <is>
          <t>Starfsbundið stig</t>
        </is>
      </c>
      <c r="G5" s="10" t="inlineStr">
        <is>
          <t>Persónubundið stig</t>
        </is>
      </c>
      <c r="H5" s="10" t="inlineStr">
        <is>
          <t>Heildarstig</t>
        </is>
      </c>
      <c r="I5" s="10" t="inlineStr">
        <is>
          <t>Grunnlaun</t>
        </is>
      </c>
      <c r="J5" s="10" t="inlineStr">
        <is>
          <t>Viðbótarlaun</t>
        </is>
      </c>
      <c r="K5" s="10" t="inlineStr">
        <is>
          <t>Hlunnindi</t>
        </is>
      </c>
      <c r="L5" s="10" t="inlineStr">
        <is>
          <t>Heildarlaun</t>
        </is>
      </c>
    </row>
    <row r="6">
      <c r="A6" s="19" t="n">
        <v>1</v>
      </c>
      <c r="B6" s="21">
        <f>IF(Starfsmenn!$B$6="","",Starfsmenn!$B$6)</f>
        <v/>
      </c>
      <c r="C6" s="21">
        <f>IF(Starfsmenn!$C$6="","",Starfsmenn!$C$6)</f>
        <v/>
      </c>
      <c r="D6" s="13">
        <f>IF(Starfsmenn!$D$6="","",Starfsmenn!$D$6)</f>
        <v/>
      </c>
      <c r="E6" s="30">
        <f>IF(Starfsmenn!$E$6="","",Starfsmenn!$E$6)</f>
        <v/>
      </c>
      <c r="F6" s="22">
        <f>IFERROR(IF(Starfsmenn!$C$6="","",IF(Starfsmenn!$C$6='Flokkun starfa'!$G$5,'Flokkun starfa'!$H$48,IF(Starfsmenn!$C$6='Flokkun starfa'!$I$5,'Flokkun starfa'!$J$48,IF(Starfsmenn!$C$6='Flokkun starfa'!$K$5,'Flokkun starfa'!$L$48,IF(Starfsmenn!$C$6='Flokkun starfa'!$M$5,'Flokkun starfa'!$N$48,IF(Starfsmenn!$C$6='Flokkun starfa'!$O$5,'Flokkun starfa'!$P$48,IF(Starfsmenn!$C$6='Flokkun starfa'!$Q$5,'Flokkun starfa'!$R$48,IF(Starfsmenn!$C$6='Flokkun starfa'!$S$5,'Flokkun starfa'!$T$48,IF(Starfsmenn!$C$6='Flokkun starfa'!$U$5,'Flokkun starfa'!$V$48,""))))))))),"")</f>
        <v/>
      </c>
      <c r="G6" s="30">
        <f>IFERROR('Flokkun starfsmanna'!$AH$7,0)</f>
        <v/>
      </c>
      <c r="H6" s="37">
        <f>IFERROR(IF(AND(F6="",G6=""),"",IF(F6="",0,F6)+IF(G6="",0,G6)),"")</f>
        <v/>
      </c>
      <c r="I6" s="38">
        <f>IF(Starfsmenn!$G$6="","",Starfsmenn!$G$6)</f>
        <v/>
      </c>
      <c r="J6" s="38">
        <f>IF(Starfsmenn!$I$6="","",Starfsmenn!$I$6)</f>
        <v/>
      </c>
      <c r="K6" s="38">
        <f>IF(Starfsmenn!$K$6="","",Starfsmenn!$K$6)</f>
        <v/>
      </c>
      <c r="L6" s="39">
        <f>IFERROR(IF(AND(I6="",J6="",K6=""),"",IF(I6="",0,I6)+IF(J6="",0,J6)+IF(K6="",0,K6)),"")</f>
        <v/>
      </c>
    </row>
    <row r="7">
      <c r="A7" s="19" t="n">
        <v>2</v>
      </c>
      <c r="B7" s="21">
        <f>IF(Starfsmenn!$B$7="","",Starfsmenn!$B$7)</f>
        <v/>
      </c>
      <c r="C7" s="21">
        <f>IF(Starfsmenn!$C$7="","",Starfsmenn!$C$7)</f>
        <v/>
      </c>
      <c r="D7" s="13">
        <f>IF(Starfsmenn!$D$7="","",Starfsmenn!$D$7)</f>
        <v/>
      </c>
      <c r="E7" s="30">
        <f>IF(Starfsmenn!$E$7="","",Starfsmenn!$E$7)</f>
        <v/>
      </c>
      <c r="F7" s="22">
        <f>IFERROR(IF(Starfsmenn!$C$7="","",IF(Starfsmenn!$C$7='Flokkun starfa'!$G$5,'Flokkun starfa'!$H$48,IF(Starfsmenn!$C$7='Flokkun starfa'!$I$5,'Flokkun starfa'!$J$48,IF(Starfsmenn!$C$7='Flokkun starfa'!$K$5,'Flokkun starfa'!$L$48,IF(Starfsmenn!$C$7='Flokkun starfa'!$M$5,'Flokkun starfa'!$N$48,IF(Starfsmenn!$C$7='Flokkun starfa'!$O$5,'Flokkun starfa'!$P$48,IF(Starfsmenn!$C$7='Flokkun starfa'!$Q$5,'Flokkun starfa'!$R$48,IF(Starfsmenn!$C$7='Flokkun starfa'!$S$5,'Flokkun starfa'!$T$48,IF(Starfsmenn!$C$7='Flokkun starfa'!$U$5,'Flokkun starfa'!$V$48,""))))))))),"")</f>
        <v/>
      </c>
      <c r="G7" s="30">
        <f>IFERROR('Flokkun starfsmanna'!$AH$8,0)</f>
        <v/>
      </c>
      <c r="H7" s="37">
        <f>IFERROR(IF(AND(F7="",G7=""),"",IF(F7="",0,F7)+IF(G7="",0,G7)),"")</f>
        <v/>
      </c>
      <c r="I7" s="38">
        <f>IF(Starfsmenn!$G$7="","",Starfsmenn!$G$7)</f>
        <v/>
      </c>
      <c r="J7" s="38">
        <f>IF(Starfsmenn!$I$7="","",Starfsmenn!$I$7)</f>
        <v/>
      </c>
      <c r="K7" s="38">
        <f>IF(Starfsmenn!$K$7="","",Starfsmenn!$K$7)</f>
        <v/>
      </c>
      <c r="L7" s="39">
        <f>IFERROR(IF(AND(I7="",J7="",K7=""),"",IF(I7="",0,I7)+IF(J7="",0,J7)+IF(K7="",0,K7)),"")</f>
        <v/>
      </c>
    </row>
    <row r="8">
      <c r="A8" s="19" t="n">
        <v>3</v>
      </c>
      <c r="B8" s="21">
        <f>IF(Starfsmenn!$B$8="","",Starfsmenn!$B$8)</f>
        <v/>
      </c>
      <c r="C8" s="21">
        <f>IF(Starfsmenn!$C$8="","",Starfsmenn!$C$8)</f>
        <v/>
      </c>
      <c r="D8" s="13">
        <f>IF(Starfsmenn!$D$8="","",Starfsmenn!$D$8)</f>
        <v/>
      </c>
      <c r="E8" s="30">
        <f>IF(Starfsmenn!$E$8="","",Starfsmenn!$E$8)</f>
        <v/>
      </c>
      <c r="F8" s="22">
        <f>IFERROR(IF(Starfsmenn!$C$8="","",IF(Starfsmenn!$C$8='Flokkun starfa'!$G$5,'Flokkun starfa'!$H$48,IF(Starfsmenn!$C$8='Flokkun starfa'!$I$5,'Flokkun starfa'!$J$48,IF(Starfsmenn!$C$8='Flokkun starfa'!$K$5,'Flokkun starfa'!$L$48,IF(Starfsmenn!$C$8='Flokkun starfa'!$M$5,'Flokkun starfa'!$N$48,IF(Starfsmenn!$C$8='Flokkun starfa'!$O$5,'Flokkun starfa'!$P$48,IF(Starfsmenn!$C$8='Flokkun starfa'!$Q$5,'Flokkun starfa'!$R$48,IF(Starfsmenn!$C$8='Flokkun starfa'!$S$5,'Flokkun starfa'!$T$48,IF(Starfsmenn!$C$8='Flokkun starfa'!$U$5,'Flokkun starfa'!$V$48,""))))))))),"")</f>
        <v/>
      </c>
      <c r="G8" s="30">
        <f>IFERROR('Flokkun starfsmanna'!$AH$9,0)</f>
        <v/>
      </c>
      <c r="H8" s="37">
        <f>IFERROR(IF(AND(F8="",G8=""),"",IF(F8="",0,F8)+IF(G8="",0,G8)),"")</f>
        <v/>
      </c>
      <c r="I8" s="38">
        <f>IF(Starfsmenn!$G$8="","",Starfsmenn!$G$8)</f>
        <v/>
      </c>
      <c r="J8" s="38">
        <f>IF(Starfsmenn!$I$8="","",Starfsmenn!$I$8)</f>
        <v/>
      </c>
      <c r="K8" s="38">
        <f>IF(Starfsmenn!$K$8="","",Starfsmenn!$K$8)</f>
        <v/>
      </c>
      <c r="L8" s="39">
        <f>IFERROR(IF(AND(I8="",J8="",K8=""),"",IF(I8="",0,I8)+IF(J8="",0,J8)+IF(K8="",0,K8)),"")</f>
        <v/>
      </c>
    </row>
    <row r="9">
      <c r="A9" s="19" t="n">
        <v>4</v>
      </c>
      <c r="B9" s="21">
        <f>IF(Starfsmenn!$B$9="","",Starfsmenn!$B$9)</f>
        <v/>
      </c>
      <c r="C9" s="21">
        <f>IF(Starfsmenn!$C$9="","",Starfsmenn!$C$9)</f>
        <v/>
      </c>
      <c r="D9" s="13">
        <f>IF(Starfsmenn!$D$9="","",Starfsmenn!$D$9)</f>
        <v/>
      </c>
      <c r="E9" s="30">
        <f>IF(Starfsmenn!$E$9="","",Starfsmenn!$E$9)</f>
        <v/>
      </c>
      <c r="F9" s="22">
        <f>IFERROR(IF(Starfsmenn!$C$9="","",IF(Starfsmenn!$C$9='Flokkun starfa'!$G$5,'Flokkun starfa'!$H$48,IF(Starfsmenn!$C$9='Flokkun starfa'!$I$5,'Flokkun starfa'!$J$48,IF(Starfsmenn!$C$9='Flokkun starfa'!$K$5,'Flokkun starfa'!$L$48,IF(Starfsmenn!$C$9='Flokkun starfa'!$M$5,'Flokkun starfa'!$N$48,IF(Starfsmenn!$C$9='Flokkun starfa'!$O$5,'Flokkun starfa'!$P$48,IF(Starfsmenn!$C$9='Flokkun starfa'!$Q$5,'Flokkun starfa'!$R$48,IF(Starfsmenn!$C$9='Flokkun starfa'!$S$5,'Flokkun starfa'!$T$48,IF(Starfsmenn!$C$9='Flokkun starfa'!$U$5,'Flokkun starfa'!$V$48,""))))))))),"")</f>
        <v/>
      </c>
      <c r="G9" s="30">
        <f>IFERROR('Flokkun starfsmanna'!$AH$10,0)</f>
        <v/>
      </c>
      <c r="H9" s="37">
        <f>IFERROR(IF(AND(F9="",G9=""),"",IF(F9="",0,F9)+IF(G9="",0,G9)),"")</f>
        <v/>
      </c>
      <c r="I9" s="38">
        <f>IF(Starfsmenn!$G$9="","",Starfsmenn!$G$9)</f>
        <v/>
      </c>
      <c r="J9" s="38">
        <f>IF(Starfsmenn!$I$9="","",Starfsmenn!$I$9)</f>
        <v/>
      </c>
      <c r="K9" s="38">
        <f>IF(Starfsmenn!$K$9="","",Starfsmenn!$K$9)</f>
        <v/>
      </c>
      <c r="L9" s="39">
        <f>IFERROR(IF(AND(I9="",J9="",K9=""),"",IF(I9="",0,I9)+IF(J9="",0,J9)+IF(K9="",0,K9)),"")</f>
        <v/>
      </c>
    </row>
    <row r="10">
      <c r="A10" s="19" t="n">
        <v>5</v>
      </c>
      <c r="B10" s="21">
        <f>IF(Starfsmenn!$B$10="","",Starfsmenn!$B$10)</f>
        <v/>
      </c>
      <c r="C10" s="21">
        <f>IF(Starfsmenn!$C$10="","",Starfsmenn!$C$10)</f>
        <v/>
      </c>
      <c r="D10" s="13">
        <f>IF(Starfsmenn!$D$10="","",Starfsmenn!$D$10)</f>
        <v/>
      </c>
      <c r="E10" s="30">
        <f>IF(Starfsmenn!$E$10="","",Starfsmenn!$E$10)</f>
        <v/>
      </c>
      <c r="F10" s="22">
        <f>IFERROR(IF(Starfsmenn!$C$10="","",IF(Starfsmenn!$C$10='Flokkun starfa'!$G$5,'Flokkun starfa'!$H$48,IF(Starfsmenn!$C$10='Flokkun starfa'!$I$5,'Flokkun starfa'!$J$48,IF(Starfsmenn!$C$10='Flokkun starfa'!$K$5,'Flokkun starfa'!$L$48,IF(Starfsmenn!$C$10='Flokkun starfa'!$M$5,'Flokkun starfa'!$N$48,IF(Starfsmenn!$C$10='Flokkun starfa'!$O$5,'Flokkun starfa'!$P$48,IF(Starfsmenn!$C$10='Flokkun starfa'!$Q$5,'Flokkun starfa'!$R$48,IF(Starfsmenn!$C$10='Flokkun starfa'!$S$5,'Flokkun starfa'!$T$48,IF(Starfsmenn!$C$10='Flokkun starfa'!$U$5,'Flokkun starfa'!$V$48,""))))))))),"")</f>
        <v/>
      </c>
      <c r="G10" s="30">
        <f>IFERROR('Flokkun starfsmanna'!$AH$11,0)</f>
        <v/>
      </c>
      <c r="H10" s="37">
        <f>IFERROR(IF(AND(F10="",G10=""),"",IF(F10="",0,F10)+IF(G10="",0,G10)),"")</f>
        <v/>
      </c>
      <c r="I10" s="38">
        <f>IF(Starfsmenn!$G$10="","",Starfsmenn!$G$10)</f>
        <v/>
      </c>
      <c r="J10" s="38">
        <f>IF(Starfsmenn!$I$10="","",Starfsmenn!$I$10)</f>
        <v/>
      </c>
      <c r="K10" s="38">
        <f>IF(Starfsmenn!$K$10="","",Starfsmenn!$K$10)</f>
        <v/>
      </c>
      <c r="L10" s="39">
        <f>IFERROR(IF(AND(I10="",J10="",K10=""),"",IF(I10="",0,I10)+IF(J10="",0,J10)+IF(K10="",0,K10)),"")</f>
        <v/>
      </c>
    </row>
    <row r="11">
      <c r="A11" s="19" t="n">
        <v>6</v>
      </c>
      <c r="B11" s="21">
        <f>IF(Starfsmenn!$B$11="","",Starfsmenn!$B$11)</f>
        <v/>
      </c>
      <c r="C11" s="21">
        <f>IF(Starfsmenn!$C$11="","",Starfsmenn!$C$11)</f>
        <v/>
      </c>
      <c r="D11" s="13">
        <f>IF(Starfsmenn!$D$11="","",Starfsmenn!$D$11)</f>
        <v/>
      </c>
      <c r="E11" s="30">
        <f>IF(Starfsmenn!$E$11="","",Starfsmenn!$E$11)</f>
        <v/>
      </c>
      <c r="F11" s="22">
        <f>IFERROR(IF(Starfsmenn!$C$11="","",IF(Starfsmenn!$C$11='Flokkun starfa'!$G$5,'Flokkun starfa'!$H$48,IF(Starfsmenn!$C$11='Flokkun starfa'!$I$5,'Flokkun starfa'!$J$48,IF(Starfsmenn!$C$11='Flokkun starfa'!$K$5,'Flokkun starfa'!$L$48,IF(Starfsmenn!$C$11='Flokkun starfa'!$M$5,'Flokkun starfa'!$N$48,IF(Starfsmenn!$C$11='Flokkun starfa'!$O$5,'Flokkun starfa'!$P$48,IF(Starfsmenn!$C$11='Flokkun starfa'!$Q$5,'Flokkun starfa'!$R$48,IF(Starfsmenn!$C$11='Flokkun starfa'!$S$5,'Flokkun starfa'!$T$48,IF(Starfsmenn!$C$11='Flokkun starfa'!$U$5,'Flokkun starfa'!$V$48,""))))))))),"")</f>
        <v/>
      </c>
      <c r="G11" s="30">
        <f>IFERROR('Flokkun starfsmanna'!$AH$12,0)</f>
        <v/>
      </c>
      <c r="H11" s="37">
        <f>IFERROR(IF(AND(F11="",G11=""),"",IF(F11="",0,F11)+IF(G11="",0,G11)),"")</f>
        <v/>
      </c>
      <c r="I11" s="38">
        <f>IF(Starfsmenn!$G$11="","",Starfsmenn!$G$11)</f>
        <v/>
      </c>
      <c r="J11" s="38">
        <f>IF(Starfsmenn!$I$11="","",Starfsmenn!$I$11)</f>
        <v/>
      </c>
      <c r="K11" s="38">
        <f>IF(Starfsmenn!$K$11="","",Starfsmenn!$K$11)</f>
        <v/>
      </c>
      <c r="L11" s="39">
        <f>IFERROR(IF(AND(I11="",J11="",K11=""),"",IF(I11="",0,I11)+IF(J11="",0,J11)+IF(K11="",0,K11)),"")</f>
        <v/>
      </c>
    </row>
    <row r="12">
      <c r="A12" s="19" t="n">
        <v>7</v>
      </c>
      <c r="B12" s="21">
        <f>IF(Starfsmenn!$B$12="","",Starfsmenn!$B$12)</f>
        <v/>
      </c>
      <c r="C12" s="21">
        <f>IF(Starfsmenn!$C$12="","",Starfsmenn!$C$12)</f>
        <v/>
      </c>
      <c r="D12" s="13">
        <f>IF(Starfsmenn!$D$12="","",Starfsmenn!$D$12)</f>
        <v/>
      </c>
      <c r="E12" s="30">
        <f>IF(Starfsmenn!$E$12="","",Starfsmenn!$E$12)</f>
        <v/>
      </c>
      <c r="F12" s="22">
        <f>IFERROR(IF(Starfsmenn!$C$12="","",IF(Starfsmenn!$C$12='Flokkun starfa'!$G$5,'Flokkun starfa'!$H$48,IF(Starfsmenn!$C$12='Flokkun starfa'!$I$5,'Flokkun starfa'!$J$48,IF(Starfsmenn!$C$12='Flokkun starfa'!$K$5,'Flokkun starfa'!$L$48,IF(Starfsmenn!$C$12='Flokkun starfa'!$M$5,'Flokkun starfa'!$N$48,IF(Starfsmenn!$C$12='Flokkun starfa'!$O$5,'Flokkun starfa'!$P$48,IF(Starfsmenn!$C$12='Flokkun starfa'!$Q$5,'Flokkun starfa'!$R$48,IF(Starfsmenn!$C$12='Flokkun starfa'!$S$5,'Flokkun starfa'!$T$48,IF(Starfsmenn!$C$12='Flokkun starfa'!$U$5,'Flokkun starfa'!$V$48,""))))))))),"")</f>
        <v/>
      </c>
      <c r="G12" s="30">
        <f>IFERROR('Flokkun starfsmanna'!$AH$13,0)</f>
        <v/>
      </c>
      <c r="H12" s="37">
        <f>IFERROR(IF(AND(F12="",G12=""),"",IF(F12="",0,F12)+IF(G12="",0,G12)),"")</f>
        <v/>
      </c>
      <c r="I12" s="38">
        <f>IF(Starfsmenn!$G$12="","",Starfsmenn!$G$12)</f>
        <v/>
      </c>
      <c r="J12" s="38">
        <f>IF(Starfsmenn!$I$12="","",Starfsmenn!$I$12)</f>
        <v/>
      </c>
      <c r="K12" s="38">
        <f>IF(Starfsmenn!$K$12="","",Starfsmenn!$K$12)</f>
        <v/>
      </c>
      <c r="L12" s="39">
        <f>IFERROR(IF(AND(I12="",J12="",K12=""),"",IF(I12="",0,I12)+IF(J12="",0,J12)+IF(K12="",0,K12)),"")</f>
        <v/>
      </c>
    </row>
    <row r="13">
      <c r="A13" s="19" t="n">
        <v>8</v>
      </c>
      <c r="B13" s="21">
        <f>IF(Starfsmenn!$B$13="","",Starfsmenn!$B$13)</f>
        <v/>
      </c>
      <c r="C13" s="21">
        <f>IF(Starfsmenn!$C$13="","",Starfsmenn!$C$13)</f>
        <v/>
      </c>
      <c r="D13" s="13">
        <f>IF(Starfsmenn!$D$13="","",Starfsmenn!$D$13)</f>
        <v/>
      </c>
      <c r="E13" s="30">
        <f>IF(Starfsmenn!$E$13="","",Starfsmenn!$E$13)</f>
        <v/>
      </c>
      <c r="F13" s="22">
        <f>IFERROR(IF(Starfsmenn!$C$13="","",IF(Starfsmenn!$C$13='Flokkun starfa'!$G$5,'Flokkun starfa'!$H$48,IF(Starfsmenn!$C$13='Flokkun starfa'!$I$5,'Flokkun starfa'!$J$48,IF(Starfsmenn!$C$13='Flokkun starfa'!$K$5,'Flokkun starfa'!$L$48,IF(Starfsmenn!$C$13='Flokkun starfa'!$M$5,'Flokkun starfa'!$N$48,IF(Starfsmenn!$C$13='Flokkun starfa'!$O$5,'Flokkun starfa'!$P$48,IF(Starfsmenn!$C$13='Flokkun starfa'!$Q$5,'Flokkun starfa'!$R$48,IF(Starfsmenn!$C$13='Flokkun starfa'!$S$5,'Flokkun starfa'!$T$48,IF(Starfsmenn!$C$13='Flokkun starfa'!$U$5,'Flokkun starfa'!$V$48,""))))))))),"")</f>
        <v/>
      </c>
      <c r="G13" s="30">
        <f>IFERROR('Flokkun starfsmanna'!$AH$14,0)</f>
        <v/>
      </c>
      <c r="H13" s="37">
        <f>IFERROR(IF(AND(F13="",G13=""),"",IF(F13="",0,F13)+IF(G13="",0,G13)),"")</f>
        <v/>
      </c>
      <c r="I13" s="38">
        <f>IF(Starfsmenn!$G$13="","",Starfsmenn!$G$13)</f>
        <v/>
      </c>
      <c r="J13" s="38">
        <f>IF(Starfsmenn!$I$13="","",Starfsmenn!$I$13)</f>
        <v/>
      </c>
      <c r="K13" s="38">
        <f>IF(Starfsmenn!$K$13="","",Starfsmenn!$K$13)</f>
        <v/>
      </c>
      <c r="L13" s="39">
        <f>IFERROR(IF(AND(I13="",J13="",K13=""),"",IF(I13="",0,I13)+IF(J13="",0,J13)+IF(K13="",0,K13)),"")</f>
        <v/>
      </c>
    </row>
    <row r="14">
      <c r="A14" s="19" t="n">
        <v>9</v>
      </c>
      <c r="B14" s="21">
        <f>IF(Starfsmenn!$B$14="","",Starfsmenn!$B$14)</f>
        <v/>
      </c>
      <c r="C14" s="21">
        <f>IF(Starfsmenn!$C$14="","",Starfsmenn!$C$14)</f>
        <v/>
      </c>
      <c r="D14" s="13">
        <f>IF(Starfsmenn!$D$14="","",Starfsmenn!$D$14)</f>
        <v/>
      </c>
      <c r="E14" s="30">
        <f>IF(Starfsmenn!$E$14="","",Starfsmenn!$E$14)</f>
        <v/>
      </c>
      <c r="F14" s="22">
        <f>IFERROR(IF(Starfsmenn!$C$14="","",IF(Starfsmenn!$C$14='Flokkun starfa'!$G$5,'Flokkun starfa'!$H$48,IF(Starfsmenn!$C$14='Flokkun starfa'!$I$5,'Flokkun starfa'!$J$48,IF(Starfsmenn!$C$14='Flokkun starfa'!$K$5,'Flokkun starfa'!$L$48,IF(Starfsmenn!$C$14='Flokkun starfa'!$M$5,'Flokkun starfa'!$N$48,IF(Starfsmenn!$C$14='Flokkun starfa'!$O$5,'Flokkun starfa'!$P$48,IF(Starfsmenn!$C$14='Flokkun starfa'!$Q$5,'Flokkun starfa'!$R$48,IF(Starfsmenn!$C$14='Flokkun starfa'!$S$5,'Flokkun starfa'!$T$48,IF(Starfsmenn!$C$14='Flokkun starfa'!$U$5,'Flokkun starfa'!$V$48,""))))))))),"")</f>
        <v/>
      </c>
      <c r="G14" s="30">
        <f>IFERROR('Flokkun starfsmanna'!$AH$15,0)</f>
        <v/>
      </c>
      <c r="H14" s="37">
        <f>IFERROR(IF(AND(F14="",G14=""),"",IF(F14="",0,F14)+IF(G14="",0,G14)),"")</f>
        <v/>
      </c>
      <c r="I14" s="38">
        <f>IF(Starfsmenn!$G$14="","",Starfsmenn!$G$14)</f>
        <v/>
      </c>
      <c r="J14" s="38">
        <f>IF(Starfsmenn!$I$14="","",Starfsmenn!$I$14)</f>
        <v/>
      </c>
      <c r="K14" s="38">
        <f>IF(Starfsmenn!$K$14="","",Starfsmenn!$K$14)</f>
        <v/>
      </c>
      <c r="L14" s="39">
        <f>IFERROR(IF(AND(I14="",J14="",K14=""),"",IF(I14="",0,I14)+IF(J14="",0,J14)+IF(K14="",0,K14)),"")</f>
        <v/>
      </c>
    </row>
    <row r="15">
      <c r="A15" s="19" t="n">
        <v>10</v>
      </c>
      <c r="B15" s="21">
        <f>IF(Starfsmenn!$B$15="","",Starfsmenn!$B$15)</f>
        <v/>
      </c>
      <c r="C15" s="21">
        <f>IF(Starfsmenn!$C$15="","",Starfsmenn!$C$15)</f>
        <v/>
      </c>
      <c r="D15" s="13">
        <f>IF(Starfsmenn!$D$15="","",Starfsmenn!$D$15)</f>
        <v/>
      </c>
      <c r="E15" s="30">
        <f>IF(Starfsmenn!$E$15="","",Starfsmenn!$E$15)</f>
        <v/>
      </c>
      <c r="F15" s="22">
        <f>IFERROR(IF(Starfsmenn!$C$15="","",IF(Starfsmenn!$C$15='Flokkun starfa'!$G$5,'Flokkun starfa'!$H$48,IF(Starfsmenn!$C$15='Flokkun starfa'!$I$5,'Flokkun starfa'!$J$48,IF(Starfsmenn!$C$15='Flokkun starfa'!$K$5,'Flokkun starfa'!$L$48,IF(Starfsmenn!$C$15='Flokkun starfa'!$M$5,'Flokkun starfa'!$N$48,IF(Starfsmenn!$C$15='Flokkun starfa'!$O$5,'Flokkun starfa'!$P$48,IF(Starfsmenn!$C$15='Flokkun starfa'!$Q$5,'Flokkun starfa'!$R$48,IF(Starfsmenn!$C$15='Flokkun starfa'!$S$5,'Flokkun starfa'!$T$48,IF(Starfsmenn!$C$15='Flokkun starfa'!$U$5,'Flokkun starfa'!$V$48,""))))))))),"")</f>
        <v/>
      </c>
      <c r="G15" s="30">
        <f>IFERROR('Flokkun starfsmanna'!$AH$16,0)</f>
        <v/>
      </c>
      <c r="H15" s="37">
        <f>IFERROR(IF(AND(F15="",G15=""),"",IF(F15="",0,F15)+IF(G15="",0,G15)),"")</f>
        <v/>
      </c>
      <c r="I15" s="38">
        <f>IF(Starfsmenn!$G$15="","",Starfsmenn!$G$15)</f>
        <v/>
      </c>
      <c r="J15" s="38">
        <f>IF(Starfsmenn!$I$15="","",Starfsmenn!$I$15)</f>
        <v/>
      </c>
      <c r="K15" s="38">
        <f>IF(Starfsmenn!$K$15="","",Starfsmenn!$K$15)</f>
        <v/>
      </c>
      <c r="L15" s="39">
        <f>IFERROR(IF(AND(I15="",J15="",K15=""),"",IF(I15="",0,I15)+IF(J15="",0,J15)+IF(K15="",0,K15)),"")</f>
        <v/>
      </c>
    </row>
    <row r="16">
      <c r="A16" s="19" t="n">
        <v>11</v>
      </c>
      <c r="B16" s="21">
        <f>IF(Starfsmenn!$B$16="","",Starfsmenn!$B$16)</f>
        <v/>
      </c>
      <c r="C16" s="21">
        <f>IF(Starfsmenn!$C$16="","",Starfsmenn!$C$16)</f>
        <v/>
      </c>
      <c r="D16" s="13">
        <f>IF(Starfsmenn!$D$16="","",Starfsmenn!$D$16)</f>
        <v/>
      </c>
      <c r="E16" s="30">
        <f>IF(Starfsmenn!$E$16="","",Starfsmenn!$E$16)</f>
        <v/>
      </c>
      <c r="F16" s="22">
        <f>IFERROR(IF(Starfsmenn!$C$16="","",IF(Starfsmenn!$C$16='Flokkun starfa'!$G$5,'Flokkun starfa'!$H$48,IF(Starfsmenn!$C$16='Flokkun starfa'!$I$5,'Flokkun starfa'!$J$48,IF(Starfsmenn!$C$16='Flokkun starfa'!$K$5,'Flokkun starfa'!$L$48,IF(Starfsmenn!$C$16='Flokkun starfa'!$M$5,'Flokkun starfa'!$N$48,IF(Starfsmenn!$C$16='Flokkun starfa'!$O$5,'Flokkun starfa'!$P$48,IF(Starfsmenn!$C$16='Flokkun starfa'!$Q$5,'Flokkun starfa'!$R$48,IF(Starfsmenn!$C$16='Flokkun starfa'!$S$5,'Flokkun starfa'!$T$48,IF(Starfsmenn!$C$16='Flokkun starfa'!$U$5,'Flokkun starfa'!$V$48,""))))))))),"")</f>
        <v/>
      </c>
      <c r="G16" s="30">
        <f>IFERROR('Flokkun starfsmanna'!$AH$17,0)</f>
        <v/>
      </c>
      <c r="H16" s="37">
        <f>IFERROR(IF(AND(F16="",G16=""),"",IF(F16="",0,F16)+IF(G16="",0,G16)),"")</f>
        <v/>
      </c>
      <c r="I16" s="38">
        <f>IF(Starfsmenn!$G$16="","",Starfsmenn!$G$16)</f>
        <v/>
      </c>
      <c r="J16" s="38">
        <f>IF(Starfsmenn!$I$16="","",Starfsmenn!$I$16)</f>
        <v/>
      </c>
      <c r="K16" s="38">
        <f>IF(Starfsmenn!$K$16="","",Starfsmenn!$K$16)</f>
        <v/>
      </c>
      <c r="L16" s="39">
        <f>IFERROR(IF(AND(I16="",J16="",K16=""),"",IF(I16="",0,I16)+IF(J16="",0,J16)+IF(K16="",0,K16)),"")</f>
        <v/>
      </c>
    </row>
    <row r="17">
      <c r="A17" s="19" t="n">
        <v>12</v>
      </c>
      <c r="B17" s="21">
        <f>IF(Starfsmenn!$B$17="","",Starfsmenn!$B$17)</f>
        <v/>
      </c>
      <c r="C17" s="21">
        <f>IF(Starfsmenn!$C$17="","",Starfsmenn!$C$17)</f>
        <v/>
      </c>
      <c r="D17" s="13">
        <f>IF(Starfsmenn!$D$17="","",Starfsmenn!$D$17)</f>
        <v/>
      </c>
      <c r="E17" s="30">
        <f>IF(Starfsmenn!$E$17="","",Starfsmenn!$E$17)</f>
        <v/>
      </c>
      <c r="F17" s="22">
        <f>IFERROR(IF(Starfsmenn!$C$17="","",IF(Starfsmenn!$C$17='Flokkun starfa'!$G$5,'Flokkun starfa'!$H$48,IF(Starfsmenn!$C$17='Flokkun starfa'!$I$5,'Flokkun starfa'!$J$48,IF(Starfsmenn!$C$17='Flokkun starfa'!$K$5,'Flokkun starfa'!$L$48,IF(Starfsmenn!$C$17='Flokkun starfa'!$M$5,'Flokkun starfa'!$N$48,IF(Starfsmenn!$C$17='Flokkun starfa'!$O$5,'Flokkun starfa'!$P$48,IF(Starfsmenn!$C$17='Flokkun starfa'!$Q$5,'Flokkun starfa'!$R$48,IF(Starfsmenn!$C$17='Flokkun starfa'!$S$5,'Flokkun starfa'!$T$48,IF(Starfsmenn!$C$17='Flokkun starfa'!$U$5,'Flokkun starfa'!$V$48,""))))))))),"")</f>
        <v/>
      </c>
      <c r="G17" s="30">
        <f>IFERROR('Flokkun starfsmanna'!$AH$18,0)</f>
        <v/>
      </c>
      <c r="H17" s="37">
        <f>IFERROR(IF(AND(F17="",G17=""),"",IF(F17="",0,F17)+IF(G17="",0,G17)),"")</f>
        <v/>
      </c>
      <c r="I17" s="38">
        <f>IF(Starfsmenn!$G$17="","",Starfsmenn!$G$17)</f>
        <v/>
      </c>
      <c r="J17" s="38">
        <f>IF(Starfsmenn!$I$17="","",Starfsmenn!$I$17)</f>
        <v/>
      </c>
      <c r="K17" s="38">
        <f>IF(Starfsmenn!$K$17="","",Starfsmenn!$K$17)</f>
        <v/>
      </c>
      <c r="L17" s="39">
        <f>IFERROR(IF(AND(I17="",J17="",K17=""),"",IF(I17="",0,I17)+IF(J17="",0,J17)+IF(K17="",0,K17)),"")</f>
        <v/>
      </c>
    </row>
    <row r="18">
      <c r="A18" s="19" t="n">
        <v>13</v>
      </c>
      <c r="B18" s="21">
        <f>IF(Starfsmenn!$B$18="","",Starfsmenn!$B$18)</f>
        <v/>
      </c>
      <c r="C18" s="21">
        <f>IF(Starfsmenn!$C$18="","",Starfsmenn!$C$18)</f>
        <v/>
      </c>
      <c r="D18" s="13">
        <f>IF(Starfsmenn!$D$18="","",Starfsmenn!$D$18)</f>
        <v/>
      </c>
      <c r="E18" s="30">
        <f>IF(Starfsmenn!$E$18="","",Starfsmenn!$E$18)</f>
        <v/>
      </c>
      <c r="F18" s="22">
        <f>IFERROR(IF(Starfsmenn!$C$18="","",IF(Starfsmenn!$C$18='Flokkun starfa'!$G$5,'Flokkun starfa'!$H$48,IF(Starfsmenn!$C$18='Flokkun starfa'!$I$5,'Flokkun starfa'!$J$48,IF(Starfsmenn!$C$18='Flokkun starfa'!$K$5,'Flokkun starfa'!$L$48,IF(Starfsmenn!$C$18='Flokkun starfa'!$M$5,'Flokkun starfa'!$N$48,IF(Starfsmenn!$C$18='Flokkun starfa'!$O$5,'Flokkun starfa'!$P$48,IF(Starfsmenn!$C$18='Flokkun starfa'!$Q$5,'Flokkun starfa'!$R$48,IF(Starfsmenn!$C$18='Flokkun starfa'!$S$5,'Flokkun starfa'!$T$48,IF(Starfsmenn!$C$18='Flokkun starfa'!$U$5,'Flokkun starfa'!$V$48,""))))))))),"")</f>
        <v/>
      </c>
      <c r="G18" s="30">
        <f>IFERROR('Flokkun starfsmanna'!$AH$19,0)</f>
        <v/>
      </c>
      <c r="H18" s="37">
        <f>IFERROR(IF(AND(F18="",G18=""),"",IF(F18="",0,F18)+IF(G18="",0,G18)),"")</f>
        <v/>
      </c>
      <c r="I18" s="38">
        <f>IF(Starfsmenn!$G$18="","",Starfsmenn!$G$18)</f>
        <v/>
      </c>
      <c r="J18" s="38">
        <f>IF(Starfsmenn!$I$18="","",Starfsmenn!$I$18)</f>
        <v/>
      </c>
      <c r="K18" s="38">
        <f>IF(Starfsmenn!$K$18="","",Starfsmenn!$K$18)</f>
        <v/>
      </c>
      <c r="L18" s="39">
        <f>IFERROR(IF(AND(I18="",J18="",K18=""),"",IF(I18="",0,I18)+IF(J18="",0,J18)+IF(K18="",0,K18)),"")</f>
        <v/>
      </c>
    </row>
    <row r="19">
      <c r="A19" s="19" t="n">
        <v>14</v>
      </c>
      <c r="B19" s="21">
        <f>IF(Starfsmenn!$B$19="","",Starfsmenn!$B$19)</f>
        <v/>
      </c>
      <c r="C19" s="21">
        <f>IF(Starfsmenn!$C$19="","",Starfsmenn!$C$19)</f>
        <v/>
      </c>
      <c r="D19" s="13">
        <f>IF(Starfsmenn!$D$19="","",Starfsmenn!$D$19)</f>
        <v/>
      </c>
      <c r="E19" s="30">
        <f>IF(Starfsmenn!$E$19="","",Starfsmenn!$E$19)</f>
        <v/>
      </c>
      <c r="F19" s="22">
        <f>IFERROR(IF(Starfsmenn!$C$19="","",IF(Starfsmenn!$C$19='Flokkun starfa'!$G$5,'Flokkun starfa'!$H$48,IF(Starfsmenn!$C$19='Flokkun starfa'!$I$5,'Flokkun starfa'!$J$48,IF(Starfsmenn!$C$19='Flokkun starfa'!$K$5,'Flokkun starfa'!$L$48,IF(Starfsmenn!$C$19='Flokkun starfa'!$M$5,'Flokkun starfa'!$N$48,IF(Starfsmenn!$C$19='Flokkun starfa'!$O$5,'Flokkun starfa'!$P$48,IF(Starfsmenn!$C$19='Flokkun starfa'!$Q$5,'Flokkun starfa'!$R$48,IF(Starfsmenn!$C$19='Flokkun starfa'!$S$5,'Flokkun starfa'!$T$48,IF(Starfsmenn!$C$19='Flokkun starfa'!$U$5,'Flokkun starfa'!$V$48,""))))))))),"")</f>
        <v/>
      </c>
      <c r="G19" s="30">
        <f>IFERROR('Flokkun starfsmanna'!$AH$20,0)</f>
        <v/>
      </c>
      <c r="H19" s="37">
        <f>IFERROR(IF(AND(F19="",G19=""),"",IF(F19="",0,F19)+IF(G19="",0,G19)),"")</f>
        <v/>
      </c>
      <c r="I19" s="38">
        <f>IF(Starfsmenn!$G$19="","",Starfsmenn!$G$19)</f>
        <v/>
      </c>
      <c r="J19" s="38">
        <f>IF(Starfsmenn!$I$19="","",Starfsmenn!$I$19)</f>
        <v/>
      </c>
      <c r="K19" s="38">
        <f>IF(Starfsmenn!$K$19="","",Starfsmenn!$K$19)</f>
        <v/>
      </c>
      <c r="L19" s="39">
        <f>IFERROR(IF(AND(I19="",J19="",K19=""),"",IF(I19="",0,I19)+IF(J19="",0,J19)+IF(K19="",0,K19)),"")</f>
        <v/>
      </c>
    </row>
    <row r="20">
      <c r="A20" s="19" t="n">
        <v>15</v>
      </c>
      <c r="B20" s="21">
        <f>IF(Starfsmenn!$B$20="","",Starfsmenn!$B$20)</f>
        <v/>
      </c>
      <c r="C20" s="21">
        <f>IF(Starfsmenn!$C$20="","",Starfsmenn!$C$20)</f>
        <v/>
      </c>
      <c r="D20" s="13">
        <f>IF(Starfsmenn!$D$20="","",Starfsmenn!$D$20)</f>
        <v/>
      </c>
      <c r="E20" s="30">
        <f>IF(Starfsmenn!$E$20="","",Starfsmenn!$E$20)</f>
        <v/>
      </c>
      <c r="F20" s="22">
        <f>IFERROR(IF(Starfsmenn!$C$20="","",IF(Starfsmenn!$C$20='Flokkun starfa'!$G$5,'Flokkun starfa'!$H$48,IF(Starfsmenn!$C$20='Flokkun starfa'!$I$5,'Flokkun starfa'!$J$48,IF(Starfsmenn!$C$20='Flokkun starfa'!$K$5,'Flokkun starfa'!$L$48,IF(Starfsmenn!$C$20='Flokkun starfa'!$M$5,'Flokkun starfa'!$N$48,IF(Starfsmenn!$C$20='Flokkun starfa'!$O$5,'Flokkun starfa'!$P$48,IF(Starfsmenn!$C$20='Flokkun starfa'!$Q$5,'Flokkun starfa'!$R$48,IF(Starfsmenn!$C$20='Flokkun starfa'!$S$5,'Flokkun starfa'!$T$48,IF(Starfsmenn!$C$20='Flokkun starfa'!$U$5,'Flokkun starfa'!$V$48,""))))))))),"")</f>
        <v/>
      </c>
      <c r="G20" s="30">
        <f>IFERROR('Flokkun starfsmanna'!$AH$21,0)</f>
        <v/>
      </c>
      <c r="H20" s="37">
        <f>IFERROR(IF(AND(F20="",G20=""),"",IF(F20="",0,F20)+IF(G20="",0,G20)),"")</f>
        <v/>
      </c>
      <c r="I20" s="38">
        <f>IF(Starfsmenn!$G$20="","",Starfsmenn!$G$20)</f>
        <v/>
      </c>
      <c r="J20" s="38">
        <f>IF(Starfsmenn!$I$20="","",Starfsmenn!$I$20)</f>
        <v/>
      </c>
      <c r="K20" s="38">
        <f>IF(Starfsmenn!$K$20="","",Starfsmenn!$K$20)</f>
        <v/>
      </c>
      <c r="L20" s="39">
        <f>IFERROR(IF(AND(I20="",J20="",K20=""),"",IF(I20="",0,I20)+IF(J20="",0,J20)+IF(K20="",0,K20)),"")</f>
        <v/>
      </c>
    </row>
    <row r="21">
      <c r="A21" s="19" t="n">
        <v>16</v>
      </c>
      <c r="B21" s="21">
        <f>IF(Starfsmenn!$B$21="","",Starfsmenn!$B$21)</f>
        <v/>
      </c>
      <c r="C21" s="21">
        <f>IF(Starfsmenn!$C$21="","",Starfsmenn!$C$21)</f>
        <v/>
      </c>
      <c r="D21" s="13">
        <f>IF(Starfsmenn!$D$21="","",Starfsmenn!$D$21)</f>
        <v/>
      </c>
      <c r="E21" s="30">
        <f>IF(Starfsmenn!$E$21="","",Starfsmenn!$E$21)</f>
        <v/>
      </c>
      <c r="F21" s="22">
        <f>IFERROR(IF(Starfsmenn!$C$21="","",IF(Starfsmenn!$C$21='Flokkun starfa'!$G$5,'Flokkun starfa'!$H$48,IF(Starfsmenn!$C$21='Flokkun starfa'!$I$5,'Flokkun starfa'!$J$48,IF(Starfsmenn!$C$21='Flokkun starfa'!$K$5,'Flokkun starfa'!$L$48,IF(Starfsmenn!$C$21='Flokkun starfa'!$M$5,'Flokkun starfa'!$N$48,IF(Starfsmenn!$C$21='Flokkun starfa'!$O$5,'Flokkun starfa'!$P$48,IF(Starfsmenn!$C$21='Flokkun starfa'!$Q$5,'Flokkun starfa'!$R$48,IF(Starfsmenn!$C$21='Flokkun starfa'!$S$5,'Flokkun starfa'!$T$48,IF(Starfsmenn!$C$21='Flokkun starfa'!$U$5,'Flokkun starfa'!$V$48,""))))))))),"")</f>
        <v/>
      </c>
      <c r="G21" s="30">
        <f>IFERROR('Flokkun starfsmanna'!$AH$22,0)</f>
        <v/>
      </c>
      <c r="H21" s="37">
        <f>IFERROR(IF(AND(F21="",G21=""),"",IF(F21="",0,F21)+IF(G21="",0,G21)),"")</f>
        <v/>
      </c>
      <c r="I21" s="38">
        <f>IF(Starfsmenn!$G$21="","",Starfsmenn!$G$21)</f>
        <v/>
      </c>
      <c r="J21" s="38">
        <f>IF(Starfsmenn!$I$21="","",Starfsmenn!$I$21)</f>
        <v/>
      </c>
      <c r="K21" s="38">
        <f>IF(Starfsmenn!$K$21="","",Starfsmenn!$K$21)</f>
        <v/>
      </c>
      <c r="L21" s="39">
        <f>IFERROR(IF(AND(I21="",J21="",K21=""),"",IF(I21="",0,I21)+IF(J21="",0,J21)+IF(K21="",0,K21)),"")</f>
        <v/>
      </c>
    </row>
    <row r="22">
      <c r="A22" s="19" t="n">
        <v>17</v>
      </c>
      <c r="B22" s="21">
        <f>IF(Starfsmenn!$B$22="","",Starfsmenn!$B$22)</f>
        <v/>
      </c>
      <c r="C22" s="21">
        <f>IF(Starfsmenn!$C$22="","",Starfsmenn!$C$22)</f>
        <v/>
      </c>
      <c r="D22" s="13">
        <f>IF(Starfsmenn!$D$22="","",Starfsmenn!$D$22)</f>
        <v/>
      </c>
      <c r="E22" s="30">
        <f>IF(Starfsmenn!$E$22="","",Starfsmenn!$E$22)</f>
        <v/>
      </c>
      <c r="F22" s="22">
        <f>IFERROR(IF(Starfsmenn!$C$22="","",IF(Starfsmenn!$C$22='Flokkun starfa'!$G$5,'Flokkun starfa'!$H$48,IF(Starfsmenn!$C$22='Flokkun starfa'!$I$5,'Flokkun starfa'!$J$48,IF(Starfsmenn!$C$22='Flokkun starfa'!$K$5,'Flokkun starfa'!$L$48,IF(Starfsmenn!$C$22='Flokkun starfa'!$M$5,'Flokkun starfa'!$N$48,IF(Starfsmenn!$C$22='Flokkun starfa'!$O$5,'Flokkun starfa'!$P$48,IF(Starfsmenn!$C$22='Flokkun starfa'!$Q$5,'Flokkun starfa'!$R$48,IF(Starfsmenn!$C$22='Flokkun starfa'!$S$5,'Flokkun starfa'!$T$48,IF(Starfsmenn!$C$22='Flokkun starfa'!$U$5,'Flokkun starfa'!$V$48,""))))))))),"")</f>
        <v/>
      </c>
      <c r="G22" s="30">
        <f>IFERROR('Flokkun starfsmanna'!$AH$23,0)</f>
        <v/>
      </c>
      <c r="H22" s="37">
        <f>IFERROR(IF(AND(F22="",G22=""),"",IF(F22="",0,F22)+IF(G22="",0,G22)),"")</f>
        <v/>
      </c>
      <c r="I22" s="38">
        <f>IF(Starfsmenn!$G$22="","",Starfsmenn!$G$22)</f>
        <v/>
      </c>
      <c r="J22" s="38">
        <f>IF(Starfsmenn!$I$22="","",Starfsmenn!$I$22)</f>
        <v/>
      </c>
      <c r="K22" s="38">
        <f>IF(Starfsmenn!$K$22="","",Starfsmenn!$K$22)</f>
        <v/>
      </c>
      <c r="L22" s="39">
        <f>IFERROR(IF(AND(I22="",J22="",K22=""),"",IF(I22="",0,I22)+IF(J22="",0,J22)+IF(K22="",0,K22)),"")</f>
        <v/>
      </c>
    </row>
    <row r="23">
      <c r="A23" s="19" t="n">
        <v>18</v>
      </c>
      <c r="B23" s="21">
        <f>IF(Starfsmenn!$B$23="","",Starfsmenn!$B$23)</f>
        <v/>
      </c>
      <c r="C23" s="21">
        <f>IF(Starfsmenn!$C$23="","",Starfsmenn!$C$23)</f>
        <v/>
      </c>
      <c r="D23" s="13">
        <f>IF(Starfsmenn!$D$23="","",Starfsmenn!$D$23)</f>
        <v/>
      </c>
      <c r="E23" s="30">
        <f>IF(Starfsmenn!$E$23="","",Starfsmenn!$E$23)</f>
        <v/>
      </c>
      <c r="F23" s="22">
        <f>IFERROR(IF(Starfsmenn!$C$23="","",IF(Starfsmenn!$C$23='Flokkun starfa'!$G$5,'Flokkun starfa'!$H$48,IF(Starfsmenn!$C$23='Flokkun starfa'!$I$5,'Flokkun starfa'!$J$48,IF(Starfsmenn!$C$23='Flokkun starfa'!$K$5,'Flokkun starfa'!$L$48,IF(Starfsmenn!$C$23='Flokkun starfa'!$M$5,'Flokkun starfa'!$N$48,IF(Starfsmenn!$C$23='Flokkun starfa'!$O$5,'Flokkun starfa'!$P$48,IF(Starfsmenn!$C$23='Flokkun starfa'!$Q$5,'Flokkun starfa'!$R$48,IF(Starfsmenn!$C$23='Flokkun starfa'!$S$5,'Flokkun starfa'!$T$48,IF(Starfsmenn!$C$23='Flokkun starfa'!$U$5,'Flokkun starfa'!$V$48,""))))))))),"")</f>
        <v/>
      </c>
      <c r="G23" s="30">
        <f>IFERROR('Flokkun starfsmanna'!$AH$24,0)</f>
        <v/>
      </c>
      <c r="H23" s="37">
        <f>IFERROR(IF(AND(F23="",G23=""),"",IF(F23="",0,F23)+IF(G23="",0,G23)),"")</f>
        <v/>
      </c>
      <c r="I23" s="38">
        <f>IF(Starfsmenn!$G$23="","",Starfsmenn!$G$23)</f>
        <v/>
      </c>
      <c r="J23" s="38">
        <f>IF(Starfsmenn!$I$23="","",Starfsmenn!$I$23)</f>
        <v/>
      </c>
      <c r="K23" s="38">
        <f>IF(Starfsmenn!$K$23="","",Starfsmenn!$K$23)</f>
        <v/>
      </c>
      <c r="L23" s="39">
        <f>IFERROR(IF(AND(I23="",J23="",K23=""),"",IF(I23="",0,I23)+IF(J23="",0,J23)+IF(K23="",0,K23)),"")</f>
        <v/>
      </c>
    </row>
    <row r="24">
      <c r="A24" s="19" t="n">
        <v>19</v>
      </c>
      <c r="B24" s="21">
        <f>IF(Starfsmenn!$B$24="","",Starfsmenn!$B$24)</f>
        <v/>
      </c>
      <c r="C24" s="21">
        <f>IF(Starfsmenn!$C$24="","",Starfsmenn!$C$24)</f>
        <v/>
      </c>
      <c r="D24" s="13">
        <f>IF(Starfsmenn!$D$24="","",Starfsmenn!$D$24)</f>
        <v/>
      </c>
      <c r="E24" s="30">
        <f>IF(Starfsmenn!$E$24="","",Starfsmenn!$E$24)</f>
        <v/>
      </c>
      <c r="F24" s="22">
        <f>IFERROR(IF(Starfsmenn!$C$24="","",IF(Starfsmenn!$C$24='Flokkun starfa'!$G$5,'Flokkun starfa'!$H$48,IF(Starfsmenn!$C$24='Flokkun starfa'!$I$5,'Flokkun starfa'!$J$48,IF(Starfsmenn!$C$24='Flokkun starfa'!$K$5,'Flokkun starfa'!$L$48,IF(Starfsmenn!$C$24='Flokkun starfa'!$M$5,'Flokkun starfa'!$N$48,IF(Starfsmenn!$C$24='Flokkun starfa'!$O$5,'Flokkun starfa'!$P$48,IF(Starfsmenn!$C$24='Flokkun starfa'!$Q$5,'Flokkun starfa'!$R$48,IF(Starfsmenn!$C$24='Flokkun starfa'!$S$5,'Flokkun starfa'!$T$48,IF(Starfsmenn!$C$24='Flokkun starfa'!$U$5,'Flokkun starfa'!$V$48,""))))))))),"")</f>
        <v/>
      </c>
      <c r="G24" s="30">
        <f>IFERROR('Flokkun starfsmanna'!$AH$25,0)</f>
        <v/>
      </c>
      <c r="H24" s="37">
        <f>IFERROR(IF(AND(F24="",G24=""),"",IF(F24="",0,F24)+IF(G24="",0,G24)),"")</f>
        <v/>
      </c>
      <c r="I24" s="38">
        <f>IF(Starfsmenn!$G$24="","",Starfsmenn!$G$24)</f>
        <v/>
      </c>
      <c r="J24" s="38">
        <f>IF(Starfsmenn!$I$24="","",Starfsmenn!$I$24)</f>
        <v/>
      </c>
      <c r="K24" s="38">
        <f>IF(Starfsmenn!$K$24="","",Starfsmenn!$K$24)</f>
        <v/>
      </c>
      <c r="L24" s="39">
        <f>IFERROR(IF(AND(I24="",J24="",K24=""),"",IF(I24="",0,I24)+IF(J24="",0,J24)+IF(K24="",0,K24)),"")</f>
        <v/>
      </c>
    </row>
    <row r="25">
      <c r="A25" s="19" t="n">
        <v>20</v>
      </c>
      <c r="B25" s="21">
        <f>IF(Starfsmenn!$B$25="","",Starfsmenn!$B$25)</f>
        <v/>
      </c>
      <c r="C25" s="21">
        <f>IF(Starfsmenn!$C$25="","",Starfsmenn!$C$25)</f>
        <v/>
      </c>
      <c r="D25" s="13">
        <f>IF(Starfsmenn!$D$25="","",Starfsmenn!$D$25)</f>
        <v/>
      </c>
      <c r="E25" s="30">
        <f>IF(Starfsmenn!$E$25="","",Starfsmenn!$E$25)</f>
        <v/>
      </c>
      <c r="F25" s="22">
        <f>IFERROR(IF(Starfsmenn!$C$25="","",IF(Starfsmenn!$C$25='Flokkun starfa'!$G$5,'Flokkun starfa'!$H$48,IF(Starfsmenn!$C$25='Flokkun starfa'!$I$5,'Flokkun starfa'!$J$48,IF(Starfsmenn!$C$25='Flokkun starfa'!$K$5,'Flokkun starfa'!$L$48,IF(Starfsmenn!$C$25='Flokkun starfa'!$M$5,'Flokkun starfa'!$N$48,IF(Starfsmenn!$C$25='Flokkun starfa'!$O$5,'Flokkun starfa'!$P$48,IF(Starfsmenn!$C$25='Flokkun starfa'!$Q$5,'Flokkun starfa'!$R$48,IF(Starfsmenn!$C$25='Flokkun starfa'!$S$5,'Flokkun starfa'!$T$48,IF(Starfsmenn!$C$25='Flokkun starfa'!$U$5,'Flokkun starfa'!$V$48,""))))))))),"")</f>
        <v/>
      </c>
      <c r="G25" s="30">
        <f>IFERROR('Flokkun starfsmanna'!$AH$26,0)</f>
        <v/>
      </c>
      <c r="H25" s="37">
        <f>IFERROR(IF(AND(F25="",G25=""),"",IF(F25="",0,F25)+IF(G25="",0,G25)),"")</f>
        <v/>
      </c>
      <c r="I25" s="38">
        <f>IF(Starfsmenn!$G$25="","",Starfsmenn!$G$25)</f>
        <v/>
      </c>
      <c r="J25" s="38">
        <f>IF(Starfsmenn!$I$25="","",Starfsmenn!$I$25)</f>
        <v/>
      </c>
      <c r="K25" s="38">
        <f>IF(Starfsmenn!$K$25="","",Starfsmenn!$K$25)</f>
        <v/>
      </c>
      <c r="L25" s="39">
        <f>IFERROR(IF(AND(I25="",J25="",K25=""),"",IF(I25="",0,I25)+IF(J25="",0,J25)+IF(K25="",0,K25)),"")</f>
        <v/>
      </c>
    </row>
    <row r="26">
      <c r="A26" s="19" t="n">
        <v>21</v>
      </c>
      <c r="B26" s="21">
        <f>IF(Starfsmenn!$B$26="","",Starfsmenn!$B$26)</f>
        <v/>
      </c>
      <c r="C26" s="21">
        <f>IF(Starfsmenn!$C$26="","",Starfsmenn!$C$26)</f>
        <v/>
      </c>
      <c r="D26" s="13">
        <f>IF(Starfsmenn!$D$26="","",Starfsmenn!$D$26)</f>
        <v/>
      </c>
      <c r="E26" s="30">
        <f>IF(Starfsmenn!$E$26="","",Starfsmenn!$E$26)</f>
        <v/>
      </c>
      <c r="F26" s="22">
        <f>IFERROR(IF(Starfsmenn!$C$26="","",IF(Starfsmenn!$C$26='Flokkun starfa'!$G$5,'Flokkun starfa'!$H$48,IF(Starfsmenn!$C$26='Flokkun starfa'!$I$5,'Flokkun starfa'!$J$48,IF(Starfsmenn!$C$26='Flokkun starfa'!$K$5,'Flokkun starfa'!$L$48,IF(Starfsmenn!$C$26='Flokkun starfa'!$M$5,'Flokkun starfa'!$N$48,IF(Starfsmenn!$C$26='Flokkun starfa'!$O$5,'Flokkun starfa'!$P$48,IF(Starfsmenn!$C$26='Flokkun starfa'!$Q$5,'Flokkun starfa'!$R$48,IF(Starfsmenn!$C$26='Flokkun starfa'!$S$5,'Flokkun starfa'!$T$48,IF(Starfsmenn!$C$26='Flokkun starfa'!$U$5,'Flokkun starfa'!$V$48,""))))))))),"")</f>
        <v/>
      </c>
      <c r="G26" s="30">
        <f>IFERROR('Flokkun starfsmanna'!$AH$27,0)</f>
        <v/>
      </c>
      <c r="H26" s="37">
        <f>IFERROR(IF(AND(F26="",G26=""),"",IF(F26="",0,F26)+IF(G26="",0,G26)),"")</f>
        <v/>
      </c>
      <c r="I26" s="38">
        <f>IF(Starfsmenn!$G$26="","",Starfsmenn!$G$26)</f>
        <v/>
      </c>
      <c r="J26" s="38">
        <f>IF(Starfsmenn!$I$26="","",Starfsmenn!$I$26)</f>
        <v/>
      </c>
      <c r="K26" s="38">
        <f>IF(Starfsmenn!$K$26="","",Starfsmenn!$K$26)</f>
        <v/>
      </c>
      <c r="L26" s="39">
        <f>IFERROR(IF(AND(I26="",J26="",K26=""),"",IF(I26="",0,I26)+IF(J26="",0,J26)+IF(K26="",0,K26)),"")</f>
        <v/>
      </c>
    </row>
    <row r="27">
      <c r="A27" s="19" t="n">
        <v>22</v>
      </c>
      <c r="B27" s="21">
        <f>IF(Starfsmenn!$B$27="","",Starfsmenn!$B$27)</f>
        <v/>
      </c>
      <c r="C27" s="21">
        <f>IF(Starfsmenn!$C$27="","",Starfsmenn!$C$27)</f>
        <v/>
      </c>
      <c r="D27" s="13">
        <f>IF(Starfsmenn!$D$27="","",Starfsmenn!$D$27)</f>
        <v/>
      </c>
      <c r="E27" s="30">
        <f>IF(Starfsmenn!$E$27="","",Starfsmenn!$E$27)</f>
        <v/>
      </c>
      <c r="F27" s="22">
        <f>IFERROR(IF(Starfsmenn!$C$27="","",IF(Starfsmenn!$C$27='Flokkun starfa'!$G$5,'Flokkun starfa'!$H$48,IF(Starfsmenn!$C$27='Flokkun starfa'!$I$5,'Flokkun starfa'!$J$48,IF(Starfsmenn!$C$27='Flokkun starfa'!$K$5,'Flokkun starfa'!$L$48,IF(Starfsmenn!$C$27='Flokkun starfa'!$M$5,'Flokkun starfa'!$N$48,IF(Starfsmenn!$C$27='Flokkun starfa'!$O$5,'Flokkun starfa'!$P$48,IF(Starfsmenn!$C$27='Flokkun starfa'!$Q$5,'Flokkun starfa'!$R$48,IF(Starfsmenn!$C$27='Flokkun starfa'!$S$5,'Flokkun starfa'!$T$48,IF(Starfsmenn!$C$27='Flokkun starfa'!$U$5,'Flokkun starfa'!$V$48,""))))))))),"")</f>
        <v/>
      </c>
      <c r="G27" s="30">
        <f>IFERROR('Flokkun starfsmanna'!$AH$28,0)</f>
        <v/>
      </c>
      <c r="H27" s="37">
        <f>IFERROR(IF(AND(F27="",G27=""),"",IF(F27="",0,F27)+IF(G27="",0,G27)),"")</f>
        <v/>
      </c>
      <c r="I27" s="38">
        <f>IF(Starfsmenn!$G$27="","",Starfsmenn!$G$27)</f>
        <v/>
      </c>
      <c r="J27" s="38">
        <f>IF(Starfsmenn!$I$27="","",Starfsmenn!$I$27)</f>
        <v/>
      </c>
      <c r="K27" s="38">
        <f>IF(Starfsmenn!$K$27="","",Starfsmenn!$K$27)</f>
        <v/>
      </c>
      <c r="L27" s="39">
        <f>IFERROR(IF(AND(I27="",J27="",K27=""),"",IF(I27="",0,I27)+IF(J27="",0,J27)+IF(K27="",0,K27)),"")</f>
        <v/>
      </c>
    </row>
    <row r="28">
      <c r="A28" s="19" t="n">
        <v>23</v>
      </c>
      <c r="B28" s="21">
        <f>IF(Starfsmenn!$B$28="","",Starfsmenn!$B$28)</f>
        <v/>
      </c>
      <c r="C28" s="21">
        <f>IF(Starfsmenn!$C$28="","",Starfsmenn!$C$28)</f>
        <v/>
      </c>
      <c r="D28" s="13">
        <f>IF(Starfsmenn!$D$28="","",Starfsmenn!$D$28)</f>
        <v/>
      </c>
      <c r="E28" s="30">
        <f>IF(Starfsmenn!$E$28="","",Starfsmenn!$E$28)</f>
        <v/>
      </c>
      <c r="F28" s="22">
        <f>IFERROR(IF(Starfsmenn!$C$28="","",IF(Starfsmenn!$C$28='Flokkun starfa'!$G$5,'Flokkun starfa'!$H$48,IF(Starfsmenn!$C$28='Flokkun starfa'!$I$5,'Flokkun starfa'!$J$48,IF(Starfsmenn!$C$28='Flokkun starfa'!$K$5,'Flokkun starfa'!$L$48,IF(Starfsmenn!$C$28='Flokkun starfa'!$M$5,'Flokkun starfa'!$N$48,IF(Starfsmenn!$C$28='Flokkun starfa'!$O$5,'Flokkun starfa'!$P$48,IF(Starfsmenn!$C$28='Flokkun starfa'!$Q$5,'Flokkun starfa'!$R$48,IF(Starfsmenn!$C$28='Flokkun starfa'!$S$5,'Flokkun starfa'!$T$48,IF(Starfsmenn!$C$28='Flokkun starfa'!$U$5,'Flokkun starfa'!$V$48,""))))))))),"")</f>
        <v/>
      </c>
      <c r="G28" s="30">
        <f>IFERROR('Flokkun starfsmanna'!$AH$29,0)</f>
        <v/>
      </c>
      <c r="H28" s="37">
        <f>IFERROR(IF(AND(F28="",G28=""),"",IF(F28="",0,F28)+IF(G28="",0,G28)),"")</f>
        <v/>
      </c>
      <c r="I28" s="38">
        <f>IF(Starfsmenn!$G$28="","",Starfsmenn!$G$28)</f>
        <v/>
      </c>
      <c r="J28" s="38">
        <f>IF(Starfsmenn!$I$28="","",Starfsmenn!$I$28)</f>
        <v/>
      </c>
      <c r="K28" s="38">
        <f>IF(Starfsmenn!$K$28="","",Starfsmenn!$K$28)</f>
        <v/>
      </c>
      <c r="L28" s="39">
        <f>IFERROR(IF(AND(I28="",J28="",K28=""),"",IF(I28="",0,I28)+IF(J28="",0,J28)+IF(K28="",0,K28)),"")</f>
        <v/>
      </c>
    </row>
    <row r="29">
      <c r="A29" s="19" t="n">
        <v>24</v>
      </c>
      <c r="B29" s="21">
        <f>IF(Starfsmenn!$B$29="","",Starfsmenn!$B$29)</f>
        <v/>
      </c>
      <c r="C29" s="21">
        <f>IF(Starfsmenn!$C$29="","",Starfsmenn!$C$29)</f>
        <v/>
      </c>
      <c r="D29" s="13">
        <f>IF(Starfsmenn!$D$29="","",Starfsmenn!$D$29)</f>
        <v/>
      </c>
      <c r="E29" s="30">
        <f>IF(Starfsmenn!$E$29="","",Starfsmenn!$E$29)</f>
        <v/>
      </c>
      <c r="F29" s="22">
        <f>IFERROR(IF(Starfsmenn!$C$29="","",IF(Starfsmenn!$C$29='Flokkun starfa'!$G$5,'Flokkun starfa'!$H$48,IF(Starfsmenn!$C$29='Flokkun starfa'!$I$5,'Flokkun starfa'!$J$48,IF(Starfsmenn!$C$29='Flokkun starfa'!$K$5,'Flokkun starfa'!$L$48,IF(Starfsmenn!$C$29='Flokkun starfa'!$M$5,'Flokkun starfa'!$N$48,IF(Starfsmenn!$C$29='Flokkun starfa'!$O$5,'Flokkun starfa'!$P$48,IF(Starfsmenn!$C$29='Flokkun starfa'!$Q$5,'Flokkun starfa'!$R$48,IF(Starfsmenn!$C$29='Flokkun starfa'!$S$5,'Flokkun starfa'!$T$48,IF(Starfsmenn!$C$29='Flokkun starfa'!$U$5,'Flokkun starfa'!$V$48,""))))))))),"")</f>
        <v/>
      </c>
      <c r="G29" s="30">
        <f>IFERROR('Flokkun starfsmanna'!$AH$30,0)</f>
        <v/>
      </c>
      <c r="H29" s="37">
        <f>IFERROR(IF(AND(F29="",G29=""),"",IF(F29="",0,F29)+IF(G29="",0,G29)),"")</f>
        <v/>
      </c>
      <c r="I29" s="38">
        <f>IF(Starfsmenn!$G$29="","",Starfsmenn!$G$29)</f>
        <v/>
      </c>
      <c r="J29" s="38">
        <f>IF(Starfsmenn!$I$29="","",Starfsmenn!$I$29)</f>
        <v/>
      </c>
      <c r="K29" s="38">
        <f>IF(Starfsmenn!$K$29="","",Starfsmenn!$K$29)</f>
        <v/>
      </c>
      <c r="L29" s="39">
        <f>IFERROR(IF(AND(I29="",J29="",K29=""),"",IF(I29="",0,I29)+IF(J29="",0,J29)+IF(K29="",0,K29)),"")</f>
        <v/>
      </c>
    </row>
    <row r="30">
      <c r="A30" s="19" t="n">
        <v>25</v>
      </c>
      <c r="B30" s="21">
        <f>IF(Starfsmenn!$B$30="","",Starfsmenn!$B$30)</f>
        <v/>
      </c>
      <c r="C30" s="21">
        <f>IF(Starfsmenn!$C$30="","",Starfsmenn!$C$30)</f>
        <v/>
      </c>
      <c r="D30" s="13">
        <f>IF(Starfsmenn!$D$30="","",Starfsmenn!$D$30)</f>
        <v/>
      </c>
      <c r="E30" s="30">
        <f>IF(Starfsmenn!$E$30="","",Starfsmenn!$E$30)</f>
        <v/>
      </c>
      <c r="F30" s="22">
        <f>IFERROR(IF(Starfsmenn!$C$30="","",IF(Starfsmenn!$C$30='Flokkun starfa'!$G$5,'Flokkun starfa'!$H$48,IF(Starfsmenn!$C$30='Flokkun starfa'!$I$5,'Flokkun starfa'!$J$48,IF(Starfsmenn!$C$30='Flokkun starfa'!$K$5,'Flokkun starfa'!$L$48,IF(Starfsmenn!$C$30='Flokkun starfa'!$M$5,'Flokkun starfa'!$N$48,IF(Starfsmenn!$C$30='Flokkun starfa'!$O$5,'Flokkun starfa'!$P$48,IF(Starfsmenn!$C$30='Flokkun starfa'!$Q$5,'Flokkun starfa'!$R$48,IF(Starfsmenn!$C$30='Flokkun starfa'!$S$5,'Flokkun starfa'!$T$48,IF(Starfsmenn!$C$30='Flokkun starfa'!$U$5,'Flokkun starfa'!$V$48,""))))))))),"")</f>
        <v/>
      </c>
      <c r="G30" s="30">
        <f>IFERROR('Flokkun starfsmanna'!$AH$31,0)</f>
        <v/>
      </c>
      <c r="H30" s="37">
        <f>IFERROR(IF(AND(F30="",G30=""),"",IF(F30="",0,F30)+IF(G30="",0,G30)),"")</f>
        <v/>
      </c>
      <c r="I30" s="38">
        <f>IF(Starfsmenn!$G$30="","",Starfsmenn!$G$30)</f>
        <v/>
      </c>
      <c r="J30" s="38">
        <f>IF(Starfsmenn!$I$30="","",Starfsmenn!$I$30)</f>
        <v/>
      </c>
      <c r="K30" s="38">
        <f>IF(Starfsmenn!$K$30="","",Starfsmenn!$K$30)</f>
        <v/>
      </c>
      <c r="L30" s="39">
        <f>IFERROR(IF(AND(I30="",J30="",K30=""),"",IF(I30="",0,I30)+IF(J30="",0,J30)+IF(K30="",0,K30)),"")</f>
        <v/>
      </c>
    </row>
    <row r="31">
      <c r="A31" s="19" t="n">
        <v>26</v>
      </c>
      <c r="B31" s="21">
        <f>IF(Starfsmenn!$B$31="","",Starfsmenn!$B$31)</f>
        <v/>
      </c>
      <c r="C31" s="21">
        <f>IF(Starfsmenn!$C$31="","",Starfsmenn!$C$31)</f>
        <v/>
      </c>
      <c r="D31" s="13">
        <f>IF(Starfsmenn!$D$31="","",Starfsmenn!$D$31)</f>
        <v/>
      </c>
      <c r="E31" s="30">
        <f>IF(Starfsmenn!$E$31="","",Starfsmenn!$E$31)</f>
        <v/>
      </c>
      <c r="F31" s="22">
        <f>IFERROR(IF(Starfsmenn!$C$31="","",IF(Starfsmenn!$C$31='Flokkun starfa'!$G$5,'Flokkun starfa'!$H$48,IF(Starfsmenn!$C$31='Flokkun starfa'!$I$5,'Flokkun starfa'!$J$48,IF(Starfsmenn!$C$31='Flokkun starfa'!$K$5,'Flokkun starfa'!$L$48,IF(Starfsmenn!$C$31='Flokkun starfa'!$M$5,'Flokkun starfa'!$N$48,IF(Starfsmenn!$C$31='Flokkun starfa'!$O$5,'Flokkun starfa'!$P$48,IF(Starfsmenn!$C$31='Flokkun starfa'!$Q$5,'Flokkun starfa'!$R$48,IF(Starfsmenn!$C$31='Flokkun starfa'!$S$5,'Flokkun starfa'!$T$48,IF(Starfsmenn!$C$31='Flokkun starfa'!$U$5,'Flokkun starfa'!$V$48,""))))))))),"")</f>
        <v/>
      </c>
      <c r="G31" s="30">
        <f>IFERROR('Flokkun starfsmanna'!$AH$32,0)</f>
        <v/>
      </c>
      <c r="H31" s="37">
        <f>IFERROR(IF(AND(F31="",G31=""),"",IF(F31="",0,F31)+IF(G31="",0,G31)),"")</f>
        <v/>
      </c>
      <c r="I31" s="38">
        <f>IF(Starfsmenn!$G$31="","",Starfsmenn!$G$31)</f>
        <v/>
      </c>
      <c r="J31" s="38">
        <f>IF(Starfsmenn!$I$31="","",Starfsmenn!$I$31)</f>
        <v/>
      </c>
      <c r="K31" s="38">
        <f>IF(Starfsmenn!$K$31="","",Starfsmenn!$K$31)</f>
        <v/>
      </c>
      <c r="L31" s="39">
        <f>IFERROR(IF(AND(I31="",J31="",K31=""),"",IF(I31="",0,I31)+IF(J31="",0,J31)+IF(K31="",0,K31)),"")</f>
        <v/>
      </c>
    </row>
    <row r="32">
      <c r="A32" s="19" t="n">
        <v>27</v>
      </c>
      <c r="B32" s="21">
        <f>IF(Starfsmenn!$B$32="","",Starfsmenn!$B$32)</f>
        <v/>
      </c>
      <c r="C32" s="21">
        <f>IF(Starfsmenn!$C$32="","",Starfsmenn!$C$32)</f>
        <v/>
      </c>
      <c r="D32" s="13">
        <f>IF(Starfsmenn!$D$32="","",Starfsmenn!$D$32)</f>
        <v/>
      </c>
      <c r="E32" s="30">
        <f>IF(Starfsmenn!$E$32="","",Starfsmenn!$E$32)</f>
        <v/>
      </c>
      <c r="F32" s="22">
        <f>IFERROR(IF(Starfsmenn!$C$32="","",IF(Starfsmenn!$C$32='Flokkun starfa'!$G$5,'Flokkun starfa'!$H$48,IF(Starfsmenn!$C$32='Flokkun starfa'!$I$5,'Flokkun starfa'!$J$48,IF(Starfsmenn!$C$32='Flokkun starfa'!$K$5,'Flokkun starfa'!$L$48,IF(Starfsmenn!$C$32='Flokkun starfa'!$M$5,'Flokkun starfa'!$N$48,IF(Starfsmenn!$C$32='Flokkun starfa'!$O$5,'Flokkun starfa'!$P$48,IF(Starfsmenn!$C$32='Flokkun starfa'!$Q$5,'Flokkun starfa'!$R$48,IF(Starfsmenn!$C$32='Flokkun starfa'!$S$5,'Flokkun starfa'!$T$48,IF(Starfsmenn!$C$32='Flokkun starfa'!$U$5,'Flokkun starfa'!$V$48,""))))))))),"")</f>
        <v/>
      </c>
      <c r="G32" s="30">
        <f>IFERROR('Flokkun starfsmanna'!$AH$33,0)</f>
        <v/>
      </c>
      <c r="H32" s="37">
        <f>IFERROR(IF(AND(F32="",G32=""),"",IF(F32="",0,F32)+IF(G32="",0,G32)),"")</f>
        <v/>
      </c>
      <c r="I32" s="38">
        <f>IF(Starfsmenn!$G$32="","",Starfsmenn!$G$32)</f>
        <v/>
      </c>
      <c r="J32" s="38">
        <f>IF(Starfsmenn!$I$32="","",Starfsmenn!$I$32)</f>
        <v/>
      </c>
      <c r="K32" s="38">
        <f>IF(Starfsmenn!$K$32="","",Starfsmenn!$K$32)</f>
        <v/>
      </c>
      <c r="L32" s="39">
        <f>IFERROR(IF(AND(I32="",J32="",K32=""),"",IF(I32="",0,I32)+IF(J32="",0,J32)+IF(K32="",0,K32)),"")</f>
        <v/>
      </c>
    </row>
    <row r="33">
      <c r="A33" s="19" t="n">
        <v>28</v>
      </c>
      <c r="B33" s="21">
        <f>IF(Starfsmenn!$B$33="","",Starfsmenn!$B$33)</f>
        <v/>
      </c>
      <c r="C33" s="21">
        <f>IF(Starfsmenn!$C$33="","",Starfsmenn!$C$33)</f>
        <v/>
      </c>
      <c r="D33" s="13">
        <f>IF(Starfsmenn!$D$33="","",Starfsmenn!$D$33)</f>
        <v/>
      </c>
      <c r="E33" s="30">
        <f>IF(Starfsmenn!$E$33="","",Starfsmenn!$E$33)</f>
        <v/>
      </c>
      <c r="F33" s="22">
        <f>IFERROR(IF(Starfsmenn!$C$33="","",IF(Starfsmenn!$C$33='Flokkun starfa'!$G$5,'Flokkun starfa'!$H$48,IF(Starfsmenn!$C$33='Flokkun starfa'!$I$5,'Flokkun starfa'!$J$48,IF(Starfsmenn!$C$33='Flokkun starfa'!$K$5,'Flokkun starfa'!$L$48,IF(Starfsmenn!$C$33='Flokkun starfa'!$M$5,'Flokkun starfa'!$N$48,IF(Starfsmenn!$C$33='Flokkun starfa'!$O$5,'Flokkun starfa'!$P$48,IF(Starfsmenn!$C$33='Flokkun starfa'!$Q$5,'Flokkun starfa'!$R$48,IF(Starfsmenn!$C$33='Flokkun starfa'!$S$5,'Flokkun starfa'!$T$48,IF(Starfsmenn!$C$33='Flokkun starfa'!$U$5,'Flokkun starfa'!$V$48,""))))))))),"")</f>
        <v/>
      </c>
      <c r="G33" s="30">
        <f>IFERROR('Flokkun starfsmanna'!$AH$34,0)</f>
        <v/>
      </c>
      <c r="H33" s="37">
        <f>IFERROR(IF(AND(F33="",G33=""),"",IF(F33="",0,F33)+IF(G33="",0,G33)),"")</f>
        <v/>
      </c>
      <c r="I33" s="38">
        <f>IF(Starfsmenn!$G$33="","",Starfsmenn!$G$33)</f>
        <v/>
      </c>
      <c r="J33" s="38">
        <f>IF(Starfsmenn!$I$33="","",Starfsmenn!$I$33)</f>
        <v/>
      </c>
      <c r="K33" s="38">
        <f>IF(Starfsmenn!$K$33="","",Starfsmenn!$K$33)</f>
        <v/>
      </c>
      <c r="L33" s="39">
        <f>IFERROR(IF(AND(I33="",J33="",K33=""),"",IF(I33="",0,I33)+IF(J33="",0,J33)+IF(K33="",0,K33)),"")</f>
        <v/>
      </c>
    </row>
    <row r="34">
      <c r="A34" s="19" t="n">
        <v>29</v>
      </c>
      <c r="B34" s="21">
        <f>IF(Starfsmenn!$B$34="","",Starfsmenn!$B$34)</f>
        <v/>
      </c>
      <c r="C34" s="21">
        <f>IF(Starfsmenn!$C$34="","",Starfsmenn!$C$34)</f>
        <v/>
      </c>
      <c r="D34" s="13">
        <f>IF(Starfsmenn!$D$34="","",Starfsmenn!$D$34)</f>
        <v/>
      </c>
      <c r="E34" s="30">
        <f>IF(Starfsmenn!$E$34="","",Starfsmenn!$E$34)</f>
        <v/>
      </c>
      <c r="F34" s="22">
        <f>IFERROR(IF(Starfsmenn!$C$34="","",IF(Starfsmenn!$C$34='Flokkun starfa'!$G$5,'Flokkun starfa'!$H$48,IF(Starfsmenn!$C$34='Flokkun starfa'!$I$5,'Flokkun starfa'!$J$48,IF(Starfsmenn!$C$34='Flokkun starfa'!$K$5,'Flokkun starfa'!$L$48,IF(Starfsmenn!$C$34='Flokkun starfa'!$M$5,'Flokkun starfa'!$N$48,IF(Starfsmenn!$C$34='Flokkun starfa'!$O$5,'Flokkun starfa'!$P$48,IF(Starfsmenn!$C$34='Flokkun starfa'!$Q$5,'Flokkun starfa'!$R$48,IF(Starfsmenn!$C$34='Flokkun starfa'!$S$5,'Flokkun starfa'!$T$48,IF(Starfsmenn!$C$34='Flokkun starfa'!$U$5,'Flokkun starfa'!$V$48,""))))))))),"")</f>
        <v/>
      </c>
      <c r="G34" s="30">
        <f>IFERROR('Flokkun starfsmanna'!$AH$35,0)</f>
        <v/>
      </c>
      <c r="H34" s="37">
        <f>IFERROR(IF(AND(F34="",G34=""),"",IF(F34="",0,F34)+IF(G34="",0,G34)),"")</f>
        <v/>
      </c>
      <c r="I34" s="38">
        <f>IF(Starfsmenn!$G$34="","",Starfsmenn!$G$34)</f>
        <v/>
      </c>
      <c r="J34" s="38">
        <f>IF(Starfsmenn!$I$34="","",Starfsmenn!$I$34)</f>
        <v/>
      </c>
      <c r="K34" s="38">
        <f>IF(Starfsmenn!$K$34="","",Starfsmenn!$K$34)</f>
        <v/>
      </c>
      <c r="L34" s="39">
        <f>IFERROR(IF(AND(I34="",J34="",K34=""),"",IF(I34="",0,I34)+IF(J34="",0,J34)+IF(K34="",0,K34)),"")</f>
        <v/>
      </c>
    </row>
    <row r="35">
      <c r="A35" s="19" t="n">
        <v>30</v>
      </c>
      <c r="B35" s="21">
        <f>IF(Starfsmenn!$B$35="","",Starfsmenn!$B$35)</f>
        <v/>
      </c>
      <c r="C35" s="21">
        <f>IF(Starfsmenn!$C$35="","",Starfsmenn!$C$35)</f>
        <v/>
      </c>
      <c r="D35" s="13">
        <f>IF(Starfsmenn!$D$35="","",Starfsmenn!$D$35)</f>
        <v/>
      </c>
      <c r="E35" s="30">
        <f>IF(Starfsmenn!$E$35="","",Starfsmenn!$E$35)</f>
        <v/>
      </c>
      <c r="F35" s="22">
        <f>IFERROR(IF(Starfsmenn!$C$35="","",IF(Starfsmenn!$C$35='Flokkun starfa'!$G$5,'Flokkun starfa'!$H$48,IF(Starfsmenn!$C$35='Flokkun starfa'!$I$5,'Flokkun starfa'!$J$48,IF(Starfsmenn!$C$35='Flokkun starfa'!$K$5,'Flokkun starfa'!$L$48,IF(Starfsmenn!$C$35='Flokkun starfa'!$M$5,'Flokkun starfa'!$N$48,IF(Starfsmenn!$C$35='Flokkun starfa'!$O$5,'Flokkun starfa'!$P$48,IF(Starfsmenn!$C$35='Flokkun starfa'!$Q$5,'Flokkun starfa'!$R$48,IF(Starfsmenn!$C$35='Flokkun starfa'!$S$5,'Flokkun starfa'!$T$48,IF(Starfsmenn!$C$35='Flokkun starfa'!$U$5,'Flokkun starfa'!$V$48,""))))))))),"")</f>
        <v/>
      </c>
      <c r="G35" s="30">
        <f>IFERROR('Flokkun starfsmanna'!$AH$36,0)</f>
        <v/>
      </c>
      <c r="H35" s="37">
        <f>IFERROR(IF(AND(F35="",G35=""),"",IF(F35="",0,F35)+IF(G35="",0,G35)),"")</f>
        <v/>
      </c>
      <c r="I35" s="38">
        <f>IF(Starfsmenn!$G$35="","",Starfsmenn!$G$35)</f>
        <v/>
      </c>
      <c r="J35" s="38">
        <f>IF(Starfsmenn!$I$35="","",Starfsmenn!$I$35)</f>
        <v/>
      </c>
      <c r="K35" s="38">
        <f>IF(Starfsmenn!$K$35="","",Starfsmenn!$K$35)</f>
        <v/>
      </c>
      <c r="L35" s="39">
        <f>IFERROR(IF(AND(I35="",J35="",K35=""),"",IF(I35="",0,I35)+IF(J35="",0,J35)+IF(K35="",0,K35)),"")</f>
        <v/>
      </c>
    </row>
    <row r="36">
      <c r="A36" s="19" t="n">
        <v>31</v>
      </c>
      <c r="B36" s="21">
        <f>IF(Starfsmenn!$B$36="","",Starfsmenn!$B$36)</f>
        <v/>
      </c>
      <c r="C36" s="21">
        <f>IF(Starfsmenn!$C$36="","",Starfsmenn!$C$36)</f>
        <v/>
      </c>
      <c r="D36" s="13">
        <f>IF(Starfsmenn!$D$36="","",Starfsmenn!$D$36)</f>
        <v/>
      </c>
      <c r="E36" s="30">
        <f>IF(Starfsmenn!$E$36="","",Starfsmenn!$E$36)</f>
        <v/>
      </c>
      <c r="F36" s="22">
        <f>IFERROR(IF(Starfsmenn!$C$36="","",IF(Starfsmenn!$C$36='Flokkun starfa'!$G$5,'Flokkun starfa'!$H$48,IF(Starfsmenn!$C$36='Flokkun starfa'!$I$5,'Flokkun starfa'!$J$48,IF(Starfsmenn!$C$36='Flokkun starfa'!$K$5,'Flokkun starfa'!$L$48,IF(Starfsmenn!$C$36='Flokkun starfa'!$M$5,'Flokkun starfa'!$N$48,IF(Starfsmenn!$C$36='Flokkun starfa'!$O$5,'Flokkun starfa'!$P$48,IF(Starfsmenn!$C$36='Flokkun starfa'!$Q$5,'Flokkun starfa'!$R$48,IF(Starfsmenn!$C$36='Flokkun starfa'!$S$5,'Flokkun starfa'!$T$48,IF(Starfsmenn!$C$36='Flokkun starfa'!$U$5,'Flokkun starfa'!$V$48,""))))))))),"")</f>
        <v/>
      </c>
      <c r="G36" s="30">
        <f>IFERROR('Flokkun starfsmanna'!$AH$37,0)</f>
        <v/>
      </c>
      <c r="H36" s="37">
        <f>IFERROR(IF(AND(F36="",G36=""),"",IF(F36="",0,F36)+IF(G36="",0,G36)),"")</f>
        <v/>
      </c>
      <c r="I36" s="38">
        <f>IF(Starfsmenn!$G$36="","",Starfsmenn!$G$36)</f>
        <v/>
      </c>
      <c r="J36" s="38">
        <f>IF(Starfsmenn!$I$36="","",Starfsmenn!$I$36)</f>
        <v/>
      </c>
      <c r="K36" s="38">
        <f>IF(Starfsmenn!$K$36="","",Starfsmenn!$K$36)</f>
        <v/>
      </c>
      <c r="L36" s="39">
        <f>IFERROR(IF(AND(I36="",J36="",K36=""),"",IF(I36="",0,I36)+IF(J36="",0,J36)+IF(K36="",0,K36)),"")</f>
        <v/>
      </c>
    </row>
    <row r="37">
      <c r="A37" s="19" t="n">
        <v>32</v>
      </c>
      <c r="B37" s="21">
        <f>IF(Starfsmenn!$B$37="","",Starfsmenn!$B$37)</f>
        <v/>
      </c>
      <c r="C37" s="21">
        <f>IF(Starfsmenn!$C$37="","",Starfsmenn!$C$37)</f>
        <v/>
      </c>
      <c r="D37" s="13">
        <f>IF(Starfsmenn!$D$37="","",Starfsmenn!$D$37)</f>
        <v/>
      </c>
      <c r="E37" s="30">
        <f>IF(Starfsmenn!$E$37="","",Starfsmenn!$E$37)</f>
        <v/>
      </c>
      <c r="F37" s="22">
        <f>IFERROR(IF(Starfsmenn!$C$37="","",IF(Starfsmenn!$C$37='Flokkun starfa'!$G$5,'Flokkun starfa'!$H$48,IF(Starfsmenn!$C$37='Flokkun starfa'!$I$5,'Flokkun starfa'!$J$48,IF(Starfsmenn!$C$37='Flokkun starfa'!$K$5,'Flokkun starfa'!$L$48,IF(Starfsmenn!$C$37='Flokkun starfa'!$M$5,'Flokkun starfa'!$N$48,IF(Starfsmenn!$C$37='Flokkun starfa'!$O$5,'Flokkun starfa'!$P$48,IF(Starfsmenn!$C$37='Flokkun starfa'!$Q$5,'Flokkun starfa'!$R$48,IF(Starfsmenn!$C$37='Flokkun starfa'!$S$5,'Flokkun starfa'!$T$48,IF(Starfsmenn!$C$37='Flokkun starfa'!$U$5,'Flokkun starfa'!$V$48,""))))))))),"")</f>
        <v/>
      </c>
      <c r="G37" s="30">
        <f>IFERROR('Flokkun starfsmanna'!$AH$38,0)</f>
        <v/>
      </c>
      <c r="H37" s="37">
        <f>IFERROR(IF(AND(F37="",G37=""),"",IF(F37="",0,F37)+IF(G37="",0,G37)),"")</f>
        <v/>
      </c>
      <c r="I37" s="38">
        <f>IF(Starfsmenn!$G$37="","",Starfsmenn!$G$37)</f>
        <v/>
      </c>
      <c r="J37" s="38">
        <f>IF(Starfsmenn!$I$37="","",Starfsmenn!$I$37)</f>
        <v/>
      </c>
      <c r="K37" s="38">
        <f>IF(Starfsmenn!$K$37="","",Starfsmenn!$K$37)</f>
        <v/>
      </c>
      <c r="L37" s="39">
        <f>IFERROR(IF(AND(I37="",J37="",K37=""),"",IF(I37="",0,I37)+IF(J37="",0,J37)+IF(K37="",0,K37)),"")</f>
        <v/>
      </c>
    </row>
    <row r="38">
      <c r="A38" s="19" t="n">
        <v>33</v>
      </c>
      <c r="B38" s="21">
        <f>IF(Starfsmenn!$B$38="","",Starfsmenn!$B$38)</f>
        <v/>
      </c>
      <c r="C38" s="21">
        <f>IF(Starfsmenn!$C$38="","",Starfsmenn!$C$38)</f>
        <v/>
      </c>
      <c r="D38" s="13">
        <f>IF(Starfsmenn!$D$38="","",Starfsmenn!$D$38)</f>
        <v/>
      </c>
      <c r="E38" s="30">
        <f>IF(Starfsmenn!$E$38="","",Starfsmenn!$E$38)</f>
        <v/>
      </c>
      <c r="F38" s="22">
        <f>IFERROR(IF(Starfsmenn!$C$38="","",IF(Starfsmenn!$C$38='Flokkun starfa'!$G$5,'Flokkun starfa'!$H$48,IF(Starfsmenn!$C$38='Flokkun starfa'!$I$5,'Flokkun starfa'!$J$48,IF(Starfsmenn!$C$38='Flokkun starfa'!$K$5,'Flokkun starfa'!$L$48,IF(Starfsmenn!$C$38='Flokkun starfa'!$M$5,'Flokkun starfa'!$N$48,IF(Starfsmenn!$C$38='Flokkun starfa'!$O$5,'Flokkun starfa'!$P$48,IF(Starfsmenn!$C$38='Flokkun starfa'!$Q$5,'Flokkun starfa'!$R$48,IF(Starfsmenn!$C$38='Flokkun starfa'!$S$5,'Flokkun starfa'!$T$48,IF(Starfsmenn!$C$38='Flokkun starfa'!$U$5,'Flokkun starfa'!$V$48,""))))))))),"")</f>
        <v/>
      </c>
      <c r="G38" s="30">
        <f>IFERROR('Flokkun starfsmanna'!$AH$39,0)</f>
        <v/>
      </c>
      <c r="H38" s="37">
        <f>IFERROR(IF(AND(F38="",G38=""),"",IF(F38="",0,F38)+IF(G38="",0,G38)),"")</f>
        <v/>
      </c>
      <c r="I38" s="38">
        <f>IF(Starfsmenn!$G$38="","",Starfsmenn!$G$38)</f>
        <v/>
      </c>
      <c r="J38" s="38">
        <f>IF(Starfsmenn!$I$38="","",Starfsmenn!$I$38)</f>
        <v/>
      </c>
      <c r="K38" s="38">
        <f>IF(Starfsmenn!$K$38="","",Starfsmenn!$K$38)</f>
        <v/>
      </c>
      <c r="L38" s="39">
        <f>IFERROR(IF(AND(I38="",J38="",K38=""),"",IF(I38="",0,I38)+IF(J38="",0,J38)+IF(K38="",0,K38)),"")</f>
        <v/>
      </c>
    </row>
    <row r="39">
      <c r="A39" s="19" t="n">
        <v>34</v>
      </c>
      <c r="B39" s="21">
        <f>IF(Starfsmenn!$B$39="","",Starfsmenn!$B$39)</f>
        <v/>
      </c>
      <c r="C39" s="21">
        <f>IF(Starfsmenn!$C$39="","",Starfsmenn!$C$39)</f>
        <v/>
      </c>
      <c r="D39" s="13">
        <f>IF(Starfsmenn!$D$39="","",Starfsmenn!$D$39)</f>
        <v/>
      </c>
      <c r="E39" s="30">
        <f>IF(Starfsmenn!$E$39="","",Starfsmenn!$E$39)</f>
        <v/>
      </c>
      <c r="F39" s="22">
        <f>IFERROR(IF(Starfsmenn!$C$39="","",IF(Starfsmenn!$C$39='Flokkun starfa'!$G$5,'Flokkun starfa'!$H$48,IF(Starfsmenn!$C$39='Flokkun starfa'!$I$5,'Flokkun starfa'!$J$48,IF(Starfsmenn!$C$39='Flokkun starfa'!$K$5,'Flokkun starfa'!$L$48,IF(Starfsmenn!$C$39='Flokkun starfa'!$M$5,'Flokkun starfa'!$N$48,IF(Starfsmenn!$C$39='Flokkun starfa'!$O$5,'Flokkun starfa'!$P$48,IF(Starfsmenn!$C$39='Flokkun starfa'!$Q$5,'Flokkun starfa'!$R$48,IF(Starfsmenn!$C$39='Flokkun starfa'!$S$5,'Flokkun starfa'!$T$48,IF(Starfsmenn!$C$39='Flokkun starfa'!$U$5,'Flokkun starfa'!$V$48,""))))))))),"")</f>
        <v/>
      </c>
      <c r="G39" s="30">
        <f>IFERROR('Flokkun starfsmanna'!$AH$40,0)</f>
        <v/>
      </c>
      <c r="H39" s="37">
        <f>IFERROR(IF(AND(F39="",G39=""),"",IF(F39="",0,F39)+IF(G39="",0,G39)),"")</f>
        <v/>
      </c>
      <c r="I39" s="38">
        <f>IF(Starfsmenn!$G$39="","",Starfsmenn!$G$39)</f>
        <v/>
      </c>
      <c r="J39" s="38">
        <f>IF(Starfsmenn!$I$39="","",Starfsmenn!$I$39)</f>
        <v/>
      </c>
      <c r="K39" s="38">
        <f>IF(Starfsmenn!$K$39="","",Starfsmenn!$K$39)</f>
        <v/>
      </c>
      <c r="L39" s="39">
        <f>IFERROR(IF(AND(I39="",J39="",K39=""),"",IF(I39="",0,I39)+IF(J39="",0,J39)+IF(K39="",0,K39)),"")</f>
        <v/>
      </c>
    </row>
    <row r="40">
      <c r="A40" s="19" t="n">
        <v>35</v>
      </c>
      <c r="B40" s="21">
        <f>IF(Starfsmenn!$B$40="","",Starfsmenn!$B$40)</f>
        <v/>
      </c>
      <c r="C40" s="21">
        <f>IF(Starfsmenn!$C$40="","",Starfsmenn!$C$40)</f>
        <v/>
      </c>
      <c r="D40" s="13">
        <f>IF(Starfsmenn!$D$40="","",Starfsmenn!$D$40)</f>
        <v/>
      </c>
      <c r="E40" s="30">
        <f>IF(Starfsmenn!$E$40="","",Starfsmenn!$E$40)</f>
        <v/>
      </c>
      <c r="F40" s="22">
        <f>IFERROR(IF(Starfsmenn!$C$40="","",IF(Starfsmenn!$C$40='Flokkun starfa'!$G$5,'Flokkun starfa'!$H$48,IF(Starfsmenn!$C$40='Flokkun starfa'!$I$5,'Flokkun starfa'!$J$48,IF(Starfsmenn!$C$40='Flokkun starfa'!$K$5,'Flokkun starfa'!$L$48,IF(Starfsmenn!$C$40='Flokkun starfa'!$M$5,'Flokkun starfa'!$N$48,IF(Starfsmenn!$C$40='Flokkun starfa'!$O$5,'Flokkun starfa'!$P$48,IF(Starfsmenn!$C$40='Flokkun starfa'!$Q$5,'Flokkun starfa'!$R$48,IF(Starfsmenn!$C$40='Flokkun starfa'!$S$5,'Flokkun starfa'!$T$48,IF(Starfsmenn!$C$40='Flokkun starfa'!$U$5,'Flokkun starfa'!$V$48,""))))))))),"")</f>
        <v/>
      </c>
      <c r="G40" s="30">
        <f>IFERROR('Flokkun starfsmanna'!$AH$41,0)</f>
        <v/>
      </c>
      <c r="H40" s="37">
        <f>IFERROR(IF(AND(F40="",G40=""),"",IF(F40="",0,F40)+IF(G40="",0,G40)),"")</f>
        <v/>
      </c>
      <c r="I40" s="38">
        <f>IF(Starfsmenn!$G$40="","",Starfsmenn!$G$40)</f>
        <v/>
      </c>
      <c r="J40" s="38">
        <f>IF(Starfsmenn!$I$40="","",Starfsmenn!$I$40)</f>
        <v/>
      </c>
      <c r="K40" s="38">
        <f>IF(Starfsmenn!$K$40="","",Starfsmenn!$K$40)</f>
        <v/>
      </c>
      <c r="L40" s="39">
        <f>IFERROR(IF(AND(I40="",J40="",K40=""),"",IF(I40="",0,I40)+IF(J40="",0,J40)+IF(K40="",0,K40)),"")</f>
        <v/>
      </c>
    </row>
    <row r="41">
      <c r="A41" s="19" t="n">
        <v>36</v>
      </c>
      <c r="B41" s="21">
        <f>IF(Starfsmenn!$B$41="","",Starfsmenn!$B$41)</f>
        <v/>
      </c>
      <c r="C41" s="21">
        <f>IF(Starfsmenn!$C$41="","",Starfsmenn!$C$41)</f>
        <v/>
      </c>
      <c r="D41" s="13">
        <f>IF(Starfsmenn!$D$41="","",Starfsmenn!$D$41)</f>
        <v/>
      </c>
      <c r="E41" s="30">
        <f>IF(Starfsmenn!$E$41="","",Starfsmenn!$E$41)</f>
        <v/>
      </c>
      <c r="F41" s="22">
        <f>IFERROR(IF(Starfsmenn!$C$41="","",IF(Starfsmenn!$C$41='Flokkun starfa'!$G$5,'Flokkun starfa'!$H$48,IF(Starfsmenn!$C$41='Flokkun starfa'!$I$5,'Flokkun starfa'!$J$48,IF(Starfsmenn!$C$41='Flokkun starfa'!$K$5,'Flokkun starfa'!$L$48,IF(Starfsmenn!$C$41='Flokkun starfa'!$M$5,'Flokkun starfa'!$N$48,IF(Starfsmenn!$C$41='Flokkun starfa'!$O$5,'Flokkun starfa'!$P$48,IF(Starfsmenn!$C$41='Flokkun starfa'!$Q$5,'Flokkun starfa'!$R$48,IF(Starfsmenn!$C$41='Flokkun starfa'!$S$5,'Flokkun starfa'!$T$48,IF(Starfsmenn!$C$41='Flokkun starfa'!$U$5,'Flokkun starfa'!$V$48,""))))))))),"")</f>
        <v/>
      </c>
      <c r="G41" s="30">
        <f>IFERROR('Flokkun starfsmanna'!$AH$42,0)</f>
        <v/>
      </c>
      <c r="H41" s="37">
        <f>IFERROR(IF(AND(F41="",G41=""),"",IF(F41="",0,F41)+IF(G41="",0,G41)),"")</f>
        <v/>
      </c>
      <c r="I41" s="38">
        <f>IF(Starfsmenn!$G$41="","",Starfsmenn!$G$41)</f>
        <v/>
      </c>
      <c r="J41" s="38">
        <f>IF(Starfsmenn!$I$41="","",Starfsmenn!$I$41)</f>
        <v/>
      </c>
      <c r="K41" s="38">
        <f>IF(Starfsmenn!$K$41="","",Starfsmenn!$K$41)</f>
        <v/>
      </c>
      <c r="L41" s="39">
        <f>IFERROR(IF(AND(I41="",J41="",K41=""),"",IF(I41="",0,I41)+IF(J41="",0,J41)+IF(K41="",0,K41)),"")</f>
        <v/>
      </c>
    </row>
    <row r="42">
      <c r="A42" s="19" t="n">
        <v>37</v>
      </c>
      <c r="B42" s="21">
        <f>IF(Starfsmenn!$B$42="","",Starfsmenn!$B$42)</f>
        <v/>
      </c>
      <c r="C42" s="21">
        <f>IF(Starfsmenn!$C$42="","",Starfsmenn!$C$42)</f>
        <v/>
      </c>
      <c r="D42" s="13">
        <f>IF(Starfsmenn!$D$42="","",Starfsmenn!$D$42)</f>
        <v/>
      </c>
      <c r="E42" s="30">
        <f>IF(Starfsmenn!$E$42="","",Starfsmenn!$E$42)</f>
        <v/>
      </c>
      <c r="F42" s="22">
        <f>IFERROR(IF(Starfsmenn!$C$42="","",IF(Starfsmenn!$C$42='Flokkun starfa'!$G$5,'Flokkun starfa'!$H$48,IF(Starfsmenn!$C$42='Flokkun starfa'!$I$5,'Flokkun starfa'!$J$48,IF(Starfsmenn!$C$42='Flokkun starfa'!$K$5,'Flokkun starfa'!$L$48,IF(Starfsmenn!$C$42='Flokkun starfa'!$M$5,'Flokkun starfa'!$N$48,IF(Starfsmenn!$C$42='Flokkun starfa'!$O$5,'Flokkun starfa'!$P$48,IF(Starfsmenn!$C$42='Flokkun starfa'!$Q$5,'Flokkun starfa'!$R$48,IF(Starfsmenn!$C$42='Flokkun starfa'!$S$5,'Flokkun starfa'!$T$48,IF(Starfsmenn!$C$42='Flokkun starfa'!$U$5,'Flokkun starfa'!$V$48,""))))))))),"")</f>
        <v/>
      </c>
      <c r="G42" s="30">
        <f>IFERROR('Flokkun starfsmanna'!$AH$43,0)</f>
        <v/>
      </c>
      <c r="H42" s="37">
        <f>IFERROR(IF(AND(F42="",G42=""),"",IF(F42="",0,F42)+IF(G42="",0,G42)),"")</f>
        <v/>
      </c>
      <c r="I42" s="38">
        <f>IF(Starfsmenn!$G$42="","",Starfsmenn!$G$42)</f>
        <v/>
      </c>
      <c r="J42" s="38">
        <f>IF(Starfsmenn!$I$42="","",Starfsmenn!$I$42)</f>
        <v/>
      </c>
      <c r="K42" s="38">
        <f>IF(Starfsmenn!$K$42="","",Starfsmenn!$K$42)</f>
        <v/>
      </c>
      <c r="L42" s="39">
        <f>IFERROR(IF(AND(I42="",J42="",K42=""),"",IF(I42="",0,I42)+IF(J42="",0,J42)+IF(K42="",0,K42)),"")</f>
        <v/>
      </c>
    </row>
    <row r="43">
      <c r="A43" s="19" t="n">
        <v>38</v>
      </c>
      <c r="B43" s="21">
        <f>IF(Starfsmenn!$B$43="","",Starfsmenn!$B$43)</f>
        <v/>
      </c>
      <c r="C43" s="21">
        <f>IF(Starfsmenn!$C$43="","",Starfsmenn!$C$43)</f>
        <v/>
      </c>
      <c r="D43" s="13">
        <f>IF(Starfsmenn!$D$43="","",Starfsmenn!$D$43)</f>
        <v/>
      </c>
      <c r="E43" s="30">
        <f>IF(Starfsmenn!$E$43="","",Starfsmenn!$E$43)</f>
        <v/>
      </c>
      <c r="F43" s="22">
        <f>IFERROR(IF(Starfsmenn!$C$43="","",IF(Starfsmenn!$C$43='Flokkun starfa'!$G$5,'Flokkun starfa'!$H$48,IF(Starfsmenn!$C$43='Flokkun starfa'!$I$5,'Flokkun starfa'!$J$48,IF(Starfsmenn!$C$43='Flokkun starfa'!$K$5,'Flokkun starfa'!$L$48,IF(Starfsmenn!$C$43='Flokkun starfa'!$M$5,'Flokkun starfa'!$N$48,IF(Starfsmenn!$C$43='Flokkun starfa'!$O$5,'Flokkun starfa'!$P$48,IF(Starfsmenn!$C$43='Flokkun starfa'!$Q$5,'Flokkun starfa'!$R$48,IF(Starfsmenn!$C$43='Flokkun starfa'!$S$5,'Flokkun starfa'!$T$48,IF(Starfsmenn!$C$43='Flokkun starfa'!$U$5,'Flokkun starfa'!$V$48,""))))))))),"")</f>
        <v/>
      </c>
      <c r="G43" s="30">
        <f>IFERROR('Flokkun starfsmanna'!$AH$44,0)</f>
        <v/>
      </c>
      <c r="H43" s="37">
        <f>IFERROR(IF(AND(F43="",G43=""),"",IF(F43="",0,F43)+IF(G43="",0,G43)),"")</f>
        <v/>
      </c>
      <c r="I43" s="38">
        <f>IF(Starfsmenn!$G$43="","",Starfsmenn!$G$43)</f>
        <v/>
      </c>
      <c r="J43" s="38">
        <f>IF(Starfsmenn!$I$43="","",Starfsmenn!$I$43)</f>
        <v/>
      </c>
      <c r="K43" s="38">
        <f>IF(Starfsmenn!$K$43="","",Starfsmenn!$K$43)</f>
        <v/>
      </c>
      <c r="L43" s="39">
        <f>IFERROR(IF(AND(I43="",J43="",K43=""),"",IF(I43="",0,I43)+IF(J43="",0,J43)+IF(K43="",0,K43)),"")</f>
        <v/>
      </c>
    </row>
    <row r="44">
      <c r="A44" s="19" t="n">
        <v>39</v>
      </c>
      <c r="B44" s="21">
        <f>IF(Starfsmenn!$B$44="","",Starfsmenn!$B$44)</f>
        <v/>
      </c>
      <c r="C44" s="21">
        <f>IF(Starfsmenn!$C$44="","",Starfsmenn!$C$44)</f>
        <v/>
      </c>
      <c r="D44" s="13">
        <f>IF(Starfsmenn!$D$44="","",Starfsmenn!$D$44)</f>
        <v/>
      </c>
      <c r="E44" s="30">
        <f>IF(Starfsmenn!$E$44="","",Starfsmenn!$E$44)</f>
        <v/>
      </c>
      <c r="F44" s="22">
        <f>IFERROR(IF(Starfsmenn!$C$44="","",IF(Starfsmenn!$C$44='Flokkun starfa'!$G$5,'Flokkun starfa'!$H$48,IF(Starfsmenn!$C$44='Flokkun starfa'!$I$5,'Flokkun starfa'!$J$48,IF(Starfsmenn!$C$44='Flokkun starfa'!$K$5,'Flokkun starfa'!$L$48,IF(Starfsmenn!$C$44='Flokkun starfa'!$M$5,'Flokkun starfa'!$N$48,IF(Starfsmenn!$C$44='Flokkun starfa'!$O$5,'Flokkun starfa'!$P$48,IF(Starfsmenn!$C$44='Flokkun starfa'!$Q$5,'Flokkun starfa'!$R$48,IF(Starfsmenn!$C$44='Flokkun starfa'!$S$5,'Flokkun starfa'!$T$48,IF(Starfsmenn!$C$44='Flokkun starfa'!$U$5,'Flokkun starfa'!$V$48,""))))))))),"")</f>
        <v/>
      </c>
      <c r="G44" s="30">
        <f>IFERROR('Flokkun starfsmanna'!$AH$45,0)</f>
        <v/>
      </c>
      <c r="H44" s="37">
        <f>IFERROR(IF(AND(F44="",G44=""),"",IF(F44="",0,F44)+IF(G44="",0,G44)),"")</f>
        <v/>
      </c>
      <c r="I44" s="38">
        <f>IF(Starfsmenn!$G$44="","",Starfsmenn!$G$44)</f>
        <v/>
      </c>
      <c r="J44" s="38">
        <f>IF(Starfsmenn!$I$44="","",Starfsmenn!$I$44)</f>
        <v/>
      </c>
      <c r="K44" s="38">
        <f>IF(Starfsmenn!$K$44="","",Starfsmenn!$K$44)</f>
        <v/>
      </c>
      <c r="L44" s="39">
        <f>IFERROR(IF(AND(I44="",J44="",K44=""),"",IF(I44="",0,I44)+IF(J44="",0,J44)+IF(K44="",0,K44)),"")</f>
        <v/>
      </c>
    </row>
    <row r="45">
      <c r="A45" s="19" t="n">
        <v>40</v>
      </c>
      <c r="B45" s="21">
        <f>IF(Starfsmenn!$B$45="","",Starfsmenn!$B$45)</f>
        <v/>
      </c>
      <c r="C45" s="21">
        <f>IF(Starfsmenn!$C$45="","",Starfsmenn!$C$45)</f>
        <v/>
      </c>
      <c r="D45" s="13">
        <f>IF(Starfsmenn!$D$45="","",Starfsmenn!$D$45)</f>
        <v/>
      </c>
      <c r="E45" s="30">
        <f>IF(Starfsmenn!$E$45="","",Starfsmenn!$E$45)</f>
        <v/>
      </c>
      <c r="F45" s="22">
        <f>IFERROR(IF(Starfsmenn!$C$45="","",IF(Starfsmenn!$C$45='Flokkun starfa'!$G$5,'Flokkun starfa'!$H$48,IF(Starfsmenn!$C$45='Flokkun starfa'!$I$5,'Flokkun starfa'!$J$48,IF(Starfsmenn!$C$45='Flokkun starfa'!$K$5,'Flokkun starfa'!$L$48,IF(Starfsmenn!$C$45='Flokkun starfa'!$M$5,'Flokkun starfa'!$N$48,IF(Starfsmenn!$C$45='Flokkun starfa'!$O$5,'Flokkun starfa'!$P$48,IF(Starfsmenn!$C$45='Flokkun starfa'!$Q$5,'Flokkun starfa'!$R$48,IF(Starfsmenn!$C$45='Flokkun starfa'!$S$5,'Flokkun starfa'!$T$48,IF(Starfsmenn!$C$45='Flokkun starfa'!$U$5,'Flokkun starfa'!$V$48,""))))))))),"")</f>
        <v/>
      </c>
      <c r="G45" s="30">
        <f>IFERROR('Flokkun starfsmanna'!$AH$46,0)</f>
        <v/>
      </c>
      <c r="H45" s="37">
        <f>IFERROR(IF(AND(F45="",G45=""),"",IF(F45="",0,F45)+IF(G45="",0,G45)),"")</f>
        <v/>
      </c>
      <c r="I45" s="38">
        <f>IF(Starfsmenn!$G$45="","",Starfsmenn!$G$45)</f>
        <v/>
      </c>
      <c r="J45" s="38">
        <f>IF(Starfsmenn!$I$45="","",Starfsmenn!$I$45)</f>
        <v/>
      </c>
      <c r="K45" s="38">
        <f>IF(Starfsmenn!$K$45="","",Starfsmenn!$K$45)</f>
        <v/>
      </c>
      <c r="L45" s="39">
        <f>IFERROR(IF(AND(I45="",J45="",K45=""),"",IF(I45="",0,I45)+IF(J45="",0,J45)+IF(K45="",0,K45)),"")</f>
        <v/>
      </c>
    </row>
    <row r="46">
      <c r="A46" s="19" t="n">
        <v>41</v>
      </c>
      <c r="B46" s="21">
        <f>IF(Starfsmenn!$B$46="","",Starfsmenn!$B$46)</f>
        <v/>
      </c>
      <c r="C46" s="21">
        <f>IF(Starfsmenn!$C$46="","",Starfsmenn!$C$46)</f>
        <v/>
      </c>
      <c r="D46" s="13">
        <f>IF(Starfsmenn!$D$46="","",Starfsmenn!$D$46)</f>
        <v/>
      </c>
      <c r="E46" s="30">
        <f>IF(Starfsmenn!$E$46="","",Starfsmenn!$E$46)</f>
        <v/>
      </c>
      <c r="F46" s="22">
        <f>IFERROR(IF(Starfsmenn!$C$46="","",IF(Starfsmenn!$C$46='Flokkun starfa'!$G$5,'Flokkun starfa'!$H$48,IF(Starfsmenn!$C$46='Flokkun starfa'!$I$5,'Flokkun starfa'!$J$48,IF(Starfsmenn!$C$46='Flokkun starfa'!$K$5,'Flokkun starfa'!$L$48,IF(Starfsmenn!$C$46='Flokkun starfa'!$M$5,'Flokkun starfa'!$N$48,IF(Starfsmenn!$C$46='Flokkun starfa'!$O$5,'Flokkun starfa'!$P$48,IF(Starfsmenn!$C$46='Flokkun starfa'!$Q$5,'Flokkun starfa'!$R$48,IF(Starfsmenn!$C$46='Flokkun starfa'!$S$5,'Flokkun starfa'!$T$48,IF(Starfsmenn!$C$46='Flokkun starfa'!$U$5,'Flokkun starfa'!$V$48,""))))))))),"")</f>
        <v/>
      </c>
      <c r="G46" s="30">
        <f>IFERROR('Flokkun starfsmanna'!$AH$47,0)</f>
        <v/>
      </c>
      <c r="H46" s="37">
        <f>IFERROR(IF(AND(F46="",G46=""),"",IF(F46="",0,F46)+IF(G46="",0,G46)),"")</f>
        <v/>
      </c>
      <c r="I46" s="38">
        <f>IF(Starfsmenn!$G$46="","",Starfsmenn!$G$46)</f>
        <v/>
      </c>
      <c r="J46" s="38">
        <f>IF(Starfsmenn!$I$46="","",Starfsmenn!$I$46)</f>
        <v/>
      </c>
      <c r="K46" s="38">
        <f>IF(Starfsmenn!$K$46="","",Starfsmenn!$K$46)</f>
        <v/>
      </c>
      <c r="L46" s="39">
        <f>IFERROR(IF(AND(I46="",J46="",K46=""),"",IF(I46="",0,I46)+IF(J46="",0,J46)+IF(K46="",0,K46)),"")</f>
        <v/>
      </c>
    </row>
    <row r="47">
      <c r="A47" s="19" t="n">
        <v>42</v>
      </c>
      <c r="B47" s="21">
        <f>IF(Starfsmenn!$B$47="","",Starfsmenn!$B$47)</f>
        <v/>
      </c>
      <c r="C47" s="21">
        <f>IF(Starfsmenn!$C$47="","",Starfsmenn!$C$47)</f>
        <v/>
      </c>
      <c r="D47" s="13">
        <f>IF(Starfsmenn!$D$47="","",Starfsmenn!$D$47)</f>
        <v/>
      </c>
      <c r="E47" s="30">
        <f>IF(Starfsmenn!$E$47="","",Starfsmenn!$E$47)</f>
        <v/>
      </c>
      <c r="F47" s="22">
        <f>IFERROR(IF(Starfsmenn!$C$47="","",IF(Starfsmenn!$C$47='Flokkun starfa'!$G$5,'Flokkun starfa'!$H$48,IF(Starfsmenn!$C$47='Flokkun starfa'!$I$5,'Flokkun starfa'!$J$48,IF(Starfsmenn!$C$47='Flokkun starfa'!$K$5,'Flokkun starfa'!$L$48,IF(Starfsmenn!$C$47='Flokkun starfa'!$M$5,'Flokkun starfa'!$N$48,IF(Starfsmenn!$C$47='Flokkun starfa'!$O$5,'Flokkun starfa'!$P$48,IF(Starfsmenn!$C$47='Flokkun starfa'!$Q$5,'Flokkun starfa'!$R$48,IF(Starfsmenn!$C$47='Flokkun starfa'!$S$5,'Flokkun starfa'!$T$48,IF(Starfsmenn!$C$47='Flokkun starfa'!$U$5,'Flokkun starfa'!$V$48,""))))))))),"")</f>
        <v/>
      </c>
      <c r="G47" s="30">
        <f>IFERROR('Flokkun starfsmanna'!$AH$48,0)</f>
        <v/>
      </c>
      <c r="H47" s="37">
        <f>IFERROR(IF(AND(F47="",G47=""),"",IF(F47="",0,F47)+IF(G47="",0,G47)),"")</f>
        <v/>
      </c>
      <c r="I47" s="38">
        <f>IF(Starfsmenn!$G$47="","",Starfsmenn!$G$47)</f>
        <v/>
      </c>
      <c r="J47" s="38">
        <f>IF(Starfsmenn!$I$47="","",Starfsmenn!$I$47)</f>
        <v/>
      </c>
      <c r="K47" s="38">
        <f>IF(Starfsmenn!$K$47="","",Starfsmenn!$K$47)</f>
        <v/>
      </c>
      <c r="L47" s="39">
        <f>IFERROR(IF(AND(I47="",J47="",K47=""),"",IF(I47="",0,I47)+IF(J47="",0,J47)+IF(K47="",0,K47)),"")</f>
        <v/>
      </c>
    </row>
    <row r="48">
      <c r="A48" s="19" t="n">
        <v>43</v>
      </c>
      <c r="B48" s="21">
        <f>IF(Starfsmenn!$B$48="","",Starfsmenn!$B$48)</f>
        <v/>
      </c>
      <c r="C48" s="21">
        <f>IF(Starfsmenn!$C$48="","",Starfsmenn!$C$48)</f>
        <v/>
      </c>
      <c r="D48" s="13">
        <f>IF(Starfsmenn!$D$48="","",Starfsmenn!$D$48)</f>
        <v/>
      </c>
      <c r="E48" s="30">
        <f>IF(Starfsmenn!$E$48="","",Starfsmenn!$E$48)</f>
        <v/>
      </c>
      <c r="F48" s="22">
        <f>IFERROR(IF(Starfsmenn!$C$48="","",IF(Starfsmenn!$C$48='Flokkun starfa'!$G$5,'Flokkun starfa'!$H$48,IF(Starfsmenn!$C$48='Flokkun starfa'!$I$5,'Flokkun starfa'!$J$48,IF(Starfsmenn!$C$48='Flokkun starfa'!$K$5,'Flokkun starfa'!$L$48,IF(Starfsmenn!$C$48='Flokkun starfa'!$M$5,'Flokkun starfa'!$N$48,IF(Starfsmenn!$C$48='Flokkun starfa'!$O$5,'Flokkun starfa'!$P$48,IF(Starfsmenn!$C$48='Flokkun starfa'!$Q$5,'Flokkun starfa'!$R$48,IF(Starfsmenn!$C$48='Flokkun starfa'!$S$5,'Flokkun starfa'!$T$48,IF(Starfsmenn!$C$48='Flokkun starfa'!$U$5,'Flokkun starfa'!$V$48,""))))))))),"")</f>
        <v/>
      </c>
      <c r="G48" s="30">
        <f>IFERROR('Flokkun starfsmanna'!$AH$49,0)</f>
        <v/>
      </c>
      <c r="H48" s="37">
        <f>IFERROR(IF(AND(F48="",G48=""),"",IF(F48="",0,F48)+IF(G48="",0,G48)),"")</f>
        <v/>
      </c>
      <c r="I48" s="38">
        <f>IF(Starfsmenn!$G$48="","",Starfsmenn!$G$48)</f>
        <v/>
      </c>
      <c r="J48" s="38">
        <f>IF(Starfsmenn!$I$48="","",Starfsmenn!$I$48)</f>
        <v/>
      </c>
      <c r="K48" s="38">
        <f>IF(Starfsmenn!$K$48="","",Starfsmenn!$K$48)</f>
        <v/>
      </c>
      <c r="L48" s="39">
        <f>IFERROR(IF(AND(I48="",J48="",K48=""),"",IF(I48="",0,I48)+IF(J48="",0,J48)+IF(K48="",0,K48)),"")</f>
        <v/>
      </c>
    </row>
    <row r="49">
      <c r="A49" s="19" t="n">
        <v>44</v>
      </c>
      <c r="B49" s="21">
        <f>IF(Starfsmenn!$B$49="","",Starfsmenn!$B$49)</f>
        <v/>
      </c>
      <c r="C49" s="21">
        <f>IF(Starfsmenn!$C$49="","",Starfsmenn!$C$49)</f>
        <v/>
      </c>
      <c r="D49" s="13">
        <f>IF(Starfsmenn!$D$49="","",Starfsmenn!$D$49)</f>
        <v/>
      </c>
      <c r="E49" s="30">
        <f>IF(Starfsmenn!$E$49="","",Starfsmenn!$E$49)</f>
        <v/>
      </c>
      <c r="F49" s="22">
        <f>IFERROR(IF(Starfsmenn!$C$49="","",IF(Starfsmenn!$C$49='Flokkun starfa'!$G$5,'Flokkun starfa'!$H$48,IF(Starfsmenn!$C$49='Flokkun starfa'!$I$5,'Flokkun starfa'!$J$48,IF(Starfsmenn!$C$49='Flokkun starfa'!$K$5,'Flokkun starfa'!$L$48,IF(Starfsmenn!$C$49='Flokkun starfa'!$M$5,'Flokkun starfa'!$N$48,IF(Starfsmenn!$C$49='Flokkun starfa'!$O$5,'Flokkun starfa'!$P$48,IF(Starfsmenn!$C$49='Flokkun starfa'!$Q$5,'Flokkun starfa'!$R$48,IF(Starfsmenn!$C$49='Flokkun starfa'!$S$5,'Flokkun starfa'!$T$48,IF(Starfsmenn!$C$49='Flokkun starfa'!$U$5,'Flokkun starfa'!$V$48,""))))))))),"")</f>
        <v/>
      </c>
      <c r="G49" s="30">
        <f>IFERROR('Flokkun starfsmanna'!$AH$50,0)</f>
        <v/>
      </c>
      <c r="H49" s="37">
        <f>IFERROR(IF(AND(F49="",G49=""),"",IF(F49="",0,F49)+IF(G49="",0,G49)),"")</f>
        <v/>
      </c>
      <c r="I49" s="38">
        <f>IF(Starfsmenn!$G$49="","",Starfsmenn!$G$49)</f>
        <v/>
      </c>
      <c r="J49" s="38">
        <f>IF(Starfsmenn!$I$49="","",Starfsmenn!$I$49)</f>
        <v/>
      </c>
      <c r="K49" s="38">
        <f>IF(Starfsmenn!$K$49="","",Starfsmenn!$K$49)</f>
        <v/>
      </c>
      <c r="L49" s="39">
        <f>IFERROR(IF(AND(I49="",J49="",K49=""),"",IF(I49="",0,I49)+IF(J49="",0,J49)+IF(K49="",0,K49)),"")</f>
        <v/>
      </c>
    </row>
    <row r="50">
      <c r="A50" s="19" t="n">
        <v>45</v>
      </c>
      <c r="B50" s="21">
        <f>IF(Starfsmenn!$B$50="","",Starfsmenn!$B$50)</f>
        <v/>
      </c>
      <c r="C50" s="21">
        <f>IF(Starfsmenn!$C$50="","",Starfsmenn!$C$50)</f>
        <v/>
      </c>
      <c r="D50" s="13">
        <f>IF(Starfsmenn!$D$50="","",Starfsmenn!$D$50)</f>
        <v/>
      </c>
      <c r="E50" s="30">
        <f>IF(Starfsmenn!$E$50="","",Starfsmenn!$E$50)</f>
        <v/>
      </c>
      <c r="F50" s="22">
        <f>IFERROR(IF(Starfsmenn!$C$50="","",IF(Starfsmenn!$C$50='Flokkun starfa'!$G$5,'Flokkun starfa'!$H$48,IF(Starfsmenn!$C$50='Flokkun starfa'!$I$5,'Flokkun starfa'!$J$48,IF(Starfsmenn!$C$50='Flokkun starfa'!$K$5,'Flokkun starfa'!$L$48,IF(Starfsmenn!$C$50='Flokkun starfa'!$M$5,'Flokkun starfa'!$N$48,IF(Starfsmenn!$C$50='Flokkun starfa'!$O$5,'Flokkun starfa'!$P$48,IF(Starfsmenn!$C$50='Flokkun starfa'!$Q$5,'Flokkun starfa'!$R$48,IF(Starfsmenn!$C$50='Flokkun starfa'!$S$5,'Flokkun starfa'!$T$48,IF(Starfsmenn!$C$50='Flokkun starfa'!$U$5,'Flokkun starfa'!$V$48,""))))))))),"")</f>
        <v/>
      </c>
      <c r="G50" s="30">
        <f>IFERROR('Flokkun starfsmanna'!$AH$51,0)</f>
        <v/>
      </c>
      <c r="H50" s="37">
        <f>IFERROR(IF(AND(F50="",G50=""),"",IF(F50="",0,F50)+IF(G50="",0,G50)),"")</f>
        <v/>
      </c>
      <c r="I50" s="38">
        <f>IF(Starfsmenn!$G$50="","",Starfsmenn!$G$50)</f>
        <v/>
      </c>
      <c r="J50" s="38">
        <f>IF(Starfsmenn!$I$50="","",Starfsmenn!$I$50)</f>
        <v/>
      </c>
      <c r="K50" s="38">
        <f>IF(Starfsmenn!$K$50="","",Starfsmenn!$K$50)</f>
        <v/>
      </c>
      <c r="L50" s="39">
        <f>IFERROR(IF(AND(I50="",J50="",K50=""),"",IF(I50="",0,I50)+IF(J50="",0,J50)+IF(K50="",0,K50)),"")</f>
        <v/>
      </c>
    </row>
    <row r="51">
      <c r="A51" s="19" t="n">
        <v>46</v>
      </c>
      <c r="B51" s="21">
        <f>IF(Starfsmenn!$B$51="","",Starfsmenn!$B$51)</f>
        <v/>
      </c>
      <c r="C51" s="21">
        <f>IF(Starfsmenn!$C$51="","",Starfsmenn!$C$51)</f>
        <v/>
      </c>
      <c r="D51" s="13">
        <f>IF(Starfsmenn!$D$51="","",Starfsmenn!$D$51)</f>
        <v/>
      </c>
      <c r="E51" s="30">
        <f>IF(Starfsmenn!$E$51="","",Starfsmenn!$E$51)</f>
        <v/>
      </c>
      <c r="F51" s="22">
        <f>IFERROR(IF(Starfsmenn!$C$51="","",IF(Starfsmenn!$C$51='Flokkun starfa'!$G$5,'Flokkun starfa'!$H$48,IF(Starfsmenn!$C$51='Flokkun starfa'!$I$5,'Flokkun starfa'!$J$48,IF(Starfsmenn!$C$51='Flokkun starfa'!$K$5,'Flokkun starfa'!$L$48,IF(Starfsmenn!$C$51='Flokkun starfa'!$M$5,'Flokkun starfa'!$N$48,IF(Starfsmenn!$C$51='Flokkun starfa'!$O$5,'Flokkun starfa'!$P$48,IF(Starfsmenn!$C$51='Flokkun starfa'!$Q$5,'Flokkun starfa'!$R$48,IF(Starfsmenn!$C$51='Flokkun starfa'!$S$5,'Flokkun starfa'!$T$48,IF(Starfsmenn!$C$51='Flokkun starfa'!$U$5,'Flokkun starfa'!$V$48,""))))))))),"")</f>
        <v/>
      </c>
      <c r="G51" s="30">
        <f>IFERROR('Flokkun starfsmanna'!$AH$52,0)</f>
        <v/>
      </c>
      <c r="H51" s="37">
        <f>IFERROR(IF(AND(F51="",G51=""),"",IF(F51="",0,F51)+IF(G51="",0,G51)),"")</f>
        <v/>
      </c>
      <c r="I51" s="38">
        <f>IF(Starfsmenn!$G$51="","",Starfsmenn!$G$51)</f>
        <v/>
      </c>
      <c r="J51" s="38">
        <f>IF(Starfsmenn!$I$51="","",Starfsmenn!$I$51)</f>
        <v/>
      </c>
      <c r="K51" s="38">
        <f>IF(Starfsmenn!$K$51="","",Starfsmenn!$K$51)</f>
        <v/>
      </c>
      <c r="L51" s="39">
        <f>IFERROR(IF(AND(I51="",J51="",K51=""),"",IF(I51="",0,I51)+IF(J51="",0,J51)+IF(K51="",0,K51)),"")</f>
        <v/>
      </c>
    </row>
    <row r="52">
      <c r="A52" s="19" t="n">
        <v>47</v>
      </c>
      <c r="B52" s="21">
        <f>IF(Starfsmenn!$B$52="","",Starfsmenn!$B$52)</f>
        <v/>
      </c>
      <c r="C52" s="21">
        <f>IF(Starfsmenn!$C$52="","",Starfsmenn!$C$52)</f>
        <v/>
      </c>
      <c r="D52" s="13">
        <f>IF(Starfsmenn!$D$52="","",Starfsmenn!$D$52)</f>
        <v/>
      </c>
      <c r="E52" s="30">
        <f>IF(Starfsmenn!$E$52="","",Starfsmenn!$E$52)</f>
        <v/>
      </c>
      <c r="F52" s="22">
        <f>IFERROR(IF(Starfsmenn!$C$52="","",IF(Starfsmenn!$C$52='Flokkun starfa'!$G$5,'Flokkun starfa'!$H$48,IF(Starfsmenn!$C$52='Flokkun starfa'!$I$5,'Flokkun starfa'!$J$48,IF(Starfsmenn!$C$52='Flokkun starfa'!$K$5,'Flokkun starfa'!$L$48,IF(Starfsmenn!$C$52='Flokkun starfa'!$M$5,'Flokkun starfa'!$N$48,IF(Starfsmenn!$C$52='Flokkun starfa'!$O$5,'Flokkun starfa'!$P$48,IF(Starfsmenn!$C$52='Flokkun starfa'!$Q$5,'Flokkun starfa'!$R$48,IF(Starfsmenn!$C$52='Flokkun starfa'!$S$5,'Flokkun starfa'!$T$48,IF(Starfsmenn!$C$52='Flokkun starfa'!$U$5,'Flokkun starfa'!$V$48,""))))))))),"")</f>
        <v/>
      </c>
      <c r="G52" s="30">
        <f>IFERROR('Flokkun starfsmanna'!$AH$53,0)</f>
        <v/>
      </c>
      <c r="H52" s="37">
        <f>IFERROR(IF(AND(F52="",G52=""),"",IF(F52="",0,F52)+IF(G52="",0,G52)),"")</f>
        <v/>
      </c>
      <c r="I52" s="38">
        <f>IF(Starfsmenn!$G$52="","",Starfsmenn!$G$52)</f>
        <v/>
      </c>
      <c r="J52" s="38">
        <f>IF(Starfsmenn!$I$52="","",Starfsmenn!$I$52)</f>
        <v/>
      </c>
      <c r="K52" s="38">
        <f>IF(Starfsmenn!$K$52="","",Starfsmenn!$K$52)</f>
        <v/>
      </c>
      <c r="L52" s="39">
        <f>IFERROR(IF(AND(I52="",J52="",K52=""),"",IF(I52="",0,I52)+IF(J52="",0,J52)+IF(K52="",0,K52)),"")</f>
        <v/>
      </c>
    </row>
    <row r="53">
      <c r="A53" s="19" t="n">
        <v>48</v>
      </c>
      <c r="B53" s="21">
        <f>IF(Starfsmenn!$B$53="","",Starfsmenn!$B$53)</f>
        <v/>
      </c>
      <c r="C53" s="21">
        <f>IF(Starfsmenn!$C$53="","",Starfsmenn!$C$53)</f>
        <v/>
      </c>
      <c r="D53" s="13">
        <f>IF(Starfsmenn!$D$53="","",Starfsmenn!$D$53)</f>
        <v/>
      </c>
      <c r="E53" s="30">
        <f>IF(Starfsmenn!$E$53="","",Starfsmenn!$E$53)</f>
        <v/>
      </c>
      <c r="F53" s="22">
        <f>IFERROR(IF(Starfsmenn!$C$53="","",IF(Starfsmenn!$C$53='Flokkun starfa'!$G$5,'Flokkun starfa'!$H$48,IF(Starfsmenn!$C$53='Flokkun starfa'!$I$5,'Flokkun starfa'!$J$48,IF(Starfsmenn!$C$53='Flokkun starfa'!$K$5,'Flokkun starfa'!$L$48,IF(Starfsmenn!$C$53='Flokkun starfa'!$M$5,'Flokkun starfa'!$N$48,IF(Starfsmenn!$C$53='Flokkun starfa'!$O$5,'Flokkun starfa'!$P$48,IF(Starfsmenn!$C$53='Flokkun starfa'!$Q$5,'Flokkun starfa'!$R$48,IF(Starfsmenn!$C$53='Flokkun starfa'!$S$5,'Flokkun starfa'!$T$48,IF(Starfsmenn!$C$53='Flokkun starfa'!$U$5,'Flokkun starfa'!$V$48,""))))))))),"")</f>
        <v/>
      </c>
      <c r="G53" s="30">
        <f>IFERROR('Flokkun starfsmanna'!$AH$54,0)</f>
        <v/>
      </c>
      <c r="H53" s="37">
        <f>IFERROR(IF(AND(F53="",G53=""),"",IF(F53="",0,F53)+IF(G53="",0,G53)),"")</f>
        <v/>
      </c>
      <c r="I53" s="38">
        <f>IF(Starfsmenn!$G$53="","",Starfsmenn!$G$53)</f>
        <v/>
      </c>
      <c r="J53" s="38">
        <f>IF(Starfsmenn!$I$53="","",Starfsmenn!$I$53)</f>
        <v/>
      </c>
      <c r="K53" s="38">
        <f>IF(Starfsmenn!$K$53="","",Starfsmenn!$K$53)</f>
        <v/>
      </c>
      <c r="L53" s="39">
        <f>IFERROR(IF(AND(I53="",J53="",K53=""),"",IF(I53="",0,I53)+IF(J53="",0,J53)+IF(K53="",0,K53)),"")</f>
        <v/>
      </c>
    </row>
    <row r="54">
      <c r="A54" s="19" t="n">
        <v>49</v>
      </c>
      <c r="B54" s="21">
        <f>IF(Starfsmenn!$B$54="","",Starfsmenn!$B$54)</f>
        <v/>
      </c>
      <c r="C54" s="21">
        <f>IF(Starfsmenn!$C$54="","",Starfsmenn!$C$54)</f>
        <v/>
      </c>
      <c r="D54" s="13">
        <f>IF(Starfsmenn!$D$54="","",Starfsmenn!$D$54)</f>
        <v/>
      </c>
      <c r="E54" s="30">
        <f>IF(Starfsmenn!$E$54="","",Starfsmenn!$E$54)</f>
        <v/>
      </c>
      <c r="F54" s="22">
        <f>IFERROR(IF(Starfsmenn!$C$54="","",IF(Starfsmenn!$C$54='Flokkun starfa'!$G$5,'Flokkun starfa'!$H$48,IF(Starfsmenn!$C$54='Flokkun starfa'!$I$5,'Flokkun starfa'!$J$48,IF(Starfsmenn!$C$54='Flokkun starfa'!$K$5,'Flokkun starfa'!$L$48,IF(Starfsmenn!$C$54='Flokkun starfa'!$M$5,'Flokkun starfa'!$N$48,IF(Starfsmenn!$C$54='Flokkun starfa'!$O$5,'Flokkun starfa'!$P$48,IF(Starfsmenn!$C$54='Flokkun starfa'!$Q$5,'Flokkun starfa'!$R$48,IF(Starfsmenn!$C$54='Flokkun starfa'!$S$5,'Flokkun starfa'!$T$48,IF(Starfsmenn!$C$54='Flokkun starfa'!$U$5,'Flokkun starfa'!$V$48,""))))))))),"")</f>
        <v/>
      </c>
      <c r="G54" s="30">
        <f>IFERROR('Flokkun starfsmanna'!$AH$55,0)</f>
        <v/>
      </c>
      <c r="H54" s="37">
        <f>IFERROR(IF(AND(F54="",G54=""),"",IF(F54="",0,F54)+IF(G54="",0,G54)),"")</f>
        <v/>
      </c>
      <c r="I54" s="38">
        <f>IF(Starfsmenn!$G$54="","",Starfsmenn!$G$54)</f>
        <v/>
      </c>
      <c r="J54" s="38">
        <f>IF(Starfsmenn!$I$54="","",Starfsmenn!$I$54)</f>
        <v/>
      </c>
      <c r="K54" s="38">
        <f>IF(Starfsmenn!$K$54="","",Starfsmenn!$K$54)</f>
        <v/>
      </c>
      <c r="L54" s="39">
        <f>IFERROR(IF(AND(I54="",J54="",K54=""),"",IF(I54="",0,I54)+IF(J54="",0,J54)+IF(K54="",0,K54)),"")</f>
        <v/>
      </c>
    </row>
    <row r="55">
      <c r="A55" s="19" t="n">
        <v>50</v>
      </c>
      <c r="B55" s="21">
        <f>IF(Starfsmenn!$B$55="","",Starfsmenn!$B$55)</f>
        <v/>
      </c>
      <c r="C55" s="21">
        <f>IF(Starfsmenn!$C$55="","",Starfsmenn!$C$55)</f>
        <v/>
      </c>
      <c r="D55" s="13">
        <f>IF(Starfsmenn!$D$55="","",Starfsmenn!$D$55)</f>
        <v/>
      </c>
      <c r="E55" s="30">
        <f>IF(Starfsmenn!$E$55="","",Starfsmenn!$E$55)</f>
        <v/>
      </c>
      <c r="F55" s="22">
        <f>IFERROR(IF(Starfsmenn!$C$55="","",IF(Starfsmenn!$C$55='Flokkun starfa'!$G$5,'Flokkun starfa'!$H$48,IF(Starfsmenn!$C$55='Flokkun starfa'!$I$5,'Flokkun starfa'!$J$48,IF(Starfsmenn!$C$55='Flokkun starfa'!$K$5,'Flokkun starfa'!$L$48,IF(Starfsmenn!$C$55='Flokkun starfa'!$M$5,'Flokkun starfa'!$N$48,IF(Starfsmenn!$C$55='Flokkun starfa'!$O$5,'Flokkun starfa'!$P$48,IF(Starfsmenn!$C$55='Flokkun starfa'!$Q$5,'Flokkun starfa'!$R$48,IF(Starfsmenn!$C$55='Flokkun starfa'!$S$5,'Flokkun starfa'!$T$48,IF(Starfsmenn!$C$55='Flokkun starfa'!$U$5,'Flokkun starfa'!$V$48,""))))))))),"")</f>
        <v/>
      </c>
      <c r="G55" s="30">
        <f>IFERROR('Flokkun starfsmanna'!$AH$56,0)</f>
        <v/>
      </c>
      <c r="H55" s="37">
        <f>IFERROR(IF(AND(F55="",G55=""),"",IF(F55="",0,F55)+IF(G55="",0,G55)),"")</f>
        <v/>
      </c>
      <c r="I55" s="38">
        <f>IF(Starfsmenn!$G$55="","",Starfsmenn!$G$55)</f>
        <v/>
      </c>
      <c r="J55" s="38">
        <f>IF(Starfsmenn!$I$55="","",Starfsmenn!$I$55)</f>
        <v/>
      </c>
      <c r="K55" s="38">
        <f>IF(Starfsmenn!$K$55="","",Starfsmenn!$K$55)</f>
        <v/>
      </c>
      <c r="L55" s="39">
        <f>IFERROR(IF(AND(I55="",J55="",K55=""),"",IF(I55="",0,I55)+IF(J55="",0,J55)+IF(K55="",0,K55)),"")</f>
        <v/>
      </c>
    </row>
    <row r="58">
      <c r="B58" s="3" t="inlineStr">
        <is>
          <t>Tölfræði</t>
        </is>
      </c>
    </row>
    <row r="59">
      <c r="B59" s="40" t="inlineStr">
        <is>
          <t>Meðalstig (allir):</t>
        </is>
      </c>
      <c r="E59" s="41">
        <f>IFERROR(AVERAGEIF(H6:H55,"&gt;0"),0)</f>
        <v/>
      </c>
    </row>
    <row r="60">
      <c r="B60" s="40" t="inlineStr">
        <is>
          <t>Meðalstig (konur):</t>
        </is>
      </c>
      <c r="E60" s="41">
        <f>IFERROR(AVERAGEIFS(H6:H55,D6:D55,"Kona",H6:H55,"&gt;0"),0)</f>
        <v/>
      </c>
    </row>
    <row r="61">
      <c r="B61" s="40" t="inlineStr">
        <is>
          <t>Meðalstig (karlar):</t>
        </is>
      </c>
      <c r="E61" s="41">
        <f>IFERROR(AVERAGEIFS(H6:H55,D6:D55,"Karl",H6:H55,"&gt;0"),0)</f>
        <v/>
      </c>
    </row>
    <row r="62">
      <c r="B62" s="40" t="inlineStr">
        <is>
          <t>Meðal-heildarlaun (allir):</t>
        </is>
      </c>
      <c r="E62" s="42">
        <f>IFERROR(AVERAGEIF(L6:L55,"&gt;0"),0)</f>
        <v/>
      </c>
    </row>
    <row r="63">
      <c r="B63" s="40" t="inlineStr">
        <is>
          <t>Meðal-heildarlaun (konur):</t>
        </is>
      </c>
      <c r="E63" s="42">
        <f>IFERROR(AVERAGEIFS(L6:L55,D6:D55,"Kona",L6:L55,"&gt;0"),0)</f>
        <v/>
      </c>
    </row>
    <row r="64">
      <c r="B64" s="40" t="inlineStr">
        <is>
          <t>Meðal-heildarlaun (karlar):</t>
        </is>
      </c>
      <c r="E64" s="42">
        <f>IFERROR(AVERAGEIFS(L6:L55,D6:D55,"Karl",L6:L55,"&gt;0"),0)</f>
        <v/>
      </c>
    </row>
    <row r="65">
      <c r="B65" s="40" t="inlineStr">
        <is>
          <t>Fjöldi starfsmanna (skráðir):</t>
        </is>
      </c>
      <c r="E65" s="43">
        <f>COUNTA(B6:B55)-COUNTIF(B6:B55,"")</f>
        <v/>
      </c>
    </row>
  </sheetData>
  <mergeCells count="9">
    <mergeCell ref="B59:D59"/>
    <mergeCell ref="B60:D60"/>
    <mergeCell ref="B63:D63"/>
    <mergeCell ref="B61:D61"/>
    <mergeCell ref="B2:I2"/>
    <mergeCell ref="B3:L3"/>
    <mergeCell ref="B65:D65"/>
    <mergeCell ref="B62:D62"/>
    <mergeCell ref="B64:D6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2026-04-22T09:47:25Z</dcterms:created>
  <dcterms:modified xmlns:dcterms="http://purl.org/dc/terms/" xmlns:xsi="http://www.w3.org/2001/XMLSchema-instance" xsi:type="dcterms:W3CDTF">2026-04-22T09:47:25Z</dcterms:modified>
</cp:coreProperties>
</file>
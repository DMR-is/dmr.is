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iðbeiningar" sheetId="1" state="visible" r:id="rId1"/>
    <sheet xmlns:r="http://schemas.openxmlformats.org/officeDocument/2006/relationships" name="Viðmið" sheetId="2" state="visible" r:id="rId2"/>
    <sheet xmlns:r="http://schemas.openxmlformats.org/officeDocument/2006/relationships" name="Undirviðmið" sheetId="3" state="visible" r:id="rId3"/>
    <sheet xmlns:r="http://schemas.openxmlformats.org/officeDocument/2006/relationships" name="Starfsmenn" sheetId="4" state="visible" r:id="rId4"/>
    <sheet xmlns:r="http://schemas.openxmlformats.org/officeDocument/2006/relationships" name="Flokkun starfa" sheetId="5" state="visible" r:id="rId5"/>
    <sheet xmlns:r="http://schemas.openxmlformats.org/officeDocument/2006/relationships" name="Flokkun starfsmanna" sheetId="6" state="visible" r:id="rId6"/>
    <sheet xmlns:r="http://schemas.openxmlformats.org/officeDocument/2006/relationships" name="Yfirlit" sheetId="7" state="visible" r:id="rId7"/>
  </sheets>
  <definedNames>
    <definedName name="KVARDI" hidden="0" function="0" vbProcedure="0">Leiðbeiningar!$C$48</definedName>
    <definedName name="EMP_NUM">Starfsmenn!$A$6:$A$10005</definedName>
    <definedName name="EMP_NAME">Starfsmenn!$B$6:$B$10005</definedName>
    <definedName name="EMP_JOB">Starfsmenn!$C$6:$C$10005</definedName>
    <definedName name="EMP_KYN">Starfsmenn!$D$6:$D$10005</definedName>
    <definedName name="ROLE_STEP_INPUTS">'Flokkun starfa'!$G$7:$GW$106</definedName>
    <definedName name="EMP_STEP_INPUTS">'Flokkun starfsmanna'!$D$7:$GT$10006</definedName>
    <definedName name="JOB_TITLES">'Flokkun starfa'!$G$5,'Flokkun starfa'!$I$5,'Flokkun starfa'!$K$5,'Flokkun starfa'!$M$5,'Flokkun starfa'!$O$5,'Flokkun starfa'!$Q$5,'Flokkun starfa'!$S$5,'Flokkun starfa'!$U$5,'Flokkun starfa'!$W$5,'Flokkun starfa'!$Y$5,'Flokkun starfa'!$AA$5,'Flokkun starfa'!$AC$5,'Flokkun starfa'!$AE$5,'Flokkun starfa'!$AG$5,'Flokkun starfa'!$AI$5,'Flokkun starfa'!$AK$5,'Flokkun starfa'!$AM$5,'Flokkun starfa'!$AO$5,'Flokkun starfa'!$AQ$5,'Flokkun starfa'!$AS$5,'Flokkun starfa'!$AU$5,'Flokkun starfa'!$AW$5,'Flokkun starfa'!$AY$5,'Flokkun starfa'!$BA$5,'Flokkun starfa'!$BC$5,'Flokkun starfa'!$BE$5,'Flokkun starfa'!$BG$5,'Flokkun starfa'!$BI$5,'Flokkun starfa'!$BK$5,'Flokkun starfa'!$BM$5,'Flokkun starfa'!$BO$5,'Flokkun starfa'!$BQ$5,'Flokkun starfa'!$BS$5,'Flokkun starfa'!$BU$5,'Flokkun starfa'!$BW$5,'Flokkun starfa'!$BY$5,'Flokkun starfa'!$CA$5,'Flokkun starfa'!$CC$5,'Flokkun starfa'!$CE$5,'Flokkun starfa'!$CG$5,'Flokkun starfa'!$CI$5,'Flokkun starfa'!$CK$5,'Flokkun starfa'!$CM$5,'Flokkun starfa'!$CO$5,'Flokkun starfa'!$CQ$5,'Flokkun starfa'!$CS$5,'Flokkun starfa'!$CU$5,'Flokkun starfa'!$CW$5,'Flokkun starfa'!$CY$5,'Flokkun starfa'!$DA$5,'Flokkun starfa'!$DC$5,'Flokkun starfa'!$DE$5,'Flokkun starfa'!$DG$5,'Flokkun starfa'!$DI$5,'Flokkun starfa'!$DK$5,'Flokkun starfa'!$DM$5,'Flokkun starfa'!$DO$5,'Flokkun starfa'!$DQ$5,'Flokkun starfa'!$DS$5,'Flokkun starfa'!$DU$5,'Flokkun starfa'!$DW$5,'Flokkun starfa'!$DY$5,'Flokkun starfa'!$EA$5,'Flokkun starfa'!$EC$5,'Flokkun starfa'!$EE$5,'Flokkun starfa'!$EG$5,'Flokkun starfa'!$EI$5,'Flokkun starfa'!$EK$5,'Flokkun starfa'!$EM$5,'Flokkun starfa'!$EO$5,'Flokkun starfa'!$EQ$5,'Flokkun starfa'!$ES$5,'Flokkun starfa'!$EU$5,'Flokkun starfa'!$EW$5,'Flokkun starfa'!$EY$5,'Flokkun starfa'!$FA$5,'Flokkun starfa'!$FC$5,'Flokkun starfa'!$FE$5,'Flokkun starfa'!$FG$5,'Flokkun starfa'!$FI$5,'Flokkun starfa'!$FK$5,'Flokkun starfa'!$FM$5,'Flokkun starfa'!$FO$5,'Flokkun starfa'!$FQ$5,'Flokkun starfa'!$FS$5,'Flokkun starfa'!$FU$5,'Flokkun starfa'!$FW$5,'Flokkun starfa'!$FY$5,'Flokkun starfa'!$GA$5,'Flokkun starfa'!$GC$5,'Flokkun starfa'!$GE$5,'Flokkun starfa'!$GG$5,'Flokkun starfa'!$GI$5,'Flokkun starfa'!$GK$5,'Flokkun starfa'!$GM$5,'Flokkun starfa'!$GO$5,'Flokkun starfa'!$GQ$5,'Flokkun starfa'!$GS$5,'Flokkun starfa'!$GU$5,'Flokkun starfa'!$GW$5</definedName>
    <definedName name="JOB_TOTALS">'Flokkun starfa'!$H$108,'Flokkun starfa'!$J$108,'Flokkun starfa'!$L$108,'Flokkun starfa'!$N$108,'Flokkun starfa'!$P$108,'Flokkun starfa'!$R$108,'Flokkun starfa'!$T$108,'Flokkun starfa'!$V$108,'Flokkun starfa'!$X$108,'Flokkun starfa'!$Z$108,'Flokkun starfa'!$AB$108,'Flokkun starfa'!$AD$108,'Flokkun starfa'!$AF$108,'Flokkun starfa'!$AH$108,'Flokkun starfa'!$AJ$108,'Flokkun starfa'!$AL$108,'Flokkun starfa'!$AN$108,'Flokkun starfa'!$AP$108,'Flokkun starfa'!$AR$108,'Flokkun starfa'!$AT$108,'Flokkun starfa'!$AV$108,'Flokkun starfa'!$AX$108,'Flokkun starfa'!$AZ$108,'Flokkun starfa'!$BB$108,'Flokkun starfa'!$BD$108,'Flokkun starfa'!$BF$108,'Flokkun starfa'!$BH$108,'Flokkun starfa'!$BJ$108,'Flokkun starfa'!$BL$108,'Flokkun starfa'!$BN$108,'Flokkun starfa'!$BP$108,'Flokkun starfa'!$BR$108,'Flokkun starfa'!$BT$108,'Flokkun starfa'!$BV$108,'Flokkun starfa'!$BX$108,'Flokkun starfa'!$BZ$108,'Flokkun starfa'!$CB$108,'Flokkun starfa'!$CD$108,'Flokkun starfa'!$CF$108,'Flokkun starfa'!$CH$108,'Flokkun starfa'!$CJ$108,'Flokkun starfa'!$CL$108,'Flokkun starfa'!$CN$108,'Flokkun starfa'!$CP$108,'Flokkun starfa'!$CR$108,'Flokkun starfa'!$CT$108,'Flokkun starfa'!$CV$108,'Flokkun starfa'!$CX$108,'Flokkun starfa'!$CZ$108,'Flokkun starfa'!$DB$108,'Flokkun starfa'!$DD$108,'Flokkun starfa'!$DF$108,'Flokkun starfa'!$DH$108,'Flokkun starfa'!$DJ$108,'Flokkun starfa'!$DL$108,'Flokkun starfa'!$DN$108,'Flokkun starfa'!$DP$108,'Flokkun starfa'!$DR$108,'Flokkun starfa'!$DT$108,'Flokkun starfa'!$DV$108,'Flokkun starfa'!$DX$108,'Flokkun starfa'!$DZ$108,'Flokkun starfa'!$EB$108,'Flokkun starfa'!$ED$108,'Flokkun starfa'!$EF$108,'Flokkun starfa'!$EH$108,'Flokkun starfa'!$EJ$108,'Flokkun starfa'!$EL$108,'Flokkun starfa'!$EN$108,'Flokkun starfa'!$EP$108,'Flokkun starfa'!$ER$108,'Flokkun starfa'!$ET$108,'Flokkun starfa'!$EV$108,'Flokkun starfa'!$EX$108,'Flokkun starfa'!$EZ$108,'Flokkun starfa'!$FB$108,'Flokkun starfa'!$FD$108,'Flokkun starfa'!$FF$108,'Flokkun starfa'!$FH$108,'Flokkun starfa'!$FJ$108,'Flokkun starfa'!$FL$108,'Flokkun starfa'!$FN$108,'Flokkun starfa'!$FP$108,'Flokkun starfa'!$FR$108,'Flokkun starfa'!$FT$108,'Flokkun starfa'!$FV$108,'Flokkun starfa'!$FX$108,'Flokkun starfa'!$FZ$108,'Flokkun starfa'!$GB$108,'Flokkun starfa'!$GD$108,'Flokkun starfa'!$GF$108,'Flokkun starfa'!$GH$108,'Flokkun starfa'!$GJ$108,'Flokkun starfa'!$GL$108,'Flokkun starfa'!$GN$108,'Flokkun starfa'!$GP$108,'Flokkun starfa'!$GR$108,'Flokkun starfa'!$GT$108,'Flokkun starfa'!$GV$108,'Flokkun starfa'!$GX$108</definedName>
    <definedName name="VIDMID_TABLE">Viðmið!$C$6:$E$29</definedName>
    <definedName name="VIDMID_NAMES">Viðmið!$C$6:$C$29</definedName>
    <definedName name="SUB_PARENT">Undirviðmið!$B$6:$B$205</definedName>
    <definedName name="SUB_NAME">Undirviðmið!$C$6:$C$205</definedName>
    <definedName name="SUB_WEIGHT">Undirviðmið!$E$6:$E$205</definedName>
    <definedName name="SUB_NSTEPS">Undirviðmið!$F$6:$F$205</definedName>
    <definedName name="SUB_TYPE">Undirviðmið!$G$6:$G$205</definedName>
  </definedNames>
  <calcPr calcId="124519" fullCalcOnLoad="1" refMode="A1" iterate="0" iterateCount="100" iterateDelta="0.0001"/>
</workbook>
</file>

<file path=xl/sharedStrings.xml><?xml version="1.0" encoding="utf-8"?>
<sst xmlns="http://schemas.openxmlformats.org/spreadsheetml/2006/main" count="203" uniqueCount="203">
  <si>
    <t>Launagreiningar-sniðmát</t>
  </si>
  <si>
    <t>Jafnréttisstofa • Skýrsluferli – Innsláttarskjal</t>
  </si>
  <si>
    <t>Flipaskipan</t>
  </si>
  <si>
    <t>Viðmið</t>
  </si>
  <si>
    <t>Yfirflokkarnir (starfsbundnir og persónubundnir). Vægi verður að summast í 100%.</t>
  </si>
  <si>
    <t>Undirviðmið</t>
  </si>
  <si>
    <t>Undirflokkar hvers viðmiðs, með þrepalýsingum. Vægi undirviðmiða verður að summast í vægi foreldra-viðmiðs.</t>
  </si>
  <si>
    <t>Starfsmenn</t>
  </si>
  <si>
    <t>Listi yfir starfsfólk með laun, menntun og starfsupplýsingar.</t>
  </si>
  <si>
    <t>Flokkun starfa</t>
  </si>
  <si>
    <t>Stigagjöf per starfsheiti á starfsbundnum (skylda) undirviðmiðum.</t>
  </si>
  <si>
    <t>Flokkun starfsmanna</t>
  </si>
  <si>
    <t>Stigagjöf per starfsmann á persónubundnum (valfrjálsum) undirviðmiðum.</t>
  </si>
  <si>
    <t>Yfirlit</t>
  </si>
  <si>
    <t>Samantekt: heildarstig á starfsmann (starfsbundið + persónubundið) og launatölur.</t>
  </si>
  <si>
    <t>Reiknilíkan – Stigagjöf</t>
  </si>
  <si>
    <t>Formúla</t>
  </si>
  <si>
    <t>stig = (þrep / fjöldi þrepa) × vægi × KVARÐI</t>
  </si>
  <si>
    <t>KVARÐI</t>
  </si>
  <si>
    <t>Sjálfgefið 10  →  hámark heildarstig = 1000 á starfsmann (100% × 10).</t>
  </si>
  <si>
    <t>Dæmi</t>
  </si>
  <si>
    <t>Undirviðmið með 10% vægi og 5 þrepum: hámark = 100 stig, þrep 3 = 60 stig.</t>
  </si>
  <si>
    <t>Dæmi 2</t>
  </si>
  <si>
    <t>Undirviðmið með 5% vægi og 5 þrepum: hámark = 50 stig, þrep 3 = 30 stig.</t>
  </si>
  <si>
    <t>Litakóðun</t>
  </si>
  <si>
    <t>Blátt letur</t>
  </si>
  <si>
    <t>Innsláttarreitir (notandi fyllir út).</t>
  </si>
  <si>
    <t>Svart letur</t>
  </si>
  <si>
    <t>Reiknaðir reitir (formúlur) – má ekki breyta.</t>
  </si>
  <si>
    <t>Grænt letur</t>
  </si>
  <si>
    <t>Tilvísanir í aðra flipa – má ekki breyta.</t>
  </si>
  <si>
    <t>Grár bakgrunnur</t>
  </si>
  <si>
    <t>Læstir reitir (t.d. lögboðnir flokkar sem ekki má endurnefna).</t>
  </si>
  <si>
    <t>Gulur bakgrunnur</t>
  </si>
  <si>
    <t>Reitir sem þurfa athygli eða eru sjálfvirkir villuvísar.</t>
  </si>
  <si>
    <t>Rauður bakgrunnur</t>
  </si>
  <si>
    <t>Villa – t.d. vægi summast ekki í 100%.</t>
  </si>
  <si>
    <t>Valideringsreglur</t>
  </si>
  <si>
    <t>Summa vægis (starfsbundið + persónubundið) = nákvæmlega 100%.</t>
  </si>
  <si>
    <t>Summa vægis undirviðmiða innan hvers foreldra-viðmiðs = vægi þess foreldris.</t>
  </si>
  <si>
    <t>Þrep</t>
  </si>
  <si>
    <t>Aðeins heilar tölur 1…fjöldi_þrepa eru leyfðar.</t>
  </si>
  <si>
    <t>Starfshlutfall</t>
  </si>
  <si>
    <t>Gildi á bilinu 0–100 (%). Athugið: gagnagrunnur geymir þetta sem hlutfall (0–1); innflutningur deilir sjálfvirkt með 100.</t>
  </si>
  <si>
    <t>Hlunnindi</t>
  </si>
  <si>
    <t>Má vera autt ef á ekki við — gagnagrunnsreiturinn er valfrjáls (nullable).</t>
  </si>
  <si>
    <t>Ráðningardagur</t>
  </si>
  <si>
    <t>Ein dagsetning (d.m.yyyy) — ekki tímabil. Samsvarar 'start_date' í gagnagrunni.</t>
  </si>
  <si>
    <t>Uppreiknuð laun v/ 100% starfshlutfall</t>
  </si>
  <si>
    <t>Tveir síðustu dálkar á Starfsmenn og Yfirlit reiknast sjálfvirkt út frá starfshlutfalli: Grunnlaun × 100 / starfshlutfall, og (Grunnlaun + Viðbótarlaun + Hlunnindi) × 100 / starfshlutfall. Þetta gefur samanburðarhæfa tölu óháð því hvort starfsmaðurinn er í fullu starfi eða hlutastarfi. Reitirnir eru læstir.</t>
  </si>
  <si>
    <t>Persónugreinanleg gögn</t>
  </si>
  <si>
    <t>Nafn</t>
  </si>
  <si>
    <t>Nafn er eingöngu til hægðarauka á þessu skjali. Það er EKKI sent til Jafnréttisstofu — gagnagrunnurinn geymir aðeins raðnúmer (ordinal) sem auðkenni starfsmanns.</t>
  </si>
  <si>
    <t>Kennitala</t>
  </si>
  <si>
    <t>Kennitala er ekki skráð í skjalið — kerfið býr til tímabundið auðkenni sjálfvirkt við innsendingu.</t>
  </si>
  <si>
    <t>Notkun</t>
  </si>
  <si>
    <t>1</t>
  </si>
  <si>
    <t>Fylltu út viðmið og stilltu vægi á Viðmið flipanum.</t>
  </si>
  <si>
    <t>2</t>
  </si>
  <si>
    <t>Skráðu undirviðmið með vægi, þrepafjölda og lýsingum á Undirviðmið flipanum.</t>
  </si>
  <si>
    <t>3</t>
  </si>
  <si>
    <t>Skráðu starfsmenn á Starfsmenn flipanum.</t>
  </si>
  <si>
    <t>4</t>
  </si>
  <si>
    <t>Gefðu hverju starfsheiti þrep á Flokkun starfa.</t>
  </si>
  <si>
    <t>5</t>
  </si>
  <si>
    <t>Gefðu hverjum starfsmanni þrep á persónubundnum undirviðmiðum á Flokkun starfsmanna.</t>
  </si>
  <si>
    <t>6</t>
  </si>
  <si>
    <t>Skoðaðu niðurstöður á Yfirlit flipanum.</t>
  </si>
  <si>
    <t>KVARÐI (stillanlegt):</t>
  </si>
  <si>
    <t>Stækkun sniðmátsins</t>
  </si>
  <si>
    <t>Skráðu einfaldlega fleiri línur á Starfsmenn – taflan og formúlurnar stækka sjálfkrafa (allt að 10.000 starfsmenn). Bættu línum við Flokkun starfsmanna og Yfirlit með því að skrifa í næstu línu fyrir neðan eða hægrismella &gt; Insert &gt; Table Rows.</t>
  </si>
  <si>
    <t>Skráðu fleiri undirviðmið beint í næstu auðu línu á Undirviðmið (allt að 200). Línur á Flokkun starfa fylgja sjálfkrafa (fyrstu 100 undirviðmið birtast þar).</t>
  </si>
  <si>
    <t>Störf (dálkar)</t>
  </si>
  <si>
    <t>Dálkar fyrir störf 9–100 eru þegar til staðar á Flokkun starfa en faldir í samanbrotnum dálkahópi. Smelltu á „+" hnappinn fyrir ofan dálk GY (eða „2" í útlínustikunni efst til vinstri) til að opna þá. Allt að 100 störf.</t>
  </si>
  <si>
    <t>Persónub. undirviðmið (dálkar)</t>
  </si>
  <si>
    <t>Dálkar fyrir persónubundin undirviðmið 16–100 eru þegar til staðar á Flokkun starfsmanna en faldir í samanbrotnum dálkahópi. Smelltu á „+" hnappinn fyrir ofan samtölu-dálkinn (GV) til að opna þá. Allt að 100 undirviðmið.</t>
  </si>
  <si>
    <t>Skilgreindu viðmið og stilltu vægi. Heildarvægi allra viðmiða (bæði starfsbundinn og persónubundinn þáttur) þarf að summast í 100%.</t>
  </si>
  <si>
    <t>Tegund</t>
  </si>
  <si>
    <t>Lýsing</t>
  </si>
  <si>
    <t>Vægi (%)</t>
  </si>
  <si>
    <t>Læst?</t>
  </si>
  <si>
    <t>Starfsbundinn</t>
  </si>
  <si>
    <t>Ábyrgð</t>
  </si>
  <si>
    <t>Metur ábyrgð starfsins á fólki, fjármálum, gæðum og öðrum þáttum.</t>
  </si>
  <si>
    <t>Já</t>
  </si>
  <si>
    <t>Álag</t>
  </si>
  <si>
    <t>Metur hraða, tímapressu, líkamlegt og tilfinningalegt álag.</t>
  </si>
  <si>
    <t>Vinnuaðstæður</t>
  </si>
  <si>
    <t>Metur vaktavinnu, ferðalög, áhættu og aðrar aðstæður starfsins.</t>
  </si>
  <si>
    <t>Hæfni</t>
  </si>
  <si>
    <t>Metur menntunarkröfur, reynslukröfur og sérhæfingu starfsins.</t>
  </si>
  <si>
    <t>Persónubundinn</t>
  </si>
  <si>
    <t>Nei</t>
  </si>
  <si>
    <t>Heildarvægi:</t>
  </si>
  <si>
    <t>Fyrir hvert undirviðmið: veldu foreldra-viðmið, gefðu því vægi (%) og fjölda þrepa, og skráðu lýsingar á þrepunum. Vægi allra undirviðmiða undir sama foreldri verður að jafngilda vægi foreldrisins.</t>
  </si>
  <si>
    <t>#</t>
  </si>
  <si>
    <t>Foreldra viðmið</t>
  </si>
  <si>
    <t>Skilgreining</t>
  </si>
  <si>
    <t>Fjöldi þrepa</t>
  </si>
  <si>
    <t>Tegund (sjálfvirkt)</t>
  </si>
  <si>
    <t>Hámarksstig</t>
  </si>
  <si>
    <t>Samsumma OK?</t>
  </si>
  <si>
    <t>Þrep 1</t>
  </si>
  <si>
    <t>Þrep 2</t>
  </si>
  <si>
    <t>Þrep 3</t>
  </si>
  <si>
    <t>Þrep 4</t>
  </si>
  <si>
    <t>Þrep 5</t>
  </si>
  <si>
    <t>Þrep 6</t>
  </si>
  <si>
    <t>Þrep 7</t>
  </si>
  <si>
    <t>Þrep 8</t>
  </si>
  <si>
    <t>Ábyrgð á gæðum</t>
  </si>
  <si>
    <t>Metur ábyrgð starfsins á gæðum vinnu og framleiðslu.</t>
  </si>
  <si>
    <t>Lítil ábyrgð á gæðum, fylgir settum verklagsreglum</t>
  </si>
  <si>
    <t>Ber ábyrgð á gæðum eigin vinnu</t>
  </si>
  <si>
    <t>Ber ábyrgð á gæðum verkefna eða vinnu annarra</t>
  </si>
  <si>
    <t>Ber ábyrgð á gæðakerfi deildar</t>
  </si>
  <si>
    <t>Ber heildarábyrgð á gæðum og gæðakerfi fyrirtækis</t>
  </si>
  <si>
    <t>Ábyrgð á fólki</t>
  </si>
  <si>
    <t>Metur ábyrgð starfsmanns á starfsfólki og stjórnun.</t>
  </si>
  <si>
    <t>Í starfinu felst lítil eða engin ábyrgð á starfsfólki.</t>
  </si>
  <si>
    <t>Starfinu fylgir eftirlit eða leiðsögn á starfsfólki í einföldum verkum.</t>
  </si>
  <si>
    <t>Ber ábyrgð á afmörkuðum hópi starfsmanna (teymi).</t>
  </si>
  <si>
    <t>Ber ábyrgð á deild eða sviði með mörgum starfsmönnum.</t>
  </si>
  <si>
    <t>Ber heildarábyrgð á öllu starfsfólki fyrirtækisins.</t>
  </si>
  <si>
    <t>Líkamlegt álag</t>
  </si>
  <si>
    <t>Metur líkamlegt álag og áreynslu í starfi.</t>
  </si>
  <si>
    <t>Lítið líkamlegt álag, kyrrsetustarf.</t>
  </si>
  <si>
    <t>Einstaka líkamlegt álag í stuttan tíma.</t>
  </si>
  <si>
    <t>Reglulegt líkamlegt álag hluta vinnudags.</t>
  </si>
  <si>
    <t>Viðvarandi líkamlegt álag stóran hluta vinnudags.</t>
  </si>
  <si>
    <t>Mikið líkamlegt álag sem getur valdið meiðslum eða álagseinkennum.</t>
  </si>
  <si>
    <t>Andlegt álag</t>
  </si>
  <si>
    <t>Metur andlegt og tilfinningalegt álag í starfi.</t>
  </si>
  <si>
    <t>Lítið andlegt álag.</t>
  </si>
  <si>
    <t>Einstaka andlegt álag.</t>
  </si>
  <si>
    <t>Reglulegt andlegt álag hluta vinnudags.</t>
  </si>
  <si>
    <t>Viðvarandi andlegt álag stóran hluta vinnudags.</t>
  </si>
  <si>
    <t>Mikið andlegt álag sem getur valdið kulnun eða álagseinkennum.</t>
  </si>
  <si>
    <t>Vinnuumhverfi</t>
  </si>
  <si>
    <t>Metur líkamlegt vinnuumhverfi og hættu í starfi.</t>
  </si>
  <si>
    <t>Skrifstofuumhverfi með litla áhættu.</t>
  </si>
  <si>
    <t>Blandað umhverfi með einhverri áhættu eða óþægindum.</t>
  </si>
  <si>
    <t>Krefjandi umhverfi (hávaði, hiti, útivinna o.s.frv.).</t>
  </si>
  <si>
    <t>Hættulegt umhverfi sem krefst öryggisbúnaðar.</t>
  </si>
  <si>
    <t>Mjög hættulegt umhverfi með háa slysahættu.</t>
  </si>
  <si>
    <t>Menntunarkröfur</t>
  </si>
  <si>
    <t>Metur menntunarstig sem starfið krefst.</t>
  </si>
  <si>
    <t>Engin sérstök menntunarkrafa.</t>
  </si>
  <si>
    <t>Framhaldsskólapróf eða sambærilegt.</t>
  </si>
  <si>
    <t>Iðnmenntun eða sambærilegt.</t>
  </si>
  <si>
    <t>Háskólapróf.</t>
  </si>
  <si>
    <t>Meistara- eða doktorspróf.</t>
  </si>
  <si>
    <t>Reynslukröfur</t>
  </si>
  <si>
    <t>Metur starfsreynslu sem starfið krefst.</t>
  </si>
  <si>
    <t>Engin sérstök reynsla krafin.</t>
  </si>
  <si>
    <t>Allt að 1 árs reynsla.</t>
  </si>
  <si>
    <t>1–3 ára reynsla.</t>
  </si>
  <si>
    <t>3–7 ára reynsla.</t>
  </si>
  <si>
    <t>Meira en 7 ára sérhæfð reynsla.</t>
  </si>
  <si>
    <t>Skráðu alla starfsmenn. Númerið (A-dálkur) er sjálfvirkt og samsvarar 'ordinal' reitnum í gagnagrunni. Nafn er eingöngu innsláttarhjálp og er ekki sent til Jafnréttisstofu. Dálkarnir 'Viðbótarlaun (kr.)' og 'Hlunnindi (kr.)' reiknast sjálfvirkt sem summa undirdálkanna á undan þeim, og dálkarnir lengst til hægri (100% uppreiknað starfshlutfall) reiknast einnig sjálfvirkt — ekki breyta þessum reitum.</t>
  </si>
  <si>
    <t>Starf</t>
  </si>
  <si>
    <t>Kyn</t>
  </si>
  <si>
    <t>Starfshlutfall (%)</t>
  </si>
  <si>
    <t>Menntun</t>
  </si>
  <si>
    <t>Svið</t>
  </si>
  <si>
    <t>Deild</t>
  </si>
  <si>
    <t>Grunnlaun (kr.)</t>
  </si>
  <si>
    <t>Föst yfirvinna (kr.)</t>
  </si>
  <si>
    <t>Föst bifreiðahlunnindi (kr.)</t>
  </si>
  <si>
    <t>Tilfallandi / mældur bifreiðastyrkur (kr.)</t>
  </si>
  <si>
    <t>Tilfallandi / mæld yfirvinna (kr.)</t>
  </si>
  <si>
    <t>Bónusgreiðslur (kr.)</t>
  </si>
  <si>
    <t>Önnur hlunnindi eða greiðslur (kr.)</t>
  </si>
  <si>
    <t>Viðbótarlaun (kr.)</t>
  </si>
  <si>
    <t>Hlunnindi (kr.)</t>
  </si>
  <si>
    <t>Grunnlaun v/ 100% starfsh. (kr.)</t>
  </si>
  <si>
    <t>Heildarlaun v/ 100% starfsh. (kr.)</t>
  </si>
  <si>
    <t>Gefðu hverju starfsheiti þrep (1…fjöldi þrepa) fyrir hvert starfsbundið undirviðmið. Stigafjöldi er reiknaður sjálfvirkt samkvæmt formúlunni: stig = (þrep / fjöldi þrepa) × vægi × KVARÐI.</t>
  </si>
  <si>
    <t>Foreldri</t>
  </si>
  <si>
    <t>Hámark stig</t>
  </si>
  <si>
    <t>(Aðeins starfsbundin undirviðmið sýnd hér)</t>
  </si>
  <si>
    <t>Samtals stig:</t>
  </si>
  <si>
    <t>Gefðu hverjum starfsmanni þrep á persónubundnum undirviðmiðum. Stigafjöldi er reiknaður sjálfvirkt: stig = (þrep / fjöldi þrepa) × vægi × KVARÐI.</t>
  </si>
  <si>
    <t>Samtals pers. stig</t>
  </si>
  <si>
    <t>Yfirlit – Launagreining</t>
  </si>
  <si>
    <t>Samantekt per starfsmann: starfsbundið (frá starfsheiti) + persónubundið stig + launaupplýsingar. Heildarlaun = Grunnlaun + Viðbótarlaun + Hlunnindi. Tveir reitir lengst til hægri sýna launin uppreiknuð í 100% starfshlutfall — til samanburðar óháð vinnuhlutfalli.</t>
  </si>
  <si>
    <t>Hámark mögulegt →</t>
  </si>
  <si>
    <t>Starfsbundið stig</t>
  </si>
  <si>
    <t>Persónubundið stig</t>
  </si>
  <si>
    <t>Heildarstig</t>
  </si>
  <si>
    <t>Grunnlaun</t>
  </si>
  <si>
    <t>Viðbótarlaun</t>
  </si>
  <si>
    <t>Heildarlaun</t>
  </si>
  <si>
    <t>Grunnlaun v/ 100%</t>
  </si>
  <si>
    <t>Heildarlaun v/ 100%</t>
  </si>
  <si>
    <t>Tölfræði</t>
  </si>
  <si>
    <t>Meðalstig (allir):</t>
  </si>
  <si>
    <t>Meðalstig (konur):</t>
  </si>
  <si>
    <t>Meðalstig (karlar):</t>
  </si>
  <si>
    <t>Meðal-heildarlaun (allir):</t>
  </si>
  <si>
    <t>Meðal-heildarlaun (konur):</t>
  </si>
  <si>
    <t>Meðal-heildarlaun (karlar):</t>
  </si>
  <si>
    <t>Fjöldi starfsmanna (skráðir):</t>
  </si>
</sst>
</file>

<file path=xl/styles.xml><?xml version="1.0" encoding="utf-8"?>
<styleSheet xmlns="http://schemas.openxmlformats.org/spreadsheetml/2006/main">
  <numFmts count="5">
    <numFmt numFmtId="164" formatCode="yyyy\-mm\-dd"/>
    <numFmt numFmtId="165" formatCode="#,##0&quot; kr.&quot;"/>
    <numFmt numFmtId="166" formatCode="0.##"/>
    <numFmt numFmtId="167" formatCode="&quot;hám: &quot;0&quot; stig&quot;"/>
    <numFmt numFmtId="168" formatCode="0.0"/>
  </numFmts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68"/>
      <sz val="20"/>
    </font>
    <font>
      <name val="Arial"/>
      <charset val="1"/>
      <family val="0"/>
      <i val="1"/>
      <color rgb="FF666666"/>
      <sz val="11"/>
    </font>
    <font>
      <name val="Arial"/>
      <charset val="1"/>
      <family val="0"/>
      <b val="1"/>
      <color rgb="FF1F3A68"/>
      <sz val="13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charset val="1"/>
      <family val="0"/>
      <color rgb="FF0000FF"/>
      <sz val="11"/>
    </font>
    <font>
      <name val="Arial"/>
      <charset val="1"/>
      <family val="0"/>
      <b val="1"/>
      <color rgb="FF1F3A68"/>
      <sz val="16"/>
    </font>
    <font>
      <name val="Arial"/>
      <charset val="1"/>
      <family val="0"/>
      <i val="1"/>
      <color rgb="FF666666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666666"/>
      <sz val="11"/>
    </font>
    <font>
      <name val="Arial"/>
      <charset val="1"/>
      <family val="0"/>
      <color rgb="FF008000"/>
      <sz val="11"/>
    </font>
    <font>
      <name val="Arial"/>
      <charset val="1"/>
      <family val="0"/>
      <color rgb="FF000000"/>
      <sz val="11"/>
    </font>
    <font>
      <name val="Arial"/>
      <charset val="1"/>
      <family val="0"/>
      <b val="1"/>
      <color rgb="FF1F3A68"/>
      <sz val="11"/>
    </font>
    <font>
      <name val="Arial"/>
      <charset val="1"/>
      <family val="0"/>
      <b val="1"/>
      <color rgb="FF000000"/>
      <sz val="11"/>
    </font>
    <font>
      <name val="Arial"/>
      <charset val="1"/>
      <family val="0"/>
      <i val="1"/>
      <color rgb="FFAAAAAA"/>
      <sz val="8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666666"/>
      <sz val="9"/>
    </font>
  </fonts>
  <fills count="6">
    <fill>
      <patternFill/>
    </fill>
    <fill>
      <patternFill patternType="gray125"/>
    </fill>
    <fill>
      <patternFill patternType="solid">
        <fgColor rgb="FFFFF3CD"/>
        <bgColor rgb="FFF4F4F4"/>
      </patternFill>
    </fill>
    <fill>
      <patternFill patternType="solid">
        <fgColor rgb="FF1F3A68"/>
        <bgColor rgb="FF333399"/>
      </patternFill>
    </fill>
    <fill>
      <patternFill patternType="solid">
        <fgColor rgb="FFF4F4F4"/>
        <bgColor rgb="FFE4ECF7"/>
      </patternFill>
    </fill>
    <fill>
      <patternFill patternType="solid">
        <fgColor rgb="FFE4ECF7"/>
        <bgColor rgb="FFF4F4F4"/>
      </patternFill>
    </fill>
  </fills>
  <borders count="8">
    <border>
      <left/>
      <right/>
      <top/>
      <bottom/>
      <diagonal/>
    </border>
    <border>
      <left style="thin">
        <color rgb="FFB0B7C3"/>
      </left>
      <right style="thin">
        <color rgb="FFB0B7C3"/>
      </right>
      <top style="thin">
        <color rgb="FFB0B7C3"/>
      </top>
      <bottom style="thin">
        <color rgb="FFB0B7C3"/>
      </bottom>
      <diagonal/>
    </border>
    <border>
      <left/>
      <right/>
      <top style="thin">
        <color rgb="FFB0B7C3"/>
      </top>
      <bottom/>
      <diagonal/>
    </border>
    <border>
      <left/>
      <right style="thin">
        <color rgb="FFB0B7C3"/>
      </right>
      <top style="thin">
        <color rgb="FFB0B7C3"/>
      </top>
      <bottom/>
      <diagonal/>
    </border>
    <border>
      <left/>
      <right style="thin">
        <color rgb="FFB0B7C3"/>
      </right>
      <top style="thin">
        <color rgb="FFB0B7C3"/>
      </top>
      <bottom style="thin">
        <color rgb="FFB0B7C3"/>
      </bottom>
      <diagonal/>
    </border>
    <border>
      <left style="thin">
        <color rgb="FFB0B7C3"/>
      </left>
      <right/>
      <top/>
      <bottom/>
      <diagonal/>
    </border>
    <border>
      <left style="thin">
        <color rgb="FFB0B7C3"/>
      </left>
      <right style="thin">
        <color rgb="FFB0B7C3"/>
      </right>
      <top/>
      <bottom/>
      <diagonal/>
    </border>
    <border>
      <left style="thin">
        <color rgb="FFB0B7C3"/>
      </left>
      <right style="thin">
        <color rgb="FFB0B7C3"/>
      </right>
      <top/>
      <bottom style="thin">
        <color rgb="FFB0B7C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top" wrapText="1"/>
    </xf>
    <xf numFmtId="0" fontId="8" fillId="0" borderId="0" applyAlignment="1" pivotButton="0" quotePrefix="0" xfId="0">
      <alignment horizontal="left" vertical="top" wrapText="1"/>
    </xf>
    <xf numFmtId="0" fontId="7" fillId="0" borderId="0" applyAlignment="1" pivotButton="0" quotePrefix="0" xfId="0">
      <alignment horizontal="general" vertical="bottom"/>
    </xf>
    <xf numFmtId="1" fontId="9" fillId="2" borderId="1" applyAlignment="1" applyProtection="1" pivotButton="0" quotePrefix="0" xfId="0">
      <alignment horizontal="center" vertical="center" wrapText="1"/>
      <protection locked="0" hidden="0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left" vertical="center" wrapText="1"/>
    </xf>
    <xf numFmtId="1" fontId="9" fillId="0" borderId="1" applyAlignment="1" applyProtection="1" pivotButton="0" quotePrefix="0" xfId="0">
      <alignment horizontal="center" vertical="center" wrapText="1"/>
      <protection locked="0" hidden="0"/>
    </xf>
    <xf numFmtId="0" fontId="9" fillId="0" borderId="1" applyAlignment="1" applyProtection="1" pivotButton="0" quotePrefix="0" xfId="0">
      <alignment horizontal="left" vertical="center" wrapText="1"/>
      <protection locked="0" hidden="0"/>
    </xf>
    <xf numFmtId="0" fontId="9" fillId="0" borderId="1" applyAlignment="1" applyProtection="1" pivotButton="0" quotePrefix="0" xfId="0">
      <alignment horizontal="left" vertical="top" wrapText="1"/>
      <protection locked="0" hidden="0"/>
    </xf>
    <xf numFmtId="0" fontId="7" fillId="0" borderId="0" applyAlignment="1" pivotButton="0" quotePrefix="0" xfId="0">
      <alignment horizontal="right" vertical="center"/>
    </xf>
    <xf numFmtId="1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general" vertical="bottom"/>
    </xf>
    <xf numFmtId="0" fontId="13" fillId="4" borderId="1" applyAlignment="1" pivotButton="0" quotePrefix="0" xfId="0">
      <alignment horizontal="center" vertical="center" wrapText="1"/>
    </xf>
    <xf numFmtId="0" fontId="9" fillId="0" borderId="1" applyAlignment="1" applyProtection="1" pivotButton="0" quotePrefix="0" xfId="0">
      <alignment horizontal="center" vertical="center" wrapText="1"/>
      <protection locked="0" hidden="0"/>
    </xf>
    <xf numFmtId="0" fontId="14" fillId="0" borderId="1" applyAlignment="1" pivotButton="0" quotePrefix="0" xfId="0">
      <alignment horizontal="left" vertical="center" wrapText="1"/>
    </xf>
    <xf numFmtId="1" fontId="15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164" fontId="9" fillId="0" borderId="1" applyAlignment="1" applyProtection="1" pivotButton="0" quotePrefix="0" xfId="0">
      <alignment horizontal="left" vertical="center" wrapText="1"/>
      <protection locked="0" hidden="0"/>
    </xf>
    <xf numFmtId="165" fontId="9" fillId="0" borderId="1" applyAlignment="1" applyProtection="1" pivotButton="0" quotePrefix="0" xfId="0">
      <alignment horizontal="left" vertical="center" wrapText="1"/>
      <protection locked="0" hidden="0"/>
    </xf>
    <xf numFmtId="165" fontId="15" fillId="0" borderId="1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0" fontId="16" fillId="5" borderId="1" applyAlignment="1" pivotButton="0" quotePrefix="0" xfId="0">
      <alignment horizontal="left" vertical="center" wrapText="1"/>
    </xf>
    <xf numFmtId="0" fontId="16" fillId="5" borderId="1" applyAlignment="1" pivotButton="0" quotePrefix="0" xfId="0">
      <alignment horizontal="center" vertical="center" wrapText="1"/>
    </xf>
    <xf numFmtId="1" fontId="14" fillId="0" borderId="1" applyAlignment="1" pivotButton="0" quotePrefix="0" xfId="0">
      <alignment horizontal="center" vertical="center" wrapText="1"/>
    </xf>
    <xf numFmtId="166" fontId="15" fillId="0" borderId="1" applyAlignment="1" pivotButton="0" quotePrefix="0" xfId="0">
      <alignment horizontal="center" vertical="center" wrapText="1"/>
    </xf>
    <xf numFmtId="1" fontId="17" fillId="5" borderId="1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general" vertical="bottom"/>
    </xf>
    <xf numFmtId="0" fontId="19" fillId="3" borderId="1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right" vertical="center"/>
    </xf>
    <xf numFmtId="167" fontId="20" fillId="0" borderId="0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165" fontId="14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right" vertical="center"/>
    </xf>
    <xf numFmtId="168" fontId="7" fillId="5" borderId="1" applyAlignment="1" pivotButton="0" quotePrefix="0" xfId="0">
      <alignment horizontal="center" vertical="center" wrapText="1"/>
    </xf>
    <xf numFmtId="165" fontId="7" fillId="5" borderId="1" applyAlignment="1" pivotButton="0" quotePrefix="0" xfId="0">
      <alignment horizontal="center" vertical="center" wrapText="1"/>
    </xf>
    <xf numFmtId="1" fontId="7" fillId="5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top" wrapText="1"/>
    </xf>
    <xf numFmtId="0" fontId="8" fillId="0" borderId="0" applyAlignment="1" pivotButton="0" quotePrefix="0" xfId="0">
      <alignment horizontal="left" vertical="top" wrapText="1"/>
    </xf>
    <xf numFmtId="0" fontId="7" fillId="0" borderId="0" applyAlignment="1" pivotButton="0" quotePrefix="0" xfId="0">
      <alignment horizontal="general" vertical="bottom"/>
    </xf>
    <xf numFmtId="1" fontId="9" fillId="2" borderId="1" applyAlignment="1" applyProtection="1" pivotButton="0" quotePrefix="0" xfId="0">
      <alignment horizontal="center" vertical="center" wrapText="1"/>
      <protection locked="0" hidden="0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left" vertical="center" wrapText="1"/>
    </xf>
    <xf numFmtId="1" fontId="9" fillId="0" borderId="1" applyAlignment="1" applyProtection="1" pivotButton="0" quotePrefix="0" xfId="0">
      <alignment horizontal="center" vertical="center" wrapText="1"/>
      <protection locked="0" hidden="0"/>
    </xf>
    <xf numFmtId="0" fontId="9" fillId="0" borderId="1" applyAlignment="1" applyProtection="1" pivotButton="0" quotePrefix="0" xfId="0">
      <alignment horizontal="left" vertical="center" wrapText="1"/>
      <protection locked="0" hidden="0"/>
    </xf>
    <xf numFmtId="0" fontId="9" fillId="0" borderId="1" applyAlignment="1" applyProtection="1" pivotButton="0" quotePrefix="0" xfId="0">
      <alignment horizontal="left" vertical="top" wrapText="1"/>
      <protection locked="0" hidden="0"/>
    </xf>
    <xf numFmtId="0" fontId="7" fillId="0" borderId="0" applyAlignment="1" pivotButton="0" quotePrefix="0" xfId="0">
      <alignment horizontal="right" vertical="center"/>
    </xf>
    <xf numFmtId="1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9" fillId="0" borderId="1" applyAlignment="1" applyProtection="1" pivotButton="0" quotePrefix="0" xfId="0">
      <alignment horizontal="center" vertical="center" wrapText="1"/>
      <protection locked="0" hidden="0"/>
    </xf>
    <xf numFmtId="0" fontId="14" fillId="0" borderId="1" applyAlignment="1" pivotButton="0" quotePrefix="0" xfId="0">
      <alignment horizontal="left" vertical="center" wrapText="1"/>
    </xf>
    <xf numFmtId="1" fontId="15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164" fontId="9" fillId="0" borderId="1" applyAlignment="1" applyProtection="1" pivotButton="0" quotePrefix="0" xfId="0">
      <alignment horizontal="left" vertical="center" wrapText="1"/>
      <protection locked="0" hidden="0"/>
    </xf>
    <xf numFmtId="165" fontId="9" fillId="0" borderId="1" applyAlignment="1" applyProtection="1" pivotButton="0" quotePrefix="0" xfId="0">
      <alignment horizontal="left" vertical="center" wrapText="1"/>
      <protection locked="0" hidden="0"/>
    </xf>
    <xf numFmtId="165" fontId="15" fillId="0" borderId="1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16" fillId="5" borderId="1" applyAlignment="1" pivotButton="0" quotePrefix="0" xfId="0">
      <alignment horizontal="left" vertical="center" wrapText="1"/>
    </xf>
    <xf numFmtId="0" fontId="16" fillId="5" borderId="1" applyAlignment="1" pivotButton="0" quotePrefix="0" xfId="0">
      <alignment horizontal="center" vertical="center" wrapText="1"/>
    </xf>
    <xf numFmtId="1" fontId="14" fillId="0" borderId="1" applyAlignment="1" pivotButton="0" quotePrefix="0" xfId="0">
      <alignment horizontal="center" vertical="center" wrapText="1"/>
    </xf>
    <xf numFmtId="166" fontId="15" fillId="0" borderId="1" applyAlignment="1" pivotButton="0" quotePrefix="0" xfId="0">
      <alignment horizontal="center" vertical="center" wrapText="1"/>
    </xf>
    <xf numFmtId="1" fontId="17" fillId="5" borderId="1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general" vertical="bottom"/>
    </xf>
    <xf numFmtId="0" fontId="19" fillId="3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20" fillId="0" borderId="0" applyAlignment="1" pivotButton="0" quotePrefix="0" xfId="0">
      <alignment horizontal="right" vertical="center"/>
    </xf>
    <xf numFmtId="167" fontId="20" fillId="0" borderId="0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165" fontId="14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right" vertical="center"/>
    </xf>
    <xf numFmtId="168" fontId="7" fillId="5" borderId="1" applyAlignment="1" pivotButton="0" quotePrefix="0" xfId="0">
      <alignment horizontal="center" vertical="center" wrapText="1"/>
    </xf>
    <xf numFmtId="165" fontId="7" fillId="5" borderId="1" applyAlignment="1" pivotButton="0" quotePrefix="0" xfId="0">
      <alignment horizontal="center" vertical="center" wrapText="1"/>
    </xf>
    <xf numFmtId="1" fontId="7" fillId="5" borderId="1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D4EDDA"/>
        </patternFill>
      </fill>
    </dxf>
    <dxf>
      <fill>
        <patternFill>
          <bgColor rgb="FFF8D7DA"/>
        </patternFill>
      </fill>
    </dxf>
    <dxf>
      <fill>
        <patternFill>
          <bgColor rgb="FFF4F4F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C6C25"/>
      <rgbColor rgb="FF800080"/>
      <rgbColor rgb="FF008080"/>
      <rgbColor rgb="FFB0B7C3"/>
      <rgbColor rgb="FF588157"/>
      <rgbColor rgb="FF9999FF"/>
      <rgbColor rgb="FF6A4C93"/>
      <rgbColor rgb="FFFFF3CD"/>
      <rgbColor rgb="FFE4ECF7"/>
      <rgbColor rgb="FF660066"/>
      <rgbColor rgb="FFFF8080"/>
      <rgbColor rgb="FF2E5AA8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4F4"/>
      <rgbColor rgb="FFD4EDDA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666666"/>
      <rgbColor rgb="FFAAAAAA"/>
      <rgbColor rgb="FF1F3A68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Relationship Id="rId10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BL_STARFSMENN" displayName="TBL_STARFSMENN" ref="A6:T55" headerRowCount="0">
  <tableColumns count="20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id="2" name="TBL_STARFSFOLK" displayName="TBL_STARFSFOLK" ref="A7:GV56" headerRowCount="0">
  <tableColumns count="204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  <tableColumn id="24" name="Column24"/>
    <tableColumn id="25" name="Column25"/>
    <tableColumn id="26" name="Column26"/>
    <tableColumn id="27" name="Column27"/>
    <tableColumn id="28" name="Column28"/>
    <tableColumn id="29" name="Column29"/>
    <tableColumn id="30" name="Column30"/>
    <tableColumn id="31" name="Column31"/>
    <tableColumn id="32" name="Column32"/>
    <tableColumn id="33" name="Column33"/>
    <tableColumn id="34" name="Column34"/>
    <tableColumn id="35" name="Column35"/>
    <tableColumn id="36" name="Column36"/>
    <tableColumn id="37" name="Column37"/>
    <tableColumn id="38" name="Column38"/>
    <tableColumn id="39" name="Column39"/>
    <tableColumn id="40" name="Column40"/>
    <tableColumn id="41" name="Column41"/>
    <tableColumn id="42" name="Column42"/>
    <tableColumn id="43" name="Column43"/>
    <tableColumn id="44" name="Column44"/>
    <tableColumn id="45" name="Column45"/>
    <tableColumn id="46" name="Column46"/>
    <tableColumn id="47" name="Column47"/>
    <tableColumn id="48" name="Column48"/>
    <tableColumn id="49" name="Column49"/>
    <tableColumn id="50" name="Column50"/>
    <tableColumn id="51" name="Column51"/>
    <tableColumn id="52" name="Column52"/>
    <tableColumn id="53" name="Column53"/>
    <tableColumn id="54" name="Column54"/>
    <tableColumn id="55" name="Column55"/>
    <tableColumn id="56" name="Column56"/>
    <tableColumn id="57" name="Column57"/>
    <tableColumn id="58" name="Column58"/>
    <tableColumn id="59" name="Column59"/>
    <tableColumn id="60" name="Column60"/>
    <tableColumn id="61" name="Column61"/>
    <tableColumn id="62" name="Column62"/>
    <tableColumn id="63" name="Column63"/>
    <tableColumn id="64" name="Column64"/>
    <tableColumn id="65" name="Column65"/>
    <tableColumn id="66" name="Column66"/>
    <tableColumn id="67" name="Column67"/>
    <tableColumn id="68" name="Column68"/>
    <tableColumn id="69" name="Column69"/>
    <tableColumn id="70" name="Column70"/>
    <tableColumn id="71" name="Column71"/>
    <tableColumn id="72" name="Column72"/>
    <tableColumn id="73" name="Column73"/>
    <tableColumn id="74" name="Column74"/>
    <tableColumn id="75" name="Column75"/>
    <tableColumn id="76" name="Column76"/>
    <tableColumn id="77" name="Column77"/>
    <tableColumn id="78" name="Column78"/>
    <tableColumn id="79" name="Column79"/>
    <tableColumn id="80" name="Column80"/>
    <tableColumn id="81" name="Column81"/>
    <tableColumn id="82" name="Column82"/>
    <tableColumn id="83" name="Column83"/>
    <tableColumn id="84" name="Column84"/>
    <tableColumn id="85" name="Column85"/>
    <tableColumn id="86" name="Column86"/>
    <tableColumn id="87" name="Column87"/>
    <tableColumn id="88" name="Column88"/>
    <tableColumn id="89" name="Column89"/>
    <tableColumn id="90" name="Column90"/>
    <tableColumn id="91" name="Column91"/>
    <tableColumn id="92" name="Column92"/>
    <tableColumn id="93" name="Column93"/>
    <tableColumn id="94" name="Column94"/>
    <tableColumn id="95" name="Column95"/>
    <tableColumn id="96" name="Column96"/>
    <tableColumn id="97" name="Column97"/>
    <tableColumn id="98" name="Column98"/>
    <tableColumn id="99" name="Column99"/>
    <tableColumn id="100" name="Column100"/>
    <tableColumn id="101" name="Column101"/>
    <tableColumn id="102" name="Column102"/>
    <tableColumn id="103" name="Column103"/>
    <tableColumn id="104" name="Column104"/>
    <tableColumn id="105" name="Column105"/>
    <tableColumn id="106" name="Column106"/>
    <tableColumn id="107" name="Column107"/>
    <tableColumn id="108" name="Column108"/>
    <tableColumn id="109" name="Column109"/>
    <tableColumn id="110" name="Column110"/>
    <tableColumn id="111" name="Column111"/>
    <tableColumn id="112" name="Column112"/>
    <tableColumn id="113" name="Column113"/>
    <tableColumn id="114" name="Column114"/>
    <tableColumn id="115" name="Column115"/>
    <tableColumn id="116" name="Column116"/>
    <tableColumn id="117" name="Column117"/>
    <tableColumn id="118" name="Column118"/>
    <tableColumn id="119" name="Column119"/>
    <tableColumn id="120" name="Column120"/>
    <tableColumn id="121" name="Column121"/>
    <tableColumn id="122" name="Column122"/>
    <tableColumn id="123" name="Column123"/>
    <tableColumn id="124" name="Column124"/>
    <tableColumn id="125" name="Column125"/>
    <tableColumn id="126" name="Column126"/>
    <tableColumn id="127" name="Column127"/>
    <tableColumn id="128" name="Column128"/>
    <tableColumn id="129" name="Column129"/>
    <tableColumn id="130" name="Column130"/>
    <tableColumn id="131" name="Column131"/>
    <tableColumn id="132" name="Column132"/>
    <tableColumn id="133" name="Column133"/>
    <tableColumn id="134" name="Column134"/>
    <tableColumn id="135" name="Column135"/>
    <tableColumn id="136" name="Column136"/>
    <tableColumn id="137" name="Column137"/>
    <tableColumn id="138" name="Column138"/>
    <tableColumn id="139" name="Column139"/>
    <tableColumn id="140" name="Column140"/>
    <tableColumn id="141" name="Column141"/>
    <tableColumn id="142" name="Column142"/>
    <tableColumn id="143" name="Column143"/>
    <tableColumn id="144" name="Column144"/>
    <tableColumn id="145" name="Column145"/>
    <tableColumn id="146" name="Column146"/>
    <tableColumn id="147" name="Column147"/>
    <tableColumn id="148" name="Column148"/>
    <tableColumn id="149" name="Column149"/>
    <tableColumn id="150" name="Column150"/>
    <tableColumn id="151" name="Column151"/>
    <tableColumn id="152" name="Column152"/>
    <tableColumn id="153" name="Column153"/>
    <tableColumn id="154" name="Column154"/>
    <tableColumn id="155" name="Column155"/>
    <tableColumn id="156" name="Column156"/>
    <tableColumn id="157" name="Column157"/>
    <tableColumn id="158" name="Column158"/>
    <tableColumn id="159" name="Column159"/>
    <tableColumn id="160" name="Column160"/>
    <tableColumn id="161" name="Column161"/>
    <tableColumn id="162" name="Column162"/>
    <tableColumn id="163" name="Column163"/>
    <tableColumn id="164" name="Column164"/>
    <tableColumn id="165" name="Column165"/>
    <tableColumn id="166" name="Column166"/>
    <tableColumn id="167" name="Column167"/>
    <tableColumn id="168" name="Column168"/>
    <tableColumn id="169" name="Column169"/>
    <tableColumn id="170" name="Column170"/>
    <tableColumn id="171" name="Column171"/>
    <tableColumn id="172" name="Column172"/>
    <tableColumn id="173" name="Column173"/>
    <tableColumn id="174" name="Column174"/>
    <tableColumn id="175" name="Column175"/>
    <tableColumn id="176" name="Column176"/>
    <tableColumn id="177" name="Column177"/>
    <tableColumn id="178" name="Column178"/>
    <tableColumn id="179" name="Column179"/>
    <tableColumn id="180" name="Column180"/>
    <tableColumn id="181" name="Column181"/>
    <tableColumn id="182" name="Column182"/>
    <tableColumn id="183" name="Column183"/>
    <tableColumn id="184" name="Column184"/>
    <tableColumn id="185" name="Column185"/>
    <tableColumn id="186" name="Column186"/>
    <tableColumn id="187" name="Column187"/>
    <tableColumn id="188" name="Column188"/>
    <tableColumn id="189" name="Column189"/>
    <tableColumn id="190" name="Column190"/>
    <tableColumn id="191" name="Column191"/>
    <tableColumn id="192" name="Column192"/>
    <tableColumn id="193" name="Column193"/>
    <tableColumn id="194" name="Column194"/>
    <tableColumn id="195" name="Column195"/>
    <tableColumn id="196" name="Column196"/>
    <tableColumn id="197" name="Column197"/>
    <tableColumn id="198" name="Column198"/>
    <tableColumn id="199" name="Column199"/>
    <tableColumn id="200" name="Column200"/>
    <tableColumn id="201" name="Column201"/>
    <tableColumn id="202" name="Column202"/>
    <tableColumn id="203" name="Column203"/>
    <tableColumn id="204" name="Column204"/>
  </tableColumns>
  <tableStyleInfo showFirstColumn="0" showLastColumn="0" showRowStripes="0" showColumnStripes="0"/>
</table>
</file>

<file path=xl/tables/table3.xml><?xml version="1.0" encoding="utf-8"?>
<table xmlns="http://schemas.openxmlformats.org/spreadsheetml/2006/main" id="3" name="TBL_YFIRLIT" displayName="TBL_YFIRLIT" ref="A6:N55" headerRowCount="0">
  <tableColumns count="14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Relationships xmlns="http://schemas.openxmlformats.org/package/2006/relationships"><Relationship Type="http://schemas.openxmlformats.org/officeDocument/2006/relationships/table" Target="../tables/table1.xml" Id="rId1"/></Relationships>
</file>

<file path=xl/worksheets/_rels/sheet6.xml.rels><Relationships xmlns="http://schemas.openxmlformats.org/package/2006/relationships"><Relationship Type="http://schemas.openxmlformats.org/officeDocument/2006/relationships/table" Target="../tables/table2.xml" Id="rId1"/></Relationships>
</file>

<file path=xl/worksheets/_rels/sheet7.xml.rels><Relationships xmlns="http://schemas.openxmlformats.org/package/2006/relationships"><Relationship Type="http://schemas.openxmlformats.org/officeDocument/2006/relationships/table" Target="../tables/table3.xml" Id="rId1"/></Relationships>
</file>

<file path=xl/worksheets/sheet1.xml><?xml version="1.0" encoding="utf-8"?>
<worksheet xmlns="http://schemas.openxmlformats.org/spreadsheetml/2006/main">
  <sheetPr filterMode="0">
    <tabColor rgb="FF1F3A68"/>
    <outlinePr summaryBelow="1" summaryRight="1"/>
    <pageSetUpPr fitToPage="0"/>
  </sheetPr>
  <dimension ref="B2:C5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" customWidth="1" style="46" min="1" max="1"/>
    <col width="34" customWidth="1" style="46" min="2" max="2"/>
    <col width="80" customWidth="1" style="46" min="3" max="3"/>
  </cols>
  <sheetData>
    <row r="2" ht="24" customHeight="1" s="47">
      <c r="B2" s="48" t="s">
        <v>0</v>
      </c>
    </row>
    <row r="3" ht="15" customHeight="1" s="47">
      <c r="B3" s="49" t="s">
        <v>1</v>
      </c>
    </row>
    <row r="5" ht="15.75" customHeight="1" s="47">
      <c r="B5" s="50" t="s">
        <v>2</v>
      </c>
    </row>
    <row r="6" ht="15" customHeight="1" s="47">
      <c r="B6" s="51" t="s">
        <v>3</v>
      </c>
      <c r="C6" s="52" t="s">
        <v>4</v>
      </c>
    </row>
    <row r="7" ht="26.25" customHeight="1" s="47">
      <c r="B7" s="51" t="s">
        <v>5</v>
      </c>
      <c r="C7" s="52" t="s">
        <v>6</v>
      </c>
    </row>
    <row r="8" ht="15" customHeight="1" s="47">
      <c r="B8" s="51" t="s">
        <v>7</v>
      </c>
      <c r="C8" s="52" t="s">
        <v>8</v>
      </c>
    </row>
    <row r="9" ht="15" customHeight="1" s="47">
      <c r="B9" s="51" t="s">
        <v>9</v>
      </c>
      <c r="C9" s="52" t="s">
        <v>10</v>
      </c>
    </row>
    <row r="10" ht="15" customHeight="1" s="47">
      <c r="B10" s="51" t="s">
        <v>11</v>
      </c>
      <c r="C10" s="52" t="s">
        <v>12</v>
      </c>
    </row>
    <row r="11" ht="15" customHeight="1" s="47">
      <c r="B11" s="51" t="s">
        <v>13</v>
      </c>
      <c r="C11" s="52" t="s">
        <v>14</v>
      </c>
    </row>
    <row r="13" ht="15.75" customHeight="1" s="47">
      <c r="B13" s="50" t="s">
        <v>15</v>
      </c>
    </row>
    <row r="14" ht="15" customHeight="1" s="47">
      <c r="B14" s="51" t="s">
        <v>16</v>
      </c>
      <c r="C14" s="52" t="s">
        <v>17</v>
      </c>
    </row>
    <row r="15" ht="15" customHeight="1" s="47">
      <c r="B15" s="51" t="s">
        <v>18</v>
      </c>
      <c r="C15" s="52" t="s">
        <v>19</v>
      </c>
    </row>
    <row r="16" ht="15" customHeight="1" s="47">
      <c r="B16" s="51" t="s">
        <v>20</v>
      </c>
      <c r="C16" s="52" t="s">
        <v>21</v>
      </c>
    </row>
    <row r="17" ht="15" customHeight="1" s="47">
      <c r="B17" s="51" t="s">
        <v>22</v>
      </c>
      <c r="C17" s="52" t="s">
        <v>23</v>
      </c>
    </row>
    <row r="19" ht="15.75" customHeight="1" s="47">
      <c r="B19" s="50" t="s">
        <v>24</v>
      </c>
    </row>
    <row r="20" ht="15" customHeight="1" s="47">
      <c r="B20" s="51" t="s">
        <v>25</v>
      </c>
      <c r="C20" s="52" t="s">
        <v>26</v>
      </c>
    </row>
    <row r="21" ht="15" customHeight="1" s="47">
      <c r="B21" s="51" t="s">
        <v>27</v>
      </c>
      <c r="C21" s="52" t="s">
        <v>28</v>
      </c>
    </row>
    <row r="22" ht="15" customHeight="1" s="47">
      <c r="B22" s="51" t="s">
        <v>29</v>
      </c>
      <c r="C22" s="52" t="s">
        <v>30</v>
      </c>
    </row>
    <row r="23" ht="15" customHeight="1" s="47">
      <c r="B23" s="51" t="s">
        <v>31</v>
      </c>
      <c r="C23" s="52" t="s">
        <v>32</v>
      </c>
    </row>
    <row r="24" ht="15" customHeight="1" s="47">
      <c r="B24" s="51" t="s">
        <v>33</v>
      </c>
      <c r="C24" s="52" t="s">
        <v>34</v>
      </c>
    </row>
    <row r="25" ht="15" customHeight="1" s="47">
      <c r="B25" s="51" t="s">
        <v>35</v>
      </c>
      <c r="C25" s="52" t="s">
        <v>36</v>
      </c>
    </row>
    <row r="27" ht="15.75" customHeight="1" s="47">
      <c r="B27" s="50" t="s">
        <v>37</v>
      </c>
    </row>
    <row r="28" ht="15" customHeight="1" s="47">
      <c r="B28" s="51" t="s">
        <v>3</v>
      </c>
      <c r="C28" s="52" t="s">
        <v>38</v>
      </c>
    </row>
    <row r="29" ht="15" customHeight="1" s="47">
      <c r="B29" s="51" t="s">
        <v>5</v>
      </c>
      <c r="C29" s="52" t="s">
        <v>39</v>
      </c>
    </row>
    <row r="30" ht="15" customHeight="1" s="47">
      <c r="B30" s="51" t="s">
        <v>40</v>
      </c>
      <c r="C30" s="52" t="s">
        <v>41</v>
      </c>
    </row>
    <row r="31" ht="26.25" customHeight="1" s="47">
      <c r="B31" s="51" t="s">
        <v>42</v>
      </c>
      <c r="C31" s="52" t="s">
        <v>43</v>
      </c>
    </row>
    <row r="32" ht="15" customHeight="1" s="47">
      <c r="B32" s="51" t="s">
        <v>44</v>
      </c>
      <c r="C32" s="52" t="s">
        <v>45</v>
      </c>
    </row>
    <row r="33" ht="15" customHeight="1" s="47">
      <c r="B33" s="51" t="s">
        <v>46</v>
      </c>
      <c r="C33" s="52" t="s">
        <v>47</v>
      </c>
    </row>
    <row r="34" ht="51.75" customHeight="1" s="47">
      <c r="B34" s="51" t="s">
        <v>48</v>
      </c>
      <c r="C34" s="52" t="s">
        <v>49</v>
      </c>
    </row>
    <row r="36" ht="15.75" customHeight="1" s="47">
      <c r="B36" s="50" t="s">
        <v>50</v>
      </c>
    </row>
    <row r="37" ht="26.25" customHeight="1" s="47">
      <c r="B37" s="51" t="s">
        <v>51</v>
      </c>
      <c r="C37" s="52" t="s">
        <v>52</v>
      </c>
    </row>
    <row r="38" ht="26.25" customHeight="1" s="47">
      <c r="B38" s="51" t="s">
        <v>53</v>
      </c>
      <c r="C38" s="52" t="s">
        <v>54</v>
      </c>
    </row>
    <row r="40" ht="15.75" customHeight="1" s="47">
      <c r="B40" s="50" t="s">
        <v>55</v>
      </c>
    </row>
    <row r="41" ht="15" customHeight="1" s="47">
      <c r="B41" s="51" t="s">
        <v>56</v>
      </c>
      <c r="C41" s="52" t="s">
        <v>57</v>
      </c>
    </row>
    <row r="42" ht="15" customHeight="1" s="47">
      <c r="B42" s="51" t="s">
        <v>58</v>
      </c>
      <c r="C42" s="52" t="s">
        <v>59</v>
      </c>
    </row>
    <row r="43" ht="15" customHeight="1" s="47">
      <c r="B43" s="51" t="s">
        <v>60</v>
      </c>
      <c r="C43" s="52" t="s">
        <v>61</v>
      </c>
    </row>
    <row r="44" ht="15" customHeight="1" s="47">
      <c r="B44" s="51" t="s">
        <v>62</v>
      </c>
      <c r="C44" s="52" t="s">
        <v>63</v>
      </c>
    </row>
    <row r="45" ht="26.25" customHeight="1" s="47">
      <c r="B45" s="51" t="s">
        <v>64</v>
      </c>
      <c r="C45" s="52" t="s">
        <v>65</v>
      </c>
    </row>
    <row r="46" ht="15" customHeight="1" s="47">
      <c r="B46" s="51" t="s">
        <v>66</v>
      </c>
      <c r="C46" s="52" t="s">
        <v>67</v>
      </c>
    </row>
    <row r="48" ht="15" customHeight="1" s="47">
      <c r="B48" s="53" t="s">
        <v>68</v>
      </c>
      <c r="C48" s="54" t="n">
        <v>10</v>
      </c>
    </row>
    <row r="50">
      <c r="B50" s="50" t="s">
        <v>69</v>
      </c>
    </row>
    <row r="51">
      <c r="B51" s="51" t="s">
        <v>7</v>
      </c>
      <c r="C51" s="52" t="s">
        <v>70</v>
      </c>
    </row>
    <row r="52">
      <c r="B52" s="51" t="s">
        <v>5</v>
      </c>
      <c r="C52" s="52" t="s">
        <v>71</v>
      </c>
    </row>
    <row r="53">
      <c r="B53" s="51" t="s">
        <v>72</v>
      </c>
      <c r="C53" s="52" t="s">
        <v>73</v>
      </c>
    </row>
    <row r="54">
      <c r="B54" s="51" t="s">
        <v>74</v>
      </c>
      <c r="C54" s="52" t="s">
        <v>75</v>
      </c>
    </row>
  </sheetData>
  <mergeCells count="8">
    <mergeCell ref="B13:C13"/>
    <mergeCell ref="B2:C2"/>
    <mergeCell ref="B3:C3"/>
    <mergeCell ref="B5:C5"/>
    <mergeCell ref="B19:C19"/>
    <mergeCell ref="B36:C36"/>
    <mergeCell ref="B40:C40"/>
    <mergeCell ref="B27:C2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2E5AA8"/>
    <outlinePr summaryBelow="1" summaryRight="1"/>
    <pageSetUpPr fitToPage="0"/>
  </sheetPr>
  <dimension ref="B2:F3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" customWidth="1" style="46" min="1" max="1"/>
    <col width="22" customWidth="1" style="46" min="2" max="2"/>
    <col width="30" customWidth="1" style="46" min="3" max="3"/>
    <col width="60" customWidth="1" style="46" min="4" max="4"/>
    <col width="14" customWidth="1" style="46" min="5" max="5"/>
    <col width="16" customWidth="1" style="46" min="6" max="6"/>
  </cols>
  <sheetData>
    <row r="2" ht="19.5" customHeight="1" s="47">
      <c r="B2" s="55" t="s">
        <v>3</v>
      </c>
    </row>
    <row r="3" ht="15" customHeight="1" s="47">
      <c r="B3" s="56" t="s">
        <v>76</v>
      </c>
    </row>
    <row r="5" ht="25.5" customHeight="1" s="47">
      <c r="B5" s="57" t="s">
        <v>77</v>
      </c>
      <c r="C5" s="57" t="s">
        <v>3</v>
      </c>
      <c r="D5" s="57" t="s">
        <v>78</v>
      </c>
      <c r="E5" s="57" t="s">
        <v>79</v>
      </c>
      <c r="F5" s="57" t="s">
        <v>80</v>
      </c>
    </row>
    <row r="6" ht="26.25" customHeight="1" s="47">
      <c r="B6" s="58" t="s">
        <v>81</v>
      </c>
      <c r="C6" s="58" t="s">
        <v>82</v>
      </c>
      <c r="D6" s="58" t="s">
        <v>83</v>
      </c>
      <c r="E6" s="59" t="n">
        <v>15</v>
      </c>
      <c r="F6" s="58" t="s">
        <v>84</v>
      </c>
    </row>
    <row r="7" ht="15" customHeight="1" s="47">
      <c r="B7" s="58" t="s">
        <v>81</v>
      </c>
      <c r="C7" s="58" t="s">
        <v>85</v>
      </c>
      <c r="D7" s="58" t="s">
        <v>86</v>
      </c>
      <c r="E7" s="59" t="n">
        <v>25</v>
      </c>
      <c r="F7" s="58" t="s">
        <v>84</v>
      </c>
    </row>
    <row r="8" ht="15" customHeight="1" s="47">
      <c r="B8" s="58" t="s">
        <v>81</v>
      </c>
      <c r="C8" s="58" t="s">
        <v>87</v>
      </c>
      <c r="D8" s="58" t="s">
        <v>88</v>
      </c>
      <c r="E8" s="59" t="n">
        <v>25</v>
      </c>
      <c r="F8" s="58" t="s">
        <v>84</v>
      </c>
    </row>
    <row r="9" ht="15" customHeight="1" s="47">
      <c r="B9" s="58" t="s">
        <v>81</v>
      </c>
      <c r="C9" s="58" t="s">
        <v>89</v>
      </c>
      <c r="D9" s="58" t="s">
        <v>90</v>
      </c>
      <c r="E9" s="59" t="n">
        <v>25</v>
      </c>
      <c r="F9" s="58" t="s">
        <v>84</v>
      </c>
    </row>
    <row r="10" ht="15" customHeight="1" s="47">
      <c r="B10" s="58" t="s">
        <v>91</v>
      </c>
      <c r="C10" s="60" t="n"/>
      <c r="D10" s="61" t="n"/>
      <c r="E10" s="59" t="n"/>
      <c r="F10" s="58" t="s">
        <v>92</v>
      </c>
    </row>
    <row r="11" ht="15" customHeight="1" s="47">
      <c r="B11" s="58" t="s">
        <v>91</v>
      </c>
      <c r="C11" s="60" t="n"/>
      <c r="D11" s="61" t="n"/>
      <c r="E11" s="59" t="n"/>
      <c r="F11" s="58" t="s">
        <v>92</v>
      </c>
    </row>
    <row r="12" ht="15" customHeight="1" s="47">
      <c r="B12" s="58" t="s">
        <v>91</v>
      </c>
      <c r="C12" s="60" t="n"/>
      <c r="D12" s="61" t="n"/>
      <c r="E12" s="59" t="n"/>
      <c r="F12" s="58" t="s">
        <v>92</v>
      </c>
    </row>
    <row r="13" ht="15" customHeight="1" s="47">
      <c r="B13" s="58" t="s">
        <v>91</v>
      </c>
      <c r="C13" s="60" t="n"/>
      <c r="D13" s="61" t="n"/>
      <c r="E13" s="59" t="n"/>
      <c r="F13" s="58" t="s">
        <v>92</v>
      </c>
    </row>
    <row r="14" ht="15" customHeight="1" s="47">
      <c r="B14" s="58" t="s">
        <v>91</v>
      </c>
      <c r="C14" s="60" t="n"/>
      <c r="D14" s="61" t="n"/>
      <c r="E14" s="59" t="n"/>
      <c r="F14" s="58" t="s">
        <v>92</v>
      </c>
    </row>
    <row r="15" ht="15" customHeight="1" s="47">
      <c r="B15" s="58" t="s">
        <v>91</v>
      </c>
      <c r="C15" s="60" t="n"/>
      <c r="D15" s="61" t="n"/>
      <c r="E15" s="59" t="n"/>
      <c r="F15" s="58" t="s">
        <v>92</v>
      </c>
    </row>
    <row r="16" ht="15" customHeight="1" s="47">
      <c r="B16" s="58" t="s">
        <v>91</v>
      </c>
      <c r="C16" s="60" t="n"/>
      <c r="D16" s="61" t="n"/>
      <c r="E16" s="59" t="n"/>
      <c r="F16" s="58" t="s">
        <v>92</v>
      </c>
    </row>
    <row r="17" ht="15" customHeight="1" s="47">
      <c r="B17" s="58" t="s">
        <v>91</v>
      </c>
      <c r="C17" s="60" t="n"/>
      <c r="D17" s="61" t="n"/>
      <c r="E17" s="59" t="n"/>
      <c r="F17" s="58" t="s">
        <v>92</v>
      </c>
    </row>
    <row r="18">
      <c r="B18" s="58" t="s">
        <v>91</v>
      </c>
      <c r="C18" s="60" t="n"/>
      <c r="D18" s="61" t="n"/>
      <c r="E18" s="59" t="n"/>
      <c r="F18" s="58" t="s">
        <v>92</v>
      </c>
    </row>
    <row r="19" ht="15" customHeight="1" s="47">
      <c r="B19" s="58" t="s">
        <v>91</v>
      </c>
      <c r="C19" s="60" t="n"/>
      <c r="D19" s="61" t="n"/>
      <c r="E19" s="61" t="n"/>
      <c r="F19" s="61" t="n"/>
    </row>
    <row r="20">
      <c r="B20" s="58" t="s">
        <v>91</v>
      </c>
      <c r="C20" s="60" t="n"/>
      <c r="D20" s="61" t="n"/>
      <c r="E20" s="59" t="n"/>
      <c r="F20" s="58" t="s">
        <v>92</v>
      </c>
    </row>
    <row r="21" ht="15" customHeight="1" s="47">
      <c r="B21" s="58" t="n"/>
      <c r="C21" s="60" t="n"/>
      <c r="D21" s="61" t="n"/>
      <c r="E21" s="59" t="n"/>
      <c r="F21" s="58" t="s">
        <v>92</v>
      </c>
    </row>
    <row r="22" ht="15" customHeight="1" s="47">
      <c r="B22" s="58" t="n"/>
      <c r="C22" s="60" t="n"/>
      <c r="D22" s="61" t="n"/>
      <c r="E22" s="59" t="n"/>
      <c r="F22" s="58" t="s">
        <v>92</v>
      </c>
    </row>
    <row r="23">
      <c r="B23" s="58" t="s">
        <v>91</v>
      </c>
      <c r="C23" s="60" t="n"/>
      <c r="D23" s="61" t="n"/>
      <c r="E23" s="59" t="n"/>
      <c r="F23" s="58" t="s">
        <v>92</v>
      </c>
    </row>
    <row r="24">
      <c r="B24" s="58" t="s">
        <v>91</v>
      </c>
      <c r="C24" s="60" t="n"/>
      <c r="D24" s="61" t="n"/>
      <c r="E24" s="59" t="n"/>
      <c r="F24" s="58" t="s">
        <v>92</v>
      </c>
    </row>
    <row r="25">
      <c r="B25" s="58" t="s">
        <v>91</v>
      </c>
      <c r="C25" s="60" t="n"/>
      <c r="D25" s="61" t="n"/>
      <c r="E25" s="59" t="n"/>
      <c r="F25" s="58" t="s">
        <v>92</v>
      </c>
    </row>
    <row r="26">
      <c r="B26" s="58" t="s">
        <v>91</v>
      </c>
      <c r="C26" s="60" t="n"/>
      <c r="D26" s="61" t="n"/>
      <c r="E26" s="59" t="n"/>
      <c r="F26" s="58" t="s">
        <v>92</v>
      </c>
    </row>
    <row r="27">
      <c r="B27" s="58" t="s">
        <v>91</v>
      </c>
      <c r="C27" s="60" t="n"/>
      <c r="D27" s="61" t="n"/>
      <c r="E27" s="59" t="n"/>
      <c r="F27" s="58" t="s">
        <v>92</v>
      </c>
    </row>
    <row r="28">
      <c r="B28" s="58" t="s">
        <v>91</v>
      </c>
      <c r="C28" s="60" t="n"/>
      <c r="D28" s="61" t="n"/>
      <c r="E28" s="59" t="n"/>
      <c r="F28" s="58" t="s">
        <v>92</v>
      </c>
    </row>
    <row r="29">
      <c r="B29" s="58" t="s">
        <v>91</v>
      </c>
      <c r="C29" s="60" t="n"/>
      <c r="D29" s="61" t="n"/>
      <c r="E29" s="59" t="n"/>
      <c r="F29" s="58" t="s">
        <v>92</v>
      </c>
    </row>
    <row r="31">
      <c r="D31" s="61" t="s">
        <v>93</v>
      </c>
      <c r="E31" s="59">
        <f>SUM(E6:E29)</f>
        <v/>
      </c>
      <c r="F31" s="58">
        <f>IF(ROUND(E31,4)=100,"✓ OK","✗ Þarf 100%")</f>
        <v/>
      </c>
    </row>
    <row r="33">
      <c r="B33" s="58" t="s">
        <v>91</v>
      </c>
    </row>
    <row r="34">
      <c r="B34" s="58" t="s">
        <v>91</v>
      </c>
    </row>
  </sheetData>
  <mergeCells count="2">
    <mergeCell ref="B2:F2"/>
    <mergeCell ref="B3:F3"/>
  </mergeCells>
  <conditionalFormatting sqref="E31">
    <cfRule type="expression" priority="2" dxfId="0">
      <formula>ROUND(E31,4)=100</formula>
    </cfRule>
    <cfRule type="expression" priority="3" dxfId="1">
      <formula>ROUND(E31,4)&lt;&gt;100</formula>
    </cfRule>
  </conditionalFormatting>
  <conditionalFormatting sqref="F31">
    <cfRule type="expression" priority="4" dxfId="0">
      <formula>ROUND(E31,4)=100</formula>
    </cfRule>
    <cfRule type="expression" priority="5" dxfId="1">
      <formula>ROUND(E31,4)&lt;&gt;100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2E5AA8"/>
    <outlinePr summaryBelow="1" summaryRight="1"/>
    <pageSetUpPr fitToPage="0"/>
  </sheetPr>
  <dimension ref="A2:Q20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" customWidth="1" style="46" min="1" max="1"/>
    <col width="20" customWidth="1" style="46" min="2" max="2"/>
    <col width="26" customWidth="1" style="46" min="3" max="3"/>
    <col width="44" customWidth="1" style="46" min="4" max="4"/>
    <col width="10" customWidth="1" style="46" min="5" max="5"/>
    <col width="12" customWidth="1" style="46" min="6" max="6"/>
    <col width="18" customWidth="1" style="46" min="7" max="7"/>
    <col width="12" customWidth="1" style="46" min="8" max="8"/>
    <col width="18" customWidth="1" style="46" min="9" max="9"/>
    <col width="32" customWidth="1" style="46" min="10" max="19"/>
  </cols>
  <sheetData>
    <row r="2" ht="19.5" customHeight="1" s="47">
      <c r="B2" s="55" t="s">
        <v>5</v>
      </c>
    </row>
    <row r="3" ht="15" customHeight="1" s="47">
      <c r="B3" s="56" t="s">
        <v>94</v>
      </c>
    </row>
    <row r="5" ht="30" customHeight="1" s="47">
      <c r="A5" s="57" t="s">
        <v>95</v>
      </c>
      <c r="B5" s="57" t="s">
        <v>96</v>
      </c>
      <c r="C5" s="57" t="s">
        <v>5</v>
      </c>
      <c r="D5" s="57" t="s">
        <v>97</v>
      </c>
      <c r="E5" s="57" t="s">
        <v>79</v>
      </c>
      <c r="F5" s="57" t="s">
        <v>98</v>
      </c>
      <c r="G5" s="57" t="s">
        <v>99</v>
      </c>
      <c r="H5" s="57" t="s">
        <v>100</v>
      </c>
      <c r="I5" s="57" t="s">
        <v>101</v>
      </c>
      <c r="J5" s="57" t="s">
        <v>102</v>
      </c>
      <c r="K5" s="57" t="s">
        <v>103</v>
      </c>
      <c r="L5" s="57" t="s">
        <v>104</v>
      </c>
      <c r="M5" s="57" t="s">
        <v>105</v>
      </c>
      <c r="N5" s="57" t="s">
        <v>106</v>
      </c>
      <c r="O5" s="57" t="s">
        <v>107</v>
      </c>
      <c r="P5" s="57" t="s">
        <v>108</v>
      </c>
      <c r="Q5" s="57" t="s">
        <v>109</v>
      </c>
    </row>
    <row r="6" ht="26.25" customHeight="1" s="47">
      <c r="A6" s="65">
        <f>IF($B6="","",ROW()-5)</f>
        <v/>
      </c>
      <c r="B6" s="60" t="s">
        <v>82</v>
      </c>
      <c r="C6" s="60" t="s">
        <v>110</v>
      </c>
      <c r="D6" s="61" t="s">
        <v>111</v>
      </c>
      <c r="E6" s="59" t="n">
        <v>10</v>
      </c>
      <c r="F6" s="66" t="n">
        <v>5</v>
      </c>
      <c r="G6" s="67">
        <f>IFERROR(IF(B6="","",INDEX(Viðmið!$B$6:$B$29,MATCH(B6,Viðmið!$C$6:$C$29,0))),"")</f>
        <v/>
      </c>
      <c r="H6" s="68">
        <f>IF(OR(E6="",F6=""),"",E6*KVARDI)</f>
        <v/>
      </c>
      <c r="I6" s="69">
        <f>IF(B6="","",IF(ROUND(SUMIF($B$6:$B$205,B6,$E$6:$E$205),4)=ROUND(IFERROR(INDEX(Viðmið!$E$6:$E$29,MATCH(B6,Viðmið!$C$6:$C$29,0)),-1),4),"✓","✗"))</f>
        <v/>
      </c>
      <c r="J6" s="61" t="s">
        <v>112</v>
      </c>
      <c r="K6" s="61" t="s">
        <v>113</v>
      </c>
      <c r="L6" s="61" t="s">
        <v>114</v>
      </c>
      <c r="M6" s="61" t="s">
        <v>115</v>
      </c>
      <c r="N6" s="61" t="s">
        <v>116</v>
      </c>
      <c r="O6" s="61" t="n"/>
      <c r="P6" s="61" t="n"/>
      <c r="Q6" s="61" t="n"/>
    </row>
    <row r="7" ht="26.25" customHeight="1" s="47">
      <c r="A7" s="65">
        <f>IF($B7="","",ROW()-5)</f>
        <v/>
      </c>
      <c r="B7" s="60" t="s">
        <v>82</v>
      </c>
      <c r="C7" s="60" t="s">
        <v>117</v>
      </c>
      <c r="D7" s="61" t="s">
        <v>118</v>
      </c>
      <c r="E7" s="59" t="n">
        <v>5</v>
      </c>
      <c r="F7" s="66" t="n">
        <v>5</v>
      </c>
      <c r="G7" s="67">
        <f>IFERROR(IF(B7="","",INDEX(Viðmið!$B$6:$B$29,MATCH(B7,Viðmið!$C$6:$C$29,0))),"")</f>
        <v/>
      </c>
      <c r="H7" s="68">
        <f>IF(OR(E7="",F7=""),"",E7*KVARDI)</f>
        <v/>
      </c>
      <c r="I7" s="69">
        <f>IF(B7="","",IF(ROUND(SUMIF($B$6:$B$205,B7,$E$6:$E$205),4)=ROUND(IFERROR(INDEX(Viðmið!$E$6:$E$29,MATCH(B7,Viðmið!$C$6:$C$29,0)),-1),4),"✓","✗"))</f>
        <v/>
      </c>
      <c r="J7" s="61" t="s">
        <v>119</v>
      </c>
      <c r="K7" s="61" t="s">
        <v>120</v>
      </c>
      <c r="L7" s="61" t="s">
        <v>121</v>
      </c>
      <c r="M7" s="61" t="s">
        <v>122</v>
      </c>
      <c r="N7" s="61" t="s">
        <v>123</v>
      </c>
      <c r="O7" s="61" t="n"/>
      <c r="P7" s="61" t="n"/>
      <c r="Q7" s="61" t="n"/>
    </row>
    <row r="8" ht="39" customHeight="1" s="47">
      <c r="A8" s="65">
        <f>IF($B8="","",ROW()-5)</f>
        <v/>
      </c>
      <c r="B8" s="60" t="s">
        <v>85</v>
      </c>
      <c r="C8" s="60" t="s">
        <v>124</v>
      </c>
      <c r="D8" s="61" t="s">
        <v>125</v>
      </c>
      <c r="E8" s="59" t="n">
        <v>12</v>
      </c>
      <c r="F8" s="66" t="n">
        <v>5</v>
      </c>
      <c r="G8" s="67">
        <f>IFERROR(IF(B8="","",INDEX(Viðmið!$B$6:$B$29,MATCH(B8,Viðmið!$C$6:$C$29,0))),"")</f>
        <v/>
      </c>
      <c r="H8" s="68">
        <f>IF(OR(E8="",F8=""),"",E8*KVARDI)</f>
        <v/>
      </c>
      <c r="I8" s="69">
        <f>IF(B8="","",IF(ROUND(SUMIF($B$6:$B$205,B8,$E$6:$E$205),4)=ROUND(IFERROR(INDEX(Viðmið!$E$6:$E$29,MATCH(B8,Viðmið!$C$6:$C$29,0)),-1),4),"✓","✗"))</f>
        <v/>
      </c>
      <c r="J8" s="61" t="s">
        <v>126</v>
      </c>
      <c r="K8" s="61" t="s">
        <v>127</v>
      </c>
      <c r="L8" s="61" t="s">
        <v>128</v>
      </c>
      <c r="M8" s="61" t="s">
        <v>129</v>
      </c>
      <c r="N8" s="61" t="s">
        <v>130</v>
      </c>
      <c r="O8" s="61" t="n"/>
      <c r="P8" s="61" t="n"/>
      <c r="Q8" s="61" t="n"/>
    </row>
    <row r="9" ht="39" customHeight="1" s="47">
      <c r="A9" s="65">
        <f>IF($B9="","",ROW()-5)</f>
        <v/>
      </c>
      <c r="B9" s="60" t="s">
        <v>85</v>
      </c>
      <c r="C9" s="60" t="s">
        <v>131</v>
      </c>
      <c r="D9" s="61" t="s">
        <v>132</v>
      </c>
      <c r="E9" s="59" t="n">
        <v>13</v>
      </c>
      <c r="F9" s="66" t="n">
        <v>5</v>
      </c>
      <c r="G9" s="67">
        <f>IFERROR(IF(B9="","",INDEX(Viðmið!$B$6:$B$29,MATCH(B9,Viðmið!$C$6:$C$29,0))),"")</f>
        <v/>
      </c>
      <c r="H9" s="68">
        <f>IF(OR(E9="",F9=""),"",E9*KVARDI)</f>
        <v/>
      </c>
      <c r="I9" s="69">
        <f>IF(B9="","",IF(ROUND(SUMIF($B$6:$B$205,B9,$E$6:$E$205),4)=ROUND(IFERROR(INDEX(Viðmið!$E$6:$E$29,MATCH(B9,Viðmið!$C$6:$C$29,0)),-1),4),"✓","✗"))</f>
        <v/>
      </c>
      <c r="J9" s="61" t="s">
        <v>133</v>
      </c>
      <c r="K9" s="61" t="s">
        <v>134</v>
      </c>
      <c r="L9" s="61" t="s">
        <v>135</v>
      </c>
      <c r="M9" s="61" t="s">
        <v>136</v>
      </c>
      <c r="N9" s="61" t="s">
        <v>137</v>
      </c>
      <c r="O9" s="61" t="n"/>
      <c r="P9" s="61" t="n"/>
      <c r="Q9" s="61" t="n"/>
    </row>
    <row r="10" ht="26.25" customHeight="1" s="47">
      <c r="A10" s="65">
        <f>IF($B10="","",ROW()-5)</f>
        <v/>
      </c>
      <c r="B10" s="60" t="s">
        <v>87</v>
      </c>
      <c r="C10" s="60" t="s">
        <v>138</v>
      </c>
      <c r="D10" s="61" t="s">
        <v>139</v>
      </c>
      <c r="E10" s="59" t="n">
        <v>25</v>
      </c>
      <c r="F10" s="66" t="n">
        <v>5</v>
      </c>
      <c r="G10" s="67">
        <f>IFERROR(IF(B10="","",INDEX(Viðmið!$B$6:$B$29,MATCH(B10,Viðmið!$C$6:$C$29,0))),"")</f>
        <v/>
      </c>
      <c r="H10" s="68">
        <f>IF(OR(E10="",F10=""),"",E10*KVARDI)</f>
        <v/>
      </c>
      <c r="I10" s="69">
        <f>IF(B10="","",IF(ROUND(SUMIF($B$6:$B$205,B10,$E$6:$E$205),4)=ROUND(IFERROR(INDEX(Viðmið!$E$6:$E$29,MATCH(B10,Viðmið!$C$6:$C$29,0)),-1),4),"✓","✗"))</f>
        <v/>
      </c>
      <c r="J10" s="61" t="s">
        <v>140</v>
      </c>
      <c r="K10" s="61" t="s">
        <v>141</v>
      </c>
      <c r="L10" s="61" t="s">
        <v>142</v>
      </c>
      <c r="M10" s="61" t="s">
        <v>143</v>
      </c>
      <c r="N10" s="61" t="s">
        <v>144</v>
      </c>
      <c r="O10" s="61" t="n"/>
      <c r="P10" s="61" t="n"/>
      <c r="Q10" s="61" t="n"/>
    </row>
    <row r="11" ht="26.25" customHeight="1" s="47">
      <c r="A11" s="65">
        <f>IF($B11="","",ROW()-5)</f>
        <v/>
      </c>
      <c r="B11" s="60" t="s">
        <v>89</v>
      </c>
      <c r="C11" s="60" t="s">
        <v>145</v>
      </c>
      <c r="D11" s="61" t="s">
        <v>146</v>
      </c>
      <c r="E11" s="59" t="n">
        <v>15</v>
      </c>
      <c r="F11" s="66" t="n">
        <v>5</v>
      </c>
      <c r="G11" s="67">
        <f>IFERROR(IF(B11="","",INDEX(Viðmið!$B$6:$B$29,MATCH(B11,Viðmið!$C$6:$C$29,0))),"")</f>
        <v/>
      </c>
      <c r="H11" s="68">
        <f>IF(OR(E11="",F11=""),"",E11*KVARDI)</f>
        <v/>
      </c>
      <c r="I11" s="69">
        <f>IF(B11="","",IF(ROUND(SUMIF($B$6:$B$205,B11,$E$6:$E$205),4)=ROUND(IFERROR(INDEX(Viðmið!$E$6:$E$29,MATCH(B11,Viðmið!$C$6:$C$29,0)),-1),4),"✓","✗"))</f>
        <v/>
      </c>
      <c r="J11" s="61" t="s">
        <v>147</v>
      </c>
      <c r="K11" s="61" t="s">
        <v>148</v>
      </c>
      <c r="L11" s="61" t="s">
        <v>149</v>
      </c>
      <c r="M11" s="61" t="s">
        <v>150</v>
      </c>
      <c r="N11" s="61" t="s">
        <v>151</v>
      </c>
      <c r="O11" s="61" t="n"/>
      <c r="P11" s="61" t="n"/>
      <c r="Q11" s="61" t="n"/>
    </row>
    <row r="12" ht="15" customHeight="1" s="47">
      <c r="A12" s="65">
        <f>IF($B12="","",ROW()-5)</f>
        <v/>
      </c>
      <c r="B12" s="60" t="s">
        <v>89</v>
      </c>
      <c r="C12" s="60" t="s">
        <v>152</v>
      </c>
      <c r="D12" s="61" t="s">
        <v>153</v>
      </c>
      <c r="E12" s="59" t="n">
        <v>10</v>
      </c>
      <c r="F12" s="66" t="n">
        <v>5</v>
      </c>
      <c r="G12" s="67">
        <f>IFERROR(IF(B12="","",INDEX(Viðmið!$B$6:$B$29,MATCH(B12,Viðmið!$C$6:$C$29,0))),"")</f>
        <v/>
      </c>
      <c r="H12" s="68">
        <f>IF(OR(E12="",F12=""),"",E12*KVARDI)</f>
        <v/>
      </c>
      <c r="I12" s="69">
        <f>IF(B12="","",IF(ROUND(SUMIF($B$6:$B$205,B12,$E$6:$E$205),4)=ROUND(IFERROR(INDEX(Viðmið!$E$6:$E$29,MATCH(B12,Viðmið!$C$6:$C$29,0)),-1),4),"✓","✗"))</f>
        <v/>
      </c>
      <c r="J12" s="61" t="s">
        <v>154</v>
      </c>
      <c r="K12" s="61" t="s">
        <v>155</v>
      </c>
      <c r="L12" s="61" t="s">
        <v>156</v>
      </c>
      <c r="M12" s="61" t="s">
        <v>157</v>
      </c>
      <c r="N12" s="61" t="s">
        <v>158</v>
      </c>
      <c r="O12" s="61" t="n"/>
      <c r="P12" s="61" t="n"/>
      <c r="Q12" s="61" t="n"/>
    </row>
    <row r="13" ht="15" customHeight="1" s="47">
      <c r="A13" s="65">
        <f>IF($B13="","",ROW()-5)</f>
        <v/>
      </c>
      <c r="B13" s="60" t="n"/>
      <c r="C13" s="60" t="n"/>
      <c r="D13" s="61" t="n"/>
      <c r="E13" s="59" t="n"/>
      <c r="F13" s="66" t="n"/>
      <c r="G13" s="67">
        <f>IFERROR(IF(B13="","",INDEX(Viðmið!$B$6:$B$29,MATCH(B13,Viðmið!$C$6:$C$29,0))),"")</f>
        <v/>
      </c>
      <c r="H13" s="68">
        <f>IF(OR(E13="",F13=""),"",E13*KVARDI)</f>
        <v/>
      </c>
      <c r="I13" s="69">
        <f>IF(B13="","",IF(ROUND(SUMIF($B$6:$B$205,B13,$E$6:$E$205),4)=ROUND(IFERROR(INDEX(Viðmið!$E$6:$E$29,MATCH(B13,Viðmið!$C$6:$C$29,0)),-1),4),"✓","✗"))</f>
        <v/>
      </c>
      <c r="J13" s="61" t="n"/>
      <c r="K13" s="61" t="n"/>
      <c r="L13" s="61" t="n"/>
      <c r="M13" s="61" t="n"/>
      <c r="N13" s="61" t="n"/>
      <c r="O13" s="61" t="n"/>
      <c r="P13" s="61" t="n"/>
      <c r="Q13" s="61" t="n"/>
    </row>
    <row r="14" ht="15" customHeight="1" s="47">
      <c r="A14" s="65">
        <f>IF($B14="","",ROW()-5)</f>
        <v/>
      </c>
      <c r="B14" s="60" t="n"/>
      <c r="C14" s="60" t="n"/>
      <c r="D14" s="61" t="n"/>
      <c r="E14" s="59" t="n"/>
      <c r="F14" s="66" t="n"/>
      <c r="G14" s="67">
        <f>IFERROR(IF(B14="","",INDEX(Viðmið!$B$6:$B$29,MATCH(B14,Viðmið!$C$6:$C$29,0))),"")</f>
        <v/>
      </c>
      <c r="H14" s="68">
        <f>IF(OR(E14="",F14=""),"",E14*KVARDI)</f>
        <v/>
      </c>
      <c r="I14" s="69">
        <f>IF(B14="","",IF(ROUND(SUMIF($B$6:$B$205,B14,$E$6:$E$205),4)=ROUND(IFERROR(INDEX(Viðmið!$E$6:$E$29,MATCH(B14,Viðmið!$C$6:$C$29,0)),-1),4),"✓","✗"))</f>
        <v/>
      </c>
      <c r="J14" s="61" t="n"/>
      <c r="K14" s="61" t="n"/>
      <c r="L14" s="61" t="n"/>
      <c r="M14" s="61" t="n"/>
      <c r="N14" s="61" t="n"/>
      <c r="O14" s="61" t="n"/>
      <c r="P14" s="61" t="n"/>
      <c r="Q14" s="61" t="n"/>
    </row>
    <row r="15" ht="15" customHeight="1" s="47">
      <c r="A15" s="65">
        <f>IF($B15="","",ROW()-5)</f>
        <v/>
      </c>
      <c r="B15" s="60" t="n"/>
      <c r="C15" s="60" t="n"/>
      <c r="D15" s="61" t="n"/>
      <c r="E15" s="59" t="n"/>
      <c r="F15" s="66" t="n"/>
      <c r="G15" s="67">
        <f>IFERROR(IF(B15="","",INDEX(Viðmið!$B$6:$B$29,MATCH(B15,Viðmið!$C$6:$C$29,0))),"")</f>
        <v/>
      </c>
      <c r="H15" s="68">
        <f>IF(OR(E15="",F15=""),"",E15*KVARDI)</f>
        <v/>
      </c>
      <c r="I15" s="69">
        <f>IF(B15="","",IF(ROUND(SUMIF($B$6:$B$205,B15,$E$6:$E$205),4)=ROUND(IFERROR(INDEX(Viðmið!$E$6:$E$29,MATCH(B15,Viðmið!$C$6:$C$29,0)),-1),4),"✓","✗"))</f>
        <v/>
      </c>
      <c r="J15" s="61" t="n"/>
      <c r="K15" s="61" t="n"/>
      <c r="L15" s="61" t="n"/>
      <c r="M15" s="61" t="n"/>
      <c r="N15" s="61" t="n"/>
      <c r="O15" s="61" t="n"/>
      <c r="P15" s="61" t="n"/>
      <c r="Q15" s="61" t="n"/>
    </row>
    <row r="16" ht="15" customHeight="1" s="47">
      <c r="A16" s="65">
        <f>IF($B16="","",ROW()-5)</f>
        <v/>
      </c>
      <c r="B16" s="60" t="n"/>
      <c r="C16" s="60" t="n"/>
      <c r="D16" s="61" t="n"/>
      <c r="E16" s="59" t="n"/>
      <c r="F16" s="66" t="n"/>
      <c r="G16" s="67">
        <f>IFERROR(IF(B16="","",INDEX(Viðmið!$B$6:$B$29,MATCH(B16,Viðmið!$C$6:$C$29,0))),"")</f>
        <v/>
      </c>
      <c r="H16" s="68">
        <f>IF(OR(E16="",F16=""),"",E16*KVARDI)</f>
        <v/>
      </c>
      <c r="I16" s="69">
        <f>IF(B16="","",IF(ROUND(SUMIF($B$6:$B$205,B16,$E$6:$E$205),4)=ROUND(IFERROR(INDEX(Viðmið!$E$6:$E$29,MATCH(B16,Viðmið!$C$6:$C$29,0)),-1),4),"✓","✗"))</f>
        <v/>
      </c>
      <c r="J16" s="61" t="n"/>
      <c r="K16" s="61" t="n"/>
      <c r="L16" s="61" t="n"/>
      <c r="M16" s="61" t="n"/>
      <c r="N16" s="61" t="n"/>
      <c r="O16" s="61" t="n"/>
      <c r="P16" s="61" t="n"/>
      <c r="Q16" s="61" t="n"/>
    </row>
    <row r="17" ht="15" customHeight="1" s="47">
      <c r="A17" s="65">
        <f>IF($B17="","",ROW()-5)</f>
        <v/>
      </c>
      <c r="B17" s="60" t="n"/>
      <c r="C17" s="60" t="n"/>
      <c r="D17" s="61" t="n"/>
      <c r="E17" s="59" t="n"/>
      <c r="F17" s="66" t="n"/>
      <c r="G17" s="67">
        <f>IFERROR(IF(B17="","",INDEX(Viðmið!$B$6:$B$29,MATCH(B17,Viðmið!$C$6:$C$29,0))),"")</f>
        <v/>
      </c>
      <c r="H17" s="68">
        <f>IF(OR(E17="",F17=""),"",E17*KVARDI)</f>
        <v/>
      </c>
      <c r="I17" s="69">
        <f>IF(B17="","",IF(ROUND(SUMIF($B$6:$B$205,B17,$E$6:$E$205),4)=ROUND(IFERROR(INDEX(Viðmið!$E$6:$E$29,MATCH(B17,Viðmið!$C$6:$C$29,0)),-1),4),"✓","✗"))</f>
        <v/>
      </c>
      <c r="J17" s="61" t="n"/>
      <c r="K17" s="61" t="n"/>
      <c r="L17" s="61" t="n"/>
      <c r="M17" s="61" t="n"/>
      <c r="N17" s="61" t="n"/>
      <c r="O17" s="61" t="n"/>
      <c r="P17" s="61" t="n"/>
      <c r="Q17" s="61" t="n"/>
    </row>
    <row r="18" ht="15" customHeight="1" s="47">
      <c r="A18" s="65">
        <f>IF($B18="","",ROW()-5)</f>
        <v/>
      </c>
      <c r="B18" s="60" t="n"/>
      <c r="C18" s="60" t="n"/>
      <c r="D18" s="61" t="n"/>
      <c r="E18" s="59" t="n"/>
      <c r="F18" s="66" t="n"/>
      <c r="G18" s="67">
        <f>IFERROR(IF(B18="","",INDEX(Viðmið!$B$6:$B$29,MATCH(B18,Viðmið!$C$6:$C$29,0))),"")</f>
        <v/>
      </c>
      <c r="H18" s="68">
        <f>IF(OR(E18="",F18=""),"",E18*KVARDI)</f>
        <v/>
      </c>
      <c r="I18" s="69">
        <f>IF(B18="","",IF(ROUND(SUMIF($B$6:$B$205,B18,$E$6:$E$205),4)=ROUND(IFERROR(INDEX(Viðmið!$E$6:$E$29,MATCH(B18,Viðmið!$C$6:$C$29,0)),-1),4),"✓","✗"))</f>
        <v/>
      </c>
      <c r="J18" s="61" t="n"/>
      <c r="K18" s="61" t="n"/>
      <c r="L18" s="61" t="n"/>
      <c r="M18" s="61" t="n"/>
      <c r="N18" s="61" t="n"/>
      <c r="O18" s="61" t="n"/>
      <c r="P18" s="61" t="n"/>
      <c r="Q18" s="61" t="n"/>
    </row>
    <row r="19" ht="15" customHeight="1" s="47">
      <c r="A19" s="65">
        <f>IF($B19="","",ROW()-5)</f>
        <v/>
      </c>
      <c r="B19" s="60" t="n"/>
      <c r="C19" s="60" t="n"/>
      <c r="D19" s="61" t="n"/>
      <c r="E19" s="59" t="n"/>
      <c r="F19" s="66" t="n"/>
      <c r="G19" s="67">
        <f>IFERROR(IF(B19="","",INDEX(Viðmið!$B$6:$B$29,MATCH(B19,Viðmið!$C$6:$C$29,0))),"")</f>
        <v/>
      </c>
      <c r="H19" s="68">
        <f>IF(OR(E19="",F19=""),"",E19*KVARDI)</f>
        <v/>
      </c>
      <c r="I19" s="69">
        <f>IF(B19="","",IF(ROUND(SUMIF($B$6:$B$205,B19,$E$6:$E$205),4)=ROUND(IFERROR(INDEX(Viðmið!$E$6:$E$29,MATCH(B19,Viðmið!$C$6:$C$29,0)),-1),4),"✓","✗"))</f>
        <v/>
      </c>
      <c r="J19" s="61" t="n"/>
      <c r="K19" s="61" t="n"/>
      <c r="L19" s="61" t="n"/>
      <c r="M19" s="61" t="n"/>
      <c r="N19" s="61" t="n"/>
      <c r="O19" s="61" t="n"/>
      <c r="P19" s="61" t="n"/>
      <c r="Q19" s="61" t="n"/>
    </row>
    <row r="20" ht="15" customHeight="1" s="47">
      <c r="A20" s="65">
        <f>IF($B20="","",ROW()-5)</f>
        <v/>
      </c>
      <c r="B20" s="60" t="n"/>
      <c r="C20" s="60" t="n"/>
      <c r="D20" s="61" t="n"/>
      <c r="E20" s="59" t="n"/>
      <c r="F20" s="66" t="n"/>
      <c r="G20" s="67">
        <f>IFERROR(IF(B20="","",INDEX(Viðmið!$B$6:$B$29,MATCH(B20,Viðmið!$C$6:$C$29,0))),"")</f>
        <v/>
      </c>
      <c r="H20" s="68">
        <f>IF(OR(E20="",F20=""),"",E20*KVARDI)</f>
        <v/>
      </c>
      <c r="I20" s="69">
        <f>IF(B20="","",IF(ROUND(SUMIF($B$6:$B$205,B20,$E$6:$E$205),4)=ROUND(IFERROR(INDEX(Viðmið!$E$6:$E$29,MATCH(B20,Viðmið!$C$6:$C$29,0)),-1),4),"✓","✗"))</f>
        <v/>
      </c>
      <c r="J20" s="61" t="n"/>
      <c r="K20" s="61" t="n"/>
      <c r="L20" s="61" t="n"/>
      <c r="M20" s="61" t="n"/>
      <c r="N20" s="61" t="n"/>
      <c r="O20" s="61" t="n"/>
      <c r="P20" s="61" t="n"/>
      <c r="Q20" s="61" t="n"/>
    </row>
    <row r="21" ht="15" customHeight="1" s="47">
      <c r="A21" s="65">
        <f>IF($B21="","",ROW()-5)</f>
        <v/>
      </c>
      <c r="B21" s="60" t="n"/>
      <c r="C21" s="60" t="n"/>
      <c r="D21" s="61" t="n"/>
      <c r="E21" s="59" t="n"/>
      <c r="F21" s="66" t="n"/>
      <c r="G21" s="67">
        <f>IFERROR(IF(B21="","",INDEX(Viðmið!$B$6:$B$29,MATCH(B21,Viðmið!$C$6:$C$29,0))),"")</f>
        <v/>
      </c>
      <c r="H21" s="68">
        <f>IF(OR(E21="",F21=""),"",E21*KVARDI)</f>
        <v/>
      </c>
      <c r="I21" s="69">
        <f>IF(B21="","",IF(ROUND(SUMIF($B$6:$B$205,B21,$E$6:$E$205),4)=ROUND(IFERROR(INDEX(Viðmið!$E$6:$E$29,MATCH(B21,Viðmið!$C$6:$C$29,0)),-1),4),"✓","✗"))</f>
        <v/>
      </c>
      <c r="J21" s="61" t="n"/>
      <c r="K21" s="61" t="n"/>
      <c r="L21" s="61" t="n"/>
      <c r="M21" s="61" t="n"/>
      <c r="N21" s="61" t="n"/>
      <c r="O21" s="61" t="n"/>
      <c r="P21" s="61" t="n"/>
      <c r="Q21" s="61" t="n"/>
    </row>
    <row r="22" ht="15" customHeight="1" s="47">
      <c r="A22" s="65">
        <f>IF($B22="","",ROW()-5)</f>
        <v/>
      </c>
      <c r="B22" s="60" t="n"/>
      <c r="C22" s="60" t="n"/>
      <c r="D22" s="61" t="n"/>
      <c r="E22" s="59" t="n"/>
      <c r="F22" s="66" t="n"/>
      <c r="G22" s="67">
        <f>IFERROR(IF(B22="","",INDEX(Viðmið!$B$6:$B$29,MATCH(B22,Viðmið!$C$6:$C$29,0))),"")</f>
        <v/>
      </c>
      <c r="H22" s="68">
        <f>IF(OR(E22="",F22=""),"",E22*KVARDI)</f>
        <v/>
      </c>
      <c r="I22" s="69">
        <f>IF(B22="","",IF(ROUND(SUMIF($B$6:$B$205,B22,$E$6:$E$205),4)=ROUND(IFERROR(INDEX(Viðmið!$E$6:$E$29,MATCH(B22,Viðmið!$C$6:$C$29,0)),-1),4),"✓","✗"))</f>
        <v/>
      </c>
      <c r="J22" s="61" t="n"/>
      <c r="K22" s="61" t="n"/>
      <c r="L22" s="61" t="n"/>
      <c r="M22" s="61" t="n"/>
      <c r="N22" s="61" t="n"/>
      <c r="O22" s="61" t="n"/>
      <c r="P22" s="61" t="n"/>
      <c r="Q22" s="61" t="n"/>
    </row>
    <row r="23" ht="15" customHeight="1" s="47">
      <c r="A23" s="65">
        <f>IF($B23="","",ROW()-5)</f>
        <v/>
      </c>
      <c r="B23" s="60" t="n"/>
      <c r="C23" s="60" t="n"/>
      <c r="D23" s="61" t="n"/>
      <c r="E23" s="59" t="n"/>
      <c r="F23" s="66" t="n"/>
      <c r="G23" s="67">
        <f>IFERROR(IF(B23="","",INDEX(Viðmið!$B$6:$B$29,MATCH(B23,Viðmið!$C$6:$C$29,0))),"")</f>
        <v/>
      </c>
      <c r="H23" s="68">
        <f>IF(OR(E23="",F23=""),"",E23*KVARDI)</f>
        <v/>
      </c>
      <c r="I23" s="69">
        <f>IF(B23="","",IF(ROUND(SUMIF($B$6:$B$205,B23,$E$6:$E$205),4)=ROUND(IFERROR(INDEX(Viðmið!$E$6:$E$29,MATCH(B23,Viðmið!$C$6:$C$29,0)),-1),4),"✓","✗"))</f>
        <v/>
      </c>
      <c r="J23" s="61" t="n"/>
      <c r="K23" s="61" t="n"/>
      <c r="L23" s="61" t="n"/>
      <c r="M23" s="61" t="n"/>
      <c r="N23" s="61" t="n"/>
      <c r="O23" s="61" t="n"/>
      <c r="P23" s="61" t="n"/>
      <c r="Q23" s="61" t="n"/>
    </row>
    <row r="24" ht="15" customHeight="1" s="47">
      <c r="A24" s="65">
        <f>IF($B24="","",ROW()-5)</f>
        <v/>
      </c>
      <c r="B24" s="60" t="n"/>
      <c r="C24" s="60" t="n"/>
      <c r="D24" s="61" t="n"/>
      <c r="E24" s="59" t="n"/>
      <c r="F24" s="66" t="n"/>
      <c r="G24" s="67">
        <f>IFERROR(IF(B24="","",INDEX(Viðmið!$B$6:$B$29,MATCH(B24,Viðmið!$C$6:$C$29,0))),"")</f>
        <v/>
      </c>
      <c r="H24" s="68">
        <f>IF(OR(E24="",F24=""),"",E24*KVARDI)</f>
        <v/>
      </c>
      <c r="I24" s="69">
        <f>IF(B24="","",IF(ROUND(SUMIF($B$6:$B$205,B24,$E$6:$E$205),4)=ROUND(IFERROR(INDEX(Viðmið!$E$6:$E$29,MATCH(B24,Viðmið!$C$6:$C$29,0)),-1),4),"✓","✗"))</f>
        <v/>
      </c>
      <c r="J24" s="61" t="n"/>
      <c r="K24" s="61" t="n"/>
      <c r="L24" s="61" t="n"/>
      <c r="M24" s="61" t="n"/>
      <c r="N24" s="61" t="n"/>
      <c r="O24" s="61" t="n"/>
      <c r="P24" s="61" t="n"/>
      <c r="Q24" s="61" t="n"/>
    </row>
    <row r="25" ht="15" customHeight="1" s="47">
      <c r="A25" s="65">
        <f>IF($B25="","",ROW()-5)</f>
        <v/>
      </c>
      <c r="B25" s="60" t="n"/>
      <c r="C25" s="60" t="n"/>
      <c r="D25" s="61" t="n"/>
      <c r="E25" s="59" t="n"/>
      <c r="F25" s="66" t="n"/>
      <c r="G25" s="67">
        <f>IFERROR(IF(B25="","",INDEX(Viðmið!$B$6:$B$29,MATCH(B25,Viðmið!$C$6:$C$29,0))),"")</f>
        <v/>
      </c>
      <c r="H25" s="68">
        <f>IF(OR(E25="",F25=""),"",E25*KVARDI)</f>
        <v/>
      </c>
      <c r="I25" s="69">
        <f>IF(B25="","",IF(ROUND(SUMIF($B$6:$B$205,B25,$E$6:$E$205),4)=ROUND(IFERROR(INDEX(Viðmið!$E$6:$E$29,MATCH(B25,Viðmið!$C$6:$C$29,0)),-1),4),"✓","✗"))</f>
        <v/>
      </c>
      <c r="J25" s="61" t="n"/>
      <c r="K25" s="61" t="n"/>
      <c r="L25" s="61" t="n"/>
      <c r="M25" s="61" t="n"/>
      <c r="N25" s="61" t="n"/>
      <c r="O25" s="61" t="n"/>
      <c r="P25" s="61" t="n"/>
      <c r="Q25" s="61" t="n"/>
    </row>
    <row r="26" ht="15" customHeight="1" s="47">
      <c r="A26" s="65">
        <f>IF($B26="","",ROW()-5)</f>
        <v/>
      </c>
      <c r="B26" s="60" t="n"/>
      <c r="C26" s="60" t="n"/>
      <c r="D26" s="61" t="n"/>
      <c r="E26" s="59" t="n"/>
      <c r="F26" s="66" t="n"/>
      <c r="G26" s="67">
        <f>IFERROR(IF(B26="","",INDEX(Viðmið!$B$6:$B$29,MATCH(B26,Viðmið!$C$6:$C$29,0))),"")</f>
        <v/>
      </c>
      <c r="H26" s="68">
        <f>IF(OR(E26="",F26=""),"",E26*KVARDI)</f>
        <v/>
      </c>
      <c r="I26" s="69">
        <f>IF(B26="","",IF(ROUND(SUMIF($B$6:$B$205,B26,$E$6:$E$205),4)=ROUND(IFERROR(INDEX(Viðmið!$E$6:$E$29,MATCH(B26,Viðmið!$C$6:$C$29,0)),-1),4),"✓","✗"))</f>
        <v/>
      </c>
      <c r="J26" s="61" t="n"/>
      <c r="K26" s="61" t="n"/>
      <c r="L26" s="61" t="n"/>
      <c r="M26" s="61" t="n"/>
      <c r="N26" s="61" t="n"/>
      <c r="O26" s="61" t="n"/>
      <c r="P26" s="61" t="n"/>
      <c r="Q26" s="61" t="n"/>
    </row>
    <row r="27" ht="15" customHeight="1" s="47">
      <c r="A27" s="65">
        <f>IF($B27="","",ROW()-5)</f>
        <v/>
      </c>
      <c r="B27" s="60" t="n"/>
      <c r="C27" s="60" t="n"/>
      <c r="D27" s="61" t="n"/>
      <c r="E27" s="59" t="n"/>
      <c r="F27" s="66" t="n"/>
      <c r="G27" s="67">
        <f>IFERROR(IF(B27="","",INDEX(Viðmið!$B$6:$B$29,MATCH(B27,Viðmið!$C$6:$C$29,0))),"")</f>
        <v/>
      </c>
      <c r="H27" s="68">
        <f>IF(OR(E27="",F27=""),"",E27*KVARDI)</f>
        <v/>
      </c>
      <c r="I27" s="69">
        <f>IF(B27="","",IF(ROUND(SUMIF($B$6:$B$205,B27,$E$6:$E$205),4)=ROUND(IFERROR(INDEX(Viðmið!$E$6:$E$29,MATCH(B27,Viðmið!$C$6:$C$29,0)),-1),4),"✓","✗"))</f>
        <v/>
      </c>
      <c r="J27" s="61" t="n"/>
      <c r="K27" s="61" t="n"/>
      <c r="L27" s="61" t="n"/>
      <c r="M27" s="61" t="n"/>
      <c r="N27" s="61" t="n"/>
      <c r="O27" s="61" t="n"/>
      <c r="P27" s="61" t="n"/>
      <c r="Q27" s="61" t="n"/>
    </row>
    <row r="28" ht="15" customHeight="1" s="47">
      <c r="A28" s="65">
        <f>IF($B28="","",ROW()-5)</f>
        <v/>
      </c>
      <c r="B28" s="60" t="n"/>
      <c r="C28" s="60" t="n"/>
      <c r="D28" s="61" t="n"/>
      <c r="E28" s="59" t="n"/>
      <c r="F28" s="66" t="n"/>
      <c r="G28" s="67">
        <f>IFERROR(IF(B28="","",INDEX(Viðmið!$B$6:$B$29,MATCH(B28,Viðmið!$C$6:$C$29,0))),"")</f>
        <v/>
      </c>
      <c r="H28" s="68">
        <f>IF(OR(E28="",F28=""),"",E28*KVARDI)</f>
        <v/>
      </c>
      <c r="I28" s="69">
        <f>IF(B28="","",IF(ROUND(SUMIF($B$6:$B$205,B28,$E$6:$E$205),4)=ROUND(IFERROR(INDEX(Viðmið!$E$6:$E$29,MATCH(B28,Viðmið!$C$6:$C$29,0)),-1),4),"✓","✗"))</f>
        <v/>
      </c>
      <c r="J28" s="61" t="n"/>
      <c r="K28" s="61" t="n"/>
      <c r="L28" s="61" t="n"/>
      <c r="M28" s="61" t="n"/>
      <c r="N28" s="61" t="n"/>
      <c r="O28" s="61" t="n"/>
      <c r="P28" s="61" t="n"/>
      <c r="Q28" s="61" t="n"/>
    </row>
    <row r="29" ht="15" customHeight="1" s="47">
      <c r="A29" s="65">
        <f>IF($B29="","",ROW()-5)</f>
        <v/>
      </c>
      <c r="B29" s="60" t="n"/>
      <c r="C29" s="60" t="n"/>
      <c r="D29" s="61" t="n"/>
      <c r="E29" s="59" t="n"/>
      <c r="F29" s="66" t="n"/>
      <c r="G29" s="67">
        <f>IFERROR(IF(B29="","",INDEX(Viðmið!$B$6:$B$29,MATCH(B29,Viðmið!$C$6:$C$29,0))),"")</f>
        <v/>
      </c>
      <c r="H29" s="68">
        <f>IF(OR(E29="",F29=""),"",E29*KVARDI)</f>
        <v/>
      </c>
      <c r="I29" s="69">
        <f>IF(B29="","",IF(ROUND(SUMIF($B$6:$B$205,B29,$E$6:$E$205),4)=ROUND(IFERROR(INDEX(Viðmið!$E$6:$E$29,MATCH(B29,Viðmið!$C$6:$C$29,0)),-1),4),"✓","✗"))</f>
        <v/>
      </c>
      <c r="J29" s="61" t="n"/>
      <c r="K29" s="61" t="n"/>
      <c r="L29" s="61" t="n"/>
      <c r="M29" s="61" t="n"/>
      <c r="N29" s="61" t="n"/>
      <c r="O29" s="61" t="n"/>
      <c r="P29" s="61" t="n"/>
      <c r="Q29" s="61" t="n"/>
    </row>
    <row r="30" ht="15" customHeight="1" s="47">
      <c r="A30" s="65">
        <f>IF($B30="","",ROW()-5)</f>
        <v/>
      </c>
      <c r="B30" s="60" t="n"/>
      <c r="C30" s="60" t="n"/>
      <c r="D30" s="61" t="n"/>
      <c r="E30" s="59" t="n"/>
      <c r="F30" s="66" t="n"/>
      <c r="G30" s="67">
        <f>IFERROR(IF(B30="","",INDEX(Viðmið!$B$6:$B$29,MATCH(B30,Viðmið!$C$6:$C$29,0))),"")</f>
        <v/>
      </c>
      <c r="H30" s="68">
        <f>IF(OR(E30="",F30=""),"",E30*KVARDI)</f>
        <v/>
      </c>
      <c r="I30" s="69">
        <f>IF(B30="","",IF(ROUND(SUMIF($B$6:$B$205,B30,$E$6:$E$205),4)=ROUND(IFERROR(INDEX(Viðmið!$E$6:$E$29,MATCH(B30,Viðmið!$C$6:$C$29,0)),-1),4),"✓","✗"))</f>
        <v/>
      </c>
      <c r="J30" s="61" t="n"/>
      <c r="K30" s="61" t="n"/>
      <c r="L30" s="61" t="n"/>
      <c r="M30" s="61" t="n"/>
      <c r="N30" s="61" t="n"/>
      <c r="O30" s="61" t="n"/>
      <c r="P30" s="61" t="n"/>
      <c r="Q30" s="61" t="n"/>
    </row>
    <row r="31" ht="15" customHeight="1" s="47">
      <c r="A31" s="65">
        <f>IF($B31="","",ROW()-5)</f>
        <v/>
      </c>
      <c r="B31" s="60" t="n"/>
      <c r="C31" s="60" t="n"/>
      <c r="D31" s="61" t="n"/>
      <c r="E31" s="59" t="n"/>
      <c r="F31" s="66" t="n"/>
      <c r="G31" s="67">
        <f>IFERROR(IF(B31="","",INDEX(Viðmið!$B$6:$B$29,MATCH(B31,Viðmið!$C$6:$C$29,0))),"")</f>
        <v/>
      </c>
      <c r="H31" s="68">
        <f>IF(OR(E31="",F31=""),"",E31*KVARDI)</f>
        <v/>
      </c>
      <c r="I31" s="69">
        <f>IF(B31="","",IF(ROUND(SUMIF($B$6:$B$205,B31,$E$6:$E$205),4)=ROUND(IFERROR(INDEX(Viðmið!$E$6:$E$29,MATCH(B31,Viðmið!$C$6:$C$29,0)),-1),4),"✓","✗"))</f>
        <v/>
      </c>
      <c r="J31" s="61" t="n"/>
      <c r="K31" s="61" t="n"/>
      <c r="L31" s="61" t="n"/>
      <c r="M31" s="61" t="n"/>
      <c r="N31" s="61" t="n"/>
      <c r="O31" s="61" t="n"/>
      <c r="P31" s="61" t="n"/>
      <c r="Q31" s="61" t="n"/>
    </row>
    <row r="32" ht="15" customHeight="1" s="47">
      <c r="A32" s="65">
        <f>IF($B32="","",ROW()-5)</f>
        <v/>
      </c>
      <c r="B32" s="60" t="n"/>
      <c r="C32" s="60" t="n"/>
      <c r="D32" s="61" t="n"/>
      <c r="E32" s="59" t="n"/>
      <c r="F32" s="66" t="n"/>
      <c r="G32" s="67">
        <f>IFERROR(IF(B32="","",INDEX(Viðmið!$B$6:$B$29,MATCH(B32,Viðmið!$C$6:$C$29,0))),"")</f>
        <v/>
      </c>
      <c r="H32" s="68">
        <f>IF(OR(E32="",F32=""),"",E32*KVARDI)</f>
        <v/>
      </c>
      <c r="I32" s="69">
        <f>IF(B32="","",IF(ROUND(SUMIF($B$6:$B$205,B32,$E$6:$E$205),4)=ROUND(IFERROR(INDEX(Viðmið!$E$6:$E$29,MATCH(B32,Viðmið!$C$6:$C$29,0)),-1),4),"✓","✗"))</f>
        <v/>
      </c>
      <c r="J32" s="61" t="n"/>
      <c r="K32" s="61" t="n"/>
      <c r="L32" s="61" t="n"/>
      <c r="M32" s="61" t="n"/>
      <c r="N32" s="61" t="n"/>
      <c r="O32" s="61" t="n"/>
      <c r="P32" s="61" t="n"/>
      <c r="Q32" s="61" t="n"/>
    </row>
    <row r="33" ht="15" customHeight="1" s="47">
      <c r="A33" s="65">
        <f>IF($B33="","",ROW()-5)</f>
        <v/>
      </c>
      <c r="B33" s="60" t="n"/>
      <c r="C33" s="60" t="n"/>
      <c r="D33" s="61" t="n"/>
      <c r="E33" s="59" t="n"/>
      <c r="F33" s="66" t="n"/>
      <c r="G33" s="67">
        <f>IFERROR(IF(B33="","",INDEX(Viðmið!$B$6:$B$29,MATCH(B33,Viðmið!$C$6:$C$29,0))),"")</f>
        <v/>
      </c>
      <c r="H33" s="68">
        <f>IF(OR(E33="",F33=""),"",E33*KVARDI)</f>
        <v/>
      </c>
      <c r="I33" s="69">
        <f>IF(B33="","",IF(ROUND(SUMIF($B$6:$B$205,B33,$E$6:$E$205),4)=ROUND(IFERROR(INDEX(Viðmið!$E$6:$E$29,MATCH(B33,Viðmið!$C$6:$C$29,0)),-1),4),"✓","✗"))</f>
        <v/>
      </c>
      <c r="J33" s="61" t="n"/>
      <c r="K33" s="61" t="n"/>
      <c r="L33" s="61" t="n"/>
      <c r="M33" s="61" t="n"/>
      <c r="N33" s="61" t="n"/>
      <c r="O33" s="61" t="n"/>
      <c r="P33" s="61" t="n"/>
      <c r="Q33" s="61" t="n"/>
    </row>
    <row r="34" ht="15" customHeight="1" s="47">
      <c r="A34" s="65">
        <f>IF($B34="","",ROW()-5)</f>
        <v/>
      </c>
      <c r="B34" s="60" t="n"/>
      <c r="C34" s="60" t="n"/>
      <c r="D34" s="61" t="n"/>
      <c r="E34" s="59" t="n"/>
      <c r="F34" s="66" t="n"/>
      <c r="G34" s="67">
        <f>IFERROR(IF(B34="","",INDEX(Viðmið!$B$6:$B$29,MATCH(B34,Viðmið!$C$6:$C$29,0))),"")</f>
        <v/>
      </c>
      <c r="H34" s="68">
        <f>IF(OR(E34="",F34=""),"",E34*KVARDI)</f>
        <v/>
      </c>
      <c r="I34" s="69">
        <f>IF(B34="","",IF(ROUND(SUMIF($B$6:$B$205,B34,$E$6:$E$205),4)=ROUND(IFERROR(INDEX(Viðmið!$E$6:$E$29,MATCH(B34,Viðmið!$C$6:$C$29,0)),-1),4),"✓","✗"))</f>
        <v/>
      </c>
      <c r="J34" s="61" t="n"/>
      <c r="K34" s="61" t="n"/>
      <c r="L34" s="61" t="n"/>
      <c r="M34" s="61" t="n"/>
      <c r="N34" s="61" t="n"/>
      <c r="O34" s="61" t="n"/>
      <c r="P34" s="61" t="n"/>
      <c r="Q34" s="61" t="n"/>
    </row>
    <row r="35" ht="15" customHeight="1" s="47">
      <c r="A35" s="65">
        <f>IF($B35="","",ROW()-5)</f>
        <v/>
      </c>
      <c r="B35" s="60" t="n"/>
      <c r="C35" s="60" t="n"/>
      <c r="D35" s="61" t="n"/>
      <c r="E35" s="59" t="n"/>
      <c r="F35" s="66" t="n"/>
      <c r="G35" s="67">
        <f>IFERROR(IF(B35="","",INDEX(Viðmið!$B$6:$B$29,MATCH(B35,Viðmið!$C$6:$C$29,0))),"")</f>
        <v/>
      </c>
      <c r="H35" s="68">
        <f>IF(OR(E35="",F35=""),"",E35*KVARDI)</f>
        <v/>
      </c>
      <c r="I35" s="69">
        <f>IF(B35="","",IF(ROUND(SUMIF($B$6:$B$205,B35,$E$6:$E$205),4)=ROUND(IFERROR(INDEX(Viðmið!$E$6:$E$29,MATCH(B35,Viðmið!$C$6:$C$29,0)),-1),4),"✓","✗"))</f>
        <v/>
      </c>
      <c r="J35" s="61" t="n"/>
      <c r="K35" s="61" t="n"/>
      <c r="L35" s="61" t="n"/>
      <c r="M35" s="61" t="n"/>
      <c r="N35" s="61" t="n"/>
      <c r="O35" s="61" t="n"/>
      <c r="P35" s="61" t="n"/>
      <c r="Q35" s="61" t="n"/>
    </row>
    <row r="36" ht="15" customHeight="1" s="47">
      <c r="A36" s="65">
        <f>IF($B36="","",ROW()-5)</f>
        <v/>
      </c>
      <c r="B36" s="60" t="n"/>
      <c r="C36" s="60" t="n"/>
      <c r="D36" s="61" t="n"/>
      <c r="E36" s="59" t="n"/>
      <c r="F36" s="66" t="n"/>
      <c r="G36" s="67">
        <f>IFERROR(IF(B36="","",INDEX(Viðmið!$B$6:$B$29,MATCH(B36,Viðmið!$C$6:$C$29,0))),"")</f>
        <v/>
      </c>
      <c r="H36" s="68">
        <f>IF(OR(E36="",F36=""),"",E36*KVARDI)</f>
        <v/>
      </c>
      <c r="I36" s="69">
        <f>IF(B36="","",IF(ROUND(SUMIF($B$6:$B$205,B36,$E$6:$E$205),4)=ROUND(IFERROR(INDEX(Viðmið!$E$6:$E$29,MATCH(B36,Viðmið!$C$6:$C$29,0)),-1),4),"✓","✗"))</f>
        <v/>
      </c>
      <c r="J36" s="61" t="n"/>
      <c r="K36" s="61" t="n"/>
      <c r="L36" s="61" t="n"/>
      <c r="M36" s="61" t="n"/>
      <c r="N36" s="61" t="n"/>
      <c r="O36" s="61" t="n"/>
      <c r="P36" s="61" t="n"/>
      <c r="Q36" s="61" t="n"/>
    </row>
    <row r="37" ht="15" customHeight="1" s="47">
      <c r="A37" s="65">
        <f>IF($B37="","",ROW()-5)</f>
        <v/>
      </c>
      <c r="B37" s="60" t="n"/>
      <c r="C37" s="60" t="n"/>
      <c r="D37" s="61" t="n"/>
      <c r="E37" s="59" t="n"/>
      <c r="F37" s="66" t="n"/>
      <c r="G37" s="67">
        <f>IFERROR(IF(B37="","",INDEX(Viðmið!$B$6:$B$29,MATCH(B37,Viðmið!$C$6:$C$29,0))),"")</f>
        <v/>
      </c>
      <c r="H37" s="68">
        <f>IF(OR(E37="",F37=""),"",E37*KVARDI)</f>
        <v/>
      </c>
      <c r="I37" s="69">
        <f>IF(B37="","",IF(ROUND(SUMIF($B$6:$B$205,B37,$E$6:$E$205),4)=ROUND(IFERROR(INDEX(Viðmið!$E$6:$E$29,MATCH(B37,Viðmið!$C$6:$C$29,0)),-1),4),"✓","✗"))</f>
        <v/>
      </c>
      <c r="J37" s="61" t="n"/>
      <c r="K37" s="61" t="n"/>
      <c r="L37" s="61" t="n"/>
      <c r="M37" s="61" t="n"/>
      <c r="N37" s="61" t="n"/>
      <c r="O37" s="61" t="n"/>
      <c r="P37" s="61" t="n"/>
      <c r="Q37" s="61" t="n"/>
    </row>
    <row r="38" ht="15" customHeight="1" s="47">
      <c r="A38" s="65">
        <f>IF($B38="","",ROW()-5)</f>
        <v/>
      </c>
      <c r="B38" s="60" t="n"/>
      <c r="C38" s="60" t="n"/>
      <c r="D38" s="61" t="n"/>
      <c r="E38" s="59" t="n"/>
      <c r="F38" s="66" t="n"/>
      <c r="G38" s="67">
        <f>IFERROR(IF(B38="","",INDEX(Viðmið!$B$6:$B$29,MATCH(B38,Viðmið!$C$6:$C$29,0))),"")</f>
        <v/>
      </c>
      <c r="H38" s="68">
        <f>IF(OR(E38="",F38=""),"",E38*KVARDI)</f>
        <v/>
      </c>
      <c r="I38" s="69">
        <f>IF(B38="","",IF(ROUND(SUMIF($B$6:$B$205,B38,$E$6:$E$205),4)=ROUND(IFERROR(INDEX(Viðmið!$E$6:$E$29,MATCH(B38,Viðmið!$C$6:$C$29,0)),-1),4),"✓","✗"))</f>
        <v/>
      </c>
      <c r="J38" s="61" t="n"/>
      <c r="K38" s="61" t="n"/>
      <c r="L38" s="61" t="n"/>
      <c r="M38" s="61" t="n"/>
      <c r="N38" s="61" t="n"/>
      <c r="O38" s="61" t="n"/>
      <c r="P38" s="61" t="n"/>
      <c r="Q38" s="61" t="n"/>
    </row>
    <row r="39" ht="15" customHeight="1" s="47">
      <c r="A39" s="65">
        <f>IF($B39="","",ROW()-5)</f>
        <v/>
      </c>
      <c r="B39" s="60" t="n"/>
      <c r="C39" s="60" t="n"/>
      <c r="D39" s="61" t="n"/>
      <c r="E39" s="59" t="n"/>
      <c r="F39" s="66" t="n"/>
      <c r="G39" s="67">
        <f>IFERROR(IF(B39="","",INDEX(Viðmið!$B$6:$B$29,MATCH(B39,Viðmið!$C$6:$C$29,0))),"")</f>
        <v/>
      </c>
      <c r="H39" s="68">
        <f>IF(OR(E39="",F39=""),"",E39*KVARDI)</f>
        <v/>
      </c>
      <c r="I39" s="69">
        <f>IF(B39="","",IF(ROUND(SUMIF($B$6:$B$205,B39,$E$6:$E$205),4)=ROUND(IFERROR(INDEX(Viðmið!$E$6:$E$29,MATCH(B39,Viðmið!$C$6:$C$29,0)),-1),4),"✓","✗"))</f>
        <v/>
      </c>
      <c r="J39" s="61" t="n"/>
      <c r="K39" s="61" t="n"/>
      <c r="L39" s="61" t="n"/>
      <c r="M39" s="61" t="n"/>
      <c r="N39" s="61" t="n"/>
      <c r="O39" s="61" t="n"/>
      <c r="P39" s="61" t="n"/>
      <c r="Q39" s="61" t="n"/>
    </row>
    <row r="40" ht="15" customHeight="1" s="47">
      <c r="A40" s="65">
        <f>IF($B40="","",ROW()-5)</f>
        <v/>
      </c>
      <c r="B40" s="60" t="n"/>
      <c r="C40" s="60" t="n"/>
      <c r="D40" s="61" t="n"/>
      <c r="E40" s="59" t="n"/>
      <c r="F40" s="66" t="n"/>
      <c r="G40" s="67">
        <f>IFERROR(IF(B40="","",INDEX(Viðmið!$B$6:$B$29,MATCH(B40,Viðmið!$C$6:$C$29,0))),"")</f>
        <v/>
      </c>
      <c r="H40" s="68">
        <f>IF(OR(E40="",F40=""),"",E40*KVARDI)</f>
        <v/>
      </c>
      <c r="I40" s="69">
        <f>IF(B40="","",IF(ROUND(SUMIF($B$6:$B$205,B40,$E$6:$E$205),4)=ROUND(IFERROR(INDEX(Viðmið!$E$6:$E$29,MATCH(B40,Viðmið!$C$6:$C$29,0)),-1),4),"✓","✗"))</f>
        <v/>
      </c>
      <c r="J40" s="61" t="n"/>
      <c r="K40" s="61" t="n"/>
      <c r="L40" s="61" t="n"/>
      <c r="M40" s="61" t="n"/>
      <c r="N40" s="61" t="n"/>
      <c r="O40" s="61" t="n"/>
      <c r="P40" s="61" t="n"/>
      <c r="Q40" s="61" t="n"/>
    </row>
    <row r="41" ht="15" customHeight="1" s="47">
      <c r="A41" s="65">
        <f>IF($B41="","",ROW()-5)</f>
        <v/>
      </c>
      <c r="B41" s="60" t="n"/>
      <c r="C41" s="60" t="n"/>
      <c r="D41" s="61" t="n"/>
      <c r="E41" s="59" t="n"/>
      <c r="F41" s="66" t="n"/>
      <c r="G41" s="67">
        <f>IFERROR(IF(B41="","",INDEX(Viðmið!$B$6:$B$29,MATCH(B41,Viðmið!$C$6:$C$29,0))),"")</f>
        <v/>
      </c>
      <c r="H41" s="68">
        <f>IF(OR(E41="",F41=""),"",E41*KVARDI)</f>
        <v/>
      </c>
      <c r="I41" s="69">
        <f>IF(B41="","",IF(ROUND(SUMIF($B$6:$B$205,B41,$E$6:$E$205),4)=ROUND(IFERROR(INDEX(Viðmið!$E$6:$E$29,MATCH(B41,Viðmið!$C$6:$C$29,0)),-1),4),"✓","✗"))</f>
        <v/>
      </c>
      <c r="J41" s="61" t="n"/>
      <c r="K41" s="61" t="n"/>
      <c r="L41" s="61" t="n"/>
      <c r="M41" s="61" t="n"/>
      <c r="N41" s="61" t="n"/>
      <c r="O41" s="61" t="n"/>
      <c r="P41" s="61" t="n"/>
      <c r="Q41" s="61" t="n"/>
    </row>
    <row r="42" ht="15" customHeight="1" s="47">
      <c r="A42" s="65">
        <f>IF($B42="","",ROW()-5)</f>
        <v/>
      </c>
      <c r="B42" s="60" t="n"/>
      <c r="C42" s="60" t="n"/>
      <c r="D42" s="61" t="n"/>
      <c r="E42" s="59" t="n"/>
      <c r="F42" s="66" t="n"/>
      <c r="G42" s="67">
        <f>IFERROR(IF(B42="","",INDEX(Viðmið!$B$6:$B$29,MATCH(B42,Viðmið!$C$6:$C$29,0))),"")</f>
        <v/>
      </c>
      <c r="H42" s="68">
        <f>IF(OR(E42="",F42=""),"",E42*KVARDI)</f>
        <v/>
      </c>
      <c r="I42" s="69">
        <f>IF(B42="","",IF(ROUND(SUMIF($B$6:$B$205,B42,$E$6:$E$205),4)=ROUND(IFERROR(INDEX(Viðmið!$E$6:$E$29,MATCH(B42,Viðmið!$C$6:$C$29,0)),-1),4),"✓","✗"))</f>
        <v/>
      </c>
      <c r="J42" s="61" t="n"/>
      <c r="K42" s="61" t="n"/>
      <c r="L42" s="61" t="n"/>
      <c r="M42" s="61" t="n"/>
      <c r="N42" s="61" t="n"/>
      <c r="O42" s="61" t="n"/>
      <c r="P42" s="61" t="n"/>
      <c r="Q42" s="61" t="n"/>
    </row>
    <row r="43" ht="15" customHeight="1" s="47">
      <c r="A43" s="65">
        <f>IF($B43="","",ROW()-5)</f>
        <v/>
      </c>
      <c r="B43" s="60" t="n"/>
      <c r="C43" s="60" t="n"/>
      <c r="D43" s="61" t="n"/>
      <c r="E43" s="59" t="n"/>
      <c r="F43" s="66" t="n"/>
      <c r="G43" s="67">
        <f>IFERROR(IF(B43="","",INDEX(Viðmið!$B$6:$B$29,MATCH(B43,Viðmið!$C$6:$C$29,0))),"")</f>
        <v/>
      </c>
      <c r="H43" s="68">
        <f>IF(OR(E43="",F43=""),"",E43*KVARDI)</f>
        <v/>
      </c>
      <c r="I43" s="69">
        <f>IF(B43="","",IF(ROUND(SUMIF($B$6:$B$205,B43,$E$6:$E$205),4)=ROUND(IFERROR(INDEX(Viðmið!$E$6:$E$29,MATCH(B43,Viðmið!$C$6:$C$29,0)),-1),4),"✓","✗"))</f>
        <v/>
      </c>
      <c r="J43" s="61" t="n"/>
      <c r="K43" s="61" t="n"/>
      <c r="L43" s="61" t="n"/>
      <c r="M43" s="61" t="n"/>
      <c r="N43" s="61" t="n"/>
      <c r="O43" s="61" t="n"/>
      <c r="P43" s="61" t="n"/>
      <c r="Q43" s="61" t="n"/>
    </row>
    <row r="44" ht="15" customHeight="1" s="47">
      <c r="A44" s="65">
        <f>IF($B44="","",ROW()-5)</f>
        <v/>
      </c>
      <c r="B44" s="60" t="n"/>
      <c r="C44" s="60" t="n"/>
      <c r="D44" s="61" t="n"/>
      <c r="E44" s="59" t="n"/>
      <c r="F44" s="66" t="n"/>
      <c r="G44" s="67">
        <f>IFERROR(IF(B44="","",INDEX(Viðmið!$B$6:$B$29,MATCH(B44,Viðmið!$C$6:$C$29,0))),"")</f>
        <v/>
      </c>
      <c r="H44" s="68">
        <f>IF(OR(E44="",F44=""),"",E44*KVARDI)</f>
        <v/>
      </c>
      <c r="I44" s="69">
        <f>IF(B44="","",IF(ROUND(SUMIF($B$6:$B$205,B44,$E$6:$E$205),4)=ROUND(IFERROR(INDEX(Viðmið!$E$6:$E$29,MATCH(B44,Viðmið!$C$6:$C$29,0)),-1),4),"✓","✗"))</f>
        <v/>
      </c>
      <c r="J44" s="61" t="n"/>
      <c r="K44" s="61" t="n"/>
      <c r="L44" s="61" t="n"/>
      <c r="M44" s="61" t="n"/>
      <c r="N44" s="61" t="n"/>
      <c r="O44" s="61" t="n"/>
      <c r="P44" s="61" t="n"/>
      <c r="Q44" s="61" t="n"/>
    </row>
    <row r="45" ht="15" customHeight="1" s="47">
      <c r="A45" s="65">
        <f>IF($B45="","",ROW()-5)</f>
        <v/>
      </c>
      <c r="B45" s="60" t="n"/>
      <c r="C45" s="60" t="n"/>
      <c r="D45" s="61" t="n"/>
      <c r="E45" s="59" t="n"/>
      <c r="F45" s="66" t="n"/>
      <c r="G45" s="67">
        <f>IFERROR(IF(B45="","",INDEX(Viðmið!$B$6:$B$29,MATCH(B45,Viðmið!$C$6:$C$29,0))),"")</f>
        <v/>
      </c>
      <c r="H45" s="68">
        <f>IF(OR(E45="",F45=""),"",E45*KVARDI)</f>
        <v/>
      </c>
      <c r="I45" s="69">
        <f>IF(B45="","",IF(ROUND(SUMIF($B$6:$B$205,B45,$E$6:$E$205),4)=ROUND(IFERROR(INDEX(Viðmið!$E$6:$E$29,MATCH(B45,Viðmið!$C$6:$C$29,0)),-1),4),"✓","✗"))</f>
        <v/>
      </c>
      <c r="J45" s="61" t="n"/>
      <c r="K45" s="61" t="n"/>
      <c r="L45" s="61" t="n"/>
      <c r="M45" s="61" t="n"/>
      <c r="N45" s="61" t="n"/>
      <c r="O45" s="61" t="n"/>
      <c r="P45" s="61" t="n"/>
      <c r="Q45" s="61" t="n"/>
    </row>
    <row r="46" ht="15" customHeight="1" s="47">
      <c r="A46" s="65">
        <f>IF($B46="","",ROW()-5)</f>
        <v/>
      </c>
      <c r="B46" s="60" t="n"/>
      <c r="C46" s="60" t="n"/>
      <c r="D46" s="61" t="n"/>
      <c r="E46" s="59" t="n"/>
      <c r="F46" s="66" t="n"/>
      <c r="G46" s="67">
        <f>IFERROR(IF(B46="","",INDEX(Viðmið!$B$6:$B$29,MATCH(B46,Viðmið!$C$6:$C$29,0))),"")</f>
        <v/>
      </c>
      <c r="H46" s="68">
        <f>IF(OR(E46="",F46=""),"",E46*KVARDI)</f>
        <v/>
      </c>
      <c r="I46" s="69">
        <f>IF(B46="","",IF(ROUND(SUMIF($B$6:$B$205,B46,$E$6:$E$205),4)=ROUND(IFERROR(INDEX(Viðmið!$E$6:$E$29,MATCH(B46,Viðmið!$C$6:$C$29,0)),-1),4),"✓","✗"))</f>
        <v/>
      </c>
      <c r="J46" s="61" t="n"/>
      <c r="K46" s="61" t="n"/>
      <c r="L46" s="61" t="n"/>
      <c r="M46" s="61" t="n"/>
      <c r="N46" s="61" t="n"/>
      <c r="O46" s="61" t="n"/>
      <c r="P46" s="61" t="n"/>
      <c r="Q46" s="61" t="n"/>
    </row>
    <row r="47" ht="15" customHeight="1" s="47">
      <c r="A47" s="65">
        <f>IF($B47="","",ROW()-5)</f>
        <v/>
      </c>
      <c r="B47" s="60" t="n"/>
      <c r="C47" s="60" t="n"/>
      <c r="D47" s="61" t="n"/>
      <c r="E47" s="59" t="n"/>
      <c r="F47" s="66" t="n"/>
      <c r="G47" s="67">
        <f>IFERROR(IF(B47="","",INDEX(Viðmið!$B$6:$B$29,MATCH(B47,Viðmið!$C$6:$C$29,0))),"")</f>
        <v/>
      </c>
      <c r="H47" s="68">
        <f>IF(OR(E47="",F47=""),"",E47*KVARDI)</f>
        <v/>
      </c>
      <c r="I47" s="69">
        <f>IF(B47="","",IF(ROUND(SUMIF($B$6:$B$205,B47,$E$6:$E$205),4)=ROUND(IFERROR(INDEX(Viðmið!$E$6:$E$29,MATCH(B47,Viðmið!$C$6:$C$29,0)),-1),4),"✓","✗"))</f>
        <v/>
      </c>
      <c r="J47" s="61" t="n"/>
      <c r="K47" s="61" t="n"/>
      <c r="L47" s="61" t="n"/>
      <c r="M47" s="61" t="n"/>
      <c r="N47" s="61" t="n"/>
      <c r="O47" s="61" t="n"/>
      <c r="P47" s="61" t="n"/>
      <c r="Q47" s="61" t="n"/>
    </row>
    <row r="48" ht="15" customHeight="1" s="47">
      <c r="A48" s="65">
        <f>IF($B48="","",ROW()-5)</f>
        <v/>
      </c>
      <c r="B48" s="60" t="n"/>
      <c r="C48" s="60" t="n"/>
      <c r="D48" s="61" t="n"/>
      <c r="E48" s="59" t="n"/>
      <c r="F48" s="66" t="n"/>
      <c r="G48" s="67">
        <f>IFERROR(IF(B48="","",INDEX(Viðmið!$B$6:$B$29,MATCH(B48,Viðmið!$C$6:$C$29,0))),"")</f>
        <v/>
      </c>
      <c r="H48" s="68">
        <f>IF(OR(E48="",F48=""),"",E48*KVARDI)</f>
        <v/>
      </c>
      <c r="I48" s="69">
        <f>IF(B48="","",IF(ROUND(SUMIF($B$6:$B$205,B48,$E$6:$E$205),4)=ROUND(IFERROR(INDEX(Viðmið!$E$6:$E$29,MATCH(B48,Viðmið!$C$6:$C$29,0)),-1),4),"✓","✗"))</f>
        <v/>
      </c>
      <c r="J48" s="61" t="n"/>
      <c r="K48" s="61" t="n"/>
      <c r="L48" s="61" t="n"/>
      <c r="M48" s="61" t="n"/>
      <c r="N48" s="61" t="n"/>
      <c r="O48" s="61" t="n"/>
      <c r="P48" s="61" t="n"/>
      <c r="Q48" s="61" t="n"/>
    </row>
    <row r="49" ht="15" customHeight="1" s="47">
      <c r="A49" s="65">
        <f>IF($B49="","",ROW()-5)</f>
        <v/>
      </c>
      <c r="B49" s="60" t="n"/>
      <c r="C49" s="60" t="n"/>
      <c r="D49" s="61" t="n"/>
      <c r="E49" s="59" t="n"/>
      <c r="F49" s="66" t="n"/>
      <c r="G49" s="67">
        <f>IFERROR(IF(B49="","",INDEX(Viðmið!$B$6:$B$29,MATCH(B49,Viðmið!$C$6:$C$29,0))),"")</f>
        <v/>
      </c>
      <c r="H49" s="68">
        <f>IF(OR(E49="",F49=""),"",E49*KVARDI)</f>
        <v/>
      </c>
      <c r="I49" s="69">
        <f>IF(B49="","",IF(ROUND(SUMIF($B$6:$B$205,B49,$E$6:$E$205),4)=ROUND(IFERROR(INDEX(Viðmið!$E$6:$E$29,MATCH(B49,Viðmið!$C$6:$C$29,0)),-1),4),"✓","✗"))</f>
        <v/>
      </c>
      <c r="J49" s="61" t="n"/>
      <c r="K49" s="61" t="n"/>
      <c r="L49" s="61" t="n"/>
      <c r="M49" s="61" t="n"/>
      <c r="N49" s="61" t="n"/>
      <c r="O49" s="61" t="n"/>
      <c r="P49" s="61" t="n"/>
      <c r="Q49" s="61" t="n"/>
    </row>
    <row r="50" ht="15" customHeight="1" s="47">
      <c r="A50" s="65">
        <f>IF($B50="","",ROW()-5)</f>
        <v/>
      </c>
      <c r="B50" s="60" t="n"/>
      <c r="C50" s="60" t="n"/>
      <c r="D50" s="61" t="n"/>
      <c r="E50" s="59" t="n"/>
      <c r="F50" s="66" t="n"/>
      <c r="G50" s="67">
        <f>IFERROR(IF(B50="","",INDEX(Viðmið!$B$6:$B$29,MATCH(B50,Viðmið!$C$6:$C$29,0))),"")</f>
        <v/>
      </c>
      <c r="H50" s="68">
        <f>IF(OR(E50="",F50=""),"",E50*KVARDI)</f>
        <v/>
      </c>
      <c r="I50" s="69">
        <f>IF(B50="","",IF(ROUND(SUMIF($B$6:$B$205,B50,$E$6:$E$205),4)=ROUND(IFERROR(INDEX(Viðmið!$E$6:$E$29,MATCH(B50,Viðmið!$C$6:$C$29,0)),-1),4),"✓","✗"))</f>
        <v/>
      </c>
      <c r="J50" s="61" t="n"/>
      <c r="K50" s="61" t="n"/>
      <c r="L50" s="61" t="n"/>
      <c r="M50" s="61" t="n"/>
      <c r="N50" s="61" t="n"/>
      <c r="O50" s="61" t="n"/>
      <c r="P50" s="61" t="n"/>
      <c r="Q50" s="61" t="n"/>
    </row>
    <row r="51" ht="15" customHeight="1" s="47">
      <c r="A51" s="65">
        <f>IF($B51="","",ROW()-5)</f>
        <v/>
      </c>
      <c r="B51" s="60" t="n"/>
      <c r="C51" s="60" t="n"/>
      <c r="D51" s="61" t="n"/>
      <c r="E51" s="59" t="n"/>
      <c r="F51" s="66" t="n"/>
      <c r="G51" s="67">
        <f>IFERROR(IF(B51="","",INDEX(Viðmið!$B$6:$B$29,MATCH(B51,Viðmið!$C$6:$C$29,0))),"")</f>
        <v/>
      </c>
      <c r="H51" s="68">
        <f>IF(OR(E51="",F51=""),"",E51*KVARDI)</f>
        <v/>
      </c>
      <c r="I51" s="69">
        <f>IF(B51="","",IF(ROUND(SUMIF($B$6:$B$205,B51,$E$6:$E$205),4)=ROUND(IFERROR(INDEX(Viðmið!$E$6:$E$29,MATCH(B51,Viðmið!$C$6:$C$29,0)),-1),4),"✓","✗"))</f>
        <v/>
      </c>
      <c r="J51" s="61" t="n"/>
      <c r="K51" s="61" t="n"/>
      <c r="L51" s="61" t="n"/>
      <c r="M51" s="61" t="n"/>
      <c r="N51" s="61" t="n"/>
      <c r="O51" s="61" t="n"/>
      <c r="P51" s="61" t="n"/>
      <c r="Q51" s="61" t="n"/>
    </row>
    <row r="52" ht="15" customHeight="1" s="47">
      <c r="A52" s="65">
        <f>IF($B52="","",ROW()-5)</f>
        <v/>
      </c>
      <c r="B52" s="60" t="n"/>
      <c r="C52" s="60" t="n"/>
      <c r="D52" s="61" t="n"/>
      <c r="E52" s="59" t="n"/>
      <c r="F52" s="66" t="n"/>
      <c r="G52" s="67">
        <f>IFERROR(IF(B52="","",INDEX(Viðmið!$B$6:$B$29,MATCH(B52,Viðmið!$C$6:$C$29,0))),"")</f>
        <v/>
      </c>
      <c r="H52" s="68">
        <f>IF(OR(E52="",F52=""),"",E52*KVARDI)</f>
        <v/>
      </c>
      <c r="I52" s="69">
        <f>IF(B52="","",IF(ROUND(SUMIF($B$6:$B$205,B52,$E$6:$E$205),4)=ROUND(IFERROR(INDEX(Viðmið!$E$6:$E$29,MATCH(B52,Viðmið!$C$6:$C$29,0)),-1),4),"✓","✗"))</f>
        <v/>
      </c>
      <c r="J52" s="61" t="n"/>
      <c r="K52" s="61" t="n"/>
      <c r="L52" s="61" t="n"/>
      <c r="M52" s="61" t="n"/>
      <c r="N52" s="61" t="n"/>
      <c r="O52" s="61" t="n"/>
      <c r="P52" s="61" t="n"/>
      <c r="Q52" s="61" t="n"/>
    </row>
    <row r="53" ht="15" customHeight="1" s="47">
      <c r="A53" s="65">
        <f>IF($B53="","",ROW()-5)</f>
        <v/>
      </c>
      <c r="B53" s="60" t="n"/>
      <c r="C53" s="60" t="n"/>
      <c r="D53" s="61" t="n"/>
      <c r="E53" s="59" t="n"/>
      <c r="F53" s="66" t="n"/>
      <c r="G53" s="67">
        <f>IFERROR(IF(B53="","",INDEX(Viðmið!$B$6:$B$29,MATCH(B53,Viðmið!$C$6:$C$29,0))),"")</f>
        <v/>
      </c>
      <c r="H53" s="68">
        <f>IF(OR(E53="",F53=""),"",E53*KVARDI)</f>
        <v/>
      </c>
      <c r="I53" s="69">
        <f>IF(B53="","",IF(ROUND(SUMIF($B$6:$B$205,B53,$E$6:$E$205),4)=ROUND(IFERROR(INDEX(Viðmið!$E$6:$E$29,MATCH(B53,Viðmið!$C$6:$C$29,0)),-1),4),"✓","✗"))</f>
        <v/>
      </c>
      <c r="J53" s="61" t="n"/>
      <c r="K53" s="61" t="n"/>
      <c r="L53" s="61" t="n"/>
      <c r="M53" s="61" t="n"/>
      <c r="N53" s="61" t="n"/>
      <c r="O53" s="61" t="n"/>
      <c r="P53" s="61" t="n"/>
      <c r="Q53" s="61" t="n"/>
    </row>
    <row r="54" ht="15" customHeight="1" s="47">
      <c r="A54" s="65">
        <f>IF($B54="","",ROW()-5)</f>
        <v/>
      </c>
      <c r="B54" s="60" t="n"/>
      <c r="C54" s="60" t="n"/>
      <c r="D54" s="61" t="n"/>
      <c r="E54" s="59" t="n"/>
      <c r="F54" s="66" t="n"/>
      <c r="G54" s="67">
        <f>IFERROR(IF(B54="","",INDEX(Viðmið!$B$6:$B$29,MATCH(B54,Viðmið!$C$6:$C$29,0))),"")</f>
        <v/>
      </c>
      <c r="H54" s="68">
        <f>IF(OR(E54="",F54=""),"",E54*KVARDI)</f>
        <v/>
      </c>
      <c r="I54" s="69">
        <f>IF(B54="","",IF(ROUND(SUMIF($B$6:$B$205,B54,$E$6:$E$205),4)=ROUND(IFERROR(INDEX(Viðmið!$E$6:$E$29,MATCH(B54,Viðmið!$C$6:$C$29,0)),-1),4),"✓","✗"))</f>
        <v/>
      </c>
      <c r="J54" s="61" t="n"/>
      <c r="K54" s="61" t="n"/>
      <c r="L54" s="61" t="n"/>
      <c r="M54" s="61" t="n"/>
      <c r="N54" s="61" t="n"/>
      <c r="O54" s="61" t="n"/>
      <c r="P54" s="61" t="n"/>
      <c r="Q54" s="61" t="n"/>
    </row>
    <row r="55" ht="15" customHeight="1" s="47">
      <c r="A55" s="65">
        <f>IF($B55="","",ROW()-5)</f>
        <v/>
      </c>
      <c r="B55" s="60" t="n"/>
      <c r="C55" s="60" t="n"/>
      <c r="D55" s="61" t="n"/>
      <c r="E55" s="59" t="n"/>
      <c r="F55" s="66" t="n"/>
      <c r="G55" s="67">
        <f>IFERROR(IF(B55="","",INDEX(Viðmið!$B$6:$B$29,MATCH(B55,Viðmið!$C$6:$C$29,0))),"")</f>
        <v/>
      </c>
      <c r="H55" s="68">
        <f>IF(OR(E55="",F55=""),"",E55*KVARDI)</f>
        <v/>
      </c>
      <c r="I55" s="69">
        <f>IF(B55="","",IF(ROUND(SUMIF($B$6:$B$205,B55,$E$6:$E$205),4)=ROUND(IFERROR(INDEX(Viðmið!$E$6:$E$29,MATCH(B55,Viðmið!$C$6:$C$29,0)),-1),4),"✓","✗"))</f>
        <v/>
      </c>
      <c r="J55" s="61" t="n"/>
      <c r="K55" s="61" t="n"/>
      <c r="L55" s="61" t="n"/>
      <c r="M55" s="61" t="n"/>
      <c r="N55" s="61" t="n"/>
      <c r="O55" s="61" t="n"/>
      <c r="P55" s="61" t="n"/>
      <c r="Q55" s="61" t="n"/>
    </row>
    <row r="56" ht="15" customHeight="1" s="47">
      <c r="A56" s="65">
        <f>IF($B56="","",ROW()-5)</f>
        <v/>
      </c>
      <c r="B56" s="60" t="n"/>
      <c r="C56" s="60" t="n"/>
      <c r="D56" s="61" t="n"/>
      <c r="E56" s="59" t="n"/>
      <c r="F56" s="66" t="n"/>
      <c r="G56" s="67">
        <f>IFERROR(IF(B56="","",INDEX(Viðmið!$B$6:$B$29,MATCH(B56,Viðmið!$C$6:$C$29,0))),"")</f>
        <v/>
      </c>
      <c r="H56" s="68">
        <f>IF(OR(E56="",F56=""),"",E56*KVARDI)</f>
        <v/>
      </c>
      <c r="I56" s="69">
        <f>IF(B56="","",IF(ROUND(SUMIF($B$6:$B$205,B56,$E$6:$E$205),4)=ROUND(IFERROR(INDEX(Viðmið!$E$6:$E$29,MATCH(B56,Viðmið!$C$6:$C$29,0)),-1),4),"✓","✗"))</f>
        <v/>
      </c>
      <c r="J56" s="61" t="n"/>
      <c r="K56" s="61" t="n"/>
      <c r="L56" s="61" t="n"/>
      <c r="M56" s="61" t="n"/>
      <c r="N56" s="61" t="n"/>
      <c r="O56" s="61" t="n"/>
      <c r="P56" s="61" t="n"/>
      <c r="Q56" s="61" t="n"/>
    </row>
    <row r="57" ht="15" customHeight="1" s="47">
      <c r="A57" s="65">
        <f>IF($B57="","",ROW()-5)</f>
        <v/>
      </c>
      <c r="B57" s="60" t="n"/>
      <c r="C57" s="60" t="n"/>
      <c r="D57" s="61" t="n"/>
      <c r="E57" s="59" t="n"/>
      <c r="F57" s="66" t="n"/>
      <c r="G57" s="67">
        <f>IFERROR(IF(B57="","",INDEX(Viðmið!$B$6:$B$29,MATCH(B57,Viðmið!$C$6:$C$29,0))),"")</f>
        <v/>
      </c>
      <c r="H57" s="68">
        <f>IF(OR(E57="",F57=""),"",E57*KVARDI)</f>
        <v/>
      </c>
      <c r="I57" s="69">
        <f>IF(B57="","",IF(ROUND(SUMIF($B$6:$B$205,B57,$E$6:$E$205),4)=ROUND(IFERROR(INDEX(Viðmið!$E$6:$E$29,MATCH(B57,Viðmið!$C$6:$C$29,0)),-1),4),"✓","✗"))</f>
        <v/>
      </c>
      <c r="J57" s="61" t="n"/>
      <c r="K57" s="61" t="n"/>
      <c r="L57" s="61" t="n"/>
      <c r="M57" s="61" t="n"/>
      <c r="N57" s="61" t="n"/>
      <c r="O57" s="61" t="n"/>
      <c r="P57" s="61" t="n"/>
      <c r="Q57" s="61" t="n"/>
    </row>
    <row r="58" ht="15" customHeight="1" s="47">
      <c r="A58" s="65">
        <f>IF($B58="","",ROW()-5)</f>
        <v/>
      </c>
      <c r="B58" s="60" t="n"/>
      <c r="C58" s="60" t="n"/>
      <c r="D58" s="61" t="n"/>
      <c r="E58" s="59" t="n"/>
      <c r="F58" s="66" t="n"/>
      <c r="G58" s="67">
        <f>IFERROR(IF(B58="","",INDEX(Viðmið!$B$6:$B$29,MATCH(B58,Viðmið!$C$6:$C$29,0))),"")</f>
        <v/>
      </c>
      <c r="H58" s="68">
        <f>IF(OR(E58="",F58=""),"",E58*KVARDI)</f>
        <v/>
      </c>
      <c r="I58" s="69">
        <f>IF(B58="","",IF(ROUND(SUMIF($B$6:$B$205,B58,$E$6:$E$205),4)=ROUND(IFERROR(INDEX(Viðmið!$E$6:$E$29,MATCH(B58,Viðmið!$C$6:$C$29,0)),-1),4),"✓","✗"))</f>
        <v/>
      </c>
      <c r="J58" s="61" t="n"/>
      <c r="K58" s="61" t="n"/>
      <c r="L58" s="61" t="n"/>
      <c r="M58" s="61" t="n"/>
      <c r="N58" s="61" t="n"/>
      <c r="O58" s="61" t="n"/>
      <c r="P58" s="61" t="n"/>
      <c r="Q58" s="61" t="n"/>
    </row>
    <row r="59" ht="15" customHeight="1" s="47">
      <c r="A59" s="65">
        <f>IF($B59="","",ROW()-5)</f>
        <v/>
      </c>
      <c r="B59" s="60" t="n"/>
      <c r="C59" s="60" t="n"/>
      <c r="D59" s="61" t="n"/>
      <c r="E59" s="59" t="n"/>
      <c r="F59" s="66" t="n"/>
      <c r="G59" s="67">
        <f>IFERROR(IF(B59="","",INDEX(Viðmið!$B$6:$B$29,MATCH(B59,Viðmið!$C$6:$C$29,0))),"")</f>
        <v/>
      </c>
      <c r="H59" s="68">
        <f>IF(OR(E59="",F59=""),"",E59*KVARDI)</f>
        <v/>
      </c>
      <c r="I59" s="69">
        <f>IF(B59="","",IF(ROUND(SUMIF($B$6:$B$205,B59,$E$6:$E$205),4)=ROUND(IFERROR(INDEX(Viðmið!$E$6:$E$29,MATCH(B59,Viðmið!$C$6:$C$29,0)),-1),4),"✓","✗"))</f>
        <v/>
      </c>
      <c r="J59" s="61" t="n"/>
      <c r="K59" s="61" t="n"/>
      <c r="L59" s="61" t="n"/>
      <c r="M59" s="61" t="n"/>
      <c r="N59" s="61" t="n"/>
      <c r="O59" s="61" t="n"/>
      <c r="P59" s="61" t="n"/>
      <c r="Q59" s="61" t="n"/>
    </row>
    <row r="60" ht="15" customHeight="1" s="47">
      <c r="A60" s="65">
        <f>IF($B60="","",ROW()-5)</f>
        <v/>
      </c>
      <c r="B60" s="60" t="n"/>
      <c r="C60" s="60" t="n"/>
      <c r="D60" s="61" t="n"/>
      <c r="E60" s="59" t="n"/>
      <c r="F60" s="66" t="n"/>
      <c r="G60" s="67">
        <f>IFERROR(IF(B60="","",INDEX(Viðmið!$B$6:$B$29,MATCH(B60,Viðmið!$C$6:$C$29,0))),"")</f>
        <v/>
      </c>
      <c r="H60" s="68">
        <f>IF(OR(E60="",F60=""),"",E60*KVARDI)</f>
        <v/>
      </c>
      <c r="I60" s="69">
        <f>IF(B60="","",IF(ROUND(SUMIF($B$6:$B$205,B60,$E$6:$E$205),4)=ROUND(IFERROR(INDEX(Viðmið!$E$6:$E$29,MATCH(B60,Viðmið!$C$6:$C$29,0)),-1),4),"✓","✗"))</f>
        <v/>
      </c>
      <c r="J60" s="61" t="n"/>
      <c r="K60" s="61" t="n"/>
      <c r="L60" s="61" t="n"/>
      <c r="M60" s="61" t="n"/>
      <c r="N60" s="61" t="n"/>
      <c r="O60" s="61" t="n"/>
      <c r="P60" s="61" t="n"/>
      <c r="Q60" s="61" t="n"/>
    </row>
    <row r="61" ht="15" customHeight="1" s="47">
      <c r="A61" s="65">
        <f>IF($B61="","",ROW()-5)</f>
        <v/>
      </c>
      <c r="B61" s="60" t="n"/>
      <c r="C61" s="60" t="n"/>
      <c r="D61" s="61" t="n"/>
      <c r="E61" s="59" t="n"/>
      <c r="F61" s="66" t="n"/>
      <c r="G61" s="67">
        <f>IFERROR(IF(B61="","",INDEX(Viðmið!$B$6:$B$29,MATCH(B61,Viðmið!$C$6:$C$29,0))),"")</f>
        <v/>
      </c>
      <c r="H61" s="68">
        <f>IF(OR(E61="",F61=""),"",E61*KVARDI)</f>
        <v/>
      </c>
      <c r="I61" s="69">
        <f>IF(B61="","",IF(ROUND(SUMIF($B$6:$B$205,B61,$E$6:$E$205),4)=ROUND(IFERROR(INDEX(Viðmið!$E$6:$E$29,MATCH(B61,Viðmið!$C$6:$C$29,0)),-1),4),"✓","✗"))</f>
        <v/>
      </c>
      <c r="J61" s="61" t="n"/>
      <c r="K61" s="61" t="n"/>
      <c r="L61" s="61" t="n"/>
      <c r="M61" s="61" t="n"/>
      <c r="N61" s="61" t="n"/>
      <c r="O61" s="61" t="n"/>
      <c r="P61" s="61" t="n"/>
      <c r="Q61" s="61" t="n"/>
    </row>
    <row r="62" ht="15" customHeight="1" s="47">
      <c r="A62" s="65">
        <f>IF($B62="","",ROW()-5)</f>
        <v/>
      </c>
      <c r="B62" s="60" t="n"/>
      <c r="C62" s="60" t="n"/>
      <c r="D62" s="61" t="n"/>
      <c r="E62" s="59" t="n"/>
      <c r="F62" s="66" t="n"/>
      <c r="G62" s="67">
        <f>IFERROR(IF(B62="","",INDEX(Viðmið!$B$6:$B$29,MATCH(B62,Viðmið!$C$6:$C$29,0))),"")</f>
        <v/>
      </c>
      <c r="H62" s="68">
        <f>IF(OR(E62="",F62=""),"",E62*KVARDI)</f>
        <v/>
      </c>
      <c r="I62" s="69">
        <f>IF(B62="","",IF(ROUND(SUMIF($B$6:$B$205,B62,$E$6:$E$205),4)=ROUND(IFERROR(INDEX(Viðmið!$E$6:$E$29,MATCH(B62,Viðmið!$C$6:$C$29,0)),-1),4),"✓","✗"))</f>
        <v/>
      </c>
      <c r="J62" s="61" t="n"/>
      <c r="K62" s="61" t="n"/>
      <c r="L62" s="61" t="n"/>
      <c r="M62" s="61" t="n"/>
      <c r="N62" s="61" t="n"/>
      <c r="O62" s="61" t="n"/>
      <c r="P62" s="61" t="n"/>
      <c r="Q62" s="61" t="n"/>
    </row>
    <row r="63" ht="15" customHeight="1" s="47">
      <c r="A63" s="65">
        <f>IF($B63="","",ROW()-5)</f>
        <v/>
      </c>
      <c r="B63" s="60" t="n"/>
      <c r="C63" s="60" t="n"/>
      <c r="D63" s="61" t="n"/>
      <c r="E63" s="59" t="n"/>
      <c r="F63" s="66" t="n"/>
      <c r="G63" s="67">
        <f>IFERROR(IF(B63="","",INDEX(Viðmið!$B$6:$B$29,MATCH(B63,Viðmið!$C$6:$C$29,0))),"")</f>
        <v/>
      </c>
      <c r="H63" s="68">
        <f>IF(OR(E63="",F63=""),"",E63*KVARDI)</f>
        <v/>
      </c>
      <c r="I63" s="69">
        <f>IF(B63="","",IF(ROUND(SUMIF($B$6:$B$205,B63,$E$6:$E$205),4)=ROUND(IFERROR(INDEX(Viðmið!$E$6:$E$29,MATCH(B63,Viðmið!$C$6:$C$29,0)),-1),4),"✓","✗"))</f>
        <v/>
      </c>
      <c r="J63" s="61" t="n"/>
      <c r="K63" s="61" t="n"/>
      <c r="L63" s="61" t="n"/>
      <c r="M63" s="61" t="n"/>
      <c r="N63" s="61" t="n"/>
      <c r="O63" s="61" t="n"/>
      <c r="P63" s="61" t="n"/>
      <c r="Q63" s="61" t="n"/>
    </row>
    <row r="64" ht="15" customHeight="1" s="47">
      <c r="A64" s="65">
        <f>IF($B64="","",ROW()-5)</f>
        <v/>
      </c>
      <c r="B64" s="60" t="n"/>
      <c r="C64" s="60" t="n"/>
      <c r="D64" s="61" t="n"/>
      <c r="E64" s="59" t="n"/>
      <c r="F64" s="66" t="n"/>
      <c r="G64" s="67">
        <f>IFERROR(IF(B64="","",INDEX(Viðmið!$B$6:$B$29,MATCH(B64,Viðmið!$C$6:$C$29,0))),"")</f>
        <v/>
      </c>
      <c r="H64" s="68">
        <f>IF(OR(E64="",F64=""),"",E64*KVARDI)</f>
        <v/>
      </c>
      <c r="I64" s="69">
        <f>IF(B64="","",IF(ROUND(SUMIF($B$6:$B$205,B64,$E$6:$E$205),4)=ROUND(IFERROR(INDEX(Viðmið!$E$6:$E$29,MATCH(B64,Viðmið!$C$6:$C$29,0)),-1),4),"✓","✗"))</f>
        <v/>
      </c>
      <c r="J64" s="61" t="n"/>
      <c r="K64" s="61" t="n"/>
      <c r="L64" s="61" t="n"/>
      <c r="M64" s="61" t="n"/>
      <c r="N64" s="61" t="n"/>
      <c r="O64" s="61" t="n"/>
      <c r="P64" s="61" t="n"/>
      <c r="Q64" s="61" t="n"/>
    </row>
    <row r="65" ht="15" customHeight="1" s="47">
      <c r="A65" s="65">
        <f>IF($B65="","",ROW()-5)</f>
        <v/>
      </c>
      <c r="B65" s="60" t="n"/>
      <c r="C65" s="60" t="n"/>
      <c r="D65" s="61" t="n"/>
      <c r="E65" s="59" t="n"/>
      <c r="F65" s="66" t="n"/>
      <c r="G65" s="67">
        <f>IFERROR(IF(B65="","",INDEX(Viðmið!$B$6:$B$29,MATCH(B65,Viðmið!$C$6:$C$29,0))),"")</f>
        <v/>
      </c>
      <c r="H65" s="68">
        <f>IF(OR(E65="",F65=""),"",E65*KVARDI)</f>
        <v/>
      </c>
      <c r="I65" s="69">
        <f>IF(B65="","",IF(ROUND(SUMIF($B$6:$B$205,B65,$E$6:$E$205),4)=ROUND(IFERROR(INDEX(Viðmið!$E$6:$E$29,MATCH(B65,Viðmið!$C$6:$C$29,0)),-1),4),"✓","✗"))</f>
        <v/>
      </c>
      <c r="J65" s="61" t="n"/>
      <c r="K65" s="61" t="n"/>
      <c r="L65" s="61" t="n"/>
      <c r="M65" s="61" t="n"/>
      <c r="N65" s="61" t="n"/>
      <c r="O65" s="61" t="n"/>
      <c r="P65" s="61" t="n"/>
      <c r="Q65" s="61" t="n"/>
    </row>
    <row r="66" ht="15" customHeight="1" s="47">
      <c r="A66" s="65">
        <f>IF($B66="","",ROW()-5)</f>
        <v/>
      </c>
      <c r="B66" s="60" t="n"/>
      <c r="C66" s="60" t="n"/>
      <c r="D66" s="61" t="n"/>
      <c r="E66" s="59" t="n"/>
      <c r="F66" s="66" t="n"/>
      <c r="G66" s="67">
        <f>IFERROR(IF(B66="","",INDEX(Viðmið!$B$6:$B$29,MATCH(B66,Viðmið!$C$6:$C$29,0))),"")</f>
        <v/>
      </c>
      <c r="H66" s="68">
        <f>IF(OR(E66="",F66=""),"",E66*KVARDI)</f>
        <v/>
      </c>
      <c r="I66" s="69">
        <f>IF(B66="","",IF(ROUND(SUMIF($B$6:$B$205,B66,$E$6:$E$205),4)=ROUND(IFERROR(INDEX(Viðmið!$E$6:$E$29,MATCH(B66,Viðmið!$C$6:$C$29,0)),-1),4),"✓","✗"))</f>
        <v/>
      </c>
      <c r="J66" s="61" t="n"/>
      <c r="K66" s="61" t="n"/>
      <c r="L66" s="61" t="n"/>
      <c r="M66" s="61" t="n"/>
      <c r="N66" s="61" t="n"/>
      <c r="O66" s="61" t="n"/>
      <c r="P66" s="61" t="n"/>
      <c r="Q66" s="61" t="n"/>
    </row>
    <row r="67" ht="15" customHeight="1" s="47">
      <c r="A67" s="65">
        <f>IF($B67="","",ROW()-5)</f>
        <v/>
      </c>
      <c r="B67" s="60" t="n"/>
      <c r="C67" s="60" t="n"/>
      <c r="D67" s="61" t="n"/>
      <c r="E67" s="59" t="n"/>
      <c r="F67" s="66" t="n"/>
      <c r="G67" s="67">
        <f>IFERROR(IF(B67="","",INDEX(Viðmið!$B$6:$B$29,MATCH(B67,Viðmið!$C$6:$C$29,0))),"")</f>
        <v/>
      </c>
      <c r="H67" s="68">
        <f>IF(OR(E67="",F67=""),"",E67*KVARDI)</f>
        <v/>
      </c>
      <c r="I67" s="69">
        <f>IF(B67="","",IF(ROUND(SUMIF($B$6:$B$205,B67,$E$6:$E$205),4)=ROUND(IFERROR(INDEX(Viðmið!$E$6:$E$29,MATCH(B67,Viðmið!$C$6:$C$29,0)),-1),4),"✓","✗"))</f>
        <v/>
      </c>
      <c r="J67" s="61" t="n"/>
      <c r="K67" s="61" t="n"/>
      <c r="L67" s="61" t="n"/>
      <c r="M67" s="61" t="n"/>
      <c r="N67" s="61" t="n"/>
      <c r="O67" s="61" t="n"/>
      <c r="P67" s="61" t="n"/>
      <c r="Q67" s="61" t="n"/>
    </row>
    <row r="68" ht="15" customHeight="1" s="47">
      <c r="A68" s="65">
        <f>IF($B68="","",ROW()-5)</f>
        <v/>
      </c>
      <c r="B68" s="60" t="n"/>
      <c r="C68" s="60" t="n"/>
      <c r="D68" s="61" t="n"/>
      <c r="E68" s="59" t="n"/>
      <c r="F68" s="66" t="n"/>
      <c r="G68" s="67">
        <f>IFERROR(IF(B68="","",INDEX(Viðmið!$B$6:$B$29,MATCH(B68,Viðmið!$C$6:$C$29,0))),"")</f>
        <v/>
      </c>
      <c r="H68" s="68">
        <f>IF(OR(E68="",F68=""),"",E68*KVARDI)</f>
        <v/>
      </c>
      <c r="I68" s="69">
        <f>IF(B68="","",IF(ROUND(SUMIF($B$6:$B$205,B68,$E$6:$E$205),4)=ROUND(IFERROR(INDEX(Viðmið!$E$6:$E$29,MATCH(B68,Viðmið!$C$6:$C$29,0)),-1),4),"✓","✗"))</f>
        <v/>
      </c>
      <c r="J68" s="61" t="n"/>
      <c r="K68" s="61" t="n"/>
      <c r="L68" s="61" t="n"/>
      <c r="M68" s="61" t="n"/>
      <c r="N68" s="61" t="n"/>
      <c r="O68" s="61" t="n"/>
      <c r="P68" s="61" t="n"/>
      <c r="Q68" s="61" t="n"/>
    </row>
    <row r="69" ht="15" customHeight="1" s="47">
      <c r="A69" s="65">
        <f>IF($B69="","",ROW()-5)</f>
        <v/>
      </c>
      <c r="B69" s="60" t="n"/>
      <c r="C69" s="60" t="n"/>
      <c r="D69" s="61" t="n"/>
      <c r="E69" s="59" t="n"/>
      <c r="F69" s="66" t="n"/>
      <c r="G69" s="67">
        <f>IFERROR(IF(B69="","",INDEX(Viðmið!$B$6:$B$29,MATCH(B69,Viðmið!$C$6:$C$29,0))),"")</f>
        <v/>
      </c>
      <c r="H69" s="68">
        <f>IF(OR(E69="",F69=""),"",E69*KVARDI)</f>
        <v/>
      </c>
      <c r="I69" s="69">
        <f>IF(B69="","",IF(ROUND(SUMIF($B$6:$B$205,B69,$E$6:$E$205),4)=ROUND(IFERROR(INDEX(Viðmið!$E$6:$E$29,MATCH(B69,Viðmið!$C$6:$C$29,0)),-1),4),"✓","✗"))</f>
        <v/>
      </c>
      <c r="J69" s="61" t="n"/>
      <c r="K69" s="61" t="n"/>
      <c r="L69" s="61" t="n"/>
      <c r="M69" s="61" t="n"/>
      <c r="N69" s="61" t="n"/>
      <c r="O69" s="61" t="n"/>
      <c r="P69" s="61" t="n"/>
      <c r="Q69" s="61" t="n"/>
    </row>
    <row r="70" ht="15" customHeight="1" s="47">
      <c r="A70" s="65">
        <f>IF($B70="","",ROW()-5)</f>
        <v/>
      </c>
      <c r="B70" s="60" t="n"/>
      <c r="C70" s="60" t="n"/>
      <c r="D70" s="61" t="n"/>
      <c r="E70" s="59" t="n"/>
      <c r="F70" s="66" t="n"/>
      <c r="G70" s="67">
        <f>IFERROR(IF(B70="","",INDEX(Viðmið!$B$6:$B$29,MATCH(B70,Viðmið!$C$6:$C$29,0))),"")</f>
        <v/>
      </c>
      <c r="H70" s="68">
        <f>IF(OR(E70="",F70=""),"",E70*KVARDI)</f>
        <v/>
      </c>
      <c r="I70" s="69">
        <f>IF(B70="","",IF(ROUND(SUMIF($B$6:$B$205,B70,$E$6:$E$205),4)=ROUND(IFERROR(INDEX(Viðmið!$E$6:$E$29,MATCH(B70,Viðmið!$C$6:$C$29,0)),-1),4),"✓","✗"))</f>
        <v/>
      </c>
      <c r="J70" s="61" t="n"/>
      <c r="K70" s="61" t="n"/>
      <c r="L70" s="61" t="n"/>
      <c r="M70" s="61" t="n"/>
      <c r="N70" s="61" t="n"/>
      <c r="O70" s="61" t="n"/>
      <c r="P70" s="61" t="n"/>
      <c r="Q70" s="61" t="n"/>
    </row>
    <row r="71" ht="15" customHeight="1" s="47">
      <c r="A71" s="65">
        <f>IF($B71="","",ROW()-5)</f>
        <v/>
      </c>
      <c r="B71" s="60" t="n"/>
      <c r="C71" s="60" t="n"/>
      <c r="D71" s="61" t="n"/>
      <c r="E71" s="59" t="n"/>
      <c r="F71" s="66" t="n"/>
      <c r="G71" s="67">
        <f>IFERROR(IF(B71="","",INDEX(Viðmið!$B$6:$B$29,MATCH(B71,Viðmið!$C$6:$C$29,0))),"")</f>
        <v/>
      </c>
      <c r="H71" s="68">
        <f>IF(OR(E71="",F71=""),"",E71*KVARDI)</f>
        <v/>
      </c>
      <c r="I71" s="69">
        <f>IF(B71="","",IF(ROUND(SUMIF($B$6:$B$205,B71,$E$6:$E$205),4)=ROUND(IFERROR(INDEX(Viðmið!$E$6:$E$29,MATCH(B71,Viðmið!$C$6:$C$29,0)),-1),4),"✓","✗"))</f>
        <v/>
      </c>
      <c r="J71" s="61" t="n"/>
      <c r="K71" s="61" t="n"/>
      <c r="L71" s="61" t="n"/>
      <c r="M71" s="61" t="n"/>
      <c r="N71" s="61" t="n"/>
      <c r="O71" s="61" t="n"/>
      <c r="P71" s="61" t="n"/>
      <c r="Q71" s="61" t="n"/>
    </row>
    <row r="72" ht="15" customHeight="1" s="47">
      <c r="A72" s="65">
        <f>IF($B72="","",ROW()-5)</f>
        <v/>
      </c>
      <c r="B72" s="60" t="n"/>
      <c r="C72" s="60" t="n"/>
      <c r="D72" s="61" t="n"/>
      <c r="E72" s="59" t="n"/>
      <c r="F72" s="66" t="n"/>
      <c r="G72" s="67">
        <f>IFERROR(IF(B72="","",INDEX(Viðmið!$B$6:$B$29,MATCH(B72,Viðmið!$C$6:$C$29,0))),"")</f>
        <v/>
      </c>
      <c r="H72" s="68">
        <f>IF(OR(E72="",F72=""),"",E72*KVARDI)</f>
        <v/>
      </c>
      <c r="I72" s="69">
        <f>IF(B72="","",IF(ROUND(SUMIF($B$6:$B$205,B72,$E$6:$E$205),4)=ROUND(IFERROR(INDEX(Viðmið!$E$6:$E$29,MATCH(B72,Viðmið!$C$6:$C$29,0)),-1),4),"✓","✗"))</f>
        <v/>
      </c>
      <c r="J72" s="61" t="n"/>
      <c r="K72" s="61" t="n"/>
      <c r="L72" s="61" t="n"/>
      <c r="M72" s="61" t="n"/>
      <c r="N72" s="61" t="n"/>
      <c r="O72" s="61" t="n"/>
      <c r="P72" s="61" t="n"/>
      <c r="Q72" s="61" t="n"/>
    </row>
    <row r="73" ht="15" customHeight="1" s="47">
      <c r="A73" s="65">
        <f>IF($B73="","",ROW()-5)</f>
        <v/>
      </c>
      <c r="B73" s="60" t="n"/>
      <c r="C73" s="60" t="n"/>
      <c r="D73" s="61" t="n"/>
      <c r="E73" s="59" t="n"/>
      <c r="F73" s="66" t="n"/>
      <c r="G73" s="67">
        <f>IFERROR(IF(B73="","",INDEX(Viðmið!$B$6:$B$29,MATCH(B73,Viðmið!$C$6:$C$29,0))),"")</f>
        <v/>
      </c>
      <c r="H73" s="68">
        <f>IF(OR(E73="",F73=""),"",E73*KVARDI)</f>
        <v/>
      </c>
      <c r="I73" s="69">
        <f>IF(B73="","",IF(ROUND(SUMIF($B$6:$B$205,B73,$E$6:$E$205),4)=ROUND(IFERROR(INDEX(Viðmið!$E$6:$E$29,MATCH(B73,Viðmið!$C$6:$C$29,0)),-1),4),"✓","✗"))</f>
        <v/>
      </c>
      <c r="J73" s="61" t="n"/>
      <c r="K73" s="61" t="n"/>
      <c r="L73" s="61" t="n"/>
      <c r="M73" s="61" t="n"/>
      <c r="N73" s="61" t="n"/>
      <c r="O73" s="61" t="n"/>
      <c r="P73" s="61" t="n"/>
      <c r="Q73" s="61" t="n"/>
    </row>
    <row r="74" ht="15" customHeight="1" s="47">
      <c r="A74" s="65">
        <f>IF($B74="","",ROW()-5)</f>
        <v/>
      </c>
      <c r="B74" s="60" t="n"/>
      <c r="C74" s="60" t="n"/>
      <c r="D74" s="61" t="n"/>
      <c r="E74" s="59" t="n"/>
      <c r="F74" s="66" t="n"/>
      <c r="G74" s="67">
        <f>IFERROR(IF(B74="","",INDEX(Viðmið!$B$6:$B$29,MATCH(B74,Viðmið!$C$6:$C$29,0))),"")</f>
        <v/>
      </c>
      <c r="H74" s="68">
        <f>IF(OR(E74="",F74=""),"",E74*KVARDI)</f>
        <v/>
      </c>
      <c r="I74" s="69">
        <f>IF(B74="","",IF(ROUND(SUMIF($B$6:$B$205,B74,$E$6:$E$205),4)=ROUND(IFERROR(INDEX(Viðmið!$E$6:$E$29,MATCH(B74,Viðmið!$C$6:$C$29,0)),-1),4),"✓","✗"))</f>
        <v/>
      </c>
      <c r="J74" s="61" t="n"/>
      <c r="K74" s="61" t="n"/>
      <c r="L74" s="61" t="n"/>
      <c r="M74" s="61" t="n"/>
      <c r="N74" s="61" t="n"/>
      <c r="O74" s="61" t="n"/>
      <c r="P74" s="61" t="n"/>
      <c r="Q74" s="61" t="n"/>
    </row>
    <row r="75" ht="15" customHeight="1" s="47">
      <c r="A75" s="65">
        <f>IF($B75="","",ROW()-5)</f>
        <v/>
      </c>
      <c r="B75" s="60" t="n"/>
      <c r="C75" s="60" t="n"/>
      <c r="D75" s="61" t="n"/>
      <c r="E75" s="59" t="n"/>
      <c r="F75" s="66" t="n"/>
      <c r="G75" s="67">
        <f>IFERROR(IF(B75="","",INDEX(Viðmið!$B$6:$B$29,MATCH(B75,Viðmið!$C$6:$C$29,0))),"")</f>
        <v/>
      </c>
      <c r="H75" s="68">
        <f>IF(OR(E75="",F75=""),"",E75*KVARDI)</f>
        <v/>
      </c>
      <c r="I75" s="69">
        <f>IF(B75="","",IF(ROUND(SUMIF($B$6:$B$205,B75,$E$6:$E$205),4)=ROUND(IFERROR(INDEX(Viðmið!$E$6:$E$29,MATCH(B75,Viðmið!$C$6:$C$29,0)),-1),4),"✓","✗"))</f>
        <v/>
      </c>
      <c r="J75" s="61" t="n"/>
      <c r="K75" s="61" t="n"/>
      <c r="L75" s="61" t="n"/>
      <c r="M75" s="61" t="n"/>
      <c r="N75" s="61" t="n"/>
      <c r="O75" s="61" t="n"/>
      <c r="P75" s="61" t="n"/>
      <c r="Q75" s="61" t="n"/>
    </row>
    <row r="76" ht="15" customHeight="1" s="47">
      <c r="A76" s="65">
        <f>IF($B76="","",ROW()-5)</f>
        <v/>
      </c>
      <c r="B76" s="60" t="n"/>
      <c r="C76" s="60" t="n"/>
      <c r="D76" s="61" t="n"/>
      <c r="E76" s="59" t="n"/>
      <c r="F76" s="66" t="n"/>
      <c r="G76" s="67">
        <f>IFERROR(IF(B76="","",INDEX(Viðmið!$B$6:$B$29,MATCH(B76,Viðmið!$C$6:$C$29,0))),"")</f>
        <v/>
      </c>
      <c r="H76" s="68">
        <f>IF(OR(E76="",F76=""),"",E76*KVARDI)</f>
        <v/>
      </c>
      <c r="I76" s="69">
        <f>IF(B76="","",IF(ROUND(SUMIF($B$6:$B$205,B76,$E$6:$E$205),4)=ROUND(IFERROR(INDEX(Viðmið!$E$6:$E$29,MATCH(B76,Viðmið!$C$6:$C$29,0)),-1),4),"✓","✗"))</f>
        <v/>
      </c>
      <c r="J76" s="61" t="n"/>
      <c r="K76" s="61" t="n"/>
      <c r="L76" s="61" t="n"/>
      <c r="M76" s="61" t="n"/>
      <c r="N76" s="61" t="n"/>
      <c r="O76" s="61" t="n"/>
      <c r="P76" s="61" t="n"/>
      <c r="Q76" s="61" t="n"/>
    </row>
    <row r="77" ht="15" customHeight="1" s="47">
      <c r="A77" s="65">
        <f>IF($B77="","",ROW()-5)</f>
        <v/>
      </c>
      <c r="B77" s="60" t="n"/>
      <c r="C77" s="60" t="n"/>
      <c r="D77" s="61" t="n"/>
      <c r="E77" s="59" t="n"/>
      <c r="F77" s="66" t="n"/>
      <c r="G77" s="67">
        <f>IFERROR(IF(B77="","",INDEX(Viðmið!$B$6:$B$29,MATCH(B77,Viðmið!$C$6:$C$29,0))),"")</f>
        <v/>
      </c>
      <c r="H77" s="68">
        <f>IF(OR(E77="",F77=""),"",E77*KVARDI)</f>
        <v/>
      </c>
      <c r="I77" s="69">
        <f>IF(B77="","",IF(ROUND(SUMIF($B$6:$B$205,B77,$E$6:$E$205),4)=ROUND(IFERROR(INDEX(Viðmið!$E$6:$E$29,MATCH(B77,Viðmið!$C$6:$C$29,0)),-1),4),"✓","✗"))</f>
        <v/>
      </c>
      <c r="J77" s="61" t="n"/>
      <c r="K77" s="61" t="n"/>
      <c r="L77" s="61" t="n"/>
      <c r="M77" s="61" t="n"/>
      <c r="N77" s="61" t="n"/>
      <c r="O77" s="61" t="n"/>
      <c r="P77" s="61" t="n"/>
      <c r="Q77" s="61" t="n"/>
    </row>
    <row r="78" ht="15" customHeight="1" s="47">
      <c r="A78" s="65">
        <f>IF($B78="","",ROW()-5)</f>
        <v/>
      </c>
      <c r="B78" s="60" t="n"/>
      <c r="C78" s="60" t="n"/>
      <c r="D78" s="61" t="n"/>
      <c r="E78" s="59" t="n"/>
      <c r="F78" s="66" t="n"/>
      <c r="G78" s="67">
        <f>IFERROR(IF(B78="","",INDEX(Viðmið!$B$6:$B$29,MATCH(B78,Viðmið!$C$6:$C$29,0))),"")</f>
        <v/>
      </c>
      <c r="H78" s="68">
        <f>IF(OR(E78="",F78=""),"",E78*KVARDI)</f>
        <v/>
      </c>
      <c r="I78" s="69">
        <f>IF(B78="","",IF(ROUND(SUMIF($B$6:$B$205,B78,$E$6:$E$205),4)=ROUND(IFERROR(INDEX(Viðmið!$E$6:$E$29,MATCH(B78,Viðmið!$C$6:$C$29,0)),-1),4),"✓","✗"))</f>
        <v/>
      </c>
      <c r="J78" s="61" t="n"/>
      <c r="K78" s="61" t="n"/>
      <c r="L78" s="61" t="n"/>
      <c r="M78" s="61" t="n"/>
      <c r="N78" s="61" t="n"/>
      <c r="O78" s="61" t="n"/>
      <c r="P78" s="61" t="n"/>
      <c r="Q78" s="61" t="n"/>
    </row>
    <row r="79" ht="15" customHeight="1" s="47">
      <c r="A79" s="65">
        <f>IF($B79="","",ROW()-5)</f>
        <v/>
      </c>
      <c r="B79" s="60" t="n"/>
      <c r="C79" s="60" t="n"/>
      <c r="D79" s="61" t="n"/>
      <c r="E79" s="59" t="n"/>
      <c r="F79" s="66" t="n"/>
      <c r="G79" s="67">
        <f>IFERROR(IF(B79="","",INDEX(Viðmið!$B$6:$B$29,MATCH(B79,Viðmið!$C$6:$C$29,0))),"")</f>
        <v/>
      </c>
      <c r="H79" s="68">
        <f>IF(OR(E79="",F79=""),"",E79*KVARDI)</f>
        <v/>
      </c>
      <c r="I79" s="69">
        <f>IF(B79="","",IF(ROUND(SUMIF($B$6:$B$205,B79,$E$6:$E$205),4)=ROUND(IFERROR(INDEX(Viðmið!$E$6:$E$29,MATCH(B79,Viðmið!$C$6:$C$29,0)),-1),4),"✓","✗"))</f>
        <v/>
      </c>
      <c r="J79" s="61" t="n"/>
      <c r="K79" s="61" t="n"/>
      <c r="L79" s="61" t="n"/>
      <c r="M79" s="61" t="n"/>
      <c r="N79" s="61" t="n"/>
      <c r="O79" s="61" t="n"/>
      <c r="P79" s="61" t="n"/>
      <c r="Q79" s="61" t="n"/>
    </row>
    <row r="80" ht="15" customHeight="1" s="47">
      <c r="A80" s="65">
        <f>IF($B80="","",ROW()-5)</f>
        <v/>
      </c>
      <c r="B80" s="60" t="n"/>
      <c r="C80" s="60" t="n"/>
      <c r="D80" s="61" t="n"/>
      <c r="E80" s="59" t="n"/>
      <c r="F80" s="66" t="n"/>
      <c r="G80" s="67">
        <f>IFERROR(IF(B80="","",INDEX(Viðmið!$B$6:$B$29,MATCH(B80,Viðmið!$C$6:$C$29,0))),"")</f>
        <v/>
      </c>
      <c r="H80" s="68">
        <f>IF(OR(E80="",F80=""),"",E80*KVARDI)</f>
        <v/>
      </c>
      <c r="I80" s="69">
        <f>IF(B80="","",IF(ROUND(SUMIF($B$6:$B$205,B80,$E$6:$E$205),4)=ROUND(IFERROR(INDEX(Viðmið!$E$6:$E$29,MATCH(B80,Viðmið!$C$6:$C$29,0)),-1),4),"✓","✗"))</f>
        <v/>
      </c>
      <c r="J80" s="61" t="n"/>
      <c r="K80" s="61" t="n"/>
      <c r="L80" s="61" t="n"/>
      <c r="M80" s="61" t="n"/>
      <c r="N80" s="61" t="n"/>
      <c r="O80" s="61" t="n"/>
      <c r="P80" s="61" t="n"/>
      <c r="Q80" s="61" t="n"/>
    </row>
    <row r="81" ht="15" customHeight="1" s="47">
      <c r="A81" s="65">
        <f>IF($B81="","",ROW()-5)</f>
        <v/>
      </c>
      <c r="B81" s="60" t="n"/>
      <c r="C81" s="60" t="n"/>
      <c r="D81" s="61" t="n"/>
      <c r="E81" s="59" t="n"/>
      <c r="F81" s="66" t="n"/>
      <c r="G81" s="67">
        <f>IFERROR(IF(B81="","",INDEX(Viðmið!$B$6:$B$29,MATCH(B81,Viðmið!$C$6:$C$29,0))),"")</f>
        <v/>
      </c>
      <c r="H81" s="68">
        <f>IF(OR(E81="",F81=""),"",E81*KVARDI)</f>
        <v/>
      </c>
      <c r="I81" s="69">
        <f>IF(B81="","",IF(ROUND(SUMIF($B$6:$B$205,B81,$E$6:$E$205),4)=ROUND(IFERROR(INDEX(Viðmið!$E$6:$E$29,MATCH(B81,Viðmið!$C$6:$C$29,0)),-1),4),"✓","✗"))</f>
        <v/>
      </c>
      <c r="J81" s="61" t="n"/>
      <c r="K81" s="61" t="n"/>
      <c r="L81" s="61" t="n"/>
      <c r="M81" s="61" t="n"/>
      <c r="N81" s="61" t="n"/>
      <c r="O81" s="61" t="n"/>
      <c r="P81" s="61" t="n"/>
      <c r="Q81" s="61" t="n"/>
    </row>
    <row r="82" ht="15" customHeight="1" s="47">
      <c r="A82" s="65">
        <f>IF($B82="","",ROW()-5)</f>
        <v/>
      </c>
      <c r="B82" s="60" t="n"/>
      <c r="C82" s="60" t="n"/>
      <c r="D82" s="61" t="n"/>
      <c r="E82" s="59" t="n"/>
      <c r="F82" s="66" t="n"/>
      <c r="G82" s="67">
        <f>IFERROR(IF(B82="","",INDEX(Viðmið!$B$6:$B$29,MATCH(B82,Viðmið!$C$6:$C$29,0))),"")</f>
        <v/>
      </c>
      <c r="H82" s="68">
        <f>IF(OR(E82="",F82=""),"",E82*KVARDI)</f>
        <v/>
      </c>
      <c r="I82" s="69">
        <f>IF(B82="","",IF(ROUND(SUMIF($B$6:$B$205,B82,$E$6:$E$205),4)=ROUND(IFERROR(INDEX(Viðmið!$E$6:$E$29,MATCH(B82,Viðmið!$C$6:$C$29,0)),-1),4),"✓","✗"))</f>
        <v/>
      </c>
      <c r="J82" s="61" t="n"/>
      <c r="K82" s="61" t="n"/>
      <c r="L82" s="61" t="n"/>
      <c r="M82" s="61" t="n"/>
      <c r="N82" s="61" t="n"/>
      <c r="O82" s="61" t="n"/>
      <c r="P82" s="61" t="n"/>
      <c r="Q82" s="61" t="n"/>
    </row>
    <row r="83" ht="15" customHeight="1" s="47">
      <c r="A83" s="65">
        <f>IF($B83="","",ROW()-5)</f>
        <v/>
      </c>
      <c r="B83" s="60" t="n"/>
      <c r="C83" s="60" t="n"/>
      <c r="D83" s="61" t="n"/>
      <c r="E83" s="59" t="n"/>
      <c r="F83" s="66" t="n"/>
      <c r="G83" s="67">
        <f>IFERROR(IF(B83="","",INDEX(Viðmið!$B$6:$B$29,MATCH(B83,Viðmið!$C$6:$C$29,0))),"")</f>
        <v/>
      </c>
      <c r="H83" s="68">
        <f>IF(OR(E83="",F83=""),"",E83*KVARDI)</f>
        <v/>
      </c>
      <c r="I83" s="69">
        <f>IF(B83="","",IF(ROUND(SUMIF($B$6:$B$205,B83,$E$6:$E$205),4)=ROUND(IFERROR(INDEX(Viðmið!$E$6:$E$29,MATCH(B83,Viðmið!$C$6:$C$29,0)),-1),4),"✓","✗"))</f>
        <v/>
      </c>
      <c r="J83" s="61" t="n"/>
      <c r="K83" s="61" t="n"/>
      <c r="L83" s="61" t="n"/>
      <c r="M83" s="61" t="n"/>
      <c r="N83" s="61" t="n"/>
      <c r="O83" s="61" t="n"/>
      <c r="P83" s="61" t="n"/>
      <c r="Q83" s="61" t="n"/>
    </row>
    <row r="84" ht="15" customHeight="1" s="47">
      <c r="A84" s="65">
        <f>IF($B84="","",ROW()-5)</f>
        <v/>
      </c>
      <c r="B84" s="60" t="n"/>
      <c r="C84" s="60" t="n"/>
      <c r="D84" s="61" t="n"/>
      <c r="E84" s="59" t="n"/>
      <c r="F84" s="66" t="n"/>
      <c r="G84" s="67">
        <f>IFERROR(IF(B84="","",INDEX(Viðmið!$B$6:$B$29,MATCH(B84,Viðmið!$C$6:$C$29,0))),"")</f>
        <v/>
      </c>
      <c r="H84" s="68">
        <f>IF(OR(E84="",F84=""),"",E84*KVARDI)</f>
        <v/>
      </c>
      <c r="I84" s="69">
        <f>IF(B84="","",IF(ROUND(SUMIF($B$6:$B$205,B84,$E$6:$E$205),4)=ROUND(IFERROR(INDEX(Viðmið!$E$6:$E$29,MATCH(B84,Viðmið!$C$6:$C$29,0)),-1),4),"✓","✗"))</f>
        <v/>
      </c>
      <c r="J84" s="61" t="n"/>
      <c r="K84" s="61" t="n"/>
      <c r="L84" s="61" t="n"/>
      <c r="M84" s="61" t="n"/>
      <c r="N84" s="61" t="n"/>
      <c r="O84" s="61" t="n"/>
      <c r="P84" s="61" t="n"/>
      <c r="Q84" s="61" t="n"/>
    </row>
    <row r="85" ht="15" customHeight="1" s="47">
      <c r="A85" s="65">
        <f>IF($B85="","",ROW()-5)</f>
        <v/>
      </c>
      <c r="B85" s="60" t="n"/>
      <c r="C85" s="60" t="n"/>
      <c r="D85" s="61" t="n"/>
      <c r="E85" s="59" t="n"/>
      <c r="F85" s="66" t="n"/>
      <c r="G85" s="67">
        <f>IFERROR(IF(B85="","",INDEX(Viðmið!$B$6:$B$29,MATCH(B85,Viðmið!$C$6:$C$29,0))),"")</f>
        <v/>
      </c>
      <c r="H85" s="68">
        <f>IF(OR(E85="",F85=""),"",E85*KVARDI)</f>
        <v/>
      </c>
      <c r="I85" s="69">
        <f>IF(B85="","",IF(ROUND(SUMIF($B$6:$B$205,B85,$E$6:$E$205),4)=ROUND(IFERROR(INDEX(Viðmið!$E$6:$E$29,MATCH(B85,Viðmið!$C$6:$C$29,0)),-1),4),"✓","✗"))</f>
        <v/>
      </c>
      <c r="J85" s="61" t="n"/>
      <c r="K85" s="61" t="n"/>
      <c r="L85" s="61" t="n"/>
      <c r="M85" s="61" t="n"/>
      <c r="N85" s="61" t="n"/>
      <c r="O85" s="61" t="n"/>
      <c r="P85" s="61" t="n"/>
      <c r="Q85" s="61" t="n"/>
    </row>
    <row r="86" ht="15" customHeight="1" s="47">
      <c r="A86" s="65">
        <f>IF($B86="","",ROW()-5)</f>
        <v/>
      </c>
      <c r="B86" s="60" t="n"/>
      <c r="C86" s="60" t="n"/>
      <c r="D86" s="61" t="n"/>
      <c r="E86" s="59" t="n"/>
      <c r="F86" s="66" t="n"/>
      <c r="G86" s="67">
        <f>IFERROR(IF(B86="","",INDEX(Viðmið!$B$6:$B$29,MATCH(B86,Viðmið!$C$6:$C$29,0))),"")</f>
        <v/>
      </c>
      <c r="H86" s="68">
        <f>IF(OR(E86="",F86=""),"",E86*KVARDI)</f>
        <v/>
      </c>
      <c r="I86" s="69">
        <f>IF(B86="","",IF(ROUND(SUMIF($B$6:$B$205,B86,$E$6:$E$205),4)=ROUND(IFERROR(INDEX(Viðmið!$E$6:$E$29,MATCH(B86,Viðmið!$C$6:$C$29,0)),-1),4),"✓","✗"))</f>
        <v/>
      </c>
      <c r="J86" s="61" t="n"/>
      <c r="K86" s="61" t="n"/>
      <c r="L86" s="61" t="n"/>
      <c r="M86" s="61" t="n"/>
      <c r="N86" s="61" t="n"/>
      <c r="O86" s="61" t="n"/>
      <c r="P86" s="61" t="n"/>
      <c r="Q86" s="61" t="n"/>
    </row>
    <row r="87" ht="15" customHeight="1" s="47">
      <c r="A87" s="65">
        <f>IF($B87="","",ROW()-5)</f>
        <v/>
      </c>
      <c r="B87" s="60" t="n"/>
      <c r="C87" s="60" t="n"/>
      <c r="D87" s="61" t="n"/>
      <c r="E87" s="59" t="n"/>
      <c r="F87" s="66" t="n"/>
      <c r="G87" s="67">
        <f>IFERROR(IF(B87="","",INDEX(Viðmið!$B$6:$B$29,MATCH(B87,Viðmið!$C$6:$C$29,0))),"")</f>
        <v/>
      </c>
      <c r="H87" s="68">
        <f>IF(OR(E87="",F87=""),"",E87*KVARDI)</f>
        <v/>
      </c>
      <c r="I87" s="69">
        <f>IF(B87="","",IF(ROUND(SUMIF($B$6:$B$205,B87,$E$6:$E$205),4)=ROUND(IFERROR(INDEX(Viðmið!$E$6:$E$29,MATCH(B87,Viðmið!$C$6:$C$29,0)),-1),4),"✓","✗"))</f>
        <v/>
      </c>
      <c r="J87" s="61" t="n"/>
      <c r="K87" s="61" t="n"/>
      <c r="L87" s="61" t="n"/>
      <c r="M87" s="61" t="n"/>
      <c r="N87" s="61" t="n"/>
      <c r="O87" s="61" t="n"/>
      <c r="P87" s="61" t="n"/>
      <c r="Q87" s="61" t="n"/>
    </row>
    <row r="88" ht="15" customHeight="1" s="47">
      <c r="A88" s="65">
        <f>IF($B88="","",ROW()-5)</f>
        <v/>
      </c>
      <c r="B88" s="60" t="n"/>
      <c r="C88" s="60" t="n"/>
      <c r="D88" s="61" t="n"/>
      <c r="E88" s="59" t="n"/>
      <c r="F88" s="66" t="n"/>
      <c r="G88" s="67">
        <f>IFERROR(IF(B88="","",INDEX(Viðmið!$B$6:$B$29,MATCH(B88,Viðmið!$C$6:$C$29,0))),"")</f>
        <v/>
      </c>
      <c r="H88" s="68">
        <f>IF(OR(E88="",F88=""),"",E88*KVARDI)</f>
        <v/>
      </c>
      <c r="I88" s="69">
        <f>IF(B88="","",IF(ROUND(SUMIF($B$6:$B$205,B88,$E$6:$E$205),4)=ROUND(IFERROR(INDEX(Viðmið!$E$6:$E$29,MATCH(B88,Viðmið!$C$6:$C$29,0)),-1),4),"✓","✗"))</f>
        <v/>
      </c>
      <c r="J88" s="61" t="n"/>
      <c r="K88" s="61" t="n"/>
      <c r="L88" s="61" t="n"/>
      <c r="M88" s="61" t="n"/>
      <c r="N88" s="61" t="n"/>
      <c r="O88" s="61" t="n"/>
      <c r="P88" s="61" t="n"/>
      <c r="Q88" s="61" t="n"/>
    </row>
    <row r="89" ht="15" customHeight="1" s="47">
      <c r="A89" s="65">
        <f>IF($B89="","",ROW()-5)</f>
        <v/>
      </c>
      <c r="B89" s="60" t="n"/>
      <c r="C89" s="60" t="n"/>
      <c r="D89" s="61" t="n"/>
      <c r="E89" s="59" t="n"/>
      <c r="F89" s="66" t="n"/>
      <c r="G89" s="67">
        <f>IFERROR(IF(B89="","",INDEX(Viðmið!$B$6:$B$29,MATCH(B89,Viðmið!$C$6:$C$29,0))),"")</f>
        <v/>
      </c>
      <c r="H89" s="68">
        <f>IF(OR(E89="",F89=""),"",E89*KVARDI)</f>
        <v/>
      </c>
      <c r="I89" s="69">
        <f>IF(B89="","",IF(ROUND(SUMIF($B$6:$B$205,B89,$E$6:$E$205),4)=ROUND(IFERROR(INDEX(Viðmið!$E$6:$E$29,MATCH(B89,Viðmið!$C$6:$C$29,0)),-1),4),"✓","✗"))</f>
        <v/>
      </c>
      <c r="J89" s="61" t="n"/>
      <c r="K89" s="61" t="n"/>
      <c r="L89" s="61" t="n"/>
      <c r="M89" s="61" t="n"/>
      <c r="N89" s="61" t="n"/>
      <c r="O89" s="61" t="n"/>
      <c r="P89" s="61" t="n"/>
      <c r="Q89" s="61" t="n"/>
    </row>
    <row r="90" ht="15" customHeight="1" s="47">
      <c r="A90" s="65">
        <f>IF($B90="","",ROW()-5)</f>
        <v/>
      </c>
      <c r="B90" s="60" t="n"/>
      <c r="C90" s="60" t="n"/>
      <c r="D90" s="61" t="n"/>
      <c r="E90" s="59" t="n"/>
      <c r="F90" s="66" t="n"/>
      <c r="G90" s="67">
        <f>IFERROR(IF(B90="","",INDEX(Viðmið!$B$6:$B$29,MATCH(B90,Viðmið!$C$6:$C$29,0))),"")</f>
        <v/>
      </c>
      <c r="H90" s="68">
        <f>IF(OR(E90="",F90=""),"",E90*KVARDI)</f>
        <v/>
      </c>
      <c r="I90" s="69">
        <f>IF(B90="","",IF(ROUND(SUMIF($B$6:$B$205,B90,$E$6:$E$205),4)=ROUND(IFERROR(INDEX(Viðmið!$E$6:$E$29,MATCH(B90,Viðmið!$C$6:$C$29,0)),-1),4),"✓","✗"))</f>
        <v/>
      </c>
      <c r="J90" s="61" t="n"/>
      <c r="K90" s="61" t="n"/>
      <c r="L90" s="61" t="n"/>
      <c r="M90" s="61" t="n"/>
      <c r="N90" s="61" t="n"/>
      <c r="O90" s="61" t="n"/>
      <c r="P90" s="61" t="n"/>
      <c r="Q90" s="61" t="n"/>
    </row>
    <row r="91" ht="15" customHeight="1" s="47">
      <c r="A91" s="65">
        <f>IF($B91="","",ROW()-5)</f>
        <v/>
      </c>
      <c r="B91" s="60" t="n"/>
      <c r="C91" s="60" t="n"/>
      <c r="D91" s="61" t="n"/>
      <c r="E91" s="59" t="n"/>
      <c r="F91" s="66" t="n"/>
      <c r="G91" s="67">
        <f>IFERROR(IF(B91="","",INDEX(Viðmið!$B$6:$B$29,MATCH(B91,Viðmið!$C$6:$C$29,0))),"")</f>
        <v/>
      </c>
      <c r="H91" s="68">
        <f>IF(OR(E91="",F91=""),"",E91*KVARDI)</f>
        <v/>
      </c>
      <c r="I91" s="69">
        <f>IF(B91="","",IF(ROUND(SUMIF($B$6:$B$205,B91,$E$6:$E$205),4)=ROUND(IFERROR(INDEX(Viðmið!$E$6:$E$29,MATCH(B91,Viðmið!$C$6:$C$29,0)),-1),4),"✓","✗"))</f>
        <v/>
      </c>
      <c r="J91" s="61" t="n"/>
      <c r="K91" s="61" t="n"/>
      <c r="L91" s="61" t="n"/>
      <c r="M91" s="61" t="n"/>
      <c r="N91" s="61" t="n"/>
      <c r="O91" s="61" t="n"/>
      <c r="P91" s="61" t="n"/>
      <c r="Q91" s="61" t="n"/>
    </row>
    <row r="92" ht="15" customHeight="1" s="47">
      <c r="A92" s="65">
        <f>IF($B92="","",ROW()-5)</f>
        <v/>
      </c>
      <c r="B92" s="60" t="n"/>
      <c r="C92" s="60" t="n"/>
      <c r="D92" s="61" t="n"/>
      <c r="E92" s="59" t="n"/>
      <c r="F92" s="66" t="n"/>
      <c r="G92" s="67">
        <f>IFERROR(IF(B92="","",INDEX(Viðmið!$B$6:$B$29,MATCH(B92,Viðmið!$C$6:$C$29,0))),"")</f>
        <v/>
      </c>
      <c r="H92" s="68">
        <f>IF(OR(E92="",F92=""),"",E92*KVARDI)</f>
        <v/>
      </c>
      <c r="I92" s="69">
        <f>IF(B92="","",IF(ROUND(SUMIF($B$6:$B$205,B92,$E$6:$E$205),4)=ROUND(IFERROR(INDEX(Viðmið!$E$6:$E$29,MATCH(B92,Viðmið!$C$6:$C$29,0)),-1),4),"✓","✗"))</f>
        <v/>
      </c>
      <c r="J92" s="61" t="n"/>
      <c r="K92" s="61" t="n"/>
      <c r="L92" s="61" t="n"/>
      <c r="M92" s="61" t="n"/>
      <c r="N92" s="61" t="n"/>
      <c r="O92" s="61" t="n"/>
      <c r="P92" s="61" t="n"/>
      <c r="Q92" s="61" t="n"/>
    </row>
    <row r="93" ht="15" customHeight="1" s="47">
      <c r="A93" s="65">
        <f>IF($B93="","",ROW()-5)</f>
        <v/>
      </c>
      <c r="B93" s="60" t="n"/>
      <c r="C93" s="60" t="n"/>
      <c r="D93" s="61" t="n"/>
      <c r="E93" s="59" t="n"/>
      <c r="F93" s="66" t="n"/>
      <c r="G93" s="67">
        <f>IFERROR(IF(B93="","",INDEX(Viðmið!$B$6:$B$29,MATCH(B93,Viðmið!$C$6:$C$29,0))),"")</f>
        <v/>
      </c>
      <c r="H93" s="68">
        <f>IF(OR(E93="",F93=""),"",E93*KVARDI)</f>
        <v/>
      </c>
      <c r="I93" s="69">
        <f>IF(B93="","",IF(ROUND(SUMIF($B$6:$B$205,B93,$E$6:$E$205),4)=ROUND(IFERROR(INDEX(Viðmið!$E$6:$E$29,MATCH(B93,Viðmið!$C$6:$C$29,0)),-1),4),"✓","✗"))</f>
        <v/>
      </c>
      <c r="J93" s="61" t="n"/>
      <c r="K93" s="61" t="n"/>
      <c r="L93" s="61" t="n"/>
      <c r="M93" s="61" t="n"/>
      <c r="N93" s="61" t="n"/>
      <c r="O93" s="61" t="n"/>
      <c r="P93" s="61" t="n"/>
      <c r="Q93" s="61" t="n"/>
    </row>
    <row r="94" ht="15" customHeight="1" s="47">
      <c r="A94" s="65">
        <f>IF($B94="","",ROW()-5)</f>
        <v/>
      </c>
      <c r="B94" s="60" t="n"/>
      <c r="C94" s="60" t="n"/>
      <c r="D94" s="61" t="n"/>
      <c r="E94" s="59" t="n"/>
      <c r="F94" s="66" t="n"/>
      <c r="G94" s="67">
        <f>IFERROR(IF(B94="","",INDEX(Viðmið!$B$6:$B$29,MATCH(B94,Viðmið!$C$6:$C$29,0))),"")</f>
        <v/>
      </c>
      <c r="H94" s="68">
        <f>IF(OR(E94="",F94=""),"",E94*KVARDI)</f>
        <v/>
      </c>
      <c r="I94" s="69">
        <f>IF(B94="","",IF(ROUND(SUMIF($B$6:$B$205,B94,$E$6:$E$205),4)=ROUND(IFERROR(INDEX(Viðmið!$E$6:$E$29,MATCH(B94,Viðmið!$C$6:$C$29,0)),-1),4),"✓","✗"))</f>
        <v/>
      </c>
      <c r="J94" s="61" t="n"/>
      <c r="K94" s="61" t="n"/>
      <c r="L94" s="61" t="n"/>
      <c r="M94" s="61" t="n"/>
      <c r="N94" s="61" t="n"/>
      <c r="O94" s="61" t="n"/>
      <c r="P94" s="61" t="n"/>
      <c r="Q94" s="61" t="n"/>
    </row>
    <row r="95" ht="15" customHeight="1" s="47">
      <c r="A95" s="65">
        <f>IF($B95="","",ROW()-5)</f>
        <v/>
      </c>
      <c r="B95" s="60" t="n"/>
      <c r="C95" s="60" t="n"/>
      <c r="D95" s="61" t="n"/>
      <c r="E95" s="59" t="n"/>
      <c r="F95" s="66" t="n"/>
      <c r="G95" s="67">
        <f>IFERROR(IF(B95="","",INDEX(Viðmið!$B$6:$B$29,MATCH(B95,Viðmið!$C$6:$C$29,0))),"")</f>
        <v/>
      </c>
      <c r="H95" s="68">
        <f>IF(OR(E95="",F95=""),"",E95*KVARDI)</f>
        <v/>
      </c>
      <c r="I95" s="69">
        <f>IF(B95="","",IF(ROUND(SUMIF($B$6:$B$205,B95,$E$6:$E$205),4)=ROUND(IFERROR(INDEX(Viðmið!$E$6:$E$29,MATCH(B95,Viðmið!$C$6:$C$29,0)),-1),4),"✓","✗"))</f>
        <v/>
      </c>
      <c r="J95" s="61" t="n"/>
      <c r="K95" s="61" t="n"/>
      <c r="L95" s="61" t="n"/>
      <c r="M95" s="61" t="n"/>
      <c r="N95" s="61" t="n"/>
      <c r="O95" s="61" t="n"/>
      <c r="P95" s="61" t="n"/>
      <c r="Q95" s="61" t="n"/>
    </row>
    <row r="96" ht="15" customHeight="1" s="47">
      <c r="A96" s="65">
        <f>IF($B96="","",ROW()-5)</f>
        <v/>
      </c>
      <c r="B96" s="60" t="n"/>
      <c r="C96" s="60" t="n"/>
      <c r="D96" s="61" t="n"/>
      <c r="E96" s="59" t="n"/>
      <c r="F96" s="66" t="n"/>
      <c r="G96" s="67">
        <f>IFERROR(IF(B96="","",INDEX(Viðmið!$B$6:$B$29,MATCH(B96,Viðmið!$C$6:$C$29,0))),"")</f>
        <v/>
      </c>
      <c r="H96" s="68">
        <f>IF(OR(E96="",F96=""),"",E96*KVARDI)</f>
        <v/>
      </c>
      <c r="I96" s="69">
        <f>IF(B96="","",IF(ROUND(SUMIF($B$6:$B$205,B96,$E$6:$E$205),4)=ROUND(IFERROR(INDEX(Viðmið!$E$6:$E$29,MATCH(B96,Viðmið!$C$6:$C$29,0)),-1),4),"✓","✗"))</f>
        <v/>
      </c>
      <c r="J96" s="61" t="n"/>
      <c r="K96" s="61" t="n"/>
      <c r="L96" s="61" t="n"/>
      <c r="M96" s="61" t="n"/>
      <c r="N96" s="61" t="n"/>
      <c r="O96" s="61" t="n"/>
      <c r="P96" s="61" t="n"/>
      <c r="Q96" s="61" t="n"/>
    </row>
    <row r="97" ht="15" customHeight="1" s="47">
      <c r="A97" s="65">
        <f>IF($B97="","",ROW()-5)</f>
        <v/>
      </c>
      <c r="B97" s="60" t="n"/>
      <c r="C97" s="60" t="n"/>
      <c r="D97" s="61" t="n"/>
      <c r="E97" s="59" t="n"/>
      <c r="F97" s="66" t="n"/>
      <c r="G97" s="67">
        <f>IFERROR(IF(B97="","",INDEX(Viðmið!$B$6:$B$29,MATCH(B97,Viðmið!$C$6:$C$29,0))),"")</f>
        <v/>
      </c>
      <c r="H97" s="68">
        <f>IF(OR(E97="",F97=""),"",E97*KVARDI)</f>
        <v/>
      </c>
      <c r="I97" s="69">
        <f>IF(B97="","",IF(ROUND(SUMIF($B$6:$B$205,B97,$E$6:$E$205),4)=ROUND(IFERROR(INDEX(Viðmið!$E$6:$E$29,MATCH(B97,Viðmið!$C$6:$C$29,0)),-1),4),"✓","✗"))</f>
        <v/>
      </c>
      <c r="J97" s="61" t="n"/>
      <c r="K97" s="61" t="n"/>
      <c r="L97" s="61" t="n"/>
      <c r="M97" s="61" t="n"/>
      <c r="N97" s="61" t="n"/>
      <c r="O97" s="61" t="n"/>
      <c r="P97" s="61" t="n"/>
      <c r="Q97" s="61" t="n"/>
    </row>
    <row r="98" ht="15" customHeight="1" s="47">
      <c r="A98" s="65">
        <f>IF($B98="","",ROW()-5)</f>
        <v/>
      </c>
      <c r="B98" s="60" t="n"/>
      <c r="C98" s="60" t="n"/>
      <c r="D98" s="61" t="n"/>
      <c r="E98" s="59" t="n"/>
      <c r="F98" s="66" t="n"/>
      <c r="G98" s="67">
        <f>IFERROR(IF(B98="","",INDEX(Viðmið!$B$6:$B$29,MATCH(B98,Viðmið!$C$6:$C$29,0))),"")</f>
        <v/>
      </c>
      <c r="H98" s="68">
        <f>IF(OR(E98="",F98=""),"",E98*KVARDI)</f>
        <v/>
      </c>
      <c r="I98" s="69">
        <f>IF(B98="","",IF(ROUND(SUMIF($B$6:$B$205,B98,$E$6:$E$205),4)=ROUND(IFERROR(INDEX(Viðmið!$E$6:$E$29,MATCH(B98,Viðmið!$C$6:$C$29,0)),-1),4),"✓","✗"))</f>
        <v/>
      </c>
      <c r="J98" s="61" t="n"/>
      <c r="K98" s="61" t="n"/>
      <c r="L98" s="61" t="n"/>
      <c r="M98" s="61" t="n"/>
      <c r="N98" s="61" t="n"/>
      <c r="O98" s="61" t="n"/>
      <c r="P98" s="61" t="n"/>
      <c r="Q98" s="61" t="n"/>
    </row>
    <row r="99" ht="15" customHeight="1" s="47">
      <c r="A99" s="65">
        <f>IF($B99="","",ROW()-5)</f>
        <v/>
      </c>
      <c r="B99" s="60" t="n"/>
      <c r="C99" s="60" t="n"/>
      <c r="D99" s="61" t="n"/>
      <c r="E99" s="59" t="n"/>
      <c r="F99" s="66" t="n"/>
      <c r="G99" s="67">
        <f>IFERROR(IF(B99="","",INDEX(Viðmið!$B$6:$B$29,MATCH(B99,Viðmið!$C$6:$C$29,0))),"")</f>
        <v/>
      </c>
      <c r="H99" s="68">
        <f>IF(OR(E99="",F99=""),"",E99*KVARDI)</f>
        <v/>
      </c>
      <c r="I99" s="69">
        <f>IF(B99="","",IF(ROUND(SUMIF($B$6:$B$205,B99,$E$6:$E$205),4)=ROUND(IFERROR(INDEX(Viðmið!$E$6:$E$29,MATCH(B99,Viðmið!$C$6:$C$29,0)),-1),4),"✓","✗"))</f>
        <v/>
      </c>
      <c r="J99" s="61" t="n"/>
      <c r="K99" s="61" t="n"/>
      <c r="L99" s="61" t="n"/>
      <c r="M99" s="61" t="n"/>
      <c r="N99" s="61" t="n"/>
      <c r="O99" s="61" t="n"/>
      <c r="P99" s="61" t="n"/>
      <c r="Q99" s="61" t="n"/>
    </row>
    <row r="100" ht="15" customHeight="1" s="47">
      <c r="A100" s="65">
        <f>IF($B100="","",ROW()-5)</f>
        <v/>
      </c>
      <c r="B100" s="60" t="n"/>
      <c r="C100" s="60" t="n"/>
      <c r="D100" s="61" t="n"/>
      <c r="E100" s="59" t="n"/>
      <c r="F100" s="66" t="n"/>
      <c r="G100" s="67">
        <f>IFERROR(IF(B100="","",INDEX(Viðmið!$B$6:$B$29,MATCH(B100,Viðmið!$C$6:$C$29,0))),"")</f>
        <v/>
      </c>
      <c r="H100" s="68">
        <f>IF(OR(E100="",F100=""),"",E100*KVARDI)</f>
        <v/>
      </c>
      <c r="I100" s="69">
        <f>IF(B100="","",IF(ROUND(SUMIF($B$6:$B$205,B100,$E$6:$E$205),4)=ROUND(IFERROR(INDEX(Viðmið!$E$6:$E$29,MATCH(B100,Viðmið!$C$6:$C$29,0)),-1),4),"✓","✗"))</f>
        <v/>
      </c>
      <c r="J100" s="61" t="n"/>
      <c r="K100" s="61" t="n"/>
      <c r="L100" s="61" t="n"/>
      <c r="M100" s="61" t="n"/>
      <c r="N100" s="61" t="n"/>
      <c r="O100" s="61" t="n"/>
      <c r="P100" s="61" t="n"/>
      <c r="Q100" s="61" t="n"/>
    </row>
    <row r="101" ht="15" customHeight="1" s="47">
      <c r="A101" s="65">
        <f>IF($B101="","",ROW()-5)</f>
        <v/>
      </c>
      <c r="B101" s="60" t="n"/>
      <c r="C101" s="60" t="n"/>
      <c r="D101" s="61" t="n"/>
      <c r="E101" s="59" t="n"/>
      <c r="F101" s="66" t="n"/>
      <c r="G101" s="67">
        <f>IFERROR(IF(B101="","",INDEX(Viðmið!$B$6:$B$29,MATCH(B101,Viðmið!$C$6:$C$29,0))),"")</f>
        <v/>
      </c>
      <c r="H101" s="68">
        <f>IF(OR(E101="",F101=""),"",E101*KVARDI)</f>
        <v/>
      </c>
      <c r="I101" s="69">
        <f>IF(B101="","",IF(ROUND(SUMIF($B$6:$B$205,B101,$E$6:$E$205),4)=ROUND(IFERROR(INDEX(Viðmið!$E$6:$E$29,MATCH(B101,Viðmið!$C$6:$C$29,0)),-1),4),"✓","✗"))</f>
        <v/>
      </c>
      <c r="J101" s="61" t="n"/>
      <c r="K101" s="61" t="n"/>
      <c r="L101" s="61" t="n"/>
      <c r="M101" s="61" t="n"/>
      <c r="N101" s="61" t="n"/>
      <c r="O101" s="61" t="n"/>
      <c r="P101" s="61" t="n"/>
      <c r="Q101" s="61" t="n"/>
    </row>
    <row r="102" ht="15" customHeight="1" s="47">
      <c r="A102" s="65">
        <f>IF($B102="","",ROW()-5)</f>
        <v/>
      </c>
      <c r="B102" s="60" t="n"/>
      <c r="C102" s="60" t="n"/>
      <c r="D102" s="61" t="n"/>
      <c r="E102" s="59" t="n"/>
      <c r="F102" s="66" t="n"/>
      <c r="G102" s="67">
        <f>IFERROR(IF(B102="","",INDEX(Viðmið!$B$6:$B$29,MATCH(B102,Viðmið!$C$6:$C$29,0))),"")</f>
        <v/>
      </c>
      <c r="H102" s="68">
        <f>IF(OR(E102="",F102=""),"",E102*KVARDI)</f>
        <v/>
      </c>
      <c r="I102" s="69">
        <f>IF(B102="","",IF(ROUND(SUMIF($B$6:$B$205,B102,$E$6:$E$205),4)=ROUND(IFERROR(INDEX(Viðmið!$E$6:$E$29,MATCH(B102,Viðmið!$C$6:$C$29,0)),-1),4),"✓","✗"))</f>
        <v/>
      </c>
      <c r="J102" s="61" t="n"/>
      <c r="K102" s="61" t="n"/>
      <c r="L102" s="61" t="n"/>
      <c r="M102" s="61" t="n"/>
      <c r="N102" s="61" t="n"/>
      <c r="O102" s="61" t="n"/>
      <c r="P102" s="61" t="n"/>
      <c r="Q102" s="61" t="n"/>
    </row>
    <row r="103" ht="15" customHeight="1" s="47">
      <c r="A103" s="65">
        <f>IF($B103="","",ROW()-5)</f>
        <v/>
      </c>
      <c r="B103" s="60" t="n"/>
      <c r="C103" s="60" t="n"/>
      <c r="D103" s="61" t="n"/>
      <c r="E103" s="59" t="n"/>
      <c r="F103" s="66" t="n"/>
      <c r="G103" s="67">
        <f>IFERROR(IF(B103="","",INDEX(Viðmið!$B$6:$B$29,MATCH(B103,Viðmið!$C$6:$C$29,0))),"")</f>
        <v/>
      </c>
      <c r="H103" s="68">
        <f>IF(OR(E103="",F103=""),"",E103*KVARDI)</f>
        <v/>
      </c>
      <c r="I103" s="69">
        <f>IF(B103="","",IF(ROUND(SUMIF($B$6:$B$205,B103,$E$6:$E$205),4)=ROUND(IFERROR(INDEX(Viðmið!$E$6:$E$29,MATCH(B103,Viðmið!$C$6:$C$29,0)),-1),4),"✓","✗"))</f>
        <v/>
      </c>
      <c r="J103" s="61" t="n"/>
      <c r="K103" s="61" t="n"/>
      <c r="L103" s="61" t="n"/>
      <c r="M103" s="61" t="n"/>
      <c r="N103" s="61" t="n"/>
      <c r="O103" s="61" t="n"/>
      <c r="P103" s="61" t="n"/>
      <c r="Q103" s="61" t="n"/>
    </row>
    <row r="104" ht="15" customHeight="1" s="47">
      <c r="A104" s="65">
        <f>IF($B104="","",ROW()-5)</f>
        <v/>
      </c>
      <c r="B104" s="60" t="n"/>
      <c r="C104" s="60" t="n"/>
      <c r="D104" s="61" t="n"/>
      <c r="E104" s="59" t="n"/>
      <c r="F104" s="66" t="n"/>
      <c r="G104" s="67">
        <f>IFERROR(IF(B104="","",INDEX(Viðmið!$B$6:$B$29,MATCH(B104,Viðmið!$C$6:$C$29,0))),"")</f>
        <v/>
      </c>
      <c r="H104" s="68">
        <f>IF(OR(E104="",F104=""),"",E104*KVARDI)</f>
        <v/>
      </c>
      <c r="I104" s="69">
        <f>IF(B104="","",IF(ROUND(SUMIF($B$6:$B$205,B104,$E$6:$E$205),4)=ROUND(IFERROR(INDEX(Viðmið!$E$6:$E$29,MATCH(B104,Viðmið!$C$6:$C$29,0)),-1),4),"✓","✗"))</f>
        <v/>
      </c>
      <c r="J104" s="61" t="n"/>
      <c r="K104" s="61" t="n"/>
      <c r="L104" s="61" t="n"/>
      <c r="M104" s="61" t="n"/>
      <c r="N104" s="61" t="n"/>
      <c r="O104" s="61" t="n"/>
      <c r="P104" s="61" t="n"/>
      <c r="Q104" s="61" t="n"/>
    </row>
    <row r="105" ht="15" customHeight="1" s="47">
      <c r="A105" s="65">
        <f>IF($B105="","",ROW()-5)</f>
        <v/>
      </c>
      <c r="B105" s="60" t="n"/>
      <c r="C105" s="60" t="n"/>
      <c r="D105" s="61" t="n"/>
      <c r="E105" s="59" t="n"/>
      <c r="F105" s="66" t="n"/>
      <c r="G105" s="67">
        <f>IFERROR(IF(B105="","",INDEX(Viðmið!$B$6:$B$29,MATCH(B105,Viðmið!$C$6:$C$29,0))),"")</f>
        <v/>
      </c>
      <c r="H105" s="68">
        <f>IF(OR(E105="",F105=""),"",E105*KVARDI)</f>
        <v/>
      </c>
      <c r="I105" s="69">
        <f>IF(B105="","",IF(ROUND(SUMIF($B$6:$B$205,B105,$E$6:$E$205),4)=ROUND(IFERROR(INDEX(Viðmið!$E$6:$E$29,MATCH(B105,Viðmið!$C$6:$C$29,0)),-1),4),"✓","✗"))</f>
        <v/>
      </c>
      <c r="J105" s="61" t="n"/>
      <c r="K105" s="61" t="n"/>
      <c r="L105" s="61" t="n"/>
      <c r="M105" s="61" t="n"/>
      <c r="N105" s="61" t="n"/>
      <c r="O105" s="61" t="n"/>
      <c r="P105" s="61" t="n"/>
      <c r="Q105" s="61" t="n"/>
    </row>
    <row r="106">
      <c r="A106" s="65">
        <f>IF($B106="","",ROW()-5)</f>
        <v/>
      </c>
      <c r="B106" s="60" t="n"/>
      <c r="C106" s="60" t="n"/>
      <c r="D106" s="61" t="n"/>
      <c r="E106" s="59" t="n"/>
      <c r="F106" s="66" t="n"/>
      <c r="G106" s="67">
        <f>IFERROR(IF(B106="","",INDEX(Viðmið!$B$6:$B$29,MATCH(B106,Viðmið!$C$6:$C$29,0))),"")</f>
        <v/>
      </c>
      <c r="H106" s="68">
        <f>IF(OR(E106="",F106=""),"",E106*KVARDI)</f>
        <v/>
      </c>
      <c r="I106" s="69">
        <f>IF(B106="","",IF(ROUND(SUMIF($B$6:$B$205,B106,$E$6:$E$205),4)=ROUND(IFERROR(INDEX(Viðmið!$E$6:$E$29,MATCH(B106,Viðmið!$C$6:$C$29,0)),-1),4),"✓","✗"))</f>
        <v/>
      </c>
      <c r="J106" s="61" t="n"/>
      <c r="K106" s="61" t="n"/>
      <c r="L106" s="61" t="n"/>
      <c r="M106" s="61" t="n"/>
      <c r="N106" s="61" t="n"/>
      <c r="O106" s="61" t="n"/>
      <c r="P106" s="61" t="n"/>
      <c r="Q106" s="61" t="n"/>
    </row>
    <row r="107">
      <c r="A107" s="65">
        <f>IF($B107="","",ROW()-5)</f>
        <v/>
      </c>
      <c r="B107" s="60" t="n"/>
      <c r="C107" s="60" t="n"/>
      <c r="D107" s="61" t="n"/>
      <c r="E107" s="59" t="n"/>
      <c r="F107" s="66" t="n"/>
      <c r="G107" s="67">
        <f>IFERROR(IF(B107="","",INDEX(Viðmið!$B$6:$B$29,MATCH(B107,Viðmið!$C$6:$C$29,0))),"")</f>
        <v/>
      </c>
      <c r="H107" s="68">
        <f>IF(OR(E107="",F107=""),"",E107*KVARDI)</f>
        <v/>
      </c>
      <c r="I107" s="69">
        <f>IF(B107="","",IF(ROUND(SUMIF($B$6:$B$205,B107,$E$6:$E$205),4)=ROUND(IFERROR(INDEX(Viðmið!$E$6:$E$29,MATCH(B107,Viðmið!$C$6:$C$29,0)),-1),4),"✓","✗"))</f>
        <v/>
      </c>
      <c r="J107" s="61" t="n"/>
      <c r="K107" s="61" t="n"/>
      <c r="L107" s="61" t="n"/>
      <c r="M107" s="61" t="n"/>
      <c r="N107" s="61" t="n"/>
      <c r="O107" s="61" t="n"/>
      <c r="P107" s="61" t="n"/>
      <c r="Q107" s="61" t="n"/>
    </row>
    <row r="108">
      <c r="A108" s="65">
        <f>IF($B108="","",ROW()-5)</f>
        <v/>
      </c>
      <c r="B108" s="60" t="n"/>
      <c r="C108" s="60" t="n"/>
      <c r="D108" s="61" t="n"/>
      <c r="E108" s="59" t="n"/>
      <c r="F108" s="66" t="n"/>
      <c r="G108" s="67">
        <f>IFERROR(IF(B108="","",INDEX(Viðmið!$B$6:$B$29,MATCH(B108,Viðmið!$C$6:$C$29,0))),"")</f>
        <v/>
      </c>
      <c r="H108" s="68">
        <f>IF(OR(E108="",F108=""),"",E108*KVARDI)</f>
        <v/>
      </c>
      <c r="I108" s="69">
        <f>IF(B108="","",IF(ROUND(SUMIF($B$6:$B$205,B108,$E$6:$E$205),4)=ROUND(IFERROR(INDEX(Viðmið!$E$6:$E$29,MATCH(B108,Viðmið!$C$6:$C$29,0)),-1),4),"✓","✗"))</f>
        <v/>
      </c>
      <c r="J108" s="61" t="n"/>
      <c r="K108" s="61" t="n"/>
      <c r="L108" s="61" t="n"/>
      <c r="M108" s="61" t="n"/>
      <c r="N108" s="61" t="n"/>
      <c r="O108" s="61" t="n"/>
      <c r="P108" s="61" t="n"/>
      <c r="Q108" s="61" t="n"/>
    </row>
    <row r="109">
      <c r="A109" s="65">
        <f>IF($B109="","",ROW()-5)</f>
        <v/>
      </c>
      <c r="B109" s="60" t="n"/>
      <c r="C109" s="60" t="n"/>
      <c r="D109" s="61" t="n"/>
      <c r="E109" s="59" t="n"/>
      <c r="F109" s="66" t="n"/>
      <c r="G109" s="67">
        <f>IFERROR(IF(B109="","",INDEX(Viðmið!$B$6:$B$29,MATCH(B109,Viðmið!$C$6:$C$29,0))),"")</f>
        <v/>
      </c>
      <c r="H109" s="68">
        <f>IF(OR(E109="",F109=""),"",E109*KVARDI)</f>
        <v/>
      </c>
      <c r="I109" s="69">
        <f>IF(B109="","",IF(ROUND(SUMIF($B$6:$B$205,B109,$E$6:$E$205),4)=ROUND(IFERROR(INDEX(Viðmið!$E$6:$E$29,MATCH(B109,Viðmið!$C$6:$C$29,0)),-1),4),"✓","✗"))</f>
        <v/>
      </c>
      <c r="J109" s="61" t="n"/>
      <c r="K109" s="61" t="n"/>
      <c r="L109" s="61" t="n"/>
      <c r="M109" s="61" t="n"/>
      <c r="N109" s="61" t="n"/>
      <c r="O109" s="61" t="n"/>
      <c r="P109" s="61" t="n"/>
      <c r="Q109" s="61" t="n"/>
    </row>
    <row r="110">
      <c r="A110" s="65">
        <f>IF($B110="","",ROW()-5)</f>
        <v/>
      </c>
      <c r="B110" s="60" t="n"/>
      <c r="C110" s="60" t="n"/>
      <c r="D110" s="61" t="n"/>
      <c r="E110" s="59" t="n"/>
      <c r="F110" s="66" t="n"/>
      <c r="G110" s="67">
        <f>IFERROR(IF(B110="","",INDEX(Viðmið!$B$6:$B$29,MATCH(B110,Viðmið!$C$6:$C$29,0))),"")</f>
        <v/>
      </c>
      <c r="H110" s="68">
        <f>IF(OR(E110="",F110=""),"",E110*KVARDI)</f>
        <v/>
      </c>
      <c r="I110" s="69">
        <f>IF(B110="","",IF(ROUND(SUMIF($B$6:$B$205,B110,$E$6:$E$205),4)=ROUND(IFERROR(INDEX(Viðmið!$E$6:$E$29,MATCH(B110,Viðmið!$C$6:$C$29,0)),-1),4),"✓","✗"))</f>
        <v/>
      </c>
      <c r="J110" s="61" t="n"/>
      <c r="K110" s="61" t="n"/>
      <c r="L110" s="61" t="n"/>
      <c r="M110" s="61" t="n"/>
      <c r="N110" s="61" t="n"/>
      <c r="O110" s="61" t="n"/>
      <c r="P110" s="61" t="n"/>
      <c r="Q110" s="61" t="n"/>
    </row>
    <row r="111">
      <c r="A111" s="65">
        <f>IF($B111="","",ROW()-5)</f>
        <v/>
      </c>
      <c r="B111" s="60" t="n"/>
      <c r="C111" s="60" t="n"/>
      <c r="D111" s="61" t="n"/>
      <c r="E111" s="59" t="n"/>
      <c r="F111" s="66" t="n"/>
      <c r="G111" s="67">
        <f>IFERROR(IF(B111="","",INDEX(Viðmið!$B$6:$B$29,MATCH(B111,Viðmið!$C$6:$C$29,0))),"")</f>
        <v/>
      </c>
      <c r="H111" s="68">
        <f>IF(OR(E111="",F111=""),"",E111*KVARDI)</f>
        <v/>
      </c>
      <c r="I111" s="69">
        <f>IF(B111="","",IF(ROUND(SUMIF($B$6:$B$205,B111,$E$6:$E$205),4)=ROUND(IFERROR(INDEX(Viðmið!$E$6:$E$29,MATCH(B111,Viðmið!$C$6:$C$29,0)),-1),4),"✓","✗"))</f>
        <v/>
      </c>
      <c r="J111" s="61" t="n"/>
      <c r="K111" s="61" t="n"/>
      <c r="L111" s="61" t="n"/>
      <c r="M111" s="61" t="n"/>
      <c r="N111" s="61" t="n"/>
      <c r="O111" s="61" t="n"/>
      <c r="P111" s="61" t="n"/>
      <c r="Q111" s="61" t="n"/>
    </row>
    <row r="112">
      <c r="A112" s="65">
        <f>IF($B112="","",ROW()-5)</f>
        <v/>
      </c>
      <c r="B112" s="60" t="n"/>
      <c r="C112" s="60" t="n"/>
      <c r="D112" s="61" t="n"/>
      <c r="E112" s="59" t="n"/>
      <c r="F112" s="66" t="n"/>
      <c r="G112" s="67">
        <f>IFERROR(IF(B112="","",INDEX(Viðmið!$B$6:$B$29,MATCH(B112,Viðmið!$C$6:$C$29,0))),"")</f>
        <v/>
      </c>
      <c r="H112" s="68">
        <f>IF(OR(E112="",F112=""),"",E112*KVARDI)</f>
        <v/>
      </c>
      <c r="I112" s="69">
        <f>IF(B112="","",IF(ROUND(SUMIF($B$6:$B$205,B112,$E$6:$E$205),4)=ROUND(IFERROR(INDEX(Viðmið!$E$6:$E$29,MATCH(B112,Viðmið!$C$6:$C$29,0)),-1),4),"✓","✗"))</f>
        <v/>
      </c>
      <c r="J112" s="61" t="n"/>
      <c r="K112" s="61" t="n"/>
      <c r="L112" s="61" t="n"/>
      <c r="M112" s="61" t="n"/>
      <c r="N112" s="61" t="n"/>
      <c r="O112" s="61" t="n"/>
      <c r="P112" s="61" t="n"/>
      <c r="Q112" s="61" t="n"/>
    </row>
    <row r="113">
      <c r="A113" s="65">
        <f>IF($B113="","",ROW()-5)</f>
        <v/>
      </c>
      <c r="B113" s="60" t="n"/>
      <c r="C113" s="60" t="n"/>
      <c r="D113" s="61" t="n"/>
      <c r="E113" s="59" t="n"/>
      <c r="F113" s="66" t="n"/>
      <c r="G113" s="67">
        <f>IFERROR(IF(B113="","",INDEX(Viðmið!$B$6:$B$29,MATCH(B113,Viðmið!$C$6:$C$29,0))),"")</f>
        <v/>
      </c>
      <c r="H113" s="68">
        <f>IF(OR(E113="",F113=""),"",E113*KVARDI)</f>
        <v/>
      </c>
      <c r="I113" s="69">
        <f>IF(B113="","",IF(ROUND(SUMIF($B$6:$B$205,B113,$E$6:$E$205),4)=ROUND(IFERROR(INDEX(Viðmið!$E$6:$E$29,MATCH(B113,Viðmið!$C$6:$C$29,0)),-1),4),"✓","✗"))</f>
        <v/>
      </c>
      <c r="J113" s="61" t="n"/>
      <c r="K113" s="61" t="n"/>
      <c r="L113" s="61" t="n"/>
      <c r="M113" s="61" t="n"/>
      <c r="N113" s="61" t="n"/>
      <c r="O113" s="61" t="n"/>
      <c r="P113" s="61" t="n"/>
      <c r="Q113" s="61" t="n"/>
    </row>
    <row r="114">
      <c r="A114" s="65">
        <f>IF($B114="","",ROW()-5)</f>
        <v/>
      </c>
      <c r="B114" s="60" t="n"/>
      <c r="C114" s="60" t="n"/>
      <c r="D114" s="61" t="n"/>
      <c r="E114" s="59" t="n"/>
      <c r="F114" s="66" t="n"/>
      <c r="G114" s="67">
        <f>IFERROR(IF(B114="","",INDEX(Viðmið!$B$6:$B$29,MATCH(B114,Viðmið!$C$6:$C$29,0))),"")</f>
        <v/>
      </c>
      <c r="H114" s="68">
        <f>IF(OR(E114="",F114=""),"",E114*KVARDI)</f>
        <v/>
      </c>
      <c r="I114" s="69">
        <f>IF(B114="","",IF(ROUND(SUMIF($B$6:$B$205,B114,$E$6:$E$205),4)=ROUND(IFERROR(INDEX(Viðmið!$E$6:$E$29,MATCH(B114,Viðmið!$C$6:$C$29,0)),-1),4),"✓","✗"))</f>
        <v/>
      </c>
      <c r="J114" s="61" t="n"/>
      <c r="K114" s="61" t="n"/>
      <c r="L114" s="61" t="n"/>
      <c r="M114" s="61" t="n"/>
      <c r="N114" s="61" t="n"/>
      <c r="O114" s="61" t="n"/>
      <c r="P114" s="61" t="n"/>
      <c r="Q114" s="61" t="n"/>
    </row>
    <row r="115">
      <c r="A115" s="65">
        <f>IF($B115="","",ROW()-5)</f>
        <v/>
      </c>
      <c r="B115" s="60" t="n"/>
      <c r="C115" s="60" t="n"/>
      <c r="D115" s="61" t="n"/>
      <c r="E115" s="59" t="n"/>
      <c r="F115" s="66" t="n"/>
      <c r="G115" s="67">
        <f>IFERROR(IF(B115="","",INDEX(Viðmið!$B$6:$B$29,MATCH(B115,Viðmið!$C$6:$C$29,0))),"")</f>
        <v/>
      </c>
      <c r="H115" s="68">
        <f>IF(OR(E115="",F115=""),"",E115*KVARDI)</f>
        <v/>
      </c>
      <c r="I115" s="69">
        <f>IF(B115="","",IF(ROUND(SUMIF($B$6:$B$205,B115,$E$6:$E$205),4)=ROUND(IFERROR(INDEX(Viðmið!$E$6:$E$29,MATCH(B115,Viðmið!$C$6:$C$29,0)),-1),4),"✓","✗"))</f>
        <v/>
      </c>
      <c r="J115" s="61" t="n"/>
      <c r="K115" s="61" t="n"/>
      <c r="L115" s="61" t="n"/>
      <c r="M115" s="61" t="n"/>
      <c r="N115" s="61" t="n"/>
      <c r="O115" s="61" t="n"/>
      <c r="P115" s="61" t="n"/>
      <c r="Q115" s="61" t="n"/>
    </row>
    <row r="116">
      <c r="A116" s="65">
        <f>IF($B116="","",ROW()-5)</f>
        <v/>
      </c>
      <c r="B116" s="60" t="n"/>
      <c r="C116" s="60" t="n"/>
      <c r="D116" s="61" t="n"/>
      <c r="E116" s="59" t="n"/>
      <c r="F116" s="66" t="n"/>
      <c r="G116" s="67">
        <f>IFERROR(IF(B116="","",INDEX(Viðmið!$B$6:$B$29,MATCH(B116,Viðmið!$C$6:$C$29,0))),"")</f>
        <v/>
      </c>
      <c r="H116" s="68">
        <f>IF(OR(E116="",F116=""),"",E116*KVARDI)</f>
        <v/>
      </c>
      <c r="I116" s="69">
        <f>IF(B116="","",IF(ROUND(SUMIF($B$6:$B$205,B116,$E$6:$E$205),4)=ROUND(IFERROR(INDEX(Viðmið!$E$6:$E$29,MATCH(B116,Viðmið!$C$6:$C$29,0)),-1),4),"✓","✗"))</f>
        <v/>
      </c>
      <c r="J116" s="61" t="n"/>
      <c r="K116" s="61" t="n"/>
      <c r="L116" s="61" t="n"/>
      <c r="M116" s="61" t="n"/>
      <c r="N116" s="61" t="n"/>
      <c r="O116" s="61" t="n"/>
      <c r="P116" s="61" t="n"/>
      <c r="Q116" s="61" t="n"/>
    </row>
    <row r="117">
      <c r="A117" s="65">
        <f>IF($B117="","",ROW()-5)</f>
        <v/>
      </c>
      <c r="B117" s="60" t="n"/>
      <c r="C117" s="60" t="n"/>
      <c r="D117" s="61" t="n"/>
      <c r="E117" s="59" t="n"/>
      <c r="F117" s="66" t="n"/>
      <c r="G117" s="67">
        <f>IFERROR(IF(B117="","",INDEX(Viðmið!$B$6:$B$29,MATCH(B117,Viðmið!$C$6:$C$29,0))),"")</f>
        <v/>
      </c>
      <c r="H117" s="68">
        <f>IF(OR(E117="",F117=""),"",E117*KVARDI)</f>
        <v/>
      </c>
      <c r="I117" s="69">
        <f>IF(B117="","",IF(ROUND(SUMIF($B$6:$B$205,B117,$E$6:$E$205),4)=ROUND(IFERROR(INDEX(Viðmið!$E$6:$E$29,MATCH(B117,Viðmið!$C$6:$C$29,0)),-1),4),"✓","✗"))</f>
        <v/>
      </c>
      <c r="J117" s="61" t="n"/>
      <c r="K117" s="61" t="n"/>
      <c r="L117" s="61" t="n"/>
      <c r="M117" s="61" t="n"/>
      <c r="N117" s="61" t="n"/>
      <c r="O117" s="61" t="n"/>
      <c r="P117" s="61" t="n"/>
      <c r="Q117" s="61" t="n"/>
    </row>
    <row r="118">
      <c r="A118" s="65">
        <f>IF($B118="","",ROW()-5)</f>
        <v/>
      </c>
      <c r="B118" s="60" t="n"/>
      <c r="C118" s="60" t="n"/>
      <c r="D118" s="61" t="n"/>
      <c r="E118" s="59" t="n"/>
      <c r="F118" s="66" t="n"/>
      <c r="G118" s="67">
        <f>IFERROR(IF(B118="","",INDEX(Viðmið!$B$6:$B$29,MATCH(B118,Viðmið!$C$6:$C$29,0))),"")</f>
        <v/>
      </c>
      <c r="H118" s="68">
        <f>IF(OR(E118="",F118=""),"",E118*KVARDI)</f>
        <v/>
      </c>
      <c r="I118" s="69">
        <f>IF(B118="","",IF(ROUND(SUMIF($B$6:$B$205,B118,$E$6:$E$205),4)=ROUND(IFERROR(INDEX(Viðmið!$E$6:$E$29,MATCH(B118,Viðmið!$C$6:$C$29,0)),-1),4),"✓","✗"))</f>
        <v/>
      </c>
      <c r="J118" s="61" t="n"/>
      <c r="K118" s="61" t="n"/>
      <c r="L118" s="61" t="n"/>
      <c r="M118" s="61" t="n"/>
      <c r="N118" s="61" t="n"/>
      <c r="O118" s="61" t="n"/>
      <c r="P118" s="61" t="n"/>
      <c r="Q118" s="61" t="n"/>
    </row>
    <row r="119">
      <c r="A119" s="65">
        <f>IF($B119="","",ROW()-5)</f>
        <v/>
      </c>
      <c r="B119" s="60" t="n"/>
      <c r="C119" s="60" t="n"/>
      <c r="D119" s="61" t="n"/>
      <c r="E119" s="59" t="n"/>
      <c r="F119" s="66" t="n"/>
      <c r="G119" s="67">
        <f>IFERROR(IF(B119="","",INDEX(Viðmið!$B$6:$B$29,MATCH(B119,Viðmið!$C$6:$C$29,0))),"")</f>
        <v/>
      </c>
      <c r="H119" s="68">
        <f>IF(OR(E119="",F119=""),"",E119*KVARDI)</f>
        <v/>
      </c>
      <c r="I119" s="69">
        <f>IF(B119="","",IF(ROUND(SUMIF($B$6:$B$205,B119,$E$6:$E$205),4)=ROUND(IFERROR(INDEX(Viðmið!$E$6:$E$29,MATCH(B119,Viðmið!$C$6:$C$29,0)),-1),4),"✓","✗"))</f>
        <v/>
      </c>
      <c r="J119" s="61" t="n"/>
      <c r="K119" s="61" t="n"/>
      <c r="L119" s="61" t="n"/>
      <c r="M119" s="61" t="n"/>
      <c r="N119" s="61" t="n"/>
      <c r="O119" s="61" t="n"/>
      <c r="P119" s="61" t="n"/>
      <c r="Q119" s="61" t="n"/>
    </row>
    <row r="120">
      <c r="A120" s="65">
        <f>IF($B120="","",ROW()-5)</f>
        <v/>
      </c>
      <c r="B120" s="60" t="n"/>
      <c r="C120" s="60" t="n"/>
      <c r="D120" s="61" t="n"/>
      <c r="E120" s="59" t="n"/>
      <c r="F120" s="66" t="n"/>
      <c r="G120" s="67">
        <f>IFERROR(IF(B120="","",INDEX(Viðmið!$B$6:$B$29,MATCH(B120,Viðmið!$C$6:$C$29,0))),"")</f>
        <v/>
      </c>
      <c r="H120" s="68">
        <f>IF(OR(E120="",F120=""),"",E120*KVARDI)</f>
        <v/>
      </c>
      <c r="I120" s="69">
        <f>IF(B120="","",IF(ROUND(SUMIF($B$6:$B$205,B120,$E$6:$E$205),4)=ROUND(IFERROR(INDEX(Viðmið!$E$6:$E$29,MATCH(B120,Viðmið!$C$6:$C$29,0)),-1),4),"✓","✗"))</f>
        <v/>
      </c>
      <c r="J120" s="61" t="n"/>
      <c r="K120" s="61" t="n"/>
      <c r="L120" s="61" t="n"/>
      <c r="M120" s="61" t="n"/>
      <c r="N120" s="61" t="n"/>
      <c r="O120" s="61" t="n"/>
      <c r="P120" s="61" t="n"/>
      <c r="Q120" s="61" t="n"/>
    </row>
    <row r="121">
      <c r="A121" s="65">
        <f>IF($B121="","",ROW()-5)</f>
        <v/>
      </c>
      <c r="B121" s="60" t="n"/>
      <c r="C121" s="60" t="n"/>
      <c r="D121" s="61" t="n"/>
      <c r="E121" s="59" t="n"/>
      <c r="F121" s="66" t="n"/>
      <c r="G121" s="67">
        <f>IFERROR(IF(B121="","",INDEX(Viðmið!$B$6:$B$29,MATCH(B121,Viðmið!$C$6:$C$29,0))),"")</f>
        <v/>
      </c>
      <c r="H121" s="68">
        <f>IF(OR(E121="",F121=""),"",E121*KVARDI)</f>
        <v/>
      </c>
      <c r="I121" s="69">
        <f>IF(B121="","",IF(ROUND(SUMIF($B$6:$B$205,B121,$E$6:$E$205),4)=ROUND(IFERROR(INDEX(Viðmið!$E$6:$E$29,MATCH(B121,Viðmið!$C$6:$C$29,0)),-1),4),"✓","✗"))</f>
        <v/>
      </c>
      <c r="J121" s="61" t="n"/>
      <c r="K121" s="61" t="n"/>
      <c r="L121" s="61" t="n"/>
      <c r="M121" s="61" t="n"/>
      <c r="N121" s="61" t="n"/>
      <c r="O121" s="61" t="n"/>
      <c r="P121" s="61" t="n"/>
      <c r="Q121" s="61" t="n"/>
    </row>
    <row r="122">
      <c r="A122" s="65">
        <f>IF($B122="","",ROW()-5)</f>
        <v/>
      </c>
      <c r="B122" s="60" t="n"/>
      <c r="C122" s="60" t="n"/>
      <c r="D122" s="61" t="n"/>
      <c r="E122" s="59" t="n"/>
      <c r="F122" s="66" t="n"/>
      <c r="G122" s="67">
        <f>IFERROR(IF(B122="","",INDEX(Viðmið!$B$6:$B$29,MATCH(B122,Viðmið!$C$6:$C$29,0))),"")</f>
        <v/>
      </c>
      <c r="H122" s="68">
        <f>IF(OR(E122="",F122=""),"",E122*KVARDI)</f>
        <v/>
      </c>
      <c r="I122" s="69">
        <f>IF(B122="","",IF(ROUND(SUMIF($B$6:$B$205,B122,$E$6:$E$205),4)=ROUND(IFERROR(INDEX(Viðmið!$E$6:$E$29,MATCH(B122,Viðmið!$C$6:$C$29,0)),-1),4),"✓","✗"))</f>
        <v/>
      </c>
      <c r="J122" s="61" t="n"/>
      <c r="K122" s="61" t="n"/>
      <c r="L122" s="61" t="n"/>
      <c r="M122" s="61" t="n"/>
      <c r="N122" s="61" t="n"/>
      <c r="O122" s="61" t="n"/>
      <c r="P122" s="61" t="n"/>
      <c r="Q122" s="61" t="n"/>
    </row>
    <row r="123">
      <c r="A123" s="65">
        <f>IF($B123="","",ROW()-5)</f>
        <v/>
      </c>
      <c r="B123" s="60" t="n"/>
      <c r="C123" s="60" t="n"/>
      <c r="D123" s="61" t="n"/>
      <c r="E123" s="59" t="n"/>
      <c r="F123" s="66" t="n"/>
      <c r="G123" s="67">
        <f>IFERROR(IF(B123="","",INDEX(Viðmið!$B$6:$B$29,MATCH(B123,Viðmið!$C$6:$C$29,0))),"")</f>
        <v/>
      </c>
      <c r="H123" s="68">
        <f>IF(OR(E123="",F123=""),"",E123*KVARDI)</f>
        <v/>
      </c>
      <c r="I123" s="69">
        <f>IF(B123="","",IF(ROUND(SUMIF($B$6:$B$205,B123,$E$6:$E$205),4)=ROUND(IFERROR(INDEX(Viðmið!$E$6:$E$29,MATCH(B123,Viðmið!$C$6:$C$29,0)),-1),4),"✓","✗"))</f>
        <v/>
      </c>
      <c r="J123" s="61" t="n"/>
      <c r="K123" s="61" t="n"/>
      <c r="L123" s="61" t="n"/>
      <c r="M123" s="61" t="n"/>
      <c r="N123" s="61" t="n"/>
      <c r="O123" s="61" t="n"/>
      <c r="P123" s="61" t="n"/>
      <c r="Q123" s="61" t="n"/>
    </row>
    <row r="124">
      <c r="A124" s="65">
        <f>IF($B124="","",ROW()-5)</f>
        <v/>
      </c>
      <c r="B124" s="60" t="n"/>
      <c r="C124" s="60" t="n"/>
      <c r="D124" s="61" t="n"/>
      <c r="E124" s="59" t="n"/>
      <c r="F124" s="66" t="n"/>
      <c r="G124" s="67">
        <f>IFERROR(IF(B124="","",INDEX(Viðmið!$B$6:$B$29,MATCH(B124,Viðmið!$C$6:$C$29,0))),"")</f>
        <v/>
      </c>
      <c r="H124" s="68">
        <f>IF(OR(E124="",F124=""),"",E124*KVARDI)</f>
        <v/>
      </c>
      <c r="I124" s="69">
        <f>IF(B124="","",IF(ROUND(SUMIF($B$6:$B$205,B124,$E$6:$E$205),4)=ROUND(IFERROR(INDEX(Viðmið!$E$6:$E$29,MATCH(B124,Viðmið!$C$6:$C$29,0)),-1),4),"✓","✗"))</f>
        <v/>
      </c>
      <c r="J124" s="61" t="n"/>
      <c r="K124" s="61" t="n"/>
      <c r="L124" s="61" t="n"/>
      <c r="M124" s="61" t="n"/>
      <c r="N124" s="61" t="n"/>
      <c r="O124" s="61" t="n"/>
      <c r="P124" s="61" t="n"/>
      <c r="Q124" s="61" t="n"/>
    </row>
    <row r="125">
      <c r="A125" s="65">
        <f>IF($B125="","",ROW()-5)</f>
        <v/>
      </c>
      <c r="B125" s="60" t="n"/>
      <c r="C125" s="60" t="n"/>
      <c r="D125" s="61" t="n"/>
      <c r="E125" s="59" t="n"/>
      <c r="F125" s="66" t="n"/>
      <c r="G125" s="67">
        <f>IFERROR(IF(B125="","",INDEX(Viðmið!$B$6:$B$29,MATCH(B125,Viðmið!$C$6:$C$29,0))),"")</f>
        <v/>
      </c>
      <c r="H125" s="68">
        <f>IF(OR(E125="",F125=""),"",E125*KVARDI)</f>
        <v/>
      </c>
      <c r="I125" s="69">
        <f>IF(B125="","",IF(ROUND(SUMIF($B$6:$B$205,B125,$E$6:$E$205),4)=ROUND(IFERROR(INDEX(Viðmið!$E$6:$E$29,MATCH(B125,Viðmið!$C$6:$C$29,0)),-1),4),"✓","✗"))</f>
        <v/>
      </c>
      <c r="J125" s="61" t="n"/>
      <c r="K125" s="61" t="n"/>
      <c r="L125" s="61" t="n"/>
      <c r="M125" s="61" t="n"/>
      <c r="N125" s="61" t="n"/>
      <c r="O125" s="61" t="n"/>
      <c r="P125" s="61" t="n"/>
      <c r="Q125" s="61" t="n"/>
    </row>
    <row r="126">
      <c r="A126" s="65">
        <f>IF($B126="","",ROW()-5)</f>
        <v/>
      </c>
      <c r="B126" s="60" t="n"/>
      <c r="C126" s="60" t="n"/>
      <c r="D126" s="61" t="n"/>
      <c r="E126" s="59" t="n"/>
      <c r="F126" s="66" t="n"/>
      <c r="G126" s="67">
        <f>IFERROR(IF(B126="","",INDEX(Viðmið!$B$6:$B$29,MATCH(B126,Viðmið!$C$6:$C$29,0))),"")</f>
        <v/>
      </c>
      <c r="H126" s="68">
        <f>IF(OR(E126="",F126=""),"",E126*KVARDI)</f>
        <v/>
      </c>
      <c r="I126" s="69">
        <f>IF(B126="","",IF(ROUND(SUMIF($B$6:$B$205,B126,$E$6:$E$205),4)=ROUND(IFERROR(INDEX(Viðmið!$E$6:$E$29,MATCH(B126,Viðmið!$C$6:$C$29,0)),-1),4),"✓","✗"))</f>
        <v/>
      </c>
      <c r="J126" s="61" t="n"/>
      <c r="K126" s="61" t="n"/>
      <c r="L126" s="61" t="n"/>
      <c r="M126" s="61" t="n"/>
      <c r="N126" s="61" t="n"/>
      <c r="O126" s="61" t="n"/>
      <c r="P126" s="61" t="n"/>
      <c r="Q126" s="61" t="n"/>
    </row>
    <row r="127">
      <c r="A127" s="65">
        <f>IF($B127="","",ROW()-5)</f>
        <v/>
      </c>
      <c r="B127" s="60" t="n"/>
      <c r="C127" s="60" t="n"/>
      <c r="D127" s="61" t="n"/>
      <c r="E127" s="59" t="n"/>
      <c r="F127" s="66" t="n"/>
      <c r="G127" s="67">
        <f>IFERROR(IF(B127="","",INDEX(Viðmið!$B$6:$B$29,MATCH(B127,Viðmið!$C$6:$C$29,0))),"")</f>
        <v/>
      </c>
      <c r="H127" s="68">
        <f>IF(OR(E127="",F127=""),"",E127*KVARDI)</f>
        <v/>
      </c>
      <c r="I127" s="69">
        <f>IF(B127="","",IF(ROUND(SUMIF($B$6:$B$205,B127,$E$6:$E$205),4)=ROUND(IFERROR(INDEX(Viðmið!$E$6:$E$29,MATCH(B127,Viðmið!$C$6:$C$29,0)),-1),4),"✓","✗"))</f>
        <v/>
      </c>
      <c r="J127" s="61" t="n"/>
      <c r="K127" s="61" t="n"/>
      <c r="L127" s="61" t="n"/>
      <c r="M127" s="61" t="n"/>
      <c r="N127" s="61" t="n"/>
      <c r="O127" s="61" t="n"/>
      <c r="P127" s="61" t="n"/>
      <c r="Q127" s="61" t="n"/>
    </row>
    <row r="128">
      <c r="A128" s="65">
        <f>IF($B128="","",ROW()-5)</f>
        <v/>
      </c>
      <c r="B128" s="60" t="n"/>
      <c r="C128" s="60" t="n"/>
      <c r="D128" s="61" t="n"/>
      <c r="E128" s="59" t="n"/>
      <c r="F128" s="66" t="n"/>
      <c r="G128" s="67">
        <f>IFERROR(IF(B128="","",INDEX(Viðmið!$B$6:$B$29,MATCH(B128,Viðmið!$C$6:$C$29,0))),"")</f>
        <v/>
      </c>
      <c r="H128" s="68">
        <f>IF(OR(E128="",F128=""),"",E128*KVARDI)</f>
        <v/>
      </c>
      <c r="I128" s="69">
        <f>IF(B128="","",IF(ROUND(SUMIF($B$6:$B$205,B128,$E$6:$E$205),4)=ROUND(IFERROR(INDEX(Viðmið!$E$6:$E$29,MATCH(B128,Viðmið!$C$6:$C$29,0)),-1),4),"✓","✗"))</f>
        <v/>
      </c>
      <c r="J128" s="61" t="n"/>
      <c r="K128" s="61" t="n"/>
      <c r="L128" s="61" t="n"/>
      <c r="M128" s="61" t="n"/>
      <c r="N128" s="61" t="n"/>
      <c r="O128" s="61" t="n"/>
      <c r="P128" s="61" t="n"/>
      <c r="Q128" s="61" t="n"/>
    </row>
    <row r="129">
      <c r="A129" s="65">
        <f>IF($B129="","",ROW()-5)</f>
        <v/>
      </c>
      <c r="B129" s="60" t="n"/>
      <c r="C129" s="60" t="n"/>
      <c r="D129" s="61" t="n"/>
      <c r="E129" s="59" t="n"/>
      <c r="F129" s="66" t="n"/>
      <c r="G129" s="67">
        <f>IFERROR(IF(B129="","",INDEX(Viðmið!$B$6:$B$29,MATCH(B129,Viðmið!$C$6:$C$29,0))),"")</f>
        <v/>
      </c>
      <c r="H129" s="68">
        <f>IF(OR(E129="",F129=""),"",E129*KVARDI)</f>
        <v/>
      </c>
      <c r="I129" s="69">
        <f>IF(B129="","",IF(ROUND(SUMIF($B$6:$B$205,B129,$E$6:$E$205),4)=ROUND(IFERROR(INDEX(Viðmið!$E$6:$E$29,MATCH(B129,Viðmið!$C$6:$C$29,0)),-1),4),"✓","✗"))</f>
        <v/>
      </c>
      <c r="J129" s="61" t="n"/>
      <c r="K129" s="61" t="n"/>
      <c r="L129" s="61" t="n"/>
      <c r="M129" s="61" t="n"/>
      <c r="N129" s="61" t="n"/>
      <c r="O129" s="61" t="n"/>
      <c r="P129" s="61" t="n"/>
      <c r="Q129" s="61" t="n"/>
    </row>
    <row r="130">
      <c r="A130" s="65">
        <f>IF($B130="","",ROW()-5)</f>
        <v/>
      </c>
      <c r="B130" s="60" t="n"/>
      <c r="C130" s="60" t="n"/>
      <c r="D130" s="61" t="n"/>
      <c r="E130" s="59" t="n"/>
      <c r="F130" s="66" t="n"/>
      <c r="G130" s="67">
        <f>IFERROR(IF(B130="","",INDEX(Viðmið!$B$6:$B$29,MATCH(B130,Viðmið!$C$6:$C$29,0))),"")</f>
        <v/>
      </c>
      <c r="H130" s="68">
        <f>IF(OR(E130="",F130=""),"",E130*KVARDI)</f>
        <v/>
      </c>
      <c r="I130" s="69">
        <f>IF(B130="","",IF(ROUND(SUMIF($B$6:$B$205,B130,$E$6:$E$205),4)=ROUND(IFERROR(INDEX(Viðmið!$E$6:$E$29,MATCH(B130,Viðmið!$C$6:$C$29,0)),-1),4),"✓","✗"))</f>
        <v/>
      </c>
      <c r="J130" s="61" t="n"/>
      <c r="K130" s="61" t="n"/>
      <c r="L130" s="61" t="n"/>
      <c r="M130" s="61" t="n"/>
      <c r="N130" s="61" t="n"/>
      <c r="O130" s="61" t="n"/>
      <c r="P130" s="61" t="n"/>
      <c r="Q130" s="61" t="n"/>
    </row>
    <row r="131">
      <c r="A131" s="65">
        <f>IF($B131="","",ROW()-5)</f>
        <v/>
      </c>
      <c r="B131" s="60" t="n"/>
      <c r="C131" s="60" t="n"/>
      <c r="D131" s="61" t="n"/>
      <c r="E131" s="59" t="n"/>
      <c r="F131" s="66" t="n"/>
      <c r="G131" s="67">
        <f>IFERROR(IF(B131="","",INDEX(Viðmið!$B$6:$B$29,MATCH(B131,Viðmið!$C$6:$C$29,0))),"")</f>
        <v/>
      </c>
      <c r="H131" s="68">
        <f>IF(OR(E131="",F131=""),"",E131*KVARDI)</f>
        <v/>
      </c>
      <c r="I131" s="69">
        <f>IF(B131="","",IF(ROUND(SUMIF($B$6:$B$205,B131,$E$6:$E$205),4)=ROUND(IFERROR(INDEX(Viðmið!$E$6:$E$29,MATCH(B131,Viðmið!$C$6:$C$29,0)),-1),4),"✓","✗"))</f>
        <v/>
      </c>
      <c r="J131" s="61" t="n"/>
      <c r="K131" s="61" t="n"/>
      <c r="L131" s="61" t="n"/>
      <c r="M131" s="61" t="n"/>
      <c r="N131" s="61" t="n"/>
      <c r="O131" s="61" t="n"/>
      <c r="P131" s="61" t="n"/>
      <c r="Q131" s="61" t="n"/>
    </row>
    <row r="132">
      <c r="A132" s="65">
        <f>IF($B132="","",ROW()-5)</f>
        <v/>
      </c>
      <c r="B132" s="60" t="n"/>
      <c r="C132" s="60" t="n"/>
      <c r="D132" s="61" t="n"/>
      <c r="E132" s="59" t="n"/>
      <c r="F132" s="66" t="n"/>
      <c r="G132" s="67">
        <f>IFERROR(IF(B132="","",INDEX(Viðmið!$B$6:$B$29,MATCH(B132,Viðmið!$C$6:$C$29,0))),"")</f>
        <v/>
      </c>
      <c r="H132" s="68">
        <f>IF(OR(E132="",F132=""),"",E132*KVARDI)</f>
        <v/>
      </c>
      <c r="I132" s="69">
        <f>IF(B132="","",IF(ROUND(SUMIF($B$6:$B$205,B132,$E$6:$E$205),4)=ROUND(IFERROR(INDEX(Viðmið!$E$6:$E$29,MATCH(B132,Viðmið!$C$6:$C$29,0)),-1),4),"✓","✗"))</f>
        <v/>
      </c>
      <c r="J132" s="61" t="n"/>
      <c r="K132" s="61" t="n"/>
      <c r="L132" s="61" t="n"/>
      <c r="M132" s="61" t="n"/>
      <c r="N132" s="61" t="n"/>
      <c r="O132" s="61" t="n"/>
      <c r="P132" s="61" t="n"/>
      <c r="Q132" s="61" t="n"/>
    </row>
    <row r="133">
      <c r="A133" s="65">
        <f>IF($B133="","",ROW()-5)</f>
        <v/>
      </c>
      <c r="B133" s="60" t="n"/>
      <c r="C133" s="60" t="n"/>
      <c r="D133" s="61" t="n"/>
      <c r="E133" s="59" t="n"/>
      <c r="F133" s="66" t="n"/>
      <c r="G133" s="67">
        <f>IFERROR(IF(B133="","",INDEX(Viðmið!$B$6:$B$29,MATCH(B133,Viðmið!$C$6:$C$29,0))),"")</f>
        <v/>
      </c>
      <c r="H133" s="68">
        <f>IF(OR(E133="",F133=""),"",E133*KVARDI)</f>
        <v/>
      </c>
      <c r="I133" s="69">
        <f>IF(B133="","",IF(ROUND(SUMIF($B$6:$B$205,B133,$E$6:$E$205),4)=ROUND(IFERROR(INDEX(Viðmið!$E$6:$E$29,MATCH(B133,Viðmið!$C$6:$C$29,0)),-1),4),"✓","✗"))</f>
        <v/>
      </c>
      <c r="J133" s="61" t="n"/>
      <c r="K133" s="61" t="n"/>
      <c r="L133" s="61" t="n"/>
      <c r="M133" s="61" t="n"/>
      <c r="N133" s="61" t="n"/>
      <c r="O133" s="61" t="n"/>
      <c r="P133" s="61" t="n"/>
      <c r="Q133" s="61" t="n"/>
    </row>
    <row r="134">
      <c r="A134" s="65">
        <f>IF($B134="","",ROW()-5)</f>
        <v/>
      </c>
      <c r="B134" s="60" t="n"/>
      <c r="C134" s="60" t="n"/>
      <c r="D134" s="61" t="n"/>
      <c r="E134" s="59" t="n"/>
      <c r="F134" s="66" t="n"/>
      <c r="G134" s="67">
        <f>IFERROR(IF(B134="","",INDEX(Viðmið!$B$6:$B$29,MATCH(B134,Viðmið!$C$6:$C$29,0))),"")</f>
        <v/>
      </c>
      <c r="H134" s="68">
        <f>IF(OR(E134="",F134=""),"",E134*KVARDI)</f>
        <v/>
      </c>
      <c r="I134" s="69">
        <f>IF(B134="","",IF(ROUND(SUMIF($B$6:$B$205,B134,$E$6:$E$205),4)=ROUND(IFERROR(INDEX(Viðmið!$E$6:$E$29,MATCH(B134,Viðmið!$C$6:$C$29,0)),-1),4),"✓","✗"))</f>
        <v/>
      </c>
      <c r="J134" s="61" t="n"/>
      <c r="K134" s="61" t="n"/>
      <c r="L134" s="61" t="n"/>
      <c r="M134" s="61" t="n"/>
      <c r="N134" s="61" t="n"/>
      <c r="O134" s="61" t="n"/>
      <c r="P134" s="61" t="n"/>
      <c r="Q134" s="61" t="n"/>
    </row>
    <row r="135">
      <c r="A135" s="65">
        <f>IF($B135="","",ROW()-5)</f>
        <v/>
      </c>
      <c r="B135" s="60" t="n"/>
      <c r="C135" s="60" t="n"/>
      <c r="D135" s="61" t="n"/>
      <c r="E135" s="59" t="n"/>
      <c r="F135" s="66" t="n"/>
      <c r="G135" s="67">
        <f>IFERROR(IF(B135="","",INDEX(Viðmið!$B$6:$B$29,MATCH(B135,Viðmið!$C$6:$C$29,0))),"")</f>
        <v/>
      </c>
      <c r="H135" s="68">
        <f>IF(OR(E135="",F135=""),"",E135*KVARDI)</f>
        <v/>
      </c>
      <c r="I135" s="69">
        <f>IF(B135="","",IF(ROUND(SUMIF($B$6:$B$205,B135,$E$6:$E$205),4)=ROUND(IFERROR(INDEX(Viðmið!$E$6:$E$29,MATCH(B135,Viðmið!$C$6:$C$29,0)),-1),4),"✓","✗"))</f>
        <v/>
      </c>
      <c r="J135" s="61" t="n"/>
      <c r="K135" s="61" t="n"/>
      <c r="L135" s="61" t="n"/>
      <c r="M135" s="61" t="n"/>
      <c r="N135" s="61" t="n"/>
      <c r="O135" s="61" t="n"/>
      <c r="P135" s="61" t="n"/>
      <c r="Q135" s="61" t="n"/>
    </row>
    <row r="136">
      <c r="A136" s="65">
        <f>IF($B136="","",ROW()-5)</f>
        <v/>
      </c>
      <c r="B136" s="60" t="n"/>
      <c r="C136" s="60" t="n"/>
      <c r="D136" s="61" t="n"/>
      <c r="E136" s="59" t="n"/>
      <c r="F136" s="66" t="n"/>
      <c r="G136" s="67">
        <f>IFERROR(IF(B136="","",INDEX(Viðmið!$B$6:$B$29,MATCH(B136,Viðmið!$C$6:$C$29,0))),"")</f>
        <v/>
      </c>
      <c r="H136" s="68">
        <f>IF(OR(E136="",F136=""),"",E136*KVARDI)</f>
        <v/>
      </c>
      <c r="I136" s="69">
        <f>IF(B136="","",IF(ROUND(SUMIF($B$6:$B$205,B136,$E$6:$E$205),4)=ROUND(IFERROR(INDEX(Viðmið!$E$6:$E$29,MATCH(B136,Viðmið!$C$6:$C$29,0)),-1),4),"✓","✗"))</f>
        <v/>
      </c>
      <c r="J136" s="61" t="n"/>
      <c r="K136" s="61" t="n"/>
      <c r="L136" s="61" t="n"/>
      <c r="M136" s="61" t="n"/>
      <c r="N136" s="61" t="n"/>
      <c r="O136" s="61" t="n"/>
      <c r="P136" s="61" t="n"/>
      <c r="Q136" s="61" t="n"/>
    </row>
    <row r="137">
      <c r="A137" s="65">
        <f>IF($B137="","",ROW()-5)</f>
        <v/>
      </c>
      <c r="B137" s="60" t="n"/>
      <c r="C137" s="60" t="n"/>
      <c r="D137" s="61" t="n"/>
      <c r="E137" s="59" t="n"/>
      <c r="F137" s="66" t="n"/>
      <c r="G137" s="67">
        <f>IFERROR(IF(B137="","",INDEX(Viðmið!$B$6:$B$29,MATCH(B137,Viðmið!$C$6:$C$29,0))),"")</f>
        <v/>
      </c>
      <c r="H137" s="68">
        <f>IF(OR(E137="",F137=""),"",E137*KVARDI)</f>
        <v/>
      </c>
      <c r="I137" s="69">
        <f>IF(B137="","",IF(ROUND(SUMIF($B$6:$B$205,B137,$E$6:$E$205),4)=ROUND(IFERROR(INDEX(Viðmið!$E$6:$E$29,MATCH(B137,Viðmið!$C$6:$C$29,0)),-1),4),"✓","✗"))</f>
        <v/>
      </c>
      <c r="J137" s="61" t="n"/>
      <c r="K137" s="61" t="n"/>
      <c r="L137" s="61" t="n"/>
      <c r="M137" s="61" t="n"/>
      <c r="N137" s="61" t="n"/>
      <c r="O137" s="61" t="n"/>
      <c r="P137" s="61" t="n"/>
      <c r="Q137" s="61" t="n"/>
    </row>
    <row r="138">
      <c r="A138" s="65">
        <f>IF($B138="","",ROW()-5)</f>
        <v/>
      </c>
      <c r="B138" s="60" t="n"/>
      <c r="C138" s="60" t="n"/>
      <c r="D138" s="61" t="n"/>
      <c r="E138" s="59" t="n"/>
      <c r="F138" s="66" t="n"/>
      <c r="G138" s="67">
        <f>IFERROR(IF(B138="","",INDEX(Viðmið!$B$6:$B$29,MATCH(B138,Viðmið!$C$6:$C$29,0))),"")</f>
        <v/>
      </c>
      <c r="H138" s="68">
        <f>IF(OR(E138="",F138=""),"",E138*KVARDI)</f>
        <v/>
      </c>
      <c r="I138" s="69">
        <f>IF(B138="","",IF(ROUND(SUMIF($B$6:$B$205,B138,$E$6:$E$205),4)=ROUND(IFERROR(INDEX(Viðmið!$E$6:$E$29,MATCH(B138,Viðmið!$C$6:$C$29,0)),-1),4),"✓","✗"))</f>
        <v/>
      </c>
      <c r="J138" s="61" t="n"/>
      <c r="K138" s="61" t="n"/>
      <c r="L138" s="61" t="n"/>
      <c r="M138" s="61" t="n"/>
      <c r="N138" s="61" t="n"/>
      <c r="O138" s="61" t="n"/>
      <c r="P138" s="61" t="n"/>
      <c r="Q138" s="61" t="n"/>
    </row>
    <row r="139">
      <c r="A139" s="65">
        <f>IF($B139="","",ROW()-5)</f>
        <v/>
      </c>
      <c r="B139" s="60" t="n"/>
      <c r="C139" s="60" t="n"/>
      <c r="D139" s="61" t="n"/>
      <c r="E139" s="59" t="n"/>
      <c r="F139" s="66" t="n"/>
      <c r="G139" s="67">
        <f>IFERROR(IF(B139="","",INDEX(Viðmið!$B$6:$B$29,MATCH(B139,Viðmið!$C$6:$C$29,0))),"")</f>
        <v/>
      </c>
      <c r="H139" s="68">
        <f>IF(OR(E139="",F139=""),"",E139*KVARDI)</f>
        <v/>
      </c>
      <c r="I139" s="69">
        <f>IF(B139="","",IF(ROUND(SUMIF($B$6:$B$205,B139,$E$6:$E$205),4)=ROUND(IFERROR(INDEX(Viðmið!$E$6:$E$29,MATCH(B139,Viðmið!$C$6:$C$29,0)),-1),4),"✓","✗"))</f>
        <v/>
      </c>
      <c r="J139" s="61" t="n"/>
      <c r="K139" s="61" t="n"/>
      <c r="L139" s="61" t="n"/>
      <c r="M139" s="61" t="n"/>
      <c r="N139" s="61" t="n"/>
      <c r="O139" s="61" t="n"/>
      <c r="P139" s="61" t="n"/>
      <c r="Q139" s="61" t="n"/>
    </row>
    <row r="140">
      <c r="A140" s="65">
        <f>IF($B140="","",ROW()-5)</f>
        <v/>
      </c>
      <c r="B140" s="60" t="n"/>
      <c r="C140" s="60" t="n"/>
      <c r="D140" s="61" t="n"/>
      <c r="E140" s="59" t="n"/>
      <c r="F140" s="66" t="n"/>
      <c r="G140" s="67">
        <f>IFERROR(IF(B140="","",INDEX(Viðmið!$B$6:$B$29,MATCH(B140,Viðmið!$C$6:$C$29,0))),"")</f>
        <v/>
      </c>
      <c r="H140" s="68">
        <f>IF(OR(E140="",F140=""),"",E140*KVARDI)</f>
        <v/>
      </c>
      <c r="I140" s="69">
        <f>IF(B140="","",IF(ROUND(SUMIF($B$6:$B$205,B140,$E$6:$E$205),4)=ROUND(IFERROR(INDEX(Viðmið!$E$6:$E$29,MATCH(B140,Viðmið!$C$6:$C$29,0)),-1),4),"✓","✗"))</f>
        <v/>
      </c>
      <c r="J140" s="61" t="n"/>
      <c r="K140" s="61" t="n"/>
      <c r="L140" s="61" t="n"/>
      <c r="M140" s="61" t="n"/>
      <c r="N140" s="61" t="n"/>
      <c r="O140" s="61" t="n"/>
      <c r="P140" s="61" t="n"/>
      <c r="Q140" s="61" t="n"/>
    </row>
    <row r="141">
      <c r="A141" s="65">
        <f>IF($B141="","",ROW()-5)</f>
        <v/>
      </c>
      <c r="B141" s="60" t="n"/>
      <c r="C141" s="60" t="n"/>
      <c r="D141" s="61" t="n"/>
      <c r="E141" s="59" t="n"/>
      <c r="F141" s="66" t="n"/>
      <c r="G141" s="67">
        <f>IFERROR(IF(B141="","",INDEX(Viðmið!$B$6:$B$29,MATCH(B141,Viðmið!$C$6:$C$29,0))),"")</f>
        <v/>
      </c>
      <c r="H141" s="68">
        <f>IF(OR(E141="",F141=""),"",E141*KVARDI)</f>
        <v/>
      </c>
      <c r="I141" s="69">
        <f>IF(B141="","",IF(ROUND(SUMIF($B$6:$B$205,B141,$E$6:$E$205),4)=ROUND(IFERROR(INDEX(Viðmið!$E$6:$E$29,MATCH(B141,Viðmið!$C$6:$C$29,0)),-1),4),"✓","✗"))</f>
        <v/>
      </c>
      <c r="J141" s="61" t="n"/>
      <c r="K141" s="61" t="n"/>
      <c r="L141" s="61" t="n"/>
      <c r="M141" s="61" t="n"/>
      <c r="N141" s="61" t="n"/>
      <c r="O141" s="61" t="n"/>
      <c r="P141" s="61" t="n"/>
      <c r="Q141" s="61" t="n"/>
    </row>
    <row r="142">
      <c r="A142" s="65">
        <f>IF($B142="","",ROW()-5)</f>
        <v/>
      </c>
      <c r="B142" s="60" t="n"/>
      <c r="C142" s="60" t="n"/>
      <c r="D142" s="61" t="n"/>
      <c r="E142" s="59" t="n"/>
      <c r="F142" s="66" t="n"/>
      <c r="G142" s="67">
        <f>IFERROR(IF(B142="","",INDEX(Viðmið!$B$6:$B$29,MATCH(B142,Viðmið!$C$6:$C$29,0))),"")</f>
        <v/>
      </c>
      <c r="H142" s="68">
        <f>IF(OR(E142="",F142=""),"",E142*KVARDI)</f>
        <v/>
      </c>
      <c r="I142" s="69">
        <f>IF(B142="","",IF(ROUND(SUMIF($B$6:$B$205,B142,$E$6:$E$205),4)=ROUND(IFERROR(INDEX(Viðmið!$E$6:$E$29,MATCH(B142,Viðmið!$C$6:$C$29,0)),-1),4),"✓","✗"))</f>
        <v/>
      </c>
      <c r="J142" s="61" t="n"/>
      <c r="K142" s="61" t="n"/>
      <c r="L142" s="61" t="n"/>
      <c r="M142" s="61" t="n"/>
      <c r="N142" s="61" t="n"/>
      <c r="O142" s="61" t="n"/>
      <c r="P142" s="61" t="n"/>
      <c r="Q142" s="61" t="n"/>
    </row>
    <row r="143">
      <c r="A143" s="65">
        <f>IF($B143="","",ROW()-5)</f>
        <v/>
      </c>
      <c r="B143" s="60" t="n"/>
      <c r="C143" s="60" t="n"/>
      <c r="D143" s="61" t="n"/>
      <c r="E143" s="59" t="n"/>
      <c r="F143" s="66" t="n"/>
      <c r="G143" s="67">
        <f>IFERROR(IF(B143="","",INDEX(Viðmið!$B$6:$B$29,MATCH(B143,Viðmið!$C$6:$C$29,0))),"")</f>
        <v/>
      </c>
      <c r="H143" s="68">
        <f>IF(OR(E143="",F143=""),"",E143*KVARDI)</f>
        <v/>
      </c>
      <c r="I143" s="69">
        <f>IF(B143="","",IF(ROUND(SUMIF($B$6:$B$205,B143,$E$6:$E$205),4)=ROUND(IFERROR(INDEX(Viðmið!$E$6:$E$29,MATCH(B143,Viðmið!$C$6:$C$29,0)),-1),4),"✓","✗"))</f>
        <v/>
      </c>
      <c r="J143" s="61" t="n"/>
      <c r="K143" s="61" t="n"/>
      <c r="L143" s="61" t="n"/>
      <c r="M143" s="61" t="n"/>
      <c r="N143" s="61" t="n"/>
      <c r="O143" s="61" t="n"/>
      <c r="P143" s="61" t="n"/>
      <c r="Q143" s="61" t="n"/>
    </row>
    <row r="144">
      <c r="A144" s="65">
        <f>IF($B144="","",ROW()-5)</f>
        <v/>
      </c>
      <c r="B144" s="60" t="n"/>
      <c r="C144" s="60" t="n"/>
      <c r="D144" s="61" t="n"/>
      <c r="E144" s="59" t="n"/>
      <c r="F144" s="66" t="n"/>
      <c r="G144" s="67">
        <f>IFERROR(IF(B144="","",INDEX(Viðmið!$B$6:$B$29,MATCH(B144,Viðmið!$C$6:$C$29,0))),"")</f>
        <v/>
      </c>
      <c r="H144" s="68">
        <f>IF(OR(E144="",F144=""),"",E144*KVARDI)</f>
        <v/>
      </c>
      <c r="I144" s="69">
        <f>IF(B144="","",IF(ROUND(SUMIF($B$6:$B$205,B144,$E$6:$E$205),4)=ROUND(IFERROR(INDEX(Viðmið!$E$6:$E$29,MATCH(B144,Viðmið!$C$6:$C$29,0)),-1),4),"✓","✗"))</f>
        <v/>
      </c>
      <c r="J144" s="61" t="n"/>
      <c r="K144" s="61" t="n"/>
      <c r="L144" s="61" t="n"/>
      <c r="M144" s="61" t="n"/>
      <c r="N144" s="61" t="n"/>
      <c r="O144" s="61" t="n"/>
      <c r="P144" s="61" t="n"/>
      <c r="Q144" s="61" t="n"/>
    </row>
    <row r="145">
      <c r="A145" s="65">
        <f>IF($B145="","",ROW()-5)</f>
        <v/>
      </c>
      <c r="B145" s="60" t="n"/>
      <c r="C145" s="60" t="n"/>
      <c r="D145" s="61" t="n"/>
      <c r="E145" s="59" t="n"/>
      <c r="F145" s="66" t="n"/>
      <c r="G145" s="67">
        <f>IFERROR(IF(B145="","",INDEX(Viðmið!$B$6:$B$29,MATCH(B145,Viðmið!$C$6:$C$29,0))),"")</f>
        <v/>
      </c>
      <c r="H145" s="68">
        <f>IF(OR(E145="",F145=""),"",E145*KVARDI)</f>
        <v/>
      </c>
      <c r="I145" s="69">
        <f>IF(B145="","",IF(ROUND(SUMIF($B$6:$B$205,B145,$E$6:$E$205),4)=ROUND(IFERROR(INDEX(Viðmið!$E$6:$E$29,MATCH(B145,Viðmið!$C$6:$C$29,0)),-1),4),"✓","✗"))</f>
        <v/>
      </c>
      <c r="J145" s="61" t="n"/>
      <c r="K145" s="61" t="n"/>
      <c r="L145" s="61" t="n"/>
      <c r="M145" s="61" t="n"/>
      <c r="N145" s="61" t="n"/>
      <c r="O145" s="61" t="n"/>
      <c r="P145" s="61" t="n"/>
      <c r="Q145" s="61" t="n"/>
    </row>
    <row r="146">
      <c r="A146" s="65">
        <f>IF($B146="","",ROW()-5)</f>
        <v/>
      </c>
      <c r="B146" s="60" t="n"/>
      <c r="C146" s="60" t="n"/>
      <c r="D146" s="61" t="n"/>
      <c r="E146" s="59" t="n"/>
      <c r="F146" s="66" t="n"/>
      <c r="G146" s="67">
        <f>IFERROR(IF(B146="","",INDEX(Viðmið!$B$6:$B$29,MATCH(B146,Viðmið!$C$6:$C$29,0))),"")</f>
        <v/>
      </c>
      <c r="H146" s="68">
        <f>IF(OR(E146="",F146=""),"",E146*KVARDI)</f>
        <v/>
      </c>
      <c r="I146" s="69">
        <f>IF(B146="","",IF(ROUND(SUMIF($B$6:$B$205,B146,$E$6:$E$205),4)=ROUND(IFERROR(INDEX(Viðmið!$E$6:$E$29,MATCH(B146,Viðmið!$C$6:$C$29,0)),-1),4),"✓","✗"))</f>
        <v/>
      </c>
      <c r="J146" s="61" t="n"/>
      <c r="K146" s="61" t="n"/>
      <c r="L146" s="61" t="n"/>
      <c r="M146" s="61" t="n"/>
      <c r="N146" s="61" t="n"/>
      <c r="O146" s="61" t="n"/>
      <c r="P146" s="61" t="n"/>
      <c r="Q146" s="61" t="n"/>
    </row>
    <row r="147">
      <c r="A147" s="65">
        <f>IF($B147="","",ROW()-5)</f>
        <v/>
      </c>
      <c r="B147" s="60" t="n"/>
      <c r="C147" s="60" t="n"/>
      <c r="D147" s="61" t="n"/>
      <c r="E147" s="59" t="n"/>
      <c r="F147" s="66" t="n"/>
      <c r="G147" s="67">
        <f>IFERROR(IF(B147="","",INDEX(Viðmið!$B$6:$B$29,MATCH(B147,Viðmið!$C$6:$C$29,0))),"")</f>
        <v/>
      </c>
      <c r="H147" s="68">
        <f>IF(OR(E147="",F147=""),"",E147*KVARDI)</f>
        <v/>
      </c>
      <c r="I147" s="69">
        <f>IF(B147="","",IF(ROUND(SUMIF($B$6:$B$205,B147,$E$6:$E$205),4)=ROUND(IFERROR(INDEX(Viðmið!$E$6:$E$29,MATCH(B147,Viðmið!$C$6:$C$29,0)),-1),4),"✓","✗"))</f>
        <v/>
      </c>
      <c r="J147" s="61" t="n"/>
      <c r="K147" s="61" t="n"/>
      <c r="L147" s="61" t="n"/>
      <c r="M147" s="61" t="n"/>
      <c r="N147" s="61" t="n"/>
      <c r="O147" s="61" t="n"/>
      <c r="P147" s="61" t="n"/>
      <c r="Q147" s="61" t="n"/>
    </row>
    <row r="148">
      <c r="A148" s="65">
        <f>IF($B148="","",ROW()-5)</f>
        <v/>
      </c>
      <c r="B148" s="60" t="n"/>
      <c r="C148" s="60" t="n"/>
      <c r="D148" s="61" t="n"/>
      <c r="E148" s="59" t="n"/>
      <c r="F148" s="66" t="n"/>
      <c r="G148" s="67">
        <f>IFERROR(IF(B148="","",INDEX(Viðmið!$B$6:$B$29,MATCH(B148,Viðmið!$C$6:$C$29,0))),"")</f>
        <v/>
      </c>
      <c r="H148" s="68">
        <f>IF(OR(E148="",F148=""),"",E148*KVARDI)</f>
        <v/>
      </c>
      <c r="I148" s="69">
        <f>IF(B148="","",IF(ROUND(SUMIF($B$6:$B$205,B148,$E$6:$E$205),4)=ROUND(IFERROR(INDEX(Viðmið!$E$6:$E$29,MATCH(B148,Viðmið!$C$6:$C$29,0)),-1),4),"✓","✗"))</f>
        <v/>
      </c>
      <c r="J148" s="61" t="n"/>
      <c r="K148" s="61" t="n"/>
      <c r="L148" s="61" t="n"/>
      <c r="M148" s="61" t="n"/>
      <c r="N148" s="61" t="n"/>
      <c r="O148" s="61" t="n"/>
      <c r="P148" s="61" t="n"/>
      <c r="Q148" s="61" t="n"/>
    </row>
    <row r="149">
      <c r="A149" s="65">
        <f>IF($B149="","",ROW()-5)</f>
        <v/>
      </c>
      <c r="B149" s="60" t="n"/>
      <c r="C149" s="60" t="n"/>
      <c r="D149" s="61" t="n"/>
      <c r="E149" s="59" t="n"/>
      <c r="F149" s="66" t="n"/>
      <c r="G149" s="67">
        <f>IFERROR(IF(B149="","",INDEX(Viðmið!$B$6:$B$29,MATCH(B149,Viðmið!$C$6:$C$29,0))),"")</f>
        <v/>
      </c>
      <c r="H149" s="68">
        <f>IF(OR(E149="",F149=""),"",E149*KVARDI)</f>
        <v/>
      </c>
      <c r="I149" s="69">
        <f>IF(B149="","",IF(ROUND(SUMIF($B$6:$B$205,B149,$E$6:$E$205),4)=ROUND(IFERROR(INDEX(Viðmið!$E$6:$E$29,MATCH(B149,Viðmið!$C$6:$C$29,0)),-1),4),"✓","✗"))</f>
        <v/>
      </c>
      <c r="J149" s="61" t="n"/>
      <c r="K149" s="61" t="n"/>
      <c r="L149" s="61" t="n"/>
      <c r="M149" s="61" t="n"/>
      <c r="N149" s="61" t="n"/>
      <c r="O149" s="61" t="n"/>
      <c r="P149" s="61" t="n"/>
      <c r="Q149" s="61" t="n"/>
    </row>
    <row r="150">
      <c r="A150" s="65">
        <f>IF($B150="","",ROW()-5)</f>
        <v/>
      </c>
      <c r="B150" s="60" t="n"/>
      <c r="C150" s="60" t="n"/>
      <c r="D150" s="61" t="n"/>
      <c r="E150" s="59" t="n"/>
      <c r="F150" s="66" t="n"/>
      <c r="G150" s="67">
        <f>IFERROR(IF(B150="","",INDEX(Viðmið!$B$6:$B$29,MATCH(B150,Viðmið!$C$6:$C$29,0))),"")</f>
        <v/>
      </c>
      <c r="H150" s="68">
        <f>IF(OR(E150="",F150=""),"",E150*KVARDI)</f>
        <v/>
      </c>
      <c r="I150" s="69">
        <f>IF(B150="","",IF(ROUND(SUMIF($B$6:$B$205,B150,$E$6:$E$205),4)=ROUND(IFERROR(INDEX(Viðmið!$E$6:$E$29,MATCH(B150,Viðmið!$C$6:$C$29,0)),-1),4),"✓","✗"))</f>
        <v/>
      </c>
      <c r="J150" s="61" t="n"/>
      <c r="K150" s="61" t="n"/>
      <c r="L150" s="61" t="n"/>
      <c r="M150" s="61" t="n"/>
      <c r="N150" s="61" t="n"/>
      <c r="O150" s="61" t="n"/>
      <c r="P150" s="61" t="n"/>
      <c r="Q150" s="61" t="n"/>
    </row>
    <row r="151">
      <c r="A151" s="65">
        <f>IF($B151="","",ROW()-5)</f>
        <v/>
      </c>
      <c r="B151" s="60" t="n"/>
      <c r="C151" s="60" t="n"/>
      <c r="D151" s="61" t="n"/>
      <c r="E151" s="59" t="n"/>
      <c r="F151" s="66" t="n"/>
      <c r="G151" s="67">
        <f>IFERROR(IF(B151="","",INDEX(Viðmið!$B$6:$B$29,MATCH(B151,Viðmið!$C$6:$C$29,0))),"")</f>
        <v/>
      </c>
      <c r="H151" s="68">
        <f>IF(OR(E151="",F151=""),"",E151*KVARDI)</f>
        <v/>
      </c>
      <c r="I151" s="69">
        <f>IF(B151="","",IF(ROUND(SUMIF($B$6:$B$205,B151,$E$6:$E$205),4)=ROUND(IFERROR(INDEX(Viðmið!$E$6:$E$29,MATCH(B151,Viðmið!$C$6:$C$29,0)),-1),4),"✓","✗"))</f>
        <v/>
      </c>
      <c r="J151" s="61" t="n"/>
      <c r="K151" s="61" t="n"/>
      <c r="L151" s="61" t="n"/>
      <c r="M151" s="61" t="n"/>
      <c r="N151" s="61" t="n"/>
      <c r="O151" s="61" t="n"/>
      <c r="P151" s="61" t="n"/>
      <c r="Q151" s="61" t="n"/>
    </row>
    <row r="152">
      <c r="A152" s="65">
        <f>IF($B152="","",ROW()-5)</f>
        <v/>
      </c>
      <c r="B152" s="60" t="n"/>
      <c r="C152" s="60" t="n"/>
      <c r="D152" s="61" t="n"/>
      <c r="E152" s="59" t="n"/>
      <c r="F152" s="66" t="n"/>
      <c r="G152" s="67">
        <f>IFERROR(IF(B152="","",INDEX(Viðmið!$B$6:$B$29,MATCH(B152,Viðmið!$C$6:$C$29,0))),"")</f>
        <v/>
      </c>
      <c r="H152" s="68">
        <f>IF(OR(E152="",F152=""),"",E152*KVARDI)</f>
        <v/>
      </c>
      <c r="I152" s="69">
        <f>IF(B152="","",IF(ROUND(SUMIF($B$6:$B$205,B152,$E$6:$E$205),4)=ROUND(IFERROR(INDEX(Viðmið!$E$6:$E$29,MATCH(B152,Viðmið!$C$6:$C$29,0)),-1),4),"✓","✗"))</f>
        <v/>
      </c>
      <c r="J152" s="61" t="n"/>
      <c r="K152" s="61" t="n"/>
      <c r="L152" s="61" t="n"/>
      <c r="M152" s="61" t="n"/>
      <c r="N152" s="61" t="n"/>
      <c r="O152" s="61" t="n"/>
      <c r="P152" s="61" t="n"/>
      <c r="Q152" s="61" t="n"/>
    </row>
    <row r="153">
      <c r="A153" s="65">
        <f>IF($B153="","",ROW()-5)</f>
        <v/>
      </c>
      <c r="B153" s="60" t="n"/>
      <c r="C153" s="60" t="n"/>
      <c r="D153" s="61" t="n"/>
      <c r="E153" s="59" t="n"/>
      <c r="F153" s="66" t="n"/>
      <c r="G153" s="67">
        <f>IFERROR(IF(B153="","",INDEX(Viðmið!$B$6:$B$29,MATCH(B153,Viðmið!$C$6:$C$29,0))),"")</f>
        <v/>
      </c>
      <c r="H153" s="68">
        <f>IF(OR(E153="",F153=""),"",E153*KVARDI)</f>
        <v/>
      </c>
      <c r="I153" s="69">
        <f>IF(B153="","",IF(ROUND(SUMIF($B$6:$B$205,B153,$E$6:$E$205),4)=ROUND(IFERROR(INDEX(Viðmið!$E$6:$E$29,MATCH(B153,Viðmið!$C$6:$C$29,0)),-1),4),"✓","✗"))</f>
        <v/>
      </c>
      <c r="J153" s="61" t="n"/>
      <c r="K153" s="61" t="n"/>
      <c r="L153" s="61" t="n"/>
      <c r="M153" s="61" t="n"/>
      <c r="N153" s="61" t="n"/>
      <c r="O153" s="61" t="n"/>
      <c r="P153" s="61" t="n"/>
      <c r="Q153" s="61" t="n"/>
    </row>
    <row r="154">
      <c r="A154" s="65">
        <f>IF($B154="","",ROW()-5)</f>
        <v/>
      </c>
      <c r="B154" s="60" t="n"/>
      <c r="C154" s="60" t="n"/>
      <c r="D154" s="61" t="n"/>
      <c r="E154" s="59" t="n"/>
      <c r="F154" s="66" t="n"/>
      <c r="G154" s="67">
        <f>IFERROR(IF(B154="","",INDEX(Viðmið!$B$6:$B$29,MATCH(B154,Viðmið!$C$6:$C$29,0))),"")</f>
        <v/>
      </c>
      <c r="H154" s="68">
        <f>IF(OR(E154="",F154=""),"",E154*KVARDI)</f>
        <v/>
      </c>
      <c r="I154" s="69">
        <f>IF(B154="","",IF(ROUND(SUMIF($B$6:$B$205,B154,$E$6:$E$205),4)=ROUND(IFERROR(INDEX(Viðmið!$E$6:$E$29,MATCH(B154,Viðmið!$C$6:$C$29,0)),-1),4),"✓","✗"))</f>
        <v/>
      </c>
      <c r="J154" s="61" t="n"/>
      <c r="K154" s="61" t="n"/>
      <c r="L154" s="61" t="n"/>
      <c r="M154" s="61" t="n"/>
      <c r="N154" s="61" t="n"/>
      <c r="O154" s="61" t="n"/>
      <c r="P154" s="61" t="n"/>
      <c r="Q154" s="61" t="n"/>
    </row>
    <row r="155">
      <c r="A155" s="65">
        <f>IF($B155="","",ROW()-5)</f>
        <v/>
      </c>
      <c r="B155" s="60" t="n"/>
      <c r="C155" s="60" t="n"/>
      <c r="D155" s="61" t="n"/>
      <c r="E155" s="59" t="n"/>
      <c r="F155" s="66" t="n"/>
      <c r="G155" s="67">
        <f>IFERROR(IF(B155="","",INDEX(Viðmið!$B$6:$B$29,MATCH(B155,Viðmið!$C$6:$C$29,0))),"")</f>
        <v/>
      </c>
      <c r="H155" s="68">
        <f>IF(OR(E155="",F155=""),"",E155*KVARDI)</f>
        <v/>
      </c>
      <c r="I155" s="69">
        <f>IF(B155="","",IF(ROUND(SUMIF($B$6:$B$205,B155,$E$6:$E$205),4)=ROUND(IFERROR(INDEX(Viðmið!$E$6:$E$29,MATCH(B155,Viðmið!$C$6:$C$29,0)),-1),4),"✓","✗"))</f>
        <v/>
      </c>
      <c r="J155" s="61" t="n"/>
      <c r="K155" s="61" t="n"/>
      <c r="L155" s="61" t="n"/>
      <c r="M155" s="61" t="n"/>
      <c r="N155" s="61" t="n"/>
      <c r="O155" s="61" t="n"/>
      <c r="P155" s="61" t="n"/>
      <c r="Q155" s="61" t="n"/>
    </row>
    <row r="156">
      <c r="A156" s="65">
        <f>IF($B156="","",ROW()-5)</f>
        <v/>
      </c>
      <c r="B156" s="60" t="n"/>
      <c r="C156" s="60" t="n"/>
      <c r="D156" s="61" t="n"/>
      <c r="E156" s="59" t="n"/>
      <c r="F156" s="66" t="n"/>
      <c r="G156" s="67">
        <f>IFERROR(IF(B156="","",INDEX(Viðmið!$B$6:$B$29,MATCH(B156,Viðmið!$C$6:$C$29,0))),"")</f>
        <v/>
      </c>
      <c r="H156" s="68">
        <f>IF(OR(E156="",F156=""),"",E156*KVARDI)</f>
        <v/>
      </c>
      <c r="I156" s="69">
        <f>IF(B156="","",IF(ROUND(SUMIF($B$6:$B$205,B156,$E$6:$E$205),4)=ROUND(IFERROR(INDEX(Viðmið!$E$6:$E$29,MATCH(B156,Viðmið!$C$6:$C$29,0)),-1),4),"✓","✗"))</f>
        <v/>
      </c>
      <c r="J156" s="61" t="n"/>
      <c r="K156" s="61" t="n"/>
      <c r="L156" s="61" t="n"/>
      <c r="M156" s="61" t="n"/>
      <c r="N156" s="61" t="n"/>
      <c r="O156" s="61" t="n"/>
      <c r="P156" s="61" t="n"/>
      <c r="Q156" s="61" t="n"/>
    </row>
    <row r="157">
      <c r="A157" s="65">
        <f>IF($B157="","",ROW()-5)</f>
        <v/>
      </c>
      <c r="B157" s="60" t="n"/>
      <c r="C157" s="60" t="n"/>
      <c r="D157" s="61" t="n"/>
      <c r="E157" s="59" t="n"/>
      <c r="F157" s="66" t="n"/>
      <c r="G157" s="67">
        <f>IFERROR(IF(B157="","",INDEX(Viðmið!$B$6:$B$29,MATCH(B157,Viðmið!$C$6:$C$29,0))),"")</f>
        <v/>
      </c>
      <c r="H157" s="68">
        <f>IF(OR(E157="",F157=""),"",E157*KVARDI)</f>
        <v/>
      </c>
      <c r="I157" s="69">
        <f>IF(B157="","",IF(ROUND(SUMIF($B$6:$B$205,B157,$E$6:$E$205),4)=ROUND(IFERROR(INDEX(Viðmið!$E$6:$E$29,MATCH(B157,Viðmið!$C$6:$C$29,0)),-1),4),"✓","✗"))</f>
        <v/>
      </c>
      <c r="J157" s="61" t="n"/>
      <c r="K157" s="61" t="n"/>
      <c r="L157" s="61" t="n"/>
      <c r="M157" s="61" t="n"/>
      <c r="N157" s="61" t="n"/>
      <c r="O157" s="61" t="n"/>
      <c r="P157" s="61" t="n"/>
      <c r="Q157" s="61" t="n"/>
    </row>
    <row r="158">
      <c r="A158" s="65">
        <f>IF($B158="","",ROW()-5)</f>
        <v/>
      </c>
      <c r="B158" s="60" t="n"/>
      <c r="C158" s="60" t="n"/>
      <c r="D158" s="61" t="n"/>
      <c r="E158" s="59" t="n"/>
      <c r="F158" s="66" t="n"/>
      <c r="G158" s="67">
        <f>IFERROR(IF(B158="","",INDEX(Viðmið!$B$6:$B$29,MATCH(B158,Viðmið!$C$6:$C$29,0))),"")</f>
        <v/>
      </c>
      <c r="H158" s="68">
        <f>IF(OR(E158="",F158=""),"",E158*KVARDI)</f>
        <v/>
      </c>
      <c r="I158" s="69">
        <f>IF(B158="","",IF(ROUND(SUMIF($B$6:$B$205,B158,$E$6:$E$205),4)=ROUND(IFERROR(INDEX(Viðmið!$E$6:$E$29,MATCH(B158,Viðmið!$C$6:$C$29,0)),-1),4),"✓","✗"))</f>
        <v/>
      </c>
      <c r="J158" s="61" t="n"/>
      <c r="K158" s="61" t="n"/>
      <c r="L158" s="61" t="n"/>
      <c r="M158" s="61" t="n"/>
      <c r="N158" s="61" t="n"/>
      <c r="O158" s="61" t="n"/>
      <c r="P158" s="61" t="n"/>
      <c r="Q158" s="61" t="n"/>
    </row>
    <row r="159">
      <c r="A159" s="65">
        <f>IF($B159="","",ROW()-5)</f>
        <v/>
      </c>
      <c r="B159" s="60" t="n"/>
      <c r="C159" s="60" t="n"/>
      <c r="D159" s="61" t="n"/>
      <c r="E159" s="59" t="n"/>
      <c r="F159" s="66" t="n"/>
      <c r="G159" s="67">
        <f>IFERROR(IF(B159="","",INDEX(Viðmið!$B$6:$B$29,MATCH(B159,Viðmið!$C$6:$C$29,0))),"")</f>
        <v/>
      </c>
      <c r="H159" s="68">
        <f>IF(OR(E159="",F159=""),"",E159*KVARDI)</f>
        <v/>
      </c>
      <c r="I159" s="69">
        <f>IF(B159="","",IF(ROUND(SUMIF($B$6:$B$205,B159,$E$6:$E$205),4)=ROUND(IFERROR(INDEX(Viðmið!$E$6:$E$29,MATCH(B159,Viðmið!$C$6:$C$29,0)),-1),4),"✓","✗"))</f>
        <v/>
      </c>
      <c r="J159" s="61" t="n"/>
      <c r="K159" s="61" t="n"/>
      <c r="L159" s="61" t="n"/>
      <c r="M159" s="61" t="n"/>
      <c r="N159" s="61" t="n"/>
      <c r="O159" s="61" t="n"/>
      <c r="P159" s="61" t="n"/>
      <c r="Q159" s="61" t="n"/>
    </row>
    <row r="160">
      <c r="A160" s="65">
        <f>IF($B160="","",ROW()-5)</f>
        <v/>
      </c>
      <c r="B160" s="60" t="n"/>
      <c r="C160" s="60" t="n"/>
      <c r="D160" s="61" t="n"/>
      <c r="E160" s="59" t="n"/>
      <c r="F160" s="66" t="n"/>
      <c r="G160" s="67">
        <f>IFERROR(IF(B160="","",INDEX(Viðmið!$B$6:$B$29,MATCH(B160,Viðmið!$C$6:$C$29,0))),"")</f>
        <v/>
      </c>
      <c r="H160" s="68">
        <f>IF(OR(E160="",F160=""),"",E160*KVARDI)</f>
        <v/>
      </c>
      <c r="I160" s="69">
        <f>IF(B160="","",IF(ROUND(SUMIF($B$6:$B$205,B160,$E$6:$E$205),4)=ROUND(IFERROR(INDEX(Viðmið!$E$6:$E$29,MATCH(B160,Viðmið!$C$6:$C$29,0)),-1),4),"✓","✗"))</f>
        <v/>
      </c>
      <c r="J160" s="61" t="n"/>
      <c r="K160" s="61" t="n"/>
      <c r="L160" s="61" t="n"/>
      <c r="M160" s="61" t="n"/>
      <c r="N160" s="61" t="n"/>
      <c r="O160" s="61" t="n"/>
      <c r="P160" s="61" t="n"/>
      <c r="Q160" s="61" t="n"/>
    </row>
    <row r="161">
      <c r="A161" s="65">
        <f>IF($B161="","",ROW()-5)</f>
        <v/>
      </c>
      <c r="B161" s="60" t="n"/>
      <c r="C161" s="60" t="n"/>
      <c r="D161" s="61" t="n"/>
      <c r="E161" s="59" t="n"/>
      <c r="F161" s="66" t="n"/>
      <c r="G161" s="67">
        <f>IFERROR(IF(B161="","",INDEX(Viðmið!$B$6:$B$29,MATCH(B161,Viðmið!$C$6:$C$29,0))),"")</f>
        <v/>
      </c>
      <c r="H161" s="68">
        <f>IF(OR(E161="",F161=""),"",E161*KVARDI)</f>
        <v/>
      </c>
      <c r="I161" s="69">
        <f>IF(B161="","",IF(ROUND(SUMIF($B$6:$B$205,B161,$E$6:$E$205),4)=ROUND(IFERROR(INDEX(Viðmið!$E$6:$E$29,MATCH(B161,Viðmið!$C$6:$C$29,0)),-1),4),"✓","✗"))</f>
        <v/>
      </c>
      <c r="J161" s="61" t="n"/>
      <c r="K161" s="61" t="n"/>
      <c r="L161" s="61" t="n"/>
      <c r="M161" s="61" t="n"/>
      <c r="N161" s="61" t="n"/>
      <c r="O161" s="61" t="n"/>
      <c r="P161" s="61" t="n"/>
      <c r="Q161" s="61" t="n"/>
    </row>
    <row r="162">
      <c r="A162" s="65">
        <f>IF($B162="","",ROW()-5)</f>
        <v/>
      </c>
      <c r="B162" s="60" t="n"/>
      <c r="C162" s="60" t="n"/>
      <c r="D162" s="61" t="n"/>
      <c r="E162" s="59" t="n"/>
      <c r="F162" s="66" t="n"/>
      <c r="G162" s="67">
        <f>IFERROR(IF(B162="","",INDEX(Viðmið!$B$6:$B$29,MATCH(B162,Viðmið!$C$6:$C$29,0))),"")</f>
        <v/>
      </c>
      <c r="H162" s="68">
        <f>IF(OR(E162="",F162=""),"",E162*KVARDI)</f>
        <v/>
      </c>
      <c r="I162" s="69">
        <f>IF(B162="","",IF(ROUND(SUMIF($B$6:$B$205,B162,$E$6:$E$205),4)=ROUND(IFERROR(INDEX(Viðmið!$E$6:$E$29,MATCH(B162,Viðmið!$C$6:$C$29,0)),-1),4),"✓","✗"))</f>
        <v/>
      </c>
      <c r="J162" s="61" t="n"/>
      <c r="K162" s="61" t="n"/>
      <c r="L162" s="61" t="n"/>
      <c r="M162" s="61" t="n"/>
      <c r="N162" s="61" t="n"/>
      <c r="O162" s="61" t="n"/>
      <c r="P162" s="61" t="n"/>
      <c r="Q162" s="61" t="n"/>
    </row>
    <row r="163">
      <c r="A163" s="65">
        <f>IF($B163="","",ROW()-5)</f>
        <v/>
      </c>
      <c r="B163" s="60" t="n"/>
      <c r="C163" s="60" t="n"/>
      <c r="D163" s="61" t="n"/>
      <c r="E163" s="59" t="n"/>
      <c r="F163" s="66" t="n"/>
      <c r="G163" s="67">
        <f>IFERROR(IF(B163="","",INDEX(Viðmið!$B$6:$B$29,MATCH(B163,Viðmið!$C$6:$C$29,0))),"")</f>
        <v/>
      </c>
      <c r="H163" s="68">
        <f>IF(OR(E163="",F163=""),"",E163*KVARDI)</f>
        <v/>
      </c>
      <c r="I163" s="69">
        <f>IF(B163="","",IF(ROUND(SUMIF($B$6:$B$205,B163,$E$6:$E$205),4)=ROUND(IFERROR(INDEX(Viðmið!$E$6:$E$29,MATCH(B163,Viðmið!$C$6:$C$29,0)),-1),4),"✓","✗"))</f>
        <v/>
      </c>
      <c r="J163" s="61" t="n"/>
      <c r="K163" s="61" t="n"/>
      <c r="L163" s="61" t="n"/>
      <c r="M163" s="61" t="n"/>
      <c r="N163" s="61" t="n"/>
      <c r="O163" s="61" t="n"/>
      <c r="P163" s="61" t="n"/>
      <c r="Q163" s="61" t="n"/>
    </row>
    <row r="164">
      <c r="A164" s="65">
        <f>IF($B164="","",ROW()-5)</f>
        <v/>
      </c>
      <c r="B164" s="60" t="n"/>
      <c r="C164" s="60" t="n"/>
      <c r="D164" s="61" t="n"/>
      <c r="E164" s="59" t="n"/>
      <c r="F164" s="66" t="n"/>
      <c r="G164" s="67">
        <f>IFERROR(IF(B164="","",INDEX(Viðmið!$B$6:$B$29,MATCH(B164,Viðmið!$C$6:$C$29,0))),"")</f>
        <v/>
      </c>
      <c r="H164" s="68">
        <f>IF(OR(E164="",F164=""),"",E164*KVARDI)</f>
        <v/>
      </c>
      <c r="I164" s="69">
        <f>IF(B164="","",IF(ROUND(SUMIF($B$6:$B$205,B164,$E$6:$E$205),4)=ROUND(IFERROR(INDEX(Viðmið!$E$6:$E$29,MATCH(B164,Viðmið!$C$6:$C$29,0)),-1),4),"✓","✗"))</f>
        <v/>
      </c>
      <c r="J164" s="61" t="n"/>
      <c r="K164" s="61" t="n"/>
      <c r="L164" s="61" t="n"/>
      <c r="M164" s="61" t="n"/>
      <c r="N164" s="61" t="n"/>
      <c r="O164" s="61" t="n"/>
      <c r="P164" s="61" t="n"/>
      <c r="Q164" s="61" t="n"/>
    </row>
    <row r="165">
      <c r="A165" s="65">
        <f>IF($B165="","",ROW()-5)</f>
        <v/>
      </c>
      <c r="B165" s="60" t="n"/>
      <c r="C165" s="60" t="n"/>
      <c r="D165" s="61" t="n"/>
      <c r="E165" s="59" t="n"/>
      <c r="F165" s="66" t="n"/>
      <c r="G165" s="67">
        <f>IFERROR(IF(B165="","",INDEX(Viðmið!$B$6:$B$29,MATCH(B165,Viðmið!$C$6:$C$29,0))),"")</f>
        <v/>
      </c>
      <c r="H165" s="68">
        <f>IF(OR(E165="",F165=""),"",E165*KVARDI)</f>
        <v/>
      </c>
      <c r="I165" s="69">
        <f>IF(B165="","",IF(ROUND(SUMIF($B$6:$B$205,B165,$E$6:$E$205),4)=ROUND(IFERROR(INDEX(Viðmið!$E$6:$E$29,MATCH(B165,Viðmið!$C$6:$C$29,0)),-1),4),"✓","✗"))</f>
        <v/>
      </c>
      <c r="J165" s="61" t="n"/>
      <c r="K165" s="61" t="n"/>
      <c r="L165" s="61" t="n"/>
      <c r="M165" s="61" t="n"/>
      <c r="N165" s="61" t="n"/>
      <c r="O165" s="61" t="n"/>
      <c r="P165" s="61" t="n"/>
      <c r="Q165" s="61" t="n"/>
    </row>
    <row r="166">
      <c r="A166" s="65">
        <f>IF($B166="","",ROW()-5)</f>
        <v/>
      </c>
      <c r="B166" s="60" t="n"/>
      <c r="C166" s="60" t="n"/>
      <c r="D166" s="61" t="n"/>
      <c r="E166" s="59" t="n"/>
      <c r="F166" s="66" t="n"/>
      <c r="G166" s="67">
        <f>IFERROR(IF(B166="","",INDEX(Viðmið!$B$6:$B$29,MATCH(B166,Viðmið!$C$6:$C$29,0))),"")</f>
        <v/>
      </c>
      <c r="H166" s="68">
        <f>IF(OR(E166="",F166=""),"",E166*KVARDI)</f>
        <v/>
      </c>
      <c r="I166" s="69">
        <f>IF(B166="","",IF(ROUND(SUMIF($B$6:$B$205,B166,$E$6:$E$205),4)=ROUND(IFERROR(INDEX(Viðmið!$E$6:$E$29,MATCH(B166,Viðmið!$C$6:$C$29,0)),-1),4),"✓","✗"))</f>
        <v/>
      </c>
      <c r="J166" s="61" t="n"/>
      <c r="K166" s="61" t="n"/>
      <c r="L166" s="61" t="n"/>
      <c r="M166" s="61" t="n"/>
      <c r="N166" s="61" t="n"/>
      <c r="O166" s="61" t="n"/>
      <c r="P166" s="61" t="n"/>
      <c r="Q166" s="61" t="n"/>
    </row>
    <row r="167">
      <c r="A167" s="65">
        <f>IF($B167="","",ROW()-5)</f>
        <v/>
      </c>
      <c r="B167" s="60" t="n"/>
      <c r="C167" s="60" t="n"/>
      <c r="D167" s="61" t="n"/>
      <c r="E167" s="59" t="n"/>
      <c r="F167" s="66" t="n"/>
      <c r="G167" s="67">
        <f>IFERROR(IF(B167="","",INDEX(Viðmið!$B$6:$B$29,MATCH(B167,Viðmið!$C$6:$C$29,0))),"")</f>
        <v/>
      </c>
      <c r="H167" s="68">
        <f>IF(OR(E167="",F167=""),"",E167*KVARDI)</f>
        <v/>
      </c>
      <c r="I167" s="69">
        <f>IF(B167="","",IF(ROUND(SUMIF($B$6:$B$205,B167,$E$6:$E$205),4)=ROUND(IFERROR(INDEX(Viðmið!$E$6:$E$29,MATCH(B167,Viðmið!$C$6:$C$29,0)),-1),4),"✓","✗"))</f>
        <v/>
      </c>
      <c r="J167" s="61" t="n"/>
      <c r="K167" s="61" t="n"/>
      <c r="L167" s="61" t="n"/>
      <c r="M167" s="61" t="n"/>
      <c r="N167" s="61" t="n"/>
      <c r="O167" s="61" t="n"/>
      <c r="P167" s="61" t="n"/>
      <c r="Q167" s="61" t="n"/>
    </row>
    <row r="168">
      <c r="A168" s="65">
        <f>IF($B168="","",ROW()-5)</f>
        <v/>
      </c>
      <c r="B168" s="60" t="n"/>
      <c r="C168" s="60" t="n"/>
      <c r="D168" s="61" t="n"/>
      <c r="E168" s="59" t="n"/>
      <c r="F168" s="66" t="n"/>
      <c r="G168" s="67">
        <f>IFERROR(IF(B168="","",INDEX(Viðmið!$B$6:$B$29,MATCH(B168,Viðmið!$C$6:$C$29,0))),"")</f>
        <v/>
      </c>
      <c r="H168" s="68">
        <f>IF(OR(E168="",F168=""),"",E168*KVARDI)</f>
        <v/>
      </c>
      <c r="I168" s="69">
        <f>IF(B168="","",IF(ROUND(SUMIF($B$6:$B$205,B168,$E$6:$E$205),4)=ROUND(IFERROR(INDEX(Viðmið!$E$6:$E$29,MATCH(B168,Viðmið!$C$6:$C$29,0)),-1),4),"✓","✗"))</f>
        <v/>
      </c>
      <c r="J168" s="61" t="n"/>
      <c r="K168" s="61" t="n"/>
      <c r="L168" s="61" t="n"/>
      <c r="M168" s="61" t="n"/>
      <c r="N168" s="61" t="n"/>
      <c r="O168" s="61" t="n"/>
      <c r="P168" s="61" t="n"/>
      <c r="Q168" s="61" t="n"/>
    </row>
    <row r="169">
      <c r="A169" s="65">
        <f>IF($B169="","",ROW()-5)</f>
        <v/>
      </c>
      <c r="B169" s="60" t="n"/>
      <c r="C169" s="60" t="n"/>
      <c r="D169" s="61" t="n"/>
      <c r="E169" s="59" t="n"/>
      <c r="F169" s="66" t="n"/>
      <c r="G169" s="67">
        <f>IFERROR(IF(B169="","",INDEX(Viðmið!$B$6:$B$29,MATCH(B169,Viðmið!$C$6:$C$29,0))),"")</f>
        <v/>
      </c>
      <c r="H169" s="68">
        <f>IF(OR(E169="",F169=""),"",E169*KVARDI)</f>
        <v/>
      </c>
      <c r="I169" s="69">
        <f>IF(B169="","",IF(ROUND(SUMIF($B$6:$B$205,B169,$E$6:$E$205),4)=ROUND(IFERROR(INDEX(Viðmið!$E$6:$E$29,MATCH(B169,Viðmið!$C$6:$C$29,0)),-1),4),"✓","✗"))</f>
        <v/>
      </c>
      <c r="J169" s="61" t="n"/>
      <c r="K169" s="61" t="n"/>
      <c r="L169" s="61" t="n"/>
      <c r="M169" s="61" t="n"/>
      <c r="N169" s="61" t="n"/>
      <c r="O169" s="61" t="n"/>
      <c r="P169" s="61" t="n"/>
      <c r="Q169" s="61" t="n"/>
    </row>
    <row r="170">
      <c r="A170" s="65">
        <f>IF($B170="","",ROW()-5)</f>
        <v/>
      </c>
      <c r="B170" s="60" t="n"/>
      <c r="C170" s="60" t="n"/>
      <c r="D170" s="61" t="n"/>
      <c r="E170" s="59" t="n"/>
      <c r="F170" s="66" t="n"/>
      <c r="G170" s="67">
        <f>IFERROR(IF(B170="","",INDEX(Viðmið!$B$6:$B$29,MATCH(B170,Viðmið!$C$6:$C$29,0))),"")</f>
        <v/>
      </c>
      <c r="H170" s="68">
        <f>IF(OR(E170="",F170=""),"",E170*KVARDI)</f>
        <v/>
      </c>
      <c r="I170" s="69">
        <f>IF(B170="","",IF(ROUND(SUMIF($B$6:$B$205,B170,$E$6:$E$205),4)=ROUND(IFERROR(INDEX(Viðmið!$E$6:$E$29,MATCH(B170,Viðmið!$C$6:$C$29,0)),-1),4),"✓","✗"))</f>
        <v/>
      </c>
      <c r="J170" s="61" t="n"/>
      <c r="K170" s="61" t="n"/>
      <c r="L170" s="61" t="n"/>
      <c r="M170" s="61" t="n"/>
      <c r="N170" s="61" t="n"/>
      <c r="O170" s="61" t="n"/>
      <c r="P170" s="61" t="n"/>
      <c r="Q170" s="61" t="n"/>
    </row>
    <row r="171">
      <c r="A171" s="65">
        <f>IF($B171="","",ROW()-5)</f>
        <v/>
      </c>
      <c r="B171" s="60" t="n"/>
      <c r="C171" s="60" t="n"/>
      <c r="D171" s="61" t="n"/>
      <c r="E171" s="59" t="n"/>
      <c r="F171" s="66" t="n"/>
      <c r="G171" s="67">
        <f>IFERROR(IF(B171="","",INDEX(Viðmið!$B$6:$B$29,MATCH(B171,Viðmið!$C$6:$C$29,0))),"")</f>
        <v/>
      </c>
      <c r="H171" s="68">
        <f>IF(OR(E171="",F171=""),"",E171*KVARDI)</f>
        <v/>
      </c>
      <c r="I171" s="69">
        <f>IF(B171="","",IF(ROUND(SUMIF($B$6:$B$205,B171,$E$6:$E$205),4)=ROUND(IFERROR(INDEX(Viðmið!$E$6:$E$29,MATCH(B171,Viðmið!$C$6:$C$29,0)),-1),4),"✓","✗"))</f>
        <v/>
      </c>
      <c r="J171" s="61" t="n"/>
      <c r="K171" s="61" t="n"/>
      <c r="L171" s="61" t="n"/>
      <c r="M171" s="61" t="n"/>
      <c r="N171" s="61" t="n"/>
      <c r="O171" s="61" t="n"/>
      <c r="P171" s="61" t="n"/>
      <c r="Q171" s="61" t="n"/>
    </row>
    <row r="172">
      <c r="A172" s="65">
        <f>IF($B172="","",ROW()-5)</f>
        <v/>
      </c>
      <c r="B172" s="60" t="n"/>
      <c r="C172" s="60" t="n"/>
      <c r="D172" s="61" t="n"/>
      <c r="E172" s="59" t="n"/>
      <c r="F172" s="66" t="n"/>
      <c r="G172" s="67">
        <f>IFERROR(IF(B172="","",INDEX(Viðmið!$B$6:$B$29,MATCH(B172,Viðmið!$C$6:$C$29,0))),"")</f>
        <v/>
      </c>
      <c r="H172" s="68">
        <f>IF(OR(E172="",F172=""),"",E172*KVARDI)</f>
        <v/>
      </c>
      <c r="I172" s="69">
        <f>IF(B172="","",IF(ROUND(SUMIF($B$6:$B$205,B172,$E$6:$E$205),4)=ROUND(IFERROR(INDEX(Viðmið!$E$6:$E$29,MATCH(B172,Viðmið!$C$6:$C$29,0)),-1),4),"✓","✗"))</f>
        <v/>
      </c>
      <c r="J172" s="61" t="n"/>
      <c r="K172" s="61" t="n"/>
      <c r="L172" s="61" t="n"/>
      <c r="M172" s="61" t="n"/>
      <c r="N172" s="61" t="n"/>
      <c r="O172" s="61" t="n"/>
      <c r="P172" s="61" t="n"/>
      <c r="Q172" s="61" t="n"/>
    </row>
    <row r="173">
      <c r="A173" s="65">
        <f>IF($B173="","",ROW()-5)</f>
        <v/>
      </c>
      <c r="B173" s="60" t="n"/>
      <c r="C173" s="60" t="n"/>
      <c r="D173" s="61" t="n"/>
      <c r="E173" s="59" t="n"/>
      <c r="F173" s="66" t="n"/>
      <c r="G173" s="67">
        <f>IFERROR(IF(B173="","",INDEX(Viðmið!$B$6:$B$29,MATCH(B173,Viðmið!$C$6:$C$29,0))),"")</f>
        <v/>
      </c>
      <c r="H173" s="68">
        <f>IF(OR(E173="",F173=""),"",E173*KVARDI)</f>
        <v/>
      </c>
      <c r="I173" s="69">
        <f>IF(B173="","",IF(ROUND(SUMIF($B$6:$B$205,B173,$E$6:$E$205),4)=ROUND(IFERROR(INDEX(Viðmið!$E$6:$E$29,MATCH(B173,Viðmið!$C$6:$C$29,0)),-1),4),"✓","✗"))</f>
        <v/>
      </c>
      <c r="J173" s="61" t="n"/>
      <c r="K173" s="61" t="n"/>
      <c r="L173" s="61" t="n"/>
      <c r="M173" s="61" t="n"/>
      <c r="N173" s="61" t="n"/>
      <c r="O173" s="61" t="n"/>
      <c r="P173" s="61" t="n"/>
      <c r="Q173" s="61" t="n"/>
    </row>
    <row r="174">
      <c r="A174" s="65">
        <f>IF($B174="","",ROW()-5)</f>
        <v/>
      </c>
      <c r="B174" s="60" t="n"/>
      <c r="C174" s="60" t="n"/>
      <c r="D174" s="61" t="n"/>
      <c r="E174" s="59" t="n"/>
      <c r="F174" s="66" t="n"/>
      <c r="G174" s="67">
        <f>IFERROR(IF(B174="","",INDEX(Viðmið!$B$6:$B$29,MATCH(B174,Viðmið!$C$6:$C$29,0))),"")</f>
        <v/>
      </c>
      <c r="H174" s="68">
        <f>IF(OR(E174="",F174=""),"",E174*KVARDI)</f>
        <v/>
      </c>
      <c r="I174" s="69">
        <f>IF(B174="","",IF(ROUND(SUMIF($B$6:$B$205,B174,$E$6:$E$205),4)=ROUND(IFERROR(INDEX(Viðmið!$E$6:$E$29,MATCH(B174,Viðmið!$C$6:$C$29,0)),-1),4),"✓","✗"))</f>
        <v/>
      </c>
      <c r="J174" s="61" t="n"/>
      <c r="K174" s="61" t="n"/>
      <c r="L174" s="61" t="n"/>
      <c r="M174" s="61" t="n"/>
      <c r="N174" s="61" t="n"/>
      <c r="O174" s="61" t="n"/>
      <c r="P174" s="61" t="n"/>
      <c r="Q174" s="61" t="n"/>
    </row>
    <row r="175">
      <c r="A175" s="65">
        <f>IF($B175="","",ROW()-5)</f>
        <v/>
      </c>
      <c r="B175" s="60" t="n"/>
      <c r="C175" s="60" t="n"/>
      <c r="D175" s="61" t="n"/>
      <c r="E175" s="59" t="n"/>
      <c r="F175" s="66" t="n"/>
      <c r="G175" s="67">
        <f>IFERROR(IF(B175="","",INDEX(Viðmið!$B$6:$B$29,MATCH(B175,Viðmið!$C$6:$C$29,0))),"")</f>
        <v/>
      </c>
      <c r="H175" s="68">
        <f>IF(OR(E175="",F175=""),"",E175*KVARDI)</f>
        <v/>
      </c>
      <c r="I175" s="69">
        <f>IF(B175="","",IF(ROUND(SUMIF($B$6:$B$205,B175,$E$6:$E$205),4)=ROUND(IFERROR(INDEX(Viðmið!$E$6:$E$29,MATCH(B175,Viðmið!$C$6:$C$29,0)),-1),4),"✓","✗"))</f>
        <v/>
      </c>
      <c r="J175" s="61" t="n"/>
      <c r="K175" s="61" t="n"/>
      <c r="L175" s="61" t="n"/>
      <c r="M175" s="61" t="n"/>
      <c r="N175" s="61" t="n"/>
      <c r="O175" s="61" t="n"/>
      <c r="P175" s="61" t="n"/>
      <c r="Q175" s="61" t="n"/>
    </row>
    <row r="176">
      <c r="A176" s="65">
        <f>IF($B176="","",ROW()-5)</f>
        <v/>
      </c>
      <c r="B176" s="60" t="n"/>
      <c r="C176" s="60" t="n"/>
      <c r="D176" s="61" t="n"/>
      <c r="E176" s="59" t="n"/>
      <c r="F176" s="66" t="n"/>
      <c r="G176" s="67">
        <f>IFERROR(IF(B176="","",INDEX(Viðmið!$B$6:$B$29,MATCH(B176,Viðmið!$C$6:$C$29,0))),"")</f>
        <v/>
      </c>
      <c r="H176" s="68">
        <f>IF(OR(E176="",F176=""),"",E176*KVARDI)</f>
        <v/>
      </c>
      <c r="I176" s="69">
        <f>IF(B176="","",IF(ROUND(SUMIF($B$6:$B$205,B176,$E$6:$E$205),4)=ROUND(IFERROR(INDEX(Viðmið!$E$6:$E$29,MATCH(B176,Viðmið!$C$6:$C$29,0)),-1),4),"✓","✗"))</f>
        <v/>
      </c>
      <c r="J176" s="61" t="n"/>
      <c r="K176" s="61" t="n"/>
      <c r="L176" s="61" t="n"/>
      <c r="M176" s="61" t="n"/>
      <c r="N176" s="61" t="n"/>
      <c r="O176" s="61" t="n"/>
      <c r="P176" s="61" t="n"/>
      <c r="Q176" s="61" t="n"/>
    </row>
    <row r="177">
      <c r="A177" s="65">
        <f>IF($B177="","",ROW()-5)</f>
        <v/>
      </c>
      <c r="B177" s="60" t="n"/>
      <c r="C177" s="60" t="n"/>
      <c r="D177" s="61" t="n"/>
      <c r="E177" s="59" t="n"/>
      <c r="F177" s="66" t="n"/>
      <c r="G177" s="67">
        <f>IFERROR(IF(B177="","",INDEX(Viðmið!$B$6:$B$29,MATCH(B177,Viðmið!$C$6:$C$29,0))),"")</f>
        <v/>
      </c>
      <c r="H177" s="68">
        <f>IF(OR(E177="",F177=""),"",E177*KVARDI)</f>
        <v/>
      </c>
      <c r="I177" s="69">
        <f>IF(B177="","",IF(ROUND(SUMIF($B$6:$B$205,B177,$E$6:$E$205),4)=ROUND(IFERROR(INDEX(Viðmið!$E$6:$E$29,MATCH(B177,Viðmið!$C$6:$C$29,0)),-1),4),"✓","✗"))</f>
        <v/>
      </c>
      <c r="J177" s="61" t="n"/>
      <c r="K177" s="61" t="n"/>
      <c r="L177" s="61" t="n"/>
      <c r="M177" s="61" t="n"/>
      <c r="N177" s="61" t="n"/>
      <c r="O177" s="61" t="n"/>
      <c r="P177" s="61" t="n"/>
      <c r="Q177" s="61" t="n"/>
    </row>
    <row r="178">
      <c r="A178" s="65">
        <f>IF($B178="","",ROW()-5)</f>
        <v/>
      </c>
      <c r="B178" s="60" t="n"/>
      <c r="C178" s="60" t="n"/>
      <c r="D178" s="61" t="n"/>
      <c r="E178" s="59" t="n"/>
      <c r="F178" s="66" t="n"/>
      <c r="G178" s="67">
        <f>IFERROR(IF(B178="","",INDEX(Viðmið!$B$6:$B$29,MATCH(B178,Viðmið!$C$6:$C$29,0))),"")</f>
        <v/>
      </c>
      <c r="H178" s="68">
        <f>IF(OR(E178="",F178=""),"",E178*KVARDI)</f>
        <v/>
      </c>
      <c r="I178" s="69">
        <f>IF(B178="","",IF(ROUND(SUMIF($B$6:$B$205,B178,$E$6:$E$205),4)=ROUND(IFERROR(INDEX(Viðmið!$E$6:$E$29,MATCH(B178,Viðmið!$C$6:$C$29,0)),-1),4),"✓","✗"))</f>
        <v/>
      </c>
      <c r="J178" s="61" t="n"/>
      <c r="K178" s="61" t="n"/>
      <c r="L178" s="61" t="n"/>
      <c r="M178" s="61" t="n"/>
      <c r="N178" s="61" t="n"/>
      <c r="O178" s="61" t="n"/>
      <c r="P178" s="61" t="n"/>
      <c r="Q178" s="61" t="n"/>
    </row>
    <row r="179">
      <c r="A179" s="65">
        <f>IF($B179="","",ROW()-5)</f>
        <v/>
      </c>
      <c r="B179" s="60" t="n"/>
      <c r="C179" s="60" t="n"/>
      <c r="D179" s="61" t="n"/>
      <c r="E179" s="59" t="n"/>
      <c r="F179" s="66" t="n"/>
      <c r="G179" s="67">
        <f>IFERROR(IF(B179="","",INDEX(Viðmið!$B$6:$B$29,MATCH(B179,Viðmið!$C$6:$C$29,0))),"")</f>
        <v/>
      </c>
      <c r="H179" s="68">
        <f>IF(OR(E179="",F179=""),"",E179*KVARDI)</f>
        <v/>
      </c>
      <c r="I179" s="69">
        <f>IF(B179="","",IF(ROUND(SUMIF($B$6:$B$205,B179,$E$6:$E$205),4)=ROUND(IFERROR(INDEX(Viðmið!$E$6:$E$29,MATCH(B179,Viðmið!$C$6:$C$29,0)),-1),4),"✓","✗"))</f>
        <v/>
      </c>
      <c r="J179" s="61" t="n"/>
      <c r="K179" s="61" t="n"/>
      <c r="L179" s="61" t="n"/>
      <c r="M179" s="61" t="n"/>
      <c r="N179" s="61" t="n"/>
      <c r="O179" s="61" t="n"/>
      <c r="P179" s="61" t="n"/>
      <c r="Q179" s="61" t="n"/>
    </row>
    <row r="180">
      <c r="A180" s="65">
        <f>IF($B180="","",ROW()-5)</f>
        <v/>
      </c>
      <c r="B180" s="60" t="n"/>
      <c r="C180" s="60" t="n"/>
      <c r="D180" s="61" t="n"/>
      <c r="E180" s="59" t="n"/>
      <c r="F180" s="66" t="n"/>
      <c r="G180" s="67">
        <f>IFERROR(IF(B180="","",INDEX(Viðmið!$B$6:$B$29,MATCH(B180,Viðmið!$C$6:$C$29,0))),"")</f>
        <v/>
      </c>
      <c r="H180" s="68">
        <f>IF(OR(E180="",F180=""),"",E180*KVARDI)</f>
        <v/>
      </c>
      <c r="I180" s="69">
        <f>IF(B180="","",IF(ROUND(SUMIF($B$6:$B$205,B180,$E$6:$E$205),4)=ROUND(IFERROR(INDEX(Viðmið!$E$6:$E$29,MATCH(B180,Viðmið!$C$6:$C$29,0)),-1),4),"✓","✗"))</f>
        <v/>
      </c>
      <c r="J180" s="61" t="n"/>
      <c r="K180" s="61" t="n"/>
      <c r="L180" s="61" t="n"/>
      <c r="M180" s="61" t="n"/>
      <c r="N180" s="61" t="n"/>
      <c r="O180" s="61" t="n"/>
      <c r="P180" s="61" t="n"/>
      <c r="Q180" s="61" t="n"/>
    </row>
    <row r="181">
      <c r="A181" s="65">
        <f>IF($B181="","",ROW()-5)</f>
        <v/>
      </c>
      <c r="B181" s="60" t="n"/>
      <c r="C181" s="60" t="n"/>
      <c r="D181" s="61" t="n"/>
      <c r="E181" s="59" t="n"/>
      <c r="F181" s="66" t="n"/>
      <c r="G181" s="67">
        <f>IFERROR(IF(B181="","",INDEX(Viðmið!$B$6:$B$29,MATCH(B181,Viðmið!$C$6:$C$29,0))),"")</f>
        <v/>
      </c>
      <c r="H181" s="68">
        <f>IF(OR(E181="",F181=""),"",E181*KVARDI)</f>
        <v/>
      </c>
      <c r="I181" s="69">
        <f>IF(B181="","",IF(ROUND(SUMIF($B$6:$B$205,B181,$E$6:$E$205),4)=ROUND(IFERROR(INDEX(Viðmið!$E$6:$E$29,MATCH(B181,Viðmið!$C$6:$C$29,0)),-1),4),"✓","✗"))</f>
        <v/>
      </c>
      <c r="J181" s="61" t="n"/>
      <c r="K181" s="61" t="n"/>
      <c r="L181" s="61" t="n"/>
      <c r="M181" s="61" t="n"/>
      <c r="N181" s="61" t="n"/>
      <c r="O181" s="61" t="n"/>
      <c r="P181" s="61" t="n"/>
      <c r="Q181" s="61" t="n"/>
    </row>
    <row r="182">
      <c r="A182" s="65">
        <f>IF($B182="","",ROW()-5)</f>
        <v/>
      </c>
      <c r="B182" s="60" t="n"/>
      <c r="C182" s="60" t="n"/>
      <c r="D182" s="61" t="n"/>
      <c r="E182" s="59" t="n"/>
      <c r="F182" s="66" t="n"/>
      <c r="G182" s="67">
        <f>IFERROR(IF(B182="","",INDEX(Viðmið!$B$6:$B$29,MATCH(B182,Viðmið!$C$6:$C$29,0))),"")</f>
        <v/>
      </c>
      <c r="H182" s="68">
        <f>IF(OR(E182="",F182=""),"",E182*KVARDI)</f>
        <v/>
      </c>
      <c r="I182" s="69">
        <f>IF(B182="","",IF(ROUND(SUMIF($B$6:$B$205,B182,$E$6:$E$205),4)=ROUND(IFERROR(INDEX(Viðmið!$E$6:$E$29,MATCH(B182,Viðmið!$C$6:$C$29,0)),-1),4),"✓","✗"))</f>
        <v/>
      </c>
      <c r="J182" s="61" t="n"/>
      <c r="K182" s="61" t="n"/>
      <c r="L182" s="61" t="n"/>
      <c r="M182" s="61" t="n"/>
      <c r="N182" s="61" t="n"/>
      <c r="O182" s="61" t="n"/>
      <c r="P182" s="61" t="n"/>
      <c r="Q182" s="61" t="n"/>
    </row>
    <row r="183">
      <c r="A183" s="65">
        <f>IF($B183="","",ROW()-5)</f>
        <v/>
      </c>
      <c r="B183" s="60" t="n"/>
      <c r="C183" s="60" t="n"/>
      <c r="D183" s="61" t="n"/>
      <c r="E183" s="59" t="n"/>
      <c r="F183" s="66" t="n"/>
      <c r="G183" s="67">
        <f>IFERROR(IF(B183="","",INDEX(Viðmið!$B$6:$B$29,MATCH(B183,Viðmið!$C$6:$C$29,0))),"")</f>
        <v/>
      </c>
      <c r="H183" s="68">
        <f>IF(OR(E183="",F183=""),"",E183*KVARDI)</f>
        <v/>
      </c>
      <c r="I183" s="69">
        <f>IF(B183="","",IF(ROUND(SUMIF($B$6:$B$205,B183,$E$6:$E$205),4)=ROUND(IFERROR(INDEX(Viðmið!$E$6:$E$29,MATCH(B183,Viðmið!$C$6:$C$29,0)),-1),4),"✓","✗"))</f>
        <v/>
      </c>
      <c r="J183" s="61" t="n"/>
      <c r="K183" s="61" t="n"/>
      <c r="L183" s="61" t="n"/>
      <c r="M183" s="61" t="n"/>
      <c r="N183" s="61" t="n"/>
      <c r="O183" s="61" t="n"/>
      <c r="P183" s="61" t="n"/>
      <c r="Q183" s="61" t="n"/>
    </row>
    <row r="184">
      <c r="A184" s="65">
        <f>IF($B184="","",ROW()-5)</f>
        <v/>
      </c>
      <c r="B184" s="60" t="n"/>
      <c r="C184" s="60" t="n"/>
      <c r="D184" s="61" t="n"/>
      <c r="E184" s="59" t="n"/>
      <c r="F184" s="66" t="n"/>
      <c r="G184" s="67">
        <f>IFERROR(IF(B184="","",INDEX(Viðmið!$B$6:$B$29,MATCH(B184,Viðmið!$C$6:$C$29,0))),"")</f>
        <v/>
      </c>
      <c r="H184" s="68">
        <f>IF(OR(E184="",F184=""),"",E184*KVARDI)</f>
        <v/>
      </c>
      <c r="I184" s="69">
        <f>IF(B184="","",IF(ROUND(SUMIF($B$6:$B$205,B184,$E$6:$E$205),4)=ROUND(IFERROR(INDEX(Viðmið!$E$6:$E$29,MATCH(B184,Viðmið!$C$6:$C$29,0)),-1),4),"✓","✗"))</f>
        <v/>
      </c>
      <c r="J184" s="61" t="n"/>
      <c r="K184" s="61" t="n"/>
      <c r="L184" s="61" t="n"/>
      <c r="M184" s="61" t="n"/>
      <c r="N184" s="61" t="n"/>
      <c r="O184" s="61" t="n"/>
      <c r="P184" s="61" t="n"/>
      <c r="Q184" s="61" t="n"/>
    </row>
    <row r="185">
      <c r="A185" s="65">
        <f>IF($B185="","",ROW()-5)</f>
        <v/>
      </c>
      <c r="B185" s="60" t="n"/>
      <c r="C185" s="60" t="n"/>
      <c r="D185" s="61" t="n"/>
      <c r="E185" s="59" t="n"/>
      <c r="F185" s="66" t="n"/>
      <c r="G185" s="67">
        <f>IFERROR(IF(B185="","",INDEX(Viðmið!$B$6:$B$29,MATCH(B185,Viðmið!$C$6:$C$29,0))),"")</f>
        <v/>
      </c>
      <c r="H185" s="68">
        <f>IF(OR(E185="",F185=""),"",E185*KVARDI)</f>
        <v/>
      </c>
      <c r="I185" s="69">
        <f>IF(B185="","",IF(ROUND(SUMIF($B$6:$B$205,B185,$E$6:$E$205),4)=ROUND(IFERROR(INDEX(Viðmið!$E$6:$E$29,MATCH(B185,Viðmið!$C$6:$C$29,0)),-1),4),"✓","✗"))</f>
        <v/>
      </c>
      <c r="J185" s="61" t="n"/>
      <c r="K185" s="61" t="n"/>
      <c r="L185" s="61" t="n"/>
      <c r="M185" s="61" t="n"/>
      <c r="N185" s="61" t="n"/>
      <c r="O185" s="61" t="n"/>
      <c r="P185" s="61" t="n"/>
      <c r="Q185" s="61" t="n"/>
    </row>
    <row r="186">
      <c r="A186" s="65">
        <f>IF($B186="","",ROW()-5)</f>
        <v/>
      </c>
      <c r="B186" s="60" t="n"/>
      <c r="C186" s="60" t="n"/>
      <c r="D186" s="61" t="n"/>
      <c r="E186" s="59" t="n"/>
      <c r="F186" s="66" t="n"/>
      <c r="G186" s="67">
        <f>IFERROR(IF(B186="","",INDEX(Viðmið!$B$6:$B$29,MATCH(B186,Viðmið!$C$6:$C$29,0))),"")</f>
        <v/>
      </c>
      <c r="H186" s="68">
        <f>IF(OR(E186="",F186=""),"",E186*KVARDI)</f>
        <v/>
      </c>
      <c r="I186" s="69">
        <f>IF(B186="","",IF(ROUND(SUMIF($B$6:$B$205,B186,$E$6:$E$205),4)=ROUND(IFERROR(INDEX(Viðmið!$E$6:$E$29,MATCH(B186,Viðmið!$C$6:$C$29,0)),-1),4),"✓","✗"))</f>
        <v/>
      </c>
      <c r="J186" s="61" t="n"/>
      <c r="K186" s="61" t="n"/>
      <c r="L186" s="61" t="n"/>
      <c r="M186" s="61" t="n"/>
      <c r="N186" s="61" t="n"/>
      <c r="O186" s="61" t="n"/>
      <c r="P186" s="61" t="n"/>
      <c r="Q186" s="61" t="n"/>
    </row>
    <row r="187">
      <c r="A187" s="65">
        <f>IF($B187="","",ROW()-5)</f>
        <v/>
      </c>
      <c r="B187" s="60" t="n"/>
      <c r="C187" s="60" t="n"/>
      <c r="D187" s="61" t="n"/>
      <c r="E187" s="59" t="n"/>
      <c r="F187" s="66" t="n"/>
      <c r="G187" s="67">
        <f>IFERROR(IF(B187="","",INDEX(Viðmið!$B$6:$B$29,MATCH(B187,Viðmið!$C$6:$C$29,0))),"")</f>
        <v/>
      </c>
      <c r="H187" s="68">
        <f>IF(OR(E187="",F187=""),"",E187*KVARDI)</f>
        <v/>
      </c>
      <c r="I187" s="69">
        <f>IF(B187="","",IF(ROUND(SUMIF($B$6:$B$205,B187,$E$6:$E$205),4)=ROUND(IFERROR(INDEX(Viðmið!$E$6:$E$29,MATCH(B187,Viðmið!$C$6:$C$29,0)),-1),4),"✓","✗"))</f>
        <v/>
      </c>
      <c r="J187" s="61" t="n"/>
      <c r="K187" s="61" t="n"/>
      <c r="L187" s="61" t="n"/>
      <c r="M187" s="61" t="n"/>
      <c r="N187" s="61" t="n"/>
      <c r="O187" s="61" t="n"/>
      <c r="P187" s="61" t="n"/>
      <c r="Q187" s="61" t="n"/>
    </row>
    <row r="188">
      <c r="A188" s="65">
        <f>IF($B188="","",ROW()-5)</f>
        <v/>
      </c>
      <c r="B188" s="60" t="n"/>
      <c r="C188" s="60" t="n"/>
      <c r="D188" s="61" t="n"/>
      <c r="E188" s="59" t="n"/>
      <c r="F188" s="66" t="n"/>
      <c r="G188" s="67">
        <f>IFERROR(IF(B188="","",INDEX(Viðmið!$B$6:$B$29,MATCH(B188,Viðmið!$C$6:$C$29,0))),"")</f>
        <v/>
      </c>
      <c r="H188" s="68">
        <f>IF(OR(E188="",F188=""),"",E188*KVARDI)</f>
        <v/>
      </c>
      <c r="I188" s="69">
        <f>IF(B188="","",IF(ROUND(SUMIF($B$6:$B$205,B188,$E$6:$E$205),4)=ROUND(IFERROR(INDEX(Viðmið!$E$6:$E$29,MATCH(B188,Viðmið!$C$6:$C$29,0)),-1),4),"✓","✗"))</f>
        <v/>
      </c>
      <c r="J188" s="61" t="n"/>
      <c r="K188" s="61" t="n"/>
      <c r="L188" s="61" t="n"/>
      <c r="M188" s="61" t="n"/>
      <c r="N188" s="61" t="n"/>
      <c r="O188" s="61" t="n"/>
      <c r="P188" s="61" t="n"/>
      <c r="Q188" s="61" t="n"/>
    </row>
    <row r="189">
      <c r="A189" s="65">
        <f>IF($B189="","",ROW()-5)</f>
        <v/>
      </c>
      <c r="B189" s="60" t="n"/>
      <c r="C189" s="60" t="n"/>
      <c r="D189" s="61" t="n"/>
      <c r="E189" s="59" t="n"/>
      <c r="F189" s="66" t="n"/>
      <c r="G189" s="67">
        <f>IFERROR(IF(B189="","",INDEX(Viðmið!$B$6:$B$29,MATCH(B189,Viðmið!$C$6:$C$29,0))),"")</f>
        <v/>
      </c>
      <c r="H189" s="68">
        <f>IF(OR(E189="",F189=""),"",E189*KVARDI)</f>
        <v/>
      </c>
      <c r="I189" s="69">
        <f>IF(B189="","",IF(ROUND(SUMIF($B$6:$B$205,B189,$E$6:$E$205),4)=ROUND(IFERROR(INDEX(Viðmið!$E$6:$E$29,MATCH(B189,Viðmið!$C$6:$C$29,0)),-1),4),"✓","✗"))</f>
        <v/>
      </c>
      <c r="J189" s="61" t="n"/>
      <c r="K189" s="61" t="n"/>
      <c r="L189" s="61" t="n"/>
      <c r="M189" s="61" t="n"/>
      <c r="N189" s="61" t="n"/>
      <c r="O189" s="61" t="n"/>
      <c r="P189" s="61" t="n"/>
      <c r="Q189" s="61" t="n"/>
    </row>
    <row r="190">
      <c r="A190" s="65">
        <f>IF($B190="","",ROW()-5)</f>
        <v/>
      </c>
      <c r="B190" s="60" t="n"/>
      <c r="C190" s="60" t="n"/>
      <c r="D190" s="61" t="n"/>
      <c r="E190" s="59" t="n"/>
      <c r="F190" s="66" t="n"/>
      <c r="G190" s="67">
        <f>IFERROR(IF(B190="","",INDEX(Viðmið!$B$6:$B$29,MATCH(B190,Viðmið!$C$6:$C$29,0))),"")</f>
        <v/>
      </c>
      <c r="H190" s="68">
        <f>IF(OR(E190="",F190=""),"",E190*KVARDI)</f>
        <v/>
      </c>
      <c r="I190" s="69">
        <f>IF(B190="","",IF(ROUND(SUMIF($B$6:$B$205,B190,$E$6:$E$205),4)=ROUND(IFERROR(INDEX(Viðmið!$E$6:$E$29,MATCH(B190,Viðmið!$C$6:$C$29,0)),-1),4),"✓","✗"))</f>
        <v/>
      </c>
      <c r="J190" s="61" t="n"/>
      <c r="K190" s="61" t="n"/>
      <c r="L190" s="61" t="n"/>
      <c r="M190" s="61" t="n"/>
      <c r="N190" s="61" t="n"/>
      <c r="O190" s="61" t="n"/>
      <c r="P190" s="61" t="n"/>
      <c r="Q190" s="61" t="n"/>
    </row>
    <row r="191">
      <c r="A191" s="65">
        <f>IF($B191="","",ROW()-5)</f>
        <v/>
      </c>
      <c r="B191" s="60" t="n"/>
      <c r="C191" s="60" t="n"/>
      <c r="D191" s="61" t="n"/>
      <c r="E191" s="59" t="n"/>
      <c r="F191" s="66" t="n"/>
      <c r="G191" s="67">
        <f>IFERROR(IF(B191="","",INDEX(Viðmið!$B$6:$B$29,MATCH(B191,Viðmið!$C$6:$C$29,0))),"")</f>
        <v/>
      </c>
      <c r="H191" s="68">
        <f>IF(OR(E191="",F191=""),"",E191*KVARDI)</f>
        <v/>
      </c>
      <c r="I191" s="69">
        <f>IF(B191="","",IF(ROUND(SUMIF($B$6:$B$205,B191,$E$6:$E$205),4)=ROUND(IFERROR(INDEX(Viðmið!$E$6:$E$29,MATCH(B191,Viðmið!$C$6:$C$29,0)),-1),4),"✓","✗"))</f>
        <v/>
      </c>
      <c r="J191" s="61" t="n"/>
      <c r="K191" s="61" t="n"/>
      <c r="L191" s="61" t="n"/>
      <c r="M191" s="61" t="n"/>
      <c r="N191" s="61" t="n"/>
      <c r="O191" s="61" t="n"/>
      <c r="P191" s="61" t="n"/>
      <c r="Q191" s="61" t="n"/>
    </row>
    <row r="192">
      <c r="A192" s="65">
        <f>IF($B192="","",ROW()-5)</f>
        <v/>
      </c>
      <c r="B192" s="60" t="n"/>
      <c r="C192" s="60" t="n"/>
      <c r="D192" s="61" t="n"/>
      <c r="E192" s="59" t="n"/>
      <c r="F192" s="66" t="n"/>
      <c r="G192" s="67">
        <f>IFERROR(IF(B192="","",INDEX(Viðmið!$B$6:$B$29,MATCH(B192,Viðmið!$C$6:$C$29,0))),"")</f>
        <v/>
      </c>
      <c r="H192" s="68">
        <f>IF(OR(E192="",F192=""),"",E192*KVARDI)</f>
        <v/>
      </c>
      <c r="I192" s="69">
        <f>IF(B192="","",IF(ROUND(SUMIF($B$6:$B$205,B192,$E$6:$E$205),4)=ROUND(IFERROR(INDEX(Viðmið!$E$6:$E$29,MATCH(B192,Viðmið!$C$6:$C$29,0)),-1),4),"✓","✗"))</f>
        <v/>
      </c>
      <c r="J192" s="61" t="n"/>
      <c r="K192" s="61" t="n"/>
      <c r="L192" s="61" t="n"/>
      <c r="M192" s="61" t="n"/>
      <c r="N192" s="61" t="n"/>
      <c r="O192" s="61" t="n"/>
      <c r="P192" s="61" t="n"/>
      <c r="Q192" s="61" t="n"/>
    </row>
    <row r="193">
      <c r="A193" s="65">
        <f>IF($B193="","",ROW()-5)</f>
        <v/>
      </c>
      <c r="B193" s="60" t="n"/>
      <c r="C193" s="60" t="n"/>
      <c r="D193" s="61" t="n"/>
      <c r="E193" s="59" t="n"/>
      <c r="F193" s="66" t="n"/>
      <c r="G193" s="67">
        <f>IFERROR(IF(B193="","",INDEX(Viðmið!$B$6:$B$29,MATCH(B193,Viðmið!$C$6:$C$29,0))),"")</f>
        <v/>
      </c>
      <c r="H193" s="68">
        <f>IF(OR(E193="",F193=""),"",E193*KVARDI)</f>
        <v/>
      </c>
      <c r="I193" s="69">
        <f>IF(B193="","",IF(ROUND(SUMIF($B$6:$B$205,B193,$E$6:$E$205),4)=ROUND(IFERROR(INDEX(Viðmið!$E$6:$E$29,MATCH(B193,Viðmið!$C$6:$C$29,0)),-1),4),"✓","✗"))</f>
        <v/>
      </c>
      <c r="J193" s="61" t="n"/>
      <c r="K193" s="61" t="n"/>
      <c r="L193" s="61" t="n"/>
      <c r="M193" s="61" t="n"/>
      <c r="N193" s="61" t="n"/>
      <c r="O193" s="61" t="n"/>
      <c r="P193" s="61" t="n"/>
      <c r="Q193" s="61" t="n"/>
    </row>
    <row r="194">
      <c r="A194" s="65">
        <f>IF($B194="","",ROW()-5)</f>
        <v/>
      </c>
      <c r="B194" s="60" t="n"/>
      <c r="C194" s="60" t="n"/>
      <c r="D194" s="61" t="n"/>
      <c r="E194" s="59" t="n"/>
      <c r="F194" s="66" t="n"/>
      <c r="G194" s="67">
        <f>IFERROR(IF(B194="","",INDEX(Viðmið!$B$6:$B$29,MATCH(B194,Viðmið!$C$6:$C$29,0))),"")</f>
        <v/>
      </c>
      <c r="H194" s="68">
        <f>IF(OR(E194="",F194=""),"",E194*KVARDI)</f>
        <v/>
      </c>
      <c r="I194" s="69">
        <f>IF(B194="","",IF(ROUND(SUMIF($B$6:$B$205,B194,$E$6:$E$205),4)=ROUND(IFERROR(INDEX(Viðmið!$E$6:$E$29,MATCH(B194,Viðmið!$C$6:$C$29,0)),-1),4),"✓","✗"))</f>
        <v/>
      </c>
      <c r="J194" s="61" t="n"/>
      <c r="K194" s="61" t="n"/>
      <c r="L194" s="61" t="n"/>
      <c r="M194" s="61" t="n"/>
      <c r="N194" s="61" t="n"/>
      <c r="O194" s="61" t="n"/>
      <c r="P194" s="61" t="n"/>
      <c r="Q194" s="61" t="n"/>
    </row>
    <row r="195">
      <c r="A195" s="65">
        <f>IF($B195="","",ROW()-5)</f>
        <v/>
      </c>
      <c r="B195" s="60" t="n"/>
      <c r="C195" s="60" t="n"/>
      <c r="D195" s="61" t="n"/>
      <c r="E195" s="59" t="n"/>
      <c r="F195" s="66" t="n"/>
      <c r="G195" s="67">
        <f>IFERROR(IF(B195="","",INDEX(Viðmið!$B$6:$B$29,MATCH(B195,Viðmið!$C$6:$C$29,0))),"")</f>
        <v/>
      </c>
      <c r="H195" s="68">
        <f>IF(OR(E195="",F195=""),"",E195*KVARDI)</f>
        <v/>
      </c>
      <c r="I195" s="69">
        <f>IF(B195="","",IF(ROUND(SUMIF($B$6:$B$205,B195,$E$6:$E$205),4)=ROUND(IFERROR(INDEX(Viðmið!$E$6:$E$29,MATCH(B195,Viðmið!$C$6:$C$29,0)),-1),4),"✓","✗"))</f>
        <v/>
      </c>
      <c r="J195" s="61" t="n"/>
      <c r="K195" s="61" t="n"/>
      <c r="L195" s="61" t="n"/>
      <c r="M195" s="61" t="n"/>
      <c r="N195" s="61" t="n"/>
      <c r="O195" s="61" t="n"/>
      <c r="P195" s="61" t="n"/>
      <c r="Q195" s="61" t="n"/>
    </row>
    <row r="196">
      <c r="A196" s="65">
        <f>IF($B196="","",ROW()-5)</f>
        <v/>
      </c>
      <c r="B196" s="60" t="n"/>
      <c r="C196" s="60" t="n"/>
      <c r="D196" s="61" t="n"/>
      <c r="E196" s="59" t="n"/>
      <c r="F196" s="66" t="n"/>
      <c r="G196" s="67">
        <f>IFERROR(IF(B196="","",INDEX(Viðmið!$B$6:$B$29,MATCH(B196,Viðmið!$C$6:$C$29,0))),"")</f>
        <v/>
      </c>
      <c r="H196" s="68">
        <f>IF(OR(E196="",F196=""),"",E196*KVARDI)</f>
        <v/>
      </c>
      <c r="I196" s="69">
        <f>IF(B196="","",IF(ROUND(SUMIF($B$6:$B$205,B196,$E$6:$E$205),4)=ROUND(IFERROR(INDEX(Viðmið!$E$6:$E$29,MATCH(B196,Viðmið!$C$6:$C$29,0)),-1),4),"✓","✗"))</f>
        <v/>
      </c>
      <c r="J196" s="61" t="n"/>
      <c r="K196" s="61" t="n"/>
      <c r="L196" s="61" t="n"/>
      <c r="M196" s="61" t="n"/>
      <c r="N196" s="61" t="n"/>
      <c r="O196" s="61" t="n"/>
      <c r="P196" s="61" t="n"/>
      <c r="Q196" s="61" t="n"/>
    </row>
    <row r="197">
      <c r="A197" s="65">
        <f>IF($B197="","",ROW()-5)</f>
        <v/>
      </c>
      <c r="B197" s="60" t="n"/>
      <c r="C197" s="60" t="n"/>
      <c r="D197" s="61" t="n"/>
      <c r="E197" s="59" t="n"/>
      <c r="F197" s="66" t="n"/>
      <c r="G197" s="67">
        <f>IFERROR(IF(B197="","",INDEX(Viðmið!$B$6:$B$29,MATCH(B197,Viðmið!$C$6:$C$29,0))),"")</f>
        <v/>
      </c>
      <c r="H197" s="68">
        <f>IF(OR(E197="",F197=""),"",E197*KVARDI)</f>
        <v/>
      </c>
      <c r="I197" s="69">
        <f>IF(B197="","",IF(ROUND(SUMIF($B$6:$B$205,B197,$E$6:$E$205),4)=ROUND(IFERROR(INDEX(Viðmið!$E$6:$E$29,MATCH(B197,Viðmið!$C$6:$C$29,0)),-1),4),"✓","✗"))</f>
        <v/>
      </c>
      <c r="J197" s="61" t="n"/>
      <c r="K197" s="61" t="n"/>
      <c r="L197" s="61" t="n"/>
      <c r="M197" s="61" t="n"/>
      <c r="N197" s="61" t="n"/>
      <c r="O197" s="61" t="n"/>
      <c r="P197" s="61" t="n"/>
      <c r="Q197" s="61" t="n"/>
    </row>
    <row r="198">
      <c r="A198" s="65">
        <f>IF($B198="","",ROW()-5)</f>
        <v/>
      </c>
      <c r="B198" s="60" t="n"/>
      <c r="C198" s="60" t="n"/>
      <c r="D198" s="61" t="n"/>
      <c r="E198" s="59" t="n"/>
      <c r="F198" s="66" t="n"/>
      <c r="G198" s="67">
        <f>IFERROR(IF(B198="","",INDEX(Viðmið!$B$6:$B$29,MATCH(B198,Viðmið!$C$6:$C$29,0))),"")</f>
        <v/>
      </c>
      <c r="H198" s="68">
        <f>IF(OR(E198="",F198=""),"",E198*KVARDI)</f>
        <v/>
      </c>
      <c r="I198" s="69">
        <f>IF(B198="","",IF(ROUND(SUMIF($B$6:$B$205,B198,$E$6:$E$205),4)=ROUND(IFERROR(INDEX(Viðmið!$E$6:$E$29,MATCH(B198,Viðmið!$C$6:$C$29,0)),-1),4),"✓","✗"))</f>
        <v/>
      </c>
      <c r="J198" s="61" t="n"/>
      <c r="K198" s="61" t="n"/>
      <c r="L198" s="61" t="n"/>
      <c r="M198" s="61" t="n"/>
      <c r="N198" s="61" t="n"/>
      <c r="O198" s="61" t="n"/>
      <c r="P198" s="61" t="n"/>
      <c r="Q198" s="61" t="n"/>
    </row>
    <row r="199">
      <c r="A199" s="65">
        <f>IF($B199="","",ROW()-5)</f>
        <v/>
      </c>
      <c r="B199" s="60" t="n"/>
      <c r="C199" s="60" t="n"/>
      <c r="D199" s="61" t="n"/>
      <c r="E199" s="59" t="n"/>
      <c r="F199" s="66" t="n"/>
      <c r="G199" s="67">
        <f>IFERROR(IF(B199="","",INDEX(Viðmið!$B$6:$B$29,MATCH(B199,Viðmið!$C$6:$C$29,0))),"")</f>
        <v/>
      </c>
      <c r="H199" s="68">
        <f>IF(OR(E199="",F199=""),"",E199*KVARDI)</f>
        <v/>
      </c>
      <c r="I199" s="69">
        <f>IF(B199="","",IF(ROUND(SUMIF($B$6:$B$205,B199,$E$6:$E$205),4)=ROUND(IFERROR(INDEX(Viðmið!$E$6:$E$29,MATCH(B199,Viðmið!$C$6:$C$29,0)),-1),4),"✓","✗"))</f>
        <v/>
      </c>
      <c r="J199" s="61" t="n"/>
      <c r="K199" s="61" t="n"/>
      <c r="L199" s="61" t="n"/>
      <c r="M199" s="61" t="n"/>
      <c r="N199" s="61" t="n"/>
      <c r="O199" s="61" t="n"/>
      <c r="P199" s="61" t="n"/>
      <c r="Q199" s="61" t="n"/>
    </row>
    <row r="200">
      <c r="A200" s="65">
        <f>IF($B200="","",ROW()-5)</f>
        <v/>
      </c>
      <c r="B200" s="60" t="n"/>
      <c r="C200" s="60" t="n"/>
      <c r="D200" s="61" t="n"/>
      <c r="E200" s="59" t="n"/>
      <c r="F200" s="66" t="n"/>
      <c r="G200" s="67">
        <f>IFERROR(IF(B200="","",INDEX(Viðmið!$B$6:$B$29,MATCH(B200,Viðmið!$C$6:$C$29,0))),"")</f>
        <v/>
      </c>
      <c r="H200" s="68">
        <f>IF(OR(E200="",F200=""),"",E200*KVARDI)</f>
        <v/>
      </c>
      <c r="I200" s="69">
        <f>IF(B200="","",IF(ROUND(SUMIF($B$6:$B$205,B200,$E$6:$E$205),4)=ROUND(IFERROR(INDEX(Viðmið!$E$6:$E$29,MATCH(B200,Viðmið!$C$6:$C$29,0)),-1),4),"✓","✗"))</f>
        <v/>
      </c>
      <c r="J200" s="61" t="n"/>
      <c r="K200" s="61" t="n"/>
      <c r="L200" s="61" t="n"/>
      <c r="M200" s="61" t="n"/>
      <c r="N200" s="61" t="n"/>
      <c r="O200" s="61" t="n"/>
      <c r="P200" s="61" t="n"/>
      <c r="Q200" s="61" t="n"/>
    </row>
    <row r="201">
      <c r="A201" s="65">
        <f>IF($B201="","",ROW()-5)</f>
        <v/>
      </c>
      <c r="B201" s="60" t="n"/>
      <c r="C201" s="60" t="n"/>
      <c r="D201" s="61" t="n"/>
      <c r="E201" s="59" t="n"/>
      <c r="F201" s="66" t="n"/>
      <c r="G201" s="67">
        <f>IFERROR(IF(B201="","",INDEX(Viðmið!$B$6:$B$29,MATCH(B201,Viðmið!$C$6:$C$29,0))),"")</f>
        <v/>
      </c>
      <c r="H201" s="68">
        <f>IF(OR(E201="",F201=""),"",E201*KVARDI)</f>
        <v/>
      </c>
      <c r="I201" s="69">
        <f>IF(B201="","",IF(ROUND(SUMIF($B$6:$B$205,B201,$E$6:$E$205),4)=ROUND(IFERROR(INDEX(Viðmið!$E$6:$E$29,MATCH(B201,Viðmið!$C$6:$C$29,0)),-1),4),"✓","✗"))</f>
        <v/>
      </c>
      <c r="J201" s="61" t="n"/>
      <c r="K201" s="61" t="n"/>
      <c r="L201" s="61" t="n"/>
      <c r="M201" s="61" t="n"/>
      <c r="N201" s="61" t="n"/>
      <c r="O201" s="61" t="n"/>
      <c r="P201" s="61" t="n"/>
      <c r="Q201" s="61" t="n"/>
    </row>
    <row r="202">
      <c r="A202" s="65">
        <f>IF($B202="","",ROW()-5)</f>
        <v/>
      </c>
      <c r="B202" s="60" t="n"/>
      <c r="C202" s="60" t="n"/>
      <c r="D202" s="61" t="n"/>
      <c r="E202" s="59" t="n"/>
      <c r="F202" s="66" t="n"/>
      <c r="G202" s="67">
        <f>IFERROR(IF(B202="","",INDEX(Viðmið!$B$6:$B$29,MATCH(B202,Viðmið!$C$6:$C$29,0))),"")</f>
        <v/>
      </c>
      <c r="H202" s="68">
        <f>IF(OR(E202="",F202=""),"",E202*KVARDI)</f>
        <v/>
      </c>
      <c r="I202" s="69">
        <f>IF(B202="","",IF(ROUND(SUMIF($B$6:$B$205,B202,$E$6:$E$205),4)=ROUND(IFERROR(INDEX(Viðmið!$E$6:$E$29,MATCH(B202,Viðmið!$C$6:$C$29,0)),-1),4),"✓","✗"))</f>
        <v/>
      </c>
      <c r="J202" s="61" t="n"/>
      <c r="K202" s="61" t="n"/>
      <c r="L202" s="61" t="n"/>
      <c r="M202" s="61" t="n"/>
      <c r="N202" s="61" t="n"/>
      <c r="O202" s="61" t="n"/>
      <c r="P202" s="61" t="n"/>
      <c r="Q202" s="61" t="n"/>
    </row>
    <row r="203">
      <c r="A203" s="65">
        <f>IF($B203="","",ROW()-5)</f>
        <v/>
      </c>
      <c r="B203" s="60" t="n"/>
      <c r="C203" s="60" t="n"/>
      <c r="D203" s="61" t="n"/>
      <c r="E203" s="59" t="n"/>
      <c r="F203" s="66" t="n"/>
      <c r="G203" s="67">
        <f>IFERROR(IF(B203="","",INDEX(Viðmið!$B$6:$B$29,MATCH(B203,Viðmið!$C$6:$C$29,0))),"")</f>
        <v/>
      </c>
      <c r="H203" s="68">
        <f>IF(OR(E203="",F203=""),"",E203*KVARDI)</f>
        <v/>
      </c>
      <c r="I203" s="69">
        <f>IF(B203="","",IF(ROUND(SUMIF($B$6:$B$205,B203,$E$6:$E$205),4)=ROUND(IFERROR(INDEX(Viðmið!$E$6:$E$29,MATCH(B203,Viðmið!$C$6:$C$29,0)),-1),4),"✓","✗"))</f>
        <v/>
      </c>
      <c r="J203" s="61" t="n"/>
      <c r="K203" s="61" t="n"/>
      <c r="L203" s="61" t="n"/>
      <c r="M203" s="61" t="n"/>
      <c r="N203" s="61" t="n"/>
      <c r="O203" s="61" t="n"/>
      <c r="P203" s="61" t="n"/>
      <c r="Q203" s="61" t="n"/>
    </row>
    <row r="204">
      <c r="A204" s="65">
        <f>IF($B204="","",ROW()-5)</f>
        <v/>
      </c>
      <c r="B204" s="60" t="n"/>
      <c r="C204" s="60" t="n"/>
      <c r="D204" s="61" t="n"/>
      <c r="E204" s="59" t="n"/>
      <c r="F204" s="66" t="n"/>
      <c r="G204" s="67">
        <f>IFERROR(IF(B204="","",INDEX(Viðmið!$B$6:$B$29,MATCH(B204,Viðmið!$C$6:$C$29,0))),"")</f>
        <v/>
      </c>
      <c r="H204" s="68">
        <f>IF(OR(E204="",F204=""),"",E204*KVARDI)</f>
        <v/>
      </c>
      <c r="I204" s="69">
        <f>IF(B204="","",IF(ROUND(SUMIF($B$6:$B$205,B204,$E$6:$E$205),4)=ROUND(IFERROR(INDEX(Viðmið!$E$6:$E$29,MATCH(B204,Viðmið!$C$6:$C$29,0)),-1),4),"✓","✗"))</f>
        <v/>
      </c>
      <c r="J204" s="61" t="n"/>
      <c r="K204" s="61" t="n"/>
      <c r="L204" s="61" t="n"/>
      <c r="M204" s="61" t="n"/>
      <c r="N204" s="61" t="n"/>
      <c r="O204" s="61" t="n"/>
      <c r="P204" s="61" t="n"/>
      <c r="Q204" s="61" t="n"/>
    </row>
    <row r="205">
      <c r="A205" s="65">
        <f>IF($B205="","",ROW()-5)</f>
        <v/>
      </c>
      <c r="B205" s="60" t="n"/>
      <c r="C205" s="60" t="n"/>
      <c r="D205" s="61" t="n"/>
      <c r="E205" s="59" t="n"/>
      <c r="F205" s="66" t="n"/>
      <c r="G205" s="67">
        <f>IFERROR(IF(B205="","",INDEX(Viðmið!$B$6:$B$29,MATCH(B205,Viðmið!$C$6:$C$29,0))),"")</f>
        <v/>
      </c>
      <c r="H205" s="68">
        <f>IF(OR(E205="",F205=""),"",E205*KVARDI)</f>
        <v/>
      </c>
      <c r="I205" s="69">
        <f>IF(B205="","",IF(ROUND(SUMIF($B$6:$B$205,B205,$E$6:$E$205),4)=ROUND(IFERROR(INDEX(Viðmið!$E$6:$E$29,MATCH(B205,Viðmið!$C$6:$C$29,0)),-1),4),"✓","✗"))</f>
        <v/>
      </c>
      <c r="J205" s="61" t="n"/>
      <c r="K205" s="61" t="n"/>
      <c r="L205" s="61" t="n"/>
      <c r="M205" s="61" t="n"/>
      <c r="N205" s="61" t="n"/>
      <c r="O205" s="61" t="n"/>
      <c r="P205" s="61" t="n"/>
      <c r="Q205" s="61" t="n"/>
    </row>
  </sheetData>
  <mergeCells count="2">
    <mergeCell ref="B2:F2"/>
    <mergeCell ref="B3:Q3"/>
  </mergeCells>
  <conditionalFormatting sqref="J6:J205">
    <cfRule type="expression" rank="0" priority="2" equalAverage="0" aboveAverage="0" dxfId="2" text="" percent="0" bottom="0">
      <formula>AND($F6&lt;&gt;"",$F6&lt;1)</formula>
    </cfRule>
  </conditionalFormatting>
  <conditionalFormatting sqref="K6:K205">
    <cfRule type="expression" rank="0" priority="3" equalAverage="0" aboveAverage="0" dxfId="2" text="" percent="0" bottom="0">
      <formula>AND($F6&lt;&gt;"",$F6&lt;2)</formula>
    </cfRule>
  </conditionalFormatting>
  <conditionalFormatting sqref="L6:L205">
    <cfRule type="expression" rank="0" priority="4" equalAverage="0" aboveAverage="0" dxfId="2" text="" percent="0" bottom="0">
      <formula>AND($F6&lt;&gt;"",$F6&lt;3)</formula>
    </cfRule>
  </conditionalFormatting>
  <conditionalFormatting sqref="M6:M205">
    <cfRule type="expression" rank="0" priority="5" equalAverage="0" aboveAverage="0" dxfId="2" text="" percent="0" bottom="0">
      <formula>AND($F6&lt;&gt;"",$F6&lt;4)</formula>
    </cfRule>
  </conditionalFormatting>
  <conditionalFormatting sqref="N6:N205">
    <cfRule type="expression" rank="0" priority="6" equalAverage="0" aboveAverage="0" dxfId="2" text="" percent="0" bottom="0">
      <formula>AND($F6&lt;&gt;"",$F6&lt;5)</formula>
    </cfRule>
  </conditionalFormatting>
  <conditionalFormatting sqref="O6:O205">
    <cfRule type="expression" rank="0" priority="7" equalAverage="0" aboveAverage="0" dxfId="2" text="" percent="0" bottom="0">
      <formula>AND($F6&lt;&gt;"",$F6&lt;6)</formula>
    </cfRule>
  </conditionalFormatting>
  <conditionalFormatting sqref="P6:P205">
    <cfRule type="expression" rank="0" priority="8" equalAverage="0" aboveAverage="0" dxfId="2" text="" percent="0" bottom="0">
      <formula>AND($F6&lt;&gt;"",$F6&lt;7)</formula>
    </cfRule>
  </conditionalFormatting>
  <conditionalFormatting sqref="Q6:Q205">
    <cfRule type="expression" rank="0" priority="9" equalAverage="0" aboveAverage="0" dxfId="2" text="" percent="0" bottom="0">
      <formula>AND($F6&lt;&gt;"",$F6&lt;8)</formula>
    </cfRule>
  </conditionalFormatting>
  <conditionalFormatting sqref="R6:R205">
    <cfRule type="expression" rank="0" priority="10" equalAverage="0" aboveAverage="0" dxfId="2" text="" percent="0" bottom="0">
      <formula>AND($F6&lt;&gt;"",$F6&lt;9)</formula>
    </cfRule>
  </conditionalFormatting>
  <conditionalFormatting sqref="S6:S205">
    <cfRule type="expression" rank="0" priority="11" equalAverage="0" aboveAverage="0" dxfId="2" text="" percent="0" bottom="0">
      <formula>AND($F6&lt;&gt;"",$F6&lt;10)</formula>
    </cfRule>
  </conditionalFormatting>
  <conditionalFormatting sqref="I6:I205">
    <cfRule type="expression" rank="0" priority="12" equalAverage="0" aboveAverage="0" dxfId="1" text="" percent="0" bottom="0">
      <formula>I6="✗"</formula>
    </cfRule>
    <cfRule type="expression" rank="0" priority="13" equalAverage="0" aboveAverage="0" dxfId="0" text="" percent="0" bottom="0">
      <formula>I6="✓"</formula>
    </cfRule>
  </conditionalFormatting>
  <dataValidations count="3">
    <dataValidation sqref="B6:B205" showDropDown="0" showInputMessage="0" showErrorMessage="1" allowBlank="1" errorTitle="Ógilt foreldra-viðmið" error="Veldu viðmið úr listanum á Viðmið flipanum." type="list" errorStyle="stop" operator="between">
      <formula1>Viðmið!$C$6:$C$29</formula1>
      <formula2>0</formula2>
    </dataValidation>
    <dataValidation sqref="F6:F205" showDropDown="0" showInputMessage="0" showErrorMessage="1" allowBlank="1" errorTitle="Ógildur fjöldi þrepa" error="Fjöldi þrepa verður að vera heil tala milli 2 og 8." type="whole" errorStyle="stop" operator="between">
      <formula1>2</formula1>
      <formula2>8</formula2>
    </dataValidation>
    <dataValidation sqref="E6:E205" showDropDown="0" showInputMessage="0" showErrorMessage="1" allowBlank="1" errorTitle="Ógilt vægi" error="Vægi verður að vera á bilinu 0–100%." type="decimal" errorStyle="stop" operator="between">
      <formula1>0</formula1>
      <formula2>100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588157"/>
    <outlinePr summaryBelow="1" summaryRight="1"/>
    <pageSetUpPr fitToPage="0"/>
  </sheetPr>
  <dimension ref="A2:T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" customWidth="1" style="46" min="1" max="1"/>
    <col width="24" customWidth="1" style="46" min="2" max="2"/>
    <col width="22" customWidth="1" style="46" min="3" max="3"/>
    <col width="12" customWidth="1" style="46" min="4" max="4"/>
    <col width="14" customWidth="1" style="46" min="5" max="5"/>
    <col width="26" customWidth="1" style="46" min="6" max="6"/>
    <col width="18" customWidth="1" style="46" min="7" max="8"/>
    <col width="15" customWidth="1" style="46" min="9" max="9"/>
    <col width="16" customWidth="1" style="46" min="10" max="10"/>
    <col width="18" customWidth="1" style="46" min="11" max="11"/>
    <col width="22" customWidth="1" style="46" min="12" max="14"/>
    <col width="16" customWidth="1" style="46" min="15" max="15"/>
    <col width="22" customWidth="1" style="46" min="16" max="16"/>
    <col width="16" customWidth="1" style="46" min="17" max="18"/>
    <col width="20" customWidth="1" style="46" min="19" max="20"/>
  </cols>
  <sheetData>
    <row r="2" ht="19.5" customHeight="1" s="47">
      <c r="B2" s="55" t="s">
        <v>7</v>
      </c>
    </row>
    <row r="3" ht="15" customHeight="1" s="47">
      <c r="B3" s="56" t="s">
        <v>159</v>
      </c>
    </row>
    <row r="5" ht="39.75" customHeight="1" s="47">
      <c r="A5" s="57" t="s">
        <v>95</v>
      </c>
      <c r="B5" s="57" t="s">
        <v>51</v>
      </c>
      <c r="C5" s="57" t="s">
        <v>160</v>
      </c>
      <c r="D5" s="57" t="s">
        <v>161</v>
      </c>
      <c r="E5" s="57" t="s">
        <v>162</v>
      </c>
      <c r="F5" s="57" t="s">
        <v>163</v>
      </c>
      <c r="G5" s="57" t="s">
        <v>164</v>
      </c>
      <c r="H5" s="57" t="s">
        <v>165</v>
      </c>
      <c r="I5" s="57" t="s">
        <v>46</v>
      </c>
      <c r="J5" s="57" t="s">
        <v>166</v>
      </c>
      <c r="K5" s="57" t="s">
        <v>167</v>
      </c>
      <c r="L5" s="57" t="s">
        <v>168</v>
      </c>
      <c r="M5" s="57" t="s">
        <v>169</v>
      </c>
      <c r="N5" s="57" t="s">
        <v>170</v>
      </c>
      <c r="O5" s="57" t="s">
        <v>171</v>
      </c>
      <c r="P5" s="57" t="s">
        <v>172</v>
      </c>
      <c r="Q5" s="57" t="s">
        <v>173</v>
      </c>
      <c r="R5" s="57" t="s">
        <v>174</v>
      </c>
      <c r="S5" s="57" t="s">
        <v>175</v>
      </c>
      <c r="T5" s="57" t="s">
        <v>176</v>
      </c>
    </row>
    <row r="6" ht="15" customHeight="1" s="47">
      <c r="A6" s="65">
        <f>ROW()-5</f>
        <v/>
      </c>
      <c r="B6" s="60" t="n"/>
      <c r="C6" s="60" t="n"/>
      <c r="D6" s="60" t="n"/>
      <c r="E6" s="59" t="n"/>
      <c r="F6" s="60" t="n"/>
      <c r="G6" s="60" t="n"/>
      <c r="H6" s="60" t="n"/>
      <c r="I6" s="70" t="n"/>
      <c r="J6" s="71" t="n"/>
      <c r="K6" s="71" t="n"/>
      <c r="L6" s="71" t="n"/>
      <c r="M6" s="71" t="n"/>
      <c r="N6" s="71" t="n"/>
      <c r="O6" s="71" t="n"/>
      <c r="P6" s="71" t="n"/>
      <c r="Q6" s="72">
        <f>IF(COUNT(K6:L6)=0,"",SUM(K6:L6))</f>
        <v/>
      </c>
      <c r="R6" s="72">
        <f>IF(COUNT(M6:P6)=0,"",SUM(M6:P6))</f>
        <v/>
      </c>
      <c r="S6" s="72">
        <f>IF(OR($E6="",$E6=0,$J6=""),"",ROUND($J6*100/$E6,0))</f>
        <v/>
      </c>
      <c r="T6" s="72">
        <f>IF(OR($E6="",$E6=0,$J6=""),"",ROUND(($J6+IF($Q6="",0,$Q6)+IF($R6="",0,$R6))*100/$E6,0))</f>
        <v/>
      </c>
    </row>
    <row r="7" ht="15" customHeight="1" s="47">
      <c r="A7" s="65">
        <f>ROW()-5</f>
        <v/>
      </c>
      <c r="B7" s="60" t="n"/>
      <c r="C7" s="60" t="n"/>
      <c r="D7" s="60" t="n"/>
      <c r="E7" s="59" t="n"/>
      <c r="F7" s="60" t="n"/>
      <c r="G7" s="60" t="n"/>
      <c r="H7" s="60" t="n"/>
      <c r="I7" s="70" t="n"/>
      <c r="J7" s="71" t="n"/>
      <c r="K7" s="71" t="n"/>
      <c r="L7" s="71" t="n"/>
      <c r="M7" s="71" t="n"/>
      <c r="N7" s="71" t="n"/>
      <c r="O7" s="71" t="n"/>
      <c r="P7" s="71" t="n"/>
      <c r="Q7" s="72">
        <f>IF(COUNT(K7:L7)=0,"",SUM(K7:L7))</f>
        <v/>
      </c>
      <c r="R7" s="72">
        <f>IF(COUNT(M7:P7)=0,"",SUM(M7:P7))</f>
        <v/>
      </c>
      <c r="S7" s="72">
        <f>IF(OR($E7="",$E7=0,$J7=""),"",ROUND($J7*100/$E7,0))</f>
        <v/>
      </c>
      <c r="T7" s="72">
        <f>IF(OR($E7="",$E7=0,$J7=""),"",ROUND(($J7+IF($Q7="",0,$Q7)+IF($R7="",0,$R7))*100/$E7,0))</f>
        <v/>
      </c>
    </row>
    <row r="8" ht="15" customHeight="1" s="47">
      <c r="A8" s="65">
        <f>ROW()-5</f>
        <v/>
      </c>
      <c r="B8" s="60" t="n"/>
      <c r="C8" s="60" t="n"/>
      <c r="D8" s="60" t="n"/>
      <c r="E8" s="59" t="n"/>
      <c r="F8" s="60" t="n"/>
      <c r="G8" s="60" t="n"/>
      <c r="H8" s="60" t="n"/>
      <c r="I8" s="70" t="n"/>
      <c r="J8" s="71" t="n"/>
      <c r="K8" s="71" t="n"/>
      <c r="L8" s="71" t="n"/>
      <c r="M8" s="71" t="n"/>
      <c r="N8" s="71" t="n"/>
      <c r="O8" s="71" t="n"/>
      <c r="P8" s="71" t="n"/>
      <c r="Q8" s="72">
        <f>IF(COUNT(K8:L8)=0,"",SUM(K8:L8))</f>
        <v/>
      </c>
      <c r="R8" s="72">
        <f>IF(COUNT(M8:P8)=0,"",SUM(M8:P8))</f>
        <v/>
      </c>
      <c r="S8" s="72">
        <f>IF(OR($E8="",$E8=0,$J8=""),"",ROUND($J8*100/$E8,0))</f>
        <v/>
      </c>
      <c r="T8" s="72">
        <f>IF(OR($E8="",$E8=0,$J8=""),"",ROUND(($J8+IF($Q8="",0,$Q8)+IF($R8="",0,$R8))*100/$E8,0))</f>
        <v/>
      </c>
    </row>
    <row r="9" ht="15" customHeight="1" s="47">
      <c r="A9" s="65">
        <f>ROW()-5</f>
        <v/>
      </c>
      <c r="B9" s="60" t="n"/>
      <c r="C9" s="60" t="n"/>
      <c r="D9" s="60" t="n"/>
      <c r="E9" s="59" t="n"/>
      <c r="F9" s="60" t="n"/>
      <c r="G9" s="60" t="n"/>
      <c r="H9" s="60" t="n"/>
      <c r="I9" s="70" t="n"/>
      <c r="J9" s="71" t="n"/>
      <c r="K9" s="71" t="n"/>
      <c r="L9" s="71" t="n"/>
      <c r="M9" s="71" t="n"/>
      <c r="N9" s="71" t="n"/>
      <c r="O9" s="71" t="n"/>
      <c r="P9" s="71" t="n"/>
      <c r="Q9" s="72">
        <f>IF(COUNT(K9:L9)=0,"",SUM(K9:L9))</f>
        <v/>
      </c>
      <c r="R9" s="72">
        <f>IF(COUNT(M9:P9)=0,"",SUM(M9:P9))</f>
        <v/>
      </c>
      <c r="S9" s="72">
        <f>IF(OR($E9="",$E9=0,$J9=""),"",ROUND($J9*100/$E9,0))</f>
        <v/>
      </c>
      <c r="T9" s="72">
        <f>IF(OR($E9="",$E9=0,$J9=""),"",ROUND(($J9+IF($Q9="",0,$Q9)+IF($R9="",0,$R9))*100/$E9,0))</f>
        <v/>
      </c>
    </row>
    <row r="10" ht="15" customHeight="1" s="47">
      <c r="A10" s="65">
        <f>ROW()-5</f>
        <v/>
      </c>
      <c r="B10" s="60" t="n"/>
      <c r="C10" s="60" t="n"/>
      <c r="D10" s="60" t="n"/>
      <c r="E10" s="59" t="n"/>
      <c r="F10" s="60" t="n"/>
      <c r="G10" s="60" t="n"/>
      <c r="H10" s="60" t="n"/>
      <c r="I10" s="70" t="n"/>
      <c r="J10" s="71" t="n"/>
      <c r="K10" s="71" t="n"/>
      <c r="L10" s="71" t="n"/>
      <c r="M10" s="71" t="n"/>
      <c r="N10" s="71" t="n"/>
      <c r="O10" s="71" t="n"/>
      <c r="P10" s="71" t="n"/>
      <c r="Q10" s="72">
        <f>IF(COUNT(K10:L10)=0,"",SUM(K10:L10))</f>
        <v/>
      </c>
      <c r="R10" s="72">
        <f>IF(COUNT(M10:P10)=0,"",SUM(M10:P10))</f>
        <v/>
      </c>
      <c r="S10" s="72">
        <f>IF(OR($E10="",$E10=0,$J10=""),"",ROUND($J10*100/$E10,0))</f>
        <v/>
      </c>
      <c r="T10" s="72">
        <f>IF(OR($E10="",$E10=0,$J10=""),"",ROUND(($J10+IF($Q10="",0,$Q10)+IF($R10="",0,$R10))*100/$E10,0))</f>
        <v/>
      </c>
    </row>
    <row r="11" ht="15" customHeight="1" s="47">
      <c r="A11" s="65">
        <f>ROW()-5</f>
        <v/>
      </c>
      <c r="B11" s="60" t="n"/>
      <c r="C11" s="60" t="n"/>
      <c r="D11" s="60" t="n"/>
      <c r="E11" s="59" t="n"/>
      <c r="F11" s="60" t="n"/>
      <c r="G11" s="60" t="n"/>
      <c r="H11" s="60" t="n"/>
      <c r="I11" s="70" t="n"/>
      <c r="J11" s="71" t="n"/>
      <c r="K11" s="71" t="n"/>
      <c r="L11" s="71" t="n"/>
      <c r="M11" s="71" t="n"/>
      <c r="N11" s="71" t="n"/>
      <c r="O11" s="71" t="n"/>
      <c r="P11" s="71" t="n"/>
      <c r="Q11" s="72">
        <f>IF(COUNT(K11:L11)=0,"",SUM(K11:L11))</f>
        <v/>
      </c>
      <c r="R11" s="72">
        <f>IF(COUNT(M11:P11)=0,"",SUM(M11:P11))</f>
        <v/>
      </c>
      <c r="S11" s="72">
        <f>IF(OR($E11="",$E11=0,$J11=""),"",ROUND($J11*100/$E11,0))</f>
        <v/>
      </c>
      <c r="T11" s="72">
        <f>IF(OR($E11="",$E11=0,$J11=""),"",ROUND(($J11+IF($Q11="",0,$Q11)+IF($R11="",0,$R11))*100/$E11,0))</f>
        <v/>
      </c>
    </row>
    <row r="12" ht="15" customHeight="1" s="47">
      <c r="A12" s="65">
        <f>ROW()-5</f>
        <v/>
      </c>
      <c r="B12" s="60" t="n"/>
      <c r="C12" s="60" t="n"/>
      <c r="D12" s="60" t="n"/>
      <c r="E12" s="59" t="n"/>
      <c r="F12" s="60" t="n"/>
      <c r="G12" s="60" t="n"/>
      <c r="H12" s="60" t="n"/>
      <c r="I12" s="70" t="n"/>
      <c r="J12" s="71" t="n"/>
      <c r="K12" s="71" t="n"/>
      <c r="L12" s="71" t="n"/>
      <c r="M12" s="71" t="n"/>
      <c r="N12" s="71" t="n"/>
      <c r="O12" s="71" t="n"/>
      <c r="P12" s="71" t="n"/>
      <c r="Q12" s="72">
        <f>IF(COUNT(K12:L12)=0,"",SUM(K12:L12))</f>
        <v/>
      </c>
      <c r="R12" s="72">
        <f>IF(COUNT(M12:P12)=0,"",SUM(M12:P12))</f>
        <v/>
      </c>
      <c r="S12" s="72">
        <f>IF(OR($E12="",$E12=0,$J12=""),"",ROUND($J12*100/$E12,0))</f>
        <v/>
      </c>
      <c r="T12" s="72">
        <f>IF(OR($E12="",$E12=0,$J12=""),"",ROUND(($J12+IF($Q12="",0,$Q12)+IF($R12="",0,$R12))*100/$E12,0))</f>
        <v/>
      </c>
    </row>
    <row r="13" ht="15" customHeight="1" s="47">
      <c r="A13" s="65">
        <f>ROW()-5</f>
        <v/>
      </c>
      <c r="B13" s="60" t="n"/>
      <c r="C13" s="60" t="n"/>
      <c r="D13" s="60" t="n"/>
      <c r="E13" s="59" t="n"/>
      <c r="F13" s="60" t="n"/>
      <c r="G13" s="60" t="n"/>
      <c r="H13" s="60" t="n"/>
      <c r="I13" s="70" t="n"/>
      <c r="J13" s="71" t="n"/>
      <c r="K13" s="71" t="n"/>
      <c r="L13" s="71" t="n"/>
      <c r="M13" s="71" t="n"/>
      <c r="N13" s="71" t="n"/>
      <c r="O13" s="71" t="n"/>
      <c r="P13" s="71" t="n"/>
      <c r="Q13" s="72">
        <f>IF(COUNT(K13:L13)=0,"",SUM(K13:L13))</f>
        <v/>
      </c>
      <c r="R13" s="72">
        <f>IF(COUNT(M13:P13)=0,"",SUM(M13:P13))</f>
        <v/>
      </c>
      <c r="S13" s="72">
        <f>IF(OR($E13="",$E13=0,$J13=""),"",ROUND($J13*100/$E13,0))</f>
        <v/>
      </c>
      <c r="T13" s="72">
        <f>IF(OR($E13="",$E13=0,$J13=""),"",ROUND(($J13+IF($Q13="",0,$Q13)+IF($R13="",0,$R13))*100/$E13,0))</f>
        <v/>
      </c>
    </row>
    <row r="14" ht="15" customHeight="1" s="47">
      <c r="A14" s="65">
        <f>ROW()-5</f>
        <v/>
      </c>
      <c r="B14" s="60" t="n"/>
      <c r="C14" s="60" t="n"/>
      <c r="D14" s="60" t="n"/>
      <c r="E14" s="59" t="n"/>
      <c r="F14" s="60" t="n"/>
      <c r="G14" s="60" t="n"/>
      <c r="H14" s="60" t="n"/>
      <c r="I14" s="70" t="n"/>
      <c r="J14" s="71" t="n"/>
      <c r="K14" s="71" t="n"/>
      <c r="L14" s="71" t="n"/>
      <c r="M14" s="71" t="n"/>
      <c r="N14" s="71" t="n"/>
      <c r="O14" s="71" t="n"/>
      <c r="P14" s="71" t="n"/>
      <c r="Q14" s="72">
        <f>IF(COUNT(K14:L14)=0,"",SUM(K14:L14))</f>
        <v/>
      </c>
      <c r="R14" s="72">
        <f>IF(COUNT(M14:P14)=0,"",SUM(M14:P14))</f>
        <v/>
      </c>
      <c r="S14" s="72">
        <f>IF(OR($E14="",$E14=0,$J14=""),"",ROUND($J14*100/$E14,0))</f>
        <v/>
      </c>
      <c r="T14" s="72">
        <f>IF(OR($E14="",$E14=0,$J14=""),"",ROUND(($J14+IF($Q14="",0,$Q14)+IF($R14="",0,$R14))*100/$E14,0))</f>
        <v/>
      </c>
    </row>
    <row r="15" ht="15" customHeight="1" s="47">
      <c r="A15" s="65">
        <f>ROW()-5</f>
        <v/>
      </c>
      <c r="B15" s="60" t="n"/>
      <c r="C15" s="60" t="n"/>
      <c r="D15" s="60" t="n"/>
      <c r="E15" s="59" t="n"/>
      <c r="F15" s="60" t="n"/>
      <c r="G15" s="60" t="n"/>
      <c r="H15" s="60" t="n"/>
      <c r="I15" s="70" t="n"/>
      <c r="J15" s="71" t="n"/>
      <c r="K15" s="71" t="n"/>
      <c r="L15" s="71" t="n"/>
      <c r="M15" s="71" t="n"/>
      <c r="N15" s="71" t="n"/>
      <c r="O15" s="71" t="n"/>
      <c r="P15" s="71" t="n"/>
      <c r="Q15" s="72">
        <f>IF(COUNT(K15:L15)=0,"",SUM(K15:L15))</f>
        <v/>
      </c>
      <c r="R15" s="72">
        <f>IF(COUNT(M15:P15)=0,"",SUM(M15:P15))</f>
        <v/>
      </c>
      <c r="S15" s="72">
        <f>IF(OR($E15="",$E15=0,$J15=""),"",ROUND($J15*100/$E15,0))</f>
        <v/>
      </c>
      <c r="T15" s="72">
        <f>IF(OR($E15="",$E15=0,$J15=""),"",ROUND(($J15+IF($Q15="",0,$Q15)+IF($R15="",0,$R15))*100/$E15,0))</f>
        <v/>
      </c>
    </row>
    <row r="16" ht="15" customHeight="1" s="47">
      <c r="A16" s="65">
        <f>ROW()-5</f>
        <v/>
      </c>
      <c r="B16" s="60" t="n"/>
      <c r="C16" s="60" t="n"/>
      <c r="D16" s="60" t="n"/>
      <c r="E16" s="59" t="n"/>
      <c r="F16" s="60" t="n"/>
      <c r="G16" s="60" t="n"/>
      <c r="H16" s="60" t="n"/>
      <c r="I16" s="70" t="n"/>
      <c r="J16" s="71" t="n"/>
      <c r="K16" s="71" t="n"/>
      <c r="L16" s="71" t="n"/>
      <c r="M16" s="71" t="n"/>
      <c r="N16" s="71" t="n"/>
      <c r="O16" s="71" t="n"/>
      <c r="P16" s="71" t="n"/>
      <c r="Q16" s="72">
        <f>IF(COUNT(K16:L16)=0,"",SUM(K16:L16))</f>
        <v/>
      </c>
      <c r="R16" s="72">
        <f>IF(COUNT(M16:P16)=0,"",SUM(M16:P16))</f>
        <v/>
      </c>
      <c r="S16" s="72">
        <f>IF(OR($E16="",$E16=0,$J16=""),"",ROUND($J16*100/$E16,0))</f>
        <v/>
      </c>
      <c r="T16" s="72">
        <f>IF(OR($E16="",$E16=0,$J16=""),"",ROUND(($J16+IF($Q16="",0,$Q16)+IF($R16="",0,$R16))*100/$E16,0))</f>
        <v/>
      </c>
    </row>
    <row r="17" ht="15" customHeight="1" s="47">
      <c r="A17" s="65">
        <f>ROW()-5</f>
        <v/>
      </c>
      <c r="B17" s="60" t="n"/>
      <c r="C17" s="60" t="n"/>
      <c r="D17" s="60" t="n"/>
      <c r="E17" s="59" t="n"/>
      <c r="F17" s="60" t="n"/>
      <c r="G17" s="60" t="n"/>
      <c r="H17" s="60" t="n"/>
      <c r="I17" s="70" t="n"/>
      <c r="J17" s="71" t="n"/>
      <c r="K17" s="71" t="n"/>
      <c r="L17" s="71" t="n"/>
      <c r="M17" s="71" t="n"/>
      <c r="N17" s="71" t="n"/>
      <c r="O17" s="71" t="n"/>
      <c r="P17" s="71" t="n"/>
      <c r="Q17" s="72">
        <f>IF(COUNT(K17:L17)=0,"",SUM(K17:L17))</f>
        <v/>
      </c>
      <c r="R17" s="72">
        <f>IF(COUNT(M17:P17)=0,"",SUM(M17:P17))</f>
        <v/>
      </c>
      <c r="S17" s="72">
        <f>IF(OR($E17="",$E17=0,$J17=""),"",ROUND($J17*100/$E17,0))</f>
        <v/>
      </c>
      <c r="T17" s="72">
        <f>IF(OR($E17="",$E17=0,$J17=""),"",ROUND(($J17+IF($Q17="",0,$Q17)+IF($R17="",0,$R17))*100/$E17,0))</f>
        <v/>
      </c>
    </row>
    <row r="18" ht="15" customHeight="1" s="47">
      <c r="A18" s="65">
        <f>ROW()-5</f>
        <v/>
      </c>
      <c r="B18" s="60" t="n"/>
      <c r="C18" s="60" t="n"/>
      <c r="D18" s="60" t="n"/>
      <c r="E18" s="59" t="n"/>
      <c r="F18" s="60" t="n"/>
      <c r="G18" s="60" t="n"/>
      <c r="H18" s="60" t="n"/>
      <c r="I18" s="70" t="n"/>
      <c r="J18" s="71" t="n"/>
      <c r="K18" s="71" t="n"/>
      <c r="L18" s="71" t="n"/>
      <c r="M18" s="71" t="n"/>
      <c r="N18" s="71" t="n"/>
      <c r="O18" s="71" t="n"/>
      <c r="P18" s="71" t="n"/>
      <c r="Q18" s="72">
        <f>IF(COUNT(K18:L18)=0,"",SUM(K18:L18))</f>
        <v/>
      </c>
      <c r="R18" s="72">
        <f>IF(COUNT(M18:P18)=0,"",SUM(M18:P18))</f>
        <v/>
      </c>
      <c r="S18" s="72">
        <f>IF(OR($E18="",$E18=0,$J18=""),"",ROUND($J18*100/$E18,0))</f>
        <v/>
      </c>
      <c r="T18" s="72">
        <f>IF(OR($E18="",$E18=0,$J18=""),"",ROUND(($J18+IF($Q18="",0,$Q18)+IF($R18="",0,$R18))*100/$E18,0))</f>
        <v/>
      </c>
    </row>
    <row r="19" ht="15" customHeight="1" s="47">
      <c r="A19" s="65">
        <f>ROW()-5</f>
        <v/>
      </c>
      <c r="B19" s="60" t="n"/>
      <c r="C19" s="60" t="n"/>
      <c r="D19" s="60" t="n"/>
      <c r="E19" s="59" t="n"/>
      <c r="F19" s="60" t="n"/>
      <c r="G19" s="60" t="n"/>
      <c r="H19" s="60" t="n"/>
      <c r="I19" s="70" t="n"/>
      <c r="J19" s="71" t="n"/>
      <c r="K19" s="71" t="n"/>
      <c r="L19" s="71" t="n"/>
      <c r="M19" s="71" t="n"/>
      <c r="N19" s="71" t="n"/>
      <c r="O19" s="71" t="n"/>
      <c r="P19" s="71" t="n"/>
      <c r="Q19" s="72">
        <f>IF(COUNT(K19:L19)=0,"",SUM(K19:L19))</f>
        <v/>
      </c>
      <c r="R19" s="72">
        <f>IF(COUNT(M19:P19)=0,"",SUM(M19:P19))</f>
        <v/>
      </c>
      <c r="S19" s="72">
        <f>IF(OR($E19="",$E19=0,$J19=""),"",ROUND($J19*100/$E19,0))</f>
        <v/>
      </c>
      <c r="T19" s="72">
        <f>IF(OR($E19="",$E19=0,$J19=""),"",ROUND(($J19+IF($Q19="",0,$Q19)+IF($R19="",0,$R19))*100/$E19,0))</f>
        <v/>
      </c>
    </row>
    <row r="20" ht="15" customHeight="1" s="47">
      <c r="A20" s="65">
        <f>ROW()-5</f>
        <v/>
      </c>
      <c r="B20" s="60" t="n"/>
      <c r="C20" s="60" t="n"/>
      <c r="D20" s="60" t="n"/>
      <c r="E20" s="59" t="n"/>
      <c r="F20" s="60" t="n"/>
      <c r="G20" s="60" t="n"/>
      <c r="H20" s="60" t="n"/>
      <c r="I20" s="70" t="n"/>
      <c r="J20" s="71" t="n"/>
      <c r="K20" s="71" t="n"/>
      <c r="L20" s="71" t="n"/>
      <c r="M20" s="71" t="n"/>
      <c r="N20" s="71" t="n"/>
      <c r="O20" s="71" t="n"/>
      <c r="P20" s="71" t="n"/>
      <c r="Q20" s="72">
        <f>IF(COUNT(K20:L20)=0,"",SUM(K20:L20))</f>
        <v/>
      </c>
      <c r="R20" s="72">
        <f>IF(COUNT(M20:P20)=0,"",SUM(M20:P20))</f>
        <v/>
      </c>
      <c r="S20" s="72">
        <f>IF(OR($E20="",$E20=0,$J20=""),"",ROUND($J20*100/$E20,0))</f>
        <v/>
      </c>
      <c r="T20" s="72">
        <f>IF(OR($E20="",$E20=0,$J20=""),"",ROUND(($J20+IF($Q20="",0,$Q20)+IF($R20="",0,$R20))*100/$E20,0))</f>
        <v/>
      </c>
    </row>
    <row r="21" ht="15" customHeight="1" s="47">
      <c r="A21" s="65">
        <f>ROW()-5</f>
        <v/>
      </c>
      <c r="B21" s="60" t="n"/>
      <c r="C21" s="60" t="n"/>
      <c r="D21" s="60" t="n"/>
      <c r="E21" s="59" t="n"/>
      <c r="F21" s="60" t="n"/>
      <c r="G21" s="60" t="n"/>
      <c r="H21" s="60" t="n"/>
      <c r="I21" s="70" t="n"/>
      <c r="J21" s="71" t="n"/>
      <c r="K21" s="71" t="n"/>
      <c r="L21" s="71" t="n"/>
      <c r="M21" s="71" t="n"/>
      <c r="N21" s="71" t="n"/>
      <c r="O21" s="71" t="n"/>
      <c r="P21" s="71" t="n"/>
      <c r="Q21" s="72">
        <f>IF(COUNT(K21:L21)=0,"",SUM(K21:L21))</f>
        <v/>
      </c>
      <c r="R21" s="72">
        <f>IF(COUNT(M21:P21)=0,"",SUM(M21:P21))</f>
        <v/>
      </c>
      <c r="S21" s="72">
        <f>IF(OR($E21="",$E21=0,$J21=""),"",ROUND($J21*100/$E21,0))</f>
        <v/>
      </c>
      <c r="T21" s="72">
        <f>IF(OR($E21="",$E21=0,$J21=""),"",ROUND(($J21+IF($Q21="",0,$Q21)+IF($R21="",0,$R21))*100/$E21,0))</f>
        <v/>
      </c>
    </row>
    <row r="22" ht="15" customHeight="1" s="47">
      <c r="A22" s="65">
        <f>ROW()-5</f>
        <v/>
      </c>
      <c r="B22" s="60" t="n"/>
      <c r="C22" s="60" t="n"/>
      <c r="D22" s="60" t="n"/>
      <c r="E22" s="59" t="n"/>
      <c r="F22" s="60" t="n"/>
      <c r="G22" s="60" t="n"/>
      <c r="H22" s="60" t="n"/>
      <c r="I22" s="70" t="n"/>
      <c r="J22" s="71" t="n"/>
      <c r="K22" s="71" t="n"/>
      <c r="L22" s="71" t="n"/>
      <c r="M22" s="71" t="n"/>
      <c r="N22" s="71" t="n"/>
      <c r="O22" s="71" t="n"/>
      <c r="P22" s="71" t="n"/>
      <c r="Q22" s="72">
        <f>IF(COUNT(K22:L22)=0,"",SUM(K22:L22))</f>
        <v/>
      </c>
      <c r="R22" s="72">
        <f>IF(COUNT(M22:P22)=0,"",SUM(M22:P22))</f>
        <v/>
      </c>
      <c r="S22" s="72">
        <f>IF(OR($E22="",$E22=0,$J22=""),"",ROUND($J22*100/$E22,0))</f>
        <v/>
      </c>
      <c r="T22" s="72">
        <f>IF(OR($E22="",$E22=0,$J22=""),"",ROUND(($J22+IF($Q22="",0,$Q22)+IF($R22="",0,$R22))*100/$E22,0))</f>
        <v/>
      </c>
    </row>
    <row r="23" ht="15" customHeight="1" s="47">
      <c r="A23" s="65">
        <f>ROW()-5</f>
        <v/>
      </c>
      <c r="B23" s="60" t="n"/>
      <c r="C23" s="60" t="n"/>
      <c r="D23" s="60" t="n"/>
      <c r="E23" s="59" t="n"/>
      <c r="F23" s="60" t="n"/>
      <c r="G23" s="60" t="n"/>
      <c r="H23" s="60" t="n"/>
      <c r="I23" s="70" t="n"/>
      <c r="J23" s="71" t="n"/>
      <c r="K23" s="71" t="n"/>
      <c r="L23" s="71" t="n"/>
      <c r="M23" s="71" t="n"/>
      <c r="N23" s="71" t="n"/>
      <c r="O23" s="71" t="n"/>
      <c r="P23" s="71" t="n"/>
      <c r="Q23" s="72">
        <f>IF(COUNT(K23:L23)=0,"",SUM(K23:L23))</f>
        <v/>
      </c>
      <c r="R23" s="72">
        <f>IF(COUNT(M23:P23)=0,"",SUM(M23:P23))</f>
        <v/>
      </c>
      <c r="S23" s="72">
        <f>IF(OR($E23="",$E23=0,$J23=""),"",ROUND($J23*100/$E23,0))</f>
        <v/>
      </c>
      <c r="T23" s="72">
        <f>IF(OR($E23="",$E23=0,$J23=""),"",ROUND(($J23+IF($Q23="",0,$Q23)+IF($R23="",0,$R23))*100/$E23,0))</f>
        <v/>
      </c>
    </row>
    <row r="24" ht="15" customHeight="1" s="47">
      <c r="A24" s="65">
        <f>ROW()-5</f>
        <v/>
      </c>
      <c r="B24" s="60" t="n"/>
      <c r="C24" s="60" t="n"/>
      <c r="D24" s="60" t="n"/>
      <c r="E24" s="59" t="n"/>
      <c r="F24" s="60" t="n"/>
      <c r="G24" s="60" t="n"/>
      <c r="H24" s="60" t="n"/>
      <c r="I24" s="70" t="n"/>
      <c r="J24" s="71" t="n"/>
      <c r="K24" s="71" t="n"/>
      <c r="L24" s="71" t="n"/>
      <c r="M24" s="71" t="n"/>
      <c r="N24" s="71" t="n"/>
      <c r="O24" s="71" t="n"/>
      <c r="P24" s="71" t="n"/>
      <c r="Q24" s="72">
        <f>IF(COUNT(K24:L24)=0,"",SUM(K24:L24))</f>
        <v/>
      </c>
      <c r="R24" s="72">
        <f>IF(COUNT(M24:P24)=0,"",SUM(M24:P24))</f>
        <v/>
      </c>
      <c r="S24" s="72">
        <f>IF(OR($E24="",$E24=0,$J24=""),"",ROUND($J24*100/$E24,0))</f>
        <v/>
      </c>
      <c r="T24" s="72">
        <f>IF(OR($E24="",$E24=0,$J24=""),"",ROUND(($J24+IF($Q24="",0,$Q24)+IF($R24="",0,$R24))*100/$E24,0))</f>
        <v/>
      </c>
    </row>
    <row r="25" ht="15" customHeight="1" s="47">
      <c r="A25" s="65">
        <f>ROW()-5</f>
        <v/>
      </c>
      <c r="B25" s="60" t="n"/>
      <c r="C25" s="60" t="n"/>
      <c r="D25" s="60" t="n"/>
      <c r="E25" s="59" t="n"/>
      <c r="F25" s="60" t="n"/>
      <c r="G25" s="60" t="n"/>
      <c r="H25" s="60" t="n"/>
      <c r="I25" s="70" t="n"/>
      <c r="J25" s="71" t="n"/>
      <c r="K25" s="71" t="n"/>
      <c r="L25" s="71" t="n"/>
      <c r="M25" s="71" t="n"/>
      <c r="N25" s="71" t="n"/>
      <c r="O25" s="71" t="n"/>
      <c r="P25" s="71" t="n"/>
      <c r="Q25" s="72">
        <f>IF(COUNT(K25:L25)=0,"",SUM(K25:L25))</f>
        <v/>
      </c>
      <c r="R25" s="72">
        <f>IF(COUNT(M25:P25)=0,"",SUM(M25:P25))</f>
        <v/>
      </c>
      <c r="S25" s="72">
        <f>IF(OR($E25="",$E25=0,$J25=""),"",ROUND($J25*100/$E25,0))</f>
        <v/>
      </c>
      <c r="T25" s="72">
        <f>IF(OR($E25="",$E25=0,$J25=""),"",ROUND(($J25+IF($Q25="",0,$Q25)+IF($R25="",0,$R25))*100/$E25,0))</f>
        <v/>
      </c>
    </row>
    <row r="26" ht="15" customHeight="1" s="47">
      <c r="A26" s="65">
        <f>ROW()-5</f>
        <v/>
      </c>
      <c r="B26" s="60" t="n"/>
      <c r="C26" s="60" t="n"/>
      <c r="D26" s="60" t="n"/>
      <c r="E26" s="59" t="n"/>
      <c r="F26" s="60" t="n"/>
      <c r="G26" s="60" t="n"/>
      <c r="H26" s="60" t="n"/>
      <c r="I26" s="70" t="n"/>
      <c r="J26" s="71" t="n"/>
      <c r="K26" s="71" t="n"/>
      <c r="L26" s="71" t="n"/>
      <c r="M26" s="71" t="n"/>
      <c r="N26" s="71" t="n"/>
      <c r="O26" s="71" t="n"/>
      <c r="P26" s="71" t="n"/>
      <c r="Q26" s="72">
        <f>IF(COUNT(K26:L26)=0,"",SUM(K26:L26))</f>
        <v/>
      </c>
      <c r="R26" s="72">
        <f>IF(COUNT(M26:P26)=0,"",SUM(M26:P26))</f>
        <v/>
      </c>
      <c r="S26" s="72">
        <f>IF(OR($E26="",$E26=0,$J26=""),"",ROUND($J26*100/$E26,0))</f>
        <v/>
      </c>
      <c r="T26" s="72">
        <f>IF(OR($E26="",$E26=0,$J26=""),"",ROUND(($J26+IF($Q26="",0,$Q26)+IF($R26="",0,$R26))*100/$E26,0))</f>
        <v/>
      </c>
    </row>
    <row r="27" ht="15" customHeight="1" s="47">
      <c r="A27" s="65">
        <f>ROW()-5</f>
        <v/>
      </c>
      <c r="B27" s="60" t="n"/>
      <c r="C27" s="60" t="n"/>
      <c r="D27" s="60" t="n"/>
      <c r="E27" s="59" t="n"/>
      <c r="F27" s="60" t="n"/>
      <c r="G27" s="60" t="n"/>
      <c r="H27" s="60" t="n"/>
      <c r="I27" s="70" t="n"/>
      <c r="J27" s="71" t="n"/>
      <c r="K27" s="71" t="n"/>
      <c r="L27" s="71" t="n"/>
      <c r="M27" s="71" t="n"/>
      <c r="N27" s="71" t="n"/>
      <c r="O27" s="71" t="n"/>
      <c r="P27" s="71" t="n"/>
      <c r="Q27" s="72">
        <f>IF(COUNT(K27:L27)=0,"",SUM(K27:L27))</f>
        <v/>
      </c>
      <c r="R27" s="72">
        <f>IF(COUNT(M27:P27)=0,"",SUM(M27:P27))</f>
        <v/>
      </c>
      <c r="S27" s="72">
        <f>IF(OR($E27="",$E27=0,$J27=""),"",ROUND($J27*100/$E27,0))</f>
        <v/>
      </c>
      <c r="T27" s="72">
        <f>IF(OR($E27="",$E27=0,$J27=""),"",ROUND(($J27+IF($Q27="",0,$Q27)+IF($R27="",0,$R27))*100/$E27,0))</f>
        <v/>
      </c>
    </row>
    <row r="28" ht="15" customHeight="1" s="47">
      <c r="A28" s="65">
        <f>ROW()-5</f>
        <v/>
      </c>
      <c r="B28" s="60" t="n"/>
      <c r="C28" s="60" t="n"/>
      <c r="D28" s="60" t="n"/>
      <c r="E28" s="59" t="n"/>
      <c r="F28" s="60" t="n"/>
      <c r="G28" s="60" t="n"/>
      <c r="H28" s="60" t="n"/>
      <c r="I28" s="70" t="n"/>
      <c r="J28" s="71" t="n"/>
      <c r="K28" s="71" t="n"/>
      <c r="L28" s="71" t="n"/>
      <c r="M28" s="71" t="n"/>
      <c r="N28" s="71" t="n"/>
      <c r="O28" s="71" t="n"/>
      <c r="P28" s="71" t="n"/>
      <c r="Q28" s="72">
        <f>IF(COUNT(K28:L28)=0,"",SUM(K28:L28))</f>
        <v/>
      </c>
      <c r="R28" s="72">
        <f>IF(COUNT(M28:P28)=0,"",SUM(M28:P28))</f>
        <v/>
      </c>
      <c r="S28" s="72">
        <f>IF(OR($E28="",$E28=0,$J28=""),"",ROUND($J28*100/$E28,0))</f>
        <v/>
      </c>
      <c r="T28" s="72">
        <f>IF(OR($E28="",$E28=0,$J28=""),"",ROUND(($J28+IF($Q28="",0,$Q28)+IF($R28="",0,$R28))*100/$E28,0))</f>
        <v/>
      </c>
    </row>
    <row r="29" ht="15" customHeight="1" s="47">
      <c r="A29" s="65">
        <f>ROW()-5</f>
        <v/>
      </c>
      <c r="B29" s="60" t="n"/>
      <c r="C29" s="60" t="n"/>
      <c r="D29" s="60" t="n"/>
      <c r="E29" s="59" t="n"/>
      <c r="F29" s="60" t="n"/>
      <c r="G29" s="60" t="n"/>
      <c r="H29" s="60" t="n"/>
      <c r="I29" s="70" t="n"/>
      <c r="J29" s="71" t="n"/>
      <c r="K29" s="71" t="n"/>
      <c r="L29" s="71" t="n"/>
      <c r="M29" s="71" t="n"/>
      <c r="N29" s="71" t="n"/>
      <c r="O29" s="71" t="n"/>
      <c r="P29" s="71" t="n"/>
      <c r="Q29" s="72">
        <f>IF(COUNT(K29:L29)=0,"",SUM(K29:L29))</f>
        <v/>
      </c>
      <c r="R29" s="72">
        <f>IF(COUNT(M29:P29)=0,"",SUM(M29:P29))</f>
        <v/>
      </c>
      <c r="S29" s="72">
        <f>IF(OR($E29="",$E29=0,$J29=""),"",ROUND($J29*100/$E29,0))</f>
        <v/>
      </c>
      <c r="T29" s="72">
        <f>IF(OR($E29="",$E29=0,$J29=""),"",ROUND(($J29+IF($Q29="",0,$Q29)+IF($R29="",0,$R29))*100/$E29,0))</f>
        <v/>
      </c>
    </row>
    <row r="30" ht="15" customHeight="1" s="47">
      <c r="A30" s="65">
        <f>ROW()-5</f>
        <v/>
      </c>
      <c r="B30" s="60" t="n"/>
      <c r="C30" s="60" t="n"/>
      <c r="D30" s="60" t="n"/>
      <c r="E30" s="59" t="n"/>
      <c r="F30" s="60" t="n"/>
      <c r="G30" s="60" t="n"/>
      <c r="H30" s="60" t="n"/>
      <c r="I30" s="70" t="n"/>
      <c r="J30" s="71" t="n"/>
      <c r="K30" s="71" t="n"/>
      <c r="L30" s="71" t="n"/>
      <c r="M30" s="71" t="n"/>
      <c r="N30" s="71" t="n"/>
      <c r="O30" s="71" t="n"/>
      <c r="P30" s="71" t="n"/>
      <c r="Q30" s="72">
        <f>IF(COUNT(K30:L30)=0,"",SUM(K30:L30))</f>
        <v/>
      </c>
      <c r="R30" s="72">
        <f>IF(COUNT(M30:P30)=0,"",SUM(M30:P30))</f>
        <v/>
      </c>
      <c r="S30" s="72">
        <f>IF(OR($E30="",$E30=0,$J30=""),"",ROUND($J30*100/$E30,0))</f>
        <v/>
      </c>
      <c r="T30" s="72">
        <f>IF(OR($E30="",$E30=0,$J30=""),"",ROUND(($J30+IF($Q30="",0,$Q30)+IF($R30="",0,$R30))*100/$E30,0))</f>
        <v/>
      </c>
    </row>
    <row r="31" ht="15" customHeight="1" s="47">
      <c r="A31" s="65">
        <f>ROW()-5</f>
        <v/>
      </c>
      <c r="B31" s="60" t="n"/>
      <c r="C31" s="60" t="n"/>
      <c r="D31" s="60" t="n"/>
      <c r="E31" s="59" t="n"/>
      <c r="F31" s="60" t="n"/>
      <c r="G31" s="60" t="n"/>
      <c r="H31" s="60" t="n"/>
      <c r="I31" s="70" t="n"/>
      <c r="J31" s="71" t="n"/>
      <c r="K31" s="71" t="n"/>
      <c r="L31" s="71" t="n"/>
      <c r="M31" s="71" t="n"/>
      <c r="N31" s="71" t="n"/>
      <c r="O31" s="71" t="n"/>
      <c r="P31" s="71" t="n"/>
      <c r="Q31" s="72">
        <f>IF(COUNT(K31:L31)=0,"",SUM(K31:L31))</f>
        <v/>
      </c>
      <c r="R31" s="72">
        <f>IF(COUNT(M31:P31)=0,"",SUM(M31:P31))</f>
        <v/>
      </c>
      <c r="S31" s="72">
        <f>IF(OR($E31="",$E31=0,$J31=""),"",ROUND($J31*100/$E31,0))</f>
        <v/>
      </c>
      <c r="T31" s="72">
        <f>IF(OR($E31="",$E31=0,$J31=""),"",ROUND(($J31+IF($Q31="",0,$Q31)+IF($R31="",0,$R31))*100/$E31,0))</f>
        <v/>
      </c>
    </row>
    <row r="32" ht="15" customHeight="1" s="47">
      <c r="A32" s="65">
        <f>ROW()-5</f>
        <v/>
      </c>
      <c r="B32" s="60" t="n"/>
      <c r="C32" s="60" t="n"/>
      <c r="D32" s="60" t="n"/>
      <c r="E32" s="59" t="n"/>
      <c r="F32" s="60" t="n"/>
      <c r="G32" s="60" t="n"/>
      <c r="H32" s="60" t="n"/>
      <c r="I32" s="70" t="n"/>
      <c r="J32" s="71" t="n"/>
      <c r="K32" s="71" t="n"/>
      <c r="L32" s="71" t="n"/>
      <c r="M32" s="71" t="n"/>
      <c r="N32" s="71" t="n"/>
      <c r="O32" s="71" t="n"/>
      <c r="P32" s="71" t="n"/>
      <c r="Q32" s="72">
        <f>IF(COUNT(K32:L32)=0,"",SUM(K32:L32))</f>
        <v/>
      </c>
      <c r="R32" s="72">
        <f>IF(COUNT(M32:P32)=0,"",SUM(M32:P32))</f>
        <v/>
      </c>
      <c r="S32" s="72">
        <f>IF(OR($E32="",$E32=0,$J32=""),"",ROUND($J32*100/$E32,0))</f>
        <v/>
      </c>
      <c r="T32" s="72">
        <f>IF(OR($E32="",$E32=0,$J32=""),"",ROUND(($J32+IF($Q32="",0,$Q32)+IF($R32="",0,$R32))*100/$E32,0))</f>
        <v/>
      </c>
    </row>
    <row r="33" ht="15" customHeight="1" s="47">
      <c r="A33" s="65">
        <f>ROW()-5</f>
        <v/>
      </c>
      <c r="B33" s="60" t="n"/>
      <c r="C33" s="60" t="n"/>
      <c r="D33" s="60" t="n"/>
      <c r="E33" s="59" t="n"/>
      <c r="F33" s="60" t="n"/>
      <c r="G33" s="60" t="n"/>
      <c r="H33" s="60" t="n"/>
      <c r="I33" s="70" t="n"/>
      <c r="J33" s="71" t="n"/>
      <c r="K33" s="71" t="n"/>
      <c r="L33" s="71" t="n"/>
      <c r="M33" s="71" t="n"/>
      <c r="N33" s="71" t="n"/>
      <c r="O33" s="71" t="n"/>
      <c r="P33" s="71" t="n"/>
      <c r="Q33" s="72">
        <f>IF(COUNT(K33:L33)=0,"",SUM(K33:L33))</f>
        <v/>
      </c>
      <c r="R33" s="72">
        <f>IF(COUNT(M33:P33)=0,"",SUM(M33:P33))</f>
        <v/>
      </c>
      <c r="S33" s="72">
        <f>IF(OR($E33="",$E33=0,$J33=""),"",ROUND($J33*100/$E33,0))</f>
        <v/>
      </c>
      <c r="T33" s="72">
        <f>IF(OR($E33="",$E33=0,$J33=""),"",ROUND(($J33+IF($Q33="",0,$Q33)+IF($R33="",0,$R33))*100/$E33,0))</f>
        <v/>
      </c>
    </row>
    <row r="34" ht="15" customHeight="1" s="47">
      <c r="A34" s="65">
        <f>ROW()-5</f>
        <v/>
      </c>
      <c r="B34" s="60" t="n"/>
      <c r="C34" s="60" t="n"/>
      <c r="D34" s="60" t="n"/>
      <c r="E34" s="59" t="n"/>
      <c r="F34" s="60" t="n"/>
      <c r="G34" s="60" t="n"/>
      <c r="H34" s="60" t="n"/>
      <c r="I34" s="70" t="n"/>
      <c r="J34" s="71" t="n"/>
      <c r="K34" s="71" t="n"/>
      <c r="L34" s="71" t="n"/>
      <c r="M34" s="71" t="n"/>
      <c r="N34" s="71" t="n"/>
      <c r="O34" s="71" t="n"/>
      <c r="P34" s="71" t="n"/>
      <c r="Q34" s="72">
        <f>IF(COUNT(K34:L34)=0,"",SUM(K34:L34))</f>
        <v/>
      </c>
      <c r="R34" s="72">
        <f>IF(COUNT(M34:P34)=0,"",SUM(M34:P34))</f>
        <v/>
      </c>
      <c r="S34" s="72">
        <f>IF(OR($E34="",$E34=0,$J34=""),"",ROUND($J34*100/$E34,0))</f>
        <v/>
      </c>
      <c r="T34" s="72">
        <f>IF(OR($E34="",$E34=0,$J34=""),"",ROUND(($J34+IF($Q34="",0,$Q34)+IF($R34="",0,$R34))*100/$E34,0))</f>
        <v/>
      </c>
    </row>
    <row r="35" ht="15" customHeight="1" s="47">
      <c r="A35" s="65">
        <f>ROW()-5</f>
        <v/>
      </c>
      <c r="B35" s="60" t="n"/>
      <c r="C35" s="60" t="n"/>
      <c r="D35" s="60" t="n"/>
      <c r="E35" s="59" t="n"/>
      <c r="F35" s="60" t="n"/>
      <c r="G35" s="60" t="n"/>
      <c r="H35" s="60" t="n"/>
      <c r="I35" s="70" t="n"/>
      <c r="J35" s="71" t="n"/>
      <c r="K35" s="71" t="n"/>
      <c r="L35" s="71" t="n"/>
      <c r="M35" s="71" t="n"/>
      <c r="N35" s="71" t="n"/>
      <c r="O35" s="71" t="n"/>
      <c r="P35" s="71" t="n"/>
      <c r="Q35" s="72">
        <f>IF(COUNT(K35:L35)=0,"",SUM(K35:L35))</f>
        <v/>
      </c>
      <c r="R35" s="72">
        <f>IF(COUNT(M35:P35)=0,"",SUM(M35:P35))</f>
        <v/>
      </c>
      <c r="S35" s="72">
        <f>IF(OR($E35="",$E35=0,$J35=""),"",ROUND($J35*100/$E35,0))</f>
        <v/>
      </c>
      <c r="T35" s="72">
        <f>IF(OR($E35="",$E35=0,$J35=""),"",ROUND(($J35+IF($Q35="",0,$Q35)+IF($R35="",0,$R35))*100/$E35,0))</f>
        <v/>
      </c>
    </row>
    <row r="36" ht="15" customHeight="1" s="47">
      <c r="A36" s="65">
        <f>ROW()-5</f>
        <v/>
      </c>
      <c r="B36" s="60" t="n"/>
      <c r="C36" s="60" t="n"/>
      <c r="D36" s="60" t="n"/>
      <c r="E36" s="59" t="n"/>
      <c r="F36" s="60" t="n"/>
      <c r="G36" s="60" t="n"/>
      <c r="H36" s="60" t="n"/>
      <c r="I36" s="70" t="n"/>
      <c r="J36" s="71" t="n"/>
      <c r="K36" s="71" t="n"/>
      <c r="L36" s="71" t="n"/>
      <c r="M36" s="71" t="n"/>
      <c r="N36" s="71" t="n"/>
      <c r="O36" s="71" t="n"/>
      <c r="P36" s="71" t="n"/>
      <c r="Q36" s="72">
        <f>IF(COUNT(K36:L36)=0,"",SUM(K36:L36))</f>
        <v/>
      </c>
      <c r="R36" s="72">
        <f>IF(COUNT(M36:P36)=0,"",SUM(M36:P36))</f>
        <v/>
      </c>
      <c r="S36" s="72">
        <f>IF(OR($E36="",$E36=0,$J36=""),"",ROUND($J36*100/$E36,0))</f>
        <v/>
      </c>
      <c r="T36" s="72">
        <f>IF(OR($E36="",$E36=0,$J36=""),"",ROUND(($J36+IF($Q36="",0,$Q36)+IF($R36="",0,$R36))*100/$E36,0))</f>
        <v/>
      </c>
    </row>
    <row r="37" ht="15" customHeight="1" s="47">
      <c r="A37" s="65">
        <f>ROW()-5</f>
        <v/>
      </c>
      <c r="B37" s="60" t="n"/>
      <c r="C37" s="60" t="n"/>
      <c r="D37" s="60" t="n"/>
      <c r="E37" s="59" t="n"/>
      <c r="F37" s="60" t="n"/>
      <c r="G37" s="60" t="n"/>
      <c r="H37" s="60" t="n"/>
      <c r="I37" s="70" t="n"/>
      <c r="J37" s="71" t="n"/>
      <c r="K37" s="71" t="n"/>
      <c r="L37" s="71" t="n"/>
      <c r="M37" s="71" t="n"/>
      <c r="N37" s="71" t="n"/>
      <c r="O37" s="71" t="n"/>
      <c r="P37" s="71" t="n"/>
      <c r="Q37" s="72">
        <f>IF(COUNT(K37:L37)=0,"",SUM(K37:L37))</f>
        <v/>
      </c>
      <c r="R37" s="72">
        <f>IF(COUNT(M37:P37)=0,"",SUM(M37:P37))</f>
        <v/>
      </c>
      <c r="S37" s="72">
        <f>IF(OR($E37="",$E37=0,$J37=""),"",ROUND($J37*100/$E37,0))</f>
        <v/>
      </c>
      <c r="T37" s="72">
        <f>IF(OR($E37="",$E37=0,$J37=""),"",ROUND(($J37+IF($Q37="",0,$Q37)+IF($R37="",0,$R37))*100/$E37,0))</f>
        <v/>
      </c>
    </row>
    <row r="38" ht="15" customHeight="1" s="47">
      <c r="A38" s="65">
        <f>ROW()-5</f>
        <v/>
      </c>
      <c r="B38" s="60" t="n"/>
      <c r="C38" s="60" t="n"/>
      <c r="D38" s="60" t="n"/>
      <c r="E38" s="59" t="n"/>
      <c r="F38" s="60" t="n"/>
      <c r="G38" s="60" t="n"/>
      <c r="H38" s="60" t="n"/>
      <c r="I38" s="70" t="n"/>
      <c r="J38" s="71" t="n"/>
      <c r="K38" s="71" t="n"/>
      <c r="L38" s="71" t="n"/>
      <c r="M38" s="71" t="n"/>
      <c r="N38" s="71" t="n"/>
      <c r="O38" s="71" t="n"/>
      <c r="P38" s="71" t="n"/>
      <c r="Q38" s="72">
        <f>IF(COUNT(K38:L38)=0,"",SUM(K38:L38))</f>
        <v/>
      </c>
      <c r="R38" s="72">
        <f>IF(COUNT(M38:P38)=0,"",SUM(M38:P38))</f>
        <v/>
      </c>
      <c r="S38" s="72">
        <f>IF(OR($E38="",$E38=0,$J38=""),"",ROUND($J38*100/$E38,0))</f>
        <v/>
      </c>
      <c r="T38" s="72">
        <f>IF(OR($E38="",$E38=0,$J38=""),"",ROUND(($J38+IF($Q38="",0,$Q38)+IF($R38="",0,$R38))*100/$E38,0))</f>
        <v/>
      </c>
    </row>
    <row r="39" ht="15" customHeight="1" s="47">
      <c r="A39" s="65">
        <f>ROW()-5</f>
        <v/>
      </c>
      <c r="B39" s="60" t="n"/>
      <c r="C39" s="60" t="n"/>
      <c r="D39" s="60" t="n"/>
      <c r="E39" s="59" t="n"/>
      <c r="F39" s="60" t="n"/>
      <c r="G39" s="60" t="n"/>
      <c r="H39" s="60" t="n"/>
      <c r="I39" s="70" t="n"/>
      <c r="J39" s="71" t="n"/>
      <c r="K39" s="71" t="n"/>
      <c r="L39" s="71" t="n"/>
      <c r="M39" s="71" t="n"/>
      <c r="N39" s="71" t="n"/>
      <c r="O39" s="71" t="n"/>
      <c r="P39" s="71" t="n"/>
      <c r="Q39" s="72">
        <f>IF(COUNT(K39:L39)=0,"",SUM(K39:L39))</f>
        <v/>
      </c>
      <c r="R39" s="72">
        <f>IF(COUNT(M39:P39)=0,"",SUM(M39:P39))</f>
        <v/>
      </c>
      <c r="S39" s="72">
        <f>IF(OR($E39="",$E39=0,$J39=""),"",ROUND($J39*100/$E39,0))</f>
        <v/>
      </c>
      <c r="T39" s="72">
        <f>IF(OR($E39="",$E39=0,$J39=""),"",ROUND(($J39+IF($Q39="",0,$Q39)+IF($R39="",0,$R39))*100/$E39,0))</f>
        <v/>
      </c>
    </row>
    <row r="40" ht="15" customHeight="1" s="47">
      <c r="A40" s="65">
        <f>ROW()-5</f>
        <v/>
      </c>
      <c r="B40" s="60" t="n"/>
      <c r="C40" s="60" t="n"/>
      <c r="D40" s="60" t="n"/>
      <c r="E40" s="59" t="n"/>
      <c r="F40" s="60" t="n"/>
      <c r="G40" s="60" t="n"/>
      <c r="H40" s="60" t="n"/>
      <c r="I40" s="70" t="n"/>
      <c r="J40" s="71" t="n"/>
      <c r="K40" s="71" t="n"/>
      <c r="L40" s="71" t="n"/>
      <c r="M40" s="71" t="n"/>
      <c r="N40" s="71" t="n"/>
      <c r="O40" s="71" t="n"/>
      <c r="P40" s="71" t="n"/>
      <c r="Q40" s="72">
        <f>IF(COUNT(K40:L40)=0,"",SUM(K40:L40))</f>
        <v/>
      </c>
      <c r="R40" s="72">
        <f>IF(COUNT(M40:P40)=0,"",SUM(M40:P40))</f>
        <v/>
      </c>
      <c r="S40" s="72">
        <f>IF(OR($E40="",$E40=0,$J40=""),"",ROUND($J40*100/$E40,0))</f>
        <v/>
      </c>
      <c r="T40" s="72">
        <f>IF(OR($E40="",$E40=0,$J40=""),"",ROUND(($J40+IF($Q40="",0,$Q40)+IF($R40="",0,$R40))*100/$E40,0))</f>
        <v/>
      </c>
    </row>
    <row r="41" ht="15" customHeight="1" s="47">
      <c r="A41" s="65">
        <f>ROW()-5</f>
        <v/>
      </c>
      <c r="B41" s="60" t="n"/>
      <c r="C41" s="60" t="n"/>
      <c r="D41" s="60" t="n"/>
      <c r="E41" s="59" t="n"/>
      <c r="F41" s="60" t="n"/>
      <c r="G41" s="60" t="n"/>
      <c r="H41" s="60" t="n"/>
      <c r="I41" s="70" t="n"/>
      <c r="J41" s="71" t="n"/>
      <c r="K41" s="71" t="n"/>
      <c r="L41" s="71" t="n"/>
      <c r="M41" s="71" t="n"/>
      <c r="N41" s="71" t="n"/>
      <c r="O41" s="71" t="n"/>
      <c r="P41" s="71" t="n"/>
      <c r="Q41" s="72">
        <f>IF(COUNT(K41:L41)=0,"",SUM(K41:L41))</f>
        <v/>
      </c>
      <c r="R41" s="72">
        <f>IF(COUNT(M41:P41)=0,"",SUM(M41:P41))</f>
        <v/>
      </c>
      <c r="S41" s="72">
        <f>IF(OR($E41="",$E41=0,$J41=""),"",ROUND($J41*100/$E41,0))</f>
        <v/>
      </c>
      <c r="T41" s="72">
        <f>IF(OR($E41="",$E41=0,$J41=""),"",ROUND(($J41+IF($Q41="",0,$Q41)+IF($R41="",0,$R41))*100/$E41,0))</f>
        <v/>
      </c>
    </row>
    <row r="42" ht="15" customHeight="1" s="47">
      <c r="A42" s="65">
        <f>ROW()-5</f>
        <v/>
      </c>
      <c r="B42" s="60" t="n"/>
      <c r="C42" s="60" t="n"/>
      <c r="D42" s="60" t="n"/>
      <c r="E42" s="59" t="n"/>
      <c r="F42" s="60" t="n"/>
      <c r="G42" s="60" t="n"/>
      <c r="H42" s="60" t="n"/>
      <c r="I42" s="70" t="n"/>
      <c r="J42" s="71" t="n"/>
      <c r="K42" s="71" t="n"/>
      <c r="L42" s="71" t="n"/>
      <c r="M42" s="71" t="n"/>
      <c r="N42" s="71" t="n"/>
      <c r="O42" s="71" t="n"/>
      <c r="P42" s="71" t="n"/>
      <c r="Q42" s="72">
        <f>IF(COUNT(K42:L42)=0,"",SUM(K42:L42))</f>
        <v/>
      </c>
      <c r="R42" s="72">
        <f>IF(COUNT(M42:P42)=0,"",SUM(M42:P42))</f>
        <v/>
      </c>
      <c r="S42" s="72">
        <f>IF(OR($E42="",$E42=0,$J42=""),"",ROUND($J42*100/$E42,0))</f>
        <v/>
      </c>
      <c r="T42" s="72">
        <f>IF(OR($E42="",$E42=0,$J42=""),"",ROUND(($J42+IF($Q42="",0,$Q42)+IF($R42="",0,$R42))*100/$E42,0))</f>
        <v/>
      </c>
    </row>
    <row r="43" ht="15" customHeight="1" s="47">
      <c r="A43" s="65">
        <f>ROW()-5</f>
        <v/>
      </c>
      <c r="B43" s="60" t="n"/>
      <c r="C43" s="60" t="n"/>
      <c r="D43" s="60" t="n"/>
      <c r="E43" s="59" t="n"/>
      <c r="F43" s="60" t="n"/>
      <c r="G43" s="60" t="n"/>
      <c r="H43" s="60" t="n"/>
      <c r="I43" s="70" t="n"/>
      <c r="J43" s="71" t="n"/>
      <c r="K43" s="71" t="n"/>
      <c r="L43" s="71" t="n"/>
      <c r="M43" s="71" t="n"/>
      <c r="N43" s="71" t="n"/>
      <c r="O43" s="71" t="n"/>
      <c r="P43" s="71" t="n"/>
      <c r="Q43" s="72">
        <f>IF(COUNT(K43:L43)=0,"",SUM(K43:L43))</f>
        <v/>
      </c>
      <c r="R43" s="72">
        <f>IF(COUNT(M43:P43)=0,"",SUM(M43:P43))</f>
        <v/>
      </c>
      <c r="S43" s="72">
        <f>IF(OR($E43="",$E43=0,$J43=""),"",ROUND($J43*100/$E43,0))</f>
        <v/>
      </c>
      <c r="T43" s="72">
        <f>IF(OR($E43="",$E43=0,$J43=""),"",ROUND(($J43+IF($Q43="",0,$Q43)+IF($R43="",0,$R43))*100/$E43,0))</f>
        <v/>
      </c>
    </row>
    <row r="44" ht="15" customHeight="1" s="47">
      <c r="A44" s="65">
        <f>ROW()-5</f>
        <v/>
      </c>
      <c r="B44" s="60" t="n"/>
      <c r="C44" s="60" t="n"/>
      <c r="D44" s="60" t="n"/>
      <c r="E44" s="59" t="n"/>
      <c r="F44" s="60" t="n"/>
      <c r="G44" s="60" t="n"/>
      <c r="H44" s="60" t="n"/>
      <c r="I44" s="70" t="n"/>
      <c r="J44" s="71" t="n"/>
      <c r="K44" s="71" t="n"/>
      <c r="L44" s="71" t="n"/>
      <c r="M44" s="71" t="n"/>
      <c r="N44" s="71" t="n"/>
      <c r="O44" s="71" t="n"/>
      <c r="P44" s="71" t="n"/>
      <c r="Q44" s="72">
        <f>IF(COUNT(K44:L44)=0,"",SUM(K44:L44))</f>
        <v/>
      </c>
      <c r="R44" s="72">
        <f>IF(COUNT(M44:P44)=0,"",SUM(M44:P44))</f>
        <v/>
      </c>
      <c r="S44" s="72">
        <f>IF(OR($E44="",$E44=0,$J44=""),"",ROUND($J44*100/$E44,0))</f>
        <v/>
      </c>
      <c r="T44" s="72">
        <f>IF(OR($E44="",$E44=0,$J44=""),"",ROUND(($J44+IF($Q44="",0,$Q44)+IF($R44="",0,$R44))*100/$E44,0))</f>
        <v/>
      </c>
    </row>
    <row r="45" ht="15" customHeight="1" s="47">
      <c r="A45" s="65">
        <f>ROW()-5</f>
        <v/>
      </c>
      <c r="B45" s="60" t="n"/>
      <c r="C45" s="60" t="n"/>
      <c r="D45" s="60" t="n"/>
      <c r="E45" s="59" t="n"/>
      <c r="F45" s="60" t="n"/>
      <c r="G45" s="60" t="n"/>
      <c r="H45" s="60" t="n"/>
      <c r="I45" s="70" t="n"/>
      <c r="J45" s="71" t="n"/>
      <c r="K45" s="71" t="n"/>
      <c r="L45" s="71" t="n"/>
      <c r="M45" s="71" t="n"/>
      <c r="N45" s="71" t="n"/>
      <c r="O45" s="71" t="n"/>
      <c r="P45" s="71" t="n"/>
      <c r="Q45" s="72">
        <f>IF(COUNT(K45:L45)=0,"",SUM(K45:L45))</f>
        <v/>
      </c>
      <c r="R45" s="72">
        <f>IF(COUNT(M45:P45)=0,"",SUM(M45:P45))</f>
        <v/>
      </c>
      <c r="S45" s="72">
        <f>IF(OR($E45="",$E45=0,$J45=""),"",ROUND($J45*100/$E45,0))</f>
        <v/>
      </c>
      <c r="T45" s="72">
        <f>IF(OR($E45="",$E45=0,$J45=""),"",ROUND(($J45+IF($Q45="",0,$Q45)+IF($R45="",0,$R45))*100/$E45,0))</f>
        <v/>
      </c>
    </row>
    <row r="46" ht="15" customHeight="1" s="47">
      <c r="A46" s="65">
        <f>ROW()-5</f>
        <v/>
      </c>
      <c r="B46" s="60" t="n"/>
      <c r="C46" s="60" t="n"/>
      <c r="D46" s="60" t="n"/>
      <c r="E46" s="59" t="n"/>
      <c r="F46" s="60" t="n"/>
      <c r="G46" s="60" t="n"/>
      <c r="H46" s="60" t="n"/>
      <c r="I46" s="70" t="n"/>
      <c r="J46" s="71" t="n"/>
      <c r="K46" s="71" t="n"/>
      <c r="L46" s="71" t="n"/>
      <c r="M46" s="71" t="n"/>
      <c r="N46" s="71" t="n"/>
      <c r="O46" s="71" t="n"/>
      <c r="P46" s="71" t="n"/>
      <c r="Q46" s="72">
        <f>IF(COUNT(K46:L46)=0,"",SUM(K46:L46))</f>
        <v/>
      </c>
      <c r="R46" s="72">
        <f>IF(COUNT(M46:P46)=0,"",SUM(M46:P46))</f>
        <v/>
      </c>
      <c r="S46" s="72">
        <f>IF(OR($E46="",$E46=0,$J46=""),"",ROUND($J46*100/$E46,0))</f>
        <v/>
      </c>
      <c r="T46" s="72">
        <f>IF(OR($E46="",$E46=0,$J46=""),"",ROUND(($J46+IF($Q46="",0,$Q46)+IF($R46="",0,$R46))*100/$E46,0))</f>
        <v/>
      </c>
    </row>
    <row r="47" ht="15" customHeight="1" s="47">
      <c r="A47" s="65">
        <f>ROW()-5</f>
        <v/>
      </c>
      <c r="B47" s="60" t="n"/>
      <c r="C47" s="60" t="n"/>
      <c r="D47" s="60" t="n"/>
      <c r="E47" s="59" t="n"/>
      <c r="F47" s="60" t="n"/>
      <c r="G47" s="60" t="n"/>
      <c r="H47" s="60" t="n"/>
      <c r="I47" s="70" t="n"/>
      <c r="J47" s="71" t="n"/>
      <c r="K47" s="71" t="n"/>
      <c r="L47" s="71" t="n"/>
      <c r="M47" s="71" t="n"/>
      <c r="N47" s="71" t="n"/>
      <c r="O47" s="71" t="n"/>
      <c r="P47" s="71" t="n"/>
      <c r="Q47" s="72">
        <f>IF(COUNT(K47:L47)=0,"",SUM(K47:L47))</f>
        <v/>
      </c>
      <c r="R47" s="72">
        <f>IF(COUNT(M47:P47)=0,"",SUM(M47:P47))</f>
        <v/>
      </c>
      <c r="S47" s="72">
        <f>IF(OR($E47="",$E47=0,$J47=""),"",ROUND($J47*100/$E47,0))</f>
        <v/>
      </c>
      <c r="T47" s="72">
        <f>IF(OR($E47="",$E47=0,$J47=""),"",ROUND(($J47+IF($Q47="",0,$Q47)+IF($R47="",0,$R47))*100/$E47,0))</f>
        <v/>
      </c>
    </row>
    <row r="48" ht="15" customHeight="1" s="47">
      <c r="A48" s="65">
        <f>ROW()-5</f>
        <v/>
      </c>
      <c r="B48" s="60" t="n"/>
      <c r="C48" s="60" t="n"/>
      <c r="D48" s="60" t="n"/>
      <c r="E48" s="59" t="n"/>
      <c r="F48" s="60" t="n"/>
      <c r="G48" s="60" t="n"/>
      <c r="H48" s="60" t="n"/>
      <c r="I48" s="70" t="n"/>
      <c r="J48" s="71" t="n"/>
      <c r="K48" s="71" t="n"/>
      <c r="L48" s="71" t="n"/>
      <c r="M48" s="71" t="n"/>
      <c r="N48" s="71" t="n"/>
      <c r="O48" s="71" t="n"/>
      <c r="P48" s="71" t="n"/>
      <c r="Q48" s="72">
        <f>IF(COUNT(K48:L48)=0,"",SUM(K48:L48))</f>
        <v/>
      </c>
      <c r="R48" s="72">
        <f>IF(COUNT(M48:P48)=0,"",SUM(M48:P48))</f>
        <v/>
      </c>
      <c r="S48" s="72">
        <f>IF(OR($E48="",$E48=0,$J48=""),"",ROUND($J48*100/$E48,0))</f>
        <v/>
      </c>
      <c r="T48" s="72">
        <f>IF(OR($E48="",$E48=0,$J48=""),"",ROUND(($J48+IF($Q48="",0,$Q48)+IF($R48="",0,$R48))*100/$E48,0))</f>
        <v/>
      </c>
    </row>
    <row r="49" ht="15" customHeight="1" s="47">
      <c r="A49" s="65">
        <f>ROW()-5</f>
        <v/>
      </c>
      <c r="B49" s="60" t="n"/>
      <c r="C49" s="60" t="n"/>
      <c r="D49" s="60" t="n"/>
      <c r="E49" s="59" t="n"/>
      <c r="F49" s="60" t="n"/>
      <c r="G49" s="60" t="n"/>
      <c r="H49" s="60" t="n"/>
      <c r="I49" s="70" t="n"/>
      <c r="J49" s="71" t="n"/>
      <c r="K49" s="71" t="n"/>
      <c r="L49" s="71" t="n"/>
      <c r="M49" s="71" t="n"/>
      <c r="N49" s="71" t="n"/>
      <c r="O49" s="71" t="n"/>
      <c r="P49" s="71" t="n"/>
      <c r="Q49" s="72">
        <f>IF(COUNT(K49:L49)=0,"",SUM(K49:L49))</f>
        <v/>
      </c>
      <c r="R49" s="72">
        <f>IF(COUNT(M49:P49)=0,"",SUM(M49:P49))</f>
        <v/>
      </c>
      <c r="S49" s="72">
        <f>IF(OR($E49="",$E49=0,$J49=""),"",ROUND($J49*100/$E49,0))</f>
        <v/>
      </c>
      <c r="T49" s="72">
        <f>IF(OR($E49="",$E49=0,$J49=""),"",ROUND(($J49+IF($Q49="",0,$Q49)+IF($R49="",0,$R49))*100/$E49,0))</f>
        <v/>
      </c>
    </row>
    <row r="50" ht="15" customHeight="1" s="47">
      <c r="A50" s="65">
        <f>ROW()-5</f>
        <v/>
      </c>
      <c r="B50" s="60" t="n"/>
      <c r="C50" s="60" t="n"/>
      <c r="D50" s="60" t="n"/>
      <c r="E50" s="59" t="n"/>
      <c r="F50" s="60" t="n"/>
      <c r="G50" s="60" t="n"/>
      <c r="H50" s="60" t="n"/>
      <c r="I50" s="70" t="n"/>
      <c r="J50" s="71" t="n"/>
      <c r="K50" s="71" t="n"/>
      <c r="L50" s="71" t="n"/>
      <c r="M50" s="71" t="n"/>
      <c r="N50" s="71" t="n"/>
      <c r="O50" s="71" t="n"/>
      <c r="P50" s="71" t="n"/>
      <c r="Q50" s="72">
        <f>IF(COUNT(K50:L50)=0,"",SUM(K50:L50))</f>
        <v/>
      </c>
      <c r="R50" s="72">
        <f>IF(COUNT(M50:P50)=0,"",SUM(M50:P50))</f>
        <v/>
      </c>
      <c r="S50" s="72">
        <f>IF(OR($E50="",$E50=0,$J50=""),"",ROUND($J50*100/$E50,0))</f>
        <v/>
      </c>
      <c r="T50" s="72">
        <f>IF(OR($E50="",$E50=0,$J50=""),"",ROUND(($J50+IF($Q50="",0,$Q50)+IF($R50="",0,$R50))*100/$E50,0))</f>
        <v/>
      </c>
    </row>
    <row r="51" ht="15" customHeight="1" s="47">
      <c r="A51" s="65">
        <f>ROW()-5</f>
        <v/>
      </c>
      <c r="B51" s="60" t="n"/>
      <c r="C51" s="60" t="n"/>
      <c r="D51" s="60" t="n"/>
      <c r="E51" s="59" t="n"/>
      <c r="F51" s="60" t="n"/>
      <c r="G51" s="60" t="n"/>
      <c r="H51" s="60" t="n"/>
      <c r="I51" s="70" t="n"/>
      <c r="J51" s="71" t="n"/>
      <c r="K51" s="71" t="n"/>
      <c r="L51" s="71" t="n"/>
      <c r="M51" s="71" t="n"/>
      <c r="N51" s="71" t="n"/>
      <c r="O51" s="71" t="n"/>
      <c r="P51" s="71" t="n"/>
      <c r="Q51" s="72">
        <f>IF(COUNT(K51:L51)=0,"",SUM(K51:L51))</f>
        <v/>
      </c>
      <c r="R51" s="72">
        <f>IF(COUNT(M51:P51)=0,"",SUM(M51:P51))</f>
        <v/>
      </c>
      <c r="S51" s="72">
        <f>IF(OR($E51="",$E51=0,$J51=""),"",ROUND($J51*100/$E51,0))</f>
        <v/>
      </c>
      <c r="T51" s="72">
        <f>IF(OR($E51="",$E51=0,$J51=""),"",ROUND(($J51+IF($Q51="",0,$Q51)+IF($R51="",0,$R51))*100/$E51,0))</f>
        <v/>
      </c>
    </row>
    <row r="52" ht="15" customHeight="1" s="47">
      <c r="A52" s="65">
        <f>ROW()-5</f>
        <v/>
      </c>
      <c r="B52" s="60" t="n"/>
      <c r="C52" s="60" t="n"/>
      <c r="D52" s="60" t="n"/>
      <c r="E52" s="59" t="n"/>
      <c r="F52" s="60" t="n"/>
      <c r="G52" s="60" t="n"/>
      <c r="H52" s="60" t="n"/>
      <c r="I52" s="70" t="n"/>
      <c r="J52" s="71" t="n"/>
      <c r="K52" s="71" t="n"/>
      <c r="L52" s="71" t="n"/>
      <c r="M52" s="71" t="n"/>
      <c r="N52" s="71" t="n"/>
      <c r="O52" s="71" t="n"/>
      <c r="P52" s="71" t="n"/>
      <c r="Q52" s="72">
        <f>IF(COUNT(K52:L52)=0,"",SUM(K52:L52))</f>
        <v/>
      </c>
      <c r="R52" s="72">
        <f>IF(COUNT(M52:P52)=0,"",SUM(M52:P52))</f>
        <v/>
      </c>
      <c r="S52" s="72">
        <f>IF(OR($E52="",$E52=0,$J52=""),"",ROUND($J52*100/$E52,0))</f>
        <v/>
      </c>
      <c r="T52" s="72">
        <f>IF(OR($E52="",$E52=0,$J52=""),"",ROUND(($J52+IF($Q52="",0,$Q52)+IF($R52="",0,$R52))*100/$E52,0))</f>
        <v/>
      </c>
    </row>
    <row r="53" ht="15" customHeight="1" s="47">
      <c r="A53" s="65">
        <f>ROW()-5</f>
        <v/>
      </c>
      <c r="B53" s="60" t="n"/>
      <c r="C53" s="60" t="n"/>
      <c r="D53" s="60" t="n"/>
      <c r="E53" s="59" t="n"/>
      <c r="F53" s="60" t="n"/>
      <c r="G53" s="60" t="n"/>
      <c r="H53" s="60" t="n"/>
      <c r="I53" s="70" t="n"/>
      <c r="J53" s="71" t="n"/>
      <c r="K53" s="71" t="n"/>
      <c r="L53" s="71" t="n"/>
      <c r="M53" s="71" t="n"/>
      <c r="N53" s="71" t="n"/>
      <c r="O53" s="71" t="n"/>
      <c r="P53" s="71" t="n"/>
      <c r="Q53" s="72">
        <f>IF(COUNT(K53:L53)=0,"",SUM(K53:L53))</f>
        <v/>
      </c>
      <c r="R53" s="72">
        <f>IF(COUNT(M53:P53)=0,"",SUM(M53:P53))</f>
        <v/>
      </c>
      <c r="S53" s="72">
        <f>IF(OR($E53="",$E53=0,$J53=""),"",ROUND($J53*100/$E53,0))</f>
        <v/>
      </c>
      <c r="T53" s="72">
        <f>IF(OR($E53="",$E53=0,$J53=""),"",ROUND(($J53+IF($Q53="",0,$Q53)+IF($R53="",0,$R53))*100/$E53,0))</f>
        <v/>
      </c>
    </row>
    <row r="54" ht="15" customHeight="1" s="47">
      <c r="A54" s="65">
        <f>ROW()-5</f>
        <v/>
      </c>
      <c r="B54" s="60" t="n"/>
      <c r="C54" s="60" t="n"/>
      <c r="D54" s="60" t="n"/>
      <c r="E54" s="59" t="n"/>
      <c r="F54" s="60" t="n"/>
      <c r="G54" s="60" t="n"/>
      <c r="H54" s="60" t="n"/>
      <c r="I54" s="70" t="n"/>
      <c r="J54" s="71" t="n"/>
      <c r="K54" s="71" t="n"/>
      <c r="L54" s="71" t="n"/>
      <c r="M54" s="71" t="n"/>
      <c r="N54" s="71" t="n"/>
      <c r="O54" s="71" t="n"/>
      <c r="P54" s="71" t="n"/>
      <c r="Q54" s="72">
        <f>IF(COUNT(K54:L54)=0,"",SUM(K54:L54))</f>
        <v/>
      </c>
      <c r="R54" s="72">
        <f>IF(COUNT(M54:P54)=0,"",SUM(M54:P54))</f>
        <v/>
      </c>
      <c r="S54" s="72">
        <f>IF(OR($E54="",$E54=0,$J54=""),"",ROUND($J54*100/$E54,0))</f>
        <v/>
      </c>
      <c r="T54" s="72">
        <f>IF(OR($E54="",$E54=0,$J54=""),"",ROUND(($J54+IF($Q54="",0,$Q54)+IF($R54="",0,$R54))*100/$E54,0))</f>
        <v/>
      </c>
    </row>
    <row r="55" ht="15" customHeight="1" s="47">
      <c r="A55" s="65">
        <f>ROW()-5</f>
        <v/>
      </c>
      <c r="B55" s="60" t="n"/>
      <c r="C55" s="60" t="n"/>
      <c r="D55" s="60" t="n"/>
      <c r="E55" s="59" t="n"/>
      <c r="F55" s="60" t="n"/>
      <c r="G55" s="60" t="n"/>
      <c r="H55" s="60" t="n"/>
      <c r="I55" s="70" t="n"/>
      <c r="J55" s="71" t="n"/>
      <c r="K55" s="71" t="n"/>
      <c r="L55" s="71" t="n"/>
      <c r="M55" s="71" t="n"/>
      <c r="N55" s="71" t="n"/>
      <c r="O55" s="71" t="n"/>
      <c r="P55" s="71" t="n"/>
      <c r="Q55" s="72">
        <f>IF(COUNT(K55:L55)=0,"",SUM(K55:L55))</f>
        <v/>
      </c>
      <c r="R55" s="72">
        <f>IF(COUNT(M55:P55)=0,"",SUM(M55:P55))</f>
        <v/>
      </c>
      <c r="S55" s="72">
        <f>IF(OR($E55="",$E55=0,$J55=""),"",ROUND($J55*100/$E55,0))</f>
        <v/>
      </c>
      <c r="T55" s="72">
        <f>IF(OR($E55="",$E55=0,$J55=""),"",ROUND(($J55+IF($Q55="",0,$Q55)+IF($R55="",0,$R55))*100/$E55,0))</f>
        <v/>
      </c>
    </row>
  </sheetData>
  <mergeCells count="2">
    <mergeCell ref="B3:T3"/>
    <mergeCell ref="B2:D2"/>
  </mergeCells>
  <dataValidations count="3">
    <dataValidation sqref="F6:F10005" showDropDown="0" showInputMessage="0" showErrorMessage="1" allowBlank="1" errorTitle="Ógilt menntunarstig" error="Veldu úr listanum." type="list" errorStyle="stop" operator="between">
      <formula1>"Grunnskólapróf,Framhaldsskóla-/stúdentspróf,Iðn-/starfsmenntun,Háskólapróf (BA/BS),Meistarapróf (MA/MS),Doktorspróf,Sérfræðinám"</formula1>
      <formula2>0</formula2>
    </dataValidation>
    <dataValidation sqref="D6:D10005" showDropDown="0" showInputMessage="0" showErrorMessage="1" allowBlank="1" errorTitle="Ógilt kyn" error="Veldu úr listanum." type="list" errorStyle="stop" operator="between">
      <formula1>"Karl,Kona,Hlutlaust"</formula1>
      <formula2>0</formula2>
    </dataValidation>
    <dataValidation sqref="E6:E10005" showDropDown="0" showInputMessage="0" showErrorMessage="1" allowBlank="1" errorTitle="Ógilt starfshlutfall" error="Starfshlutfall er á bilinu 0–100%." type="decimal" errorStyle="stop" operator="between">
      <formula1>0</formula1>
      <formula2>100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 filterMode="0">
    <tabColor rgb="FFBC6C25"/>
    <outlinePr summaryBelow="1" summaryRight="1"/>
    <pageSetUpPr fitToPage="0"/>
  </sheetPr>
  <dimension ref="B2:GX10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outlineLevelCol="1" baseColWidth="8" defaultColWidth="8.6796875" defaultRowHeight="15" customHeight="0" zeroHeight="0" outlineLevelRow="0"/>
  <cols>
    <col width="4" customWidth="1" style="46" min="1" max="1"/>
    <col width="20" customWidth="1" style="46" min="2" max="2"/>
    <col width="26" customWidth="1" style="46" min="3" max="3"/>
    <col width="10" customWidth="1" style="46" min="4" max="4"/>
    <col width="12" customWidth="1" style="46" min="5" max="6"/>
    <col width="10" customWidth="1" style="46" min="7" max="22"/>
    <col hidden="1" outlineLevel="1" width="10" customWidth="1" style="47" min="23" max="23"/>
    <col hidden="1" outlineLevel="1" width="10" customWidth="1" style="47" min="24" max="24"/>
    <col hidden="1" outlineLevel="1" width="10" customWidth="1" style="47" min="25" max="25"/>
    <col hidden="1" outlineLevel="1" width="10" customWidth="1" style="47" min="26" max="26"/>
    <col hidden="1" outlineLevel="1" width="10" customWidth="1" style="47" min="27" max="27"/>
    <col hidden="1" outlineLevel="1" width="10" customWidth="1" style="47" min="28" max="28"/>
    <col hidden="1" outlineLevel="1" width="10" customWidth="1" style="47" min="29" max="29"/>
    <col hidden="1" outlineLevel="1" width="10" customWidth="1" style="47" min="30" max="30"/>
    <col hidden="1" outlineLevel="1" width="10" customWidth="1" style="47" min="31" max="31"/>
    <col hidden="1" outlineLevel="1" width="10" customWidth="1" style="47" min="32" max="32"/>
    <col hidden="1" outlineLevel="1" width="10" customWidth="1" style="47" min="33" max="33"/>
    <col hidden="1" outlineLevel="1" width="10" customWidth="1" style="47" min="34" max="34"/>
    <col hidden="1" outlineLevel="1" width="10" customWidth="1" style="47" min="35" max="35"/>
    <col hidden="1" outlineLevel="1" width="10" customWidth="1" style="47" min="36" max="36"/>
    <col hidden="1" outlineLevel="1" width="10" customWidth="1" style="47" min="37" max="37"/>
    <col hidden="1" outlineLevel="1" width="10" customWidth="1" style="47" min="38" max="38"/>
    <col hidden="1" outlineLevel="1" width="10" customWidth="1" style="47" min="39" max="39"/>
    <col hidden="1" outlineLevel="1" width="10" customWidth="1" style="47" min="40" max="40"/>
    <col hidden="1" outlineLevel="1" width="10" customWidth="1" style="47" min="41" max="41"/>
    <col hidden="1" outlineLevel="1" width="10" customWidth="1" style="47" min="42" max="42"/>
    <col hidden="1" outlineLevel="1" width="10" customWidth="1" style="47" min="43" max="43"/>
    <col hidden="1" outlineLevel="1" width="10" customWidth="1" style="47" min="44" max="44"/>
    <col hidden="1" outlineLevel="1" width="10" customWidth="1" style="47" min="45" max="45"/>
    <col hidden="1" outlineLevel="1" width="10" customWidth="1" style="47" min="46" max="46"/>
    <col hidden="1" outlineLevel="1" width="10" customWidth="1" style="47" min="47" max="47"/>
    <col hidden="1" outlineLevel="1" width="10" customWidth="1" style="47" min="48" max="48"/>
    <col hidden="1" outlineLevel="1" width="10" customWidth="1" style="47" min="49" max="49"/>
    <col hidden="1" outlineLevel="1" width="10" customWidth="1" style="47" min="50" max="50"/>
    <col hidden="1" outlineLevel="1" width="10" customWidth="1" style="47" min="51" max="51"/>
    <col hidden="1" outlineLevel="1" width="10" customWidth="1" style="47" min="52" max="52"/>
    <col hidden="1" outlineLevel="1" width="10" customWidth="1" style="47" min="53" max="53"/>
    <col hidden="1" outlineLevel="1" width="10" customWidth="1" style="47" min="54" max="54"/>
    <col hidden="1" outlineLevel="1" width="10" customWidth="1" style="47" min="55" max="55"/>
    <col hidden="1" outlineLevel="1" width="10" customWidth="1" style="47" min="56" max="56"/>
    <col hidden="1" outlineLevel="1" width="10" customWidth="1" style="47" min="57" max="57"/>
    <col hidden="1" outlineLevel="1" width="10" customWidth="1" style="47" min="58" max="58"/>
    <col hidden="1" outlineLevel="1" width="10" customWidth="1" style="47" min="59" max="59"/>
    <col hidden="1" outlineLevel="1" width="10" customWidth="1" style="47" min="60" max="60"/>
    <col hidden="1" outlineLevel="1" width="10" customWidth="1" style="47" min="61" max="61"/>
    <col hidden="1" outlineLevel="1" width="10" customWidth="1" style="47" min="62" max="62"/>
    <col hidden="1" outlineLevel="1" width="10" customWidth="1" style="47" min="63" max="63"/>
    <col hidden="1" outlineLevel="1" width="10" customWidth="1" style="47" min="64" max="64"/>
    <col hidden="1" outlineLevel="1" width="10" customWidth="1" style="47" min="65" max="65"/>
    <col hidden="1" outlineLevel="1" width="10" customWidth="1" style="47" min="66" max="66"/>
    <col hidden="1" outlineLevel="1" width="10" customWidth="1" style="47" min="67" max="67"/>
    <col hidden="1" outlineLevel="1" width="10" customWidth="1" style="47" min="68" max="68"/>
    <col hidden="1" outlineLevel="1" width="10" customWidth="1" style="47" min="69" max="69"/>
    <col hidden="1" outlineLevel="1" width="10" customWidth="1" style="47" min="70" max="70"/>
    <col hidden="1" outlineLevel="1" width="10" customWidth="1" style="47" min="71" max="71"/>
    <col hidden="1" outlineLevel="1" width="10" customWidth="1" style="47" min="72" max="72"/>
    <col hidden="1" outlineLevel="1" width="10" customWidth="1" style="47" min="73" max="73"/>
    <col hidden="1" outlineLevel="1" width="10" customWidth="1" style="47" min="74" max="74"/>
    <col hidden="1" outlineLevel="1" width="10" customWidth="1" style="47" min="75" max="75"/>
    <col hidden="1" outlineLevel="1" width="10" customWidth="1" style="47" min="76" max="76"/>
    <col hidden="1" outlineLevel="1" width="10" customWidth="1" style="47" min="77" max="77"/>
    <col hidden="1" outlineLevel="1" width="10" customWidth="1" style="47" min="78" max="78"/>
    <col hidden="1" outlineLevel="1" width="10" customWidth="1" style="47" min="79" max="79"/>
    <col hidden="1" outlineLevel="1" width="10" customWidth="1" style="47" min="80" max="80"/>
    <col hidden="1" outlineLevel="1" width="10" customWidth="1" style="47" min="81" max="81"/>
    <col hidden="1" outlineLevel="1" width="10" customWidth="1" style="47" min="82" max="82"/>
    <col hidden="1" outlineLevel="1" width="10" customWidth="1" style="47" min="83" max="83"/>
    <col hidden="1" outlineLevel="1" width="10" customWidth="1" style="47" min="84" max="84"/>
    <col hidden="1" outlineLevel="1" width="10" customWidth="1" style="47" min="85" max="85"/>
    <col hidden="1" outlineLevel="1" width="10" customWidth="1" style="47" min="86" max="86"/>
    <col hidden="1" outlineLevel="1" width="10" customWidth="1" style="47" min="87" max="87"/>
    <col hidden="1" outlineLevel="1" width="10" customWidth="1" style="47" min="88" max="88"/>
    <col hidden="1" outlineLevel="1" width="10" customWidth="1" style="47" min="89" max="89"/>
    <col hidden="1" outlineLevel="1" width="10" customWidth="1" style="47" min="90" max="90"/>
    <col hidden="1" outlineLevel="1" width="10" customWidth="1" style="47" min="91" max="91"/>
    <col hidden="1" outlineLevel="1" width="10" customWidth="1" style="47" min="92" max="92"/>
    <col hidden="1" outlineLevel="1" width="10" customWidth="1" style="47" min="93" max="93"/>
    <col hidden="1" outlineLevel="1" width="10" customWidth="1" style="47" min="94" max="94"/>
    <col hidden="1" outlineLevel="1" width="10" customWidth="1" style="47" min="95" max="95"/>
    <col hidden="1" outlineLevel="1" width="10" customWidth="1" style="47" min="96" max="96"/>
    <col hidden="1" outlineLevel="1" width="10" customWidth="1" style="47" min="97" max="97"/>
    <col hidden="1" outlineLevel="1" width="10" customWidth="1" style="47" min="98" max="98"/>
    <col hidden="1" outlineLevel="1" width="10" customWidth="1" style="47" min="99" max="99"/>
    <col hidden="1" outlineLevel="1" width="10" customWidth="1" style="47" min="100" max="100"/>
    <col hidden="1" outlineLevel="1" width="10" customWidth="1" style="47" min="101" max="101"/>
    <col hidden="1" outlineLevel="1" width="10" customWidth="1" style="47" min="102" max="102"/>
    <col hidden="1" outlineLevel="1" width="10" customWidth="1" style="47" min="103" max="103"/>
    <col hidden="1" outlineLevel="1" width="10" customWidth="1" style="47" min="104" max="104"/>
    <col hidden="1" outlineLevel="1" width="10" customWidth="1" style="47" min="105" max="105"/>
    <col hidden="1" outlineLevel="1" width="10" customWidth="1" style="47" min="106" max="106"/>
    <col hidden="1" outlineLevel="1" width="10" customWidth="1" style="47" min="107" max="107"/>
    <col hidden="1" outlineLevel="1" width="10" customWidth="1" style="47" min="108" max="108"/>
    <col hidden="1" outlineLevel="1" width="10" customWidth="1" style="47" min="109" max="109"/>
    <col hidden="1" outlineLevel="1" width="10" customWidth="1" style="47" min="110" max="110"/>
    <col hidden="1" outlineLevel="1" width="10" customWidth="1" style="47" min="111" max="111"/>
    <col hidden="1" outlineLevel="1" width="10" customWidth="1" style="47" min="112" max="112"/>
    <col hidden="1" outlineLevel="1" width="10" customWidth="1" style="47" min="113" max="113"/>
    <col hidden="1" outlineLevel="1" width="10" customWidth="1" style="47" min="114" max="114"/>
    <col hidden="1" outlineLevel="1" width="10" customWidth="1" style="47" min="115" max="115"/>
    <col hidden="1" outlineLevel="1" width="10" customWidth="1" style="47" min="116" max="116"/>
    <col hidden="1" outlineLevel="1" width="10" customWidth="1" style="47" min="117" max="117"/>
    <col hidden="1" outlineLevel="1" width="10" customWidth="1" style="47" min="118" max="118"/>
    <col hidden="1" outlineLevel="1" width="10" customWidth="1" style="47" min="119" max="119"/>
    <col hidden="1" outlineLevel="1" width="10" customWidth="1" style="47" min="120" max="120"/>
    <col hidden="1" outlineLevel="1" width="10" customWidth="1" style="47" min="121" max="121"/>
    <col hidden="1" outlineLevel="1" width="10" customWidth="1" style="47" min="122" max="122"/>
    <col hidden="1" outlineLevel="1" width="10" customWidth="1" style="47" min="123" max="123"/>
    <col hidden="1" outlineLevel="1" width="10" customWidth="1" style="47" min="124" max="124"/>
    <col hidden="1" outlineLevel="1" width="10" customWidth="1" style="47" min="125" max="125"/>
    <col hidden="1" outlineLevel="1" width="10" customWidth="1" style="47" min="126" max="126"/>
    <col hidden="1" outlineLevel="1" width="10" customWidth="1" style="47" min="127" max="127"/>
    <col hidden="1" outlineLevel="1" width="10" customWidth="1" style="47" min="128" max="128"/>
    <col hidden="1" outlineLevel="1" width="10" customWidth="1" style="47" min="129" max="129"/>
    <col hidden="1" outlineLevel="1" width="10" customWidth="1" style="47" min="130" max="130"/>
    <col hidden="1" outlineLevel="1" width="10" customWidth="1" style="47" min="131" max="131"/>
    <col hidden="1" outlineLevel="1" width="10" customWidth="1" style="47" min="132" max="132"/>
    <col hidden="1" outlineLevel="1" width="10" customWidth="1" style="47" min="133" max="133"/>
    <col hidden="1" outlineLevel="1" width="10" customWidth="1" style="47" min="134" max="134"/>
    <col hidden="1" outlineLevel="1" width="10" customWidth="1" style="47" min="135" max="135"/>
    <col hidden="1" outlineLevel="1" width="10" customWidth="1" style="47" min="136" max="136"/>
    <col hidden="1" outlineLevel="1" width="10" customWidth="1" style="47" min="137" max="137"/>
    <col hidden="1" outlineLevel="1" width="10" customWidth="1" style="47" min="138" max="138"/>
    <col hidden="1" outlineLevel="1" width="10" customWidth="1" style="47" min="139" max="139"/>
    <col hidden="1" outlineLevel="1" width="10" customWidth="1" style="47" min="140" max="140"/>
    <col hidden="1" outlineLevel="1" width="10" customWidth="1" style="47" min="141" max="141"/>
    <col hidden="1" outlineLevel="1" width="10" customWidth="1" style="47" min="142" max="142"/>
    <col hidden="1" outlineLevel="1" width="10" customWidth="1" style="47" min="143" max="143"/>
    <col hidden="1" outlineLevel="1" width="10" customWidth="1" style="47" min="144" max="144"/>
    <col hidden="1" outlineLevel="1" width="10" customWidth="1" style="47" min="145" max="145"/>
    <col hidden="1" outlineLevel="1" width="10" customWidth="1" style="47" min="146" max="146"/>
    <col hidden="1" outlineLevel="1" width="10" customWidth="1" style="47" min="147" max="147"/>
    <col hidden="1" outlineLevel="1" width="10" customWidth="1" style="47" min="148" max="148"/>
    <col hidden="1" outlineLevel="1" width="10" customWidth="1" style="47" min="149" max="149"/>
    <col hidden="1" outlineLevel="1" width="10" customWidth="1" style="47" min="150" max="150"/>
    <col hidden="1" outlineLevel="1" width="10" customWidth="1" style="47" min="151" max="151"/>
    <col hidden="1" outlineLevel="1" width="10" customWidth="1" style="47" min="152" max="152"/>
    <col hidden="1" outlineLevel="1" width="10" customWidth="1" style="47" min="153" max="153"/>
    <col hidden="1" outlineLevel="1" width="10" customWidth="1" style="47" min="154" max="154"/>
    <col hidden="1" outlineLevel="1" width="10" customWidth="1" style="47" min="155" max="155"/>
    <col hidden="1" outlineLevel="1" width="10" customWidth="1" style="47" min="156" max="156"/>
    <col hidden="1" outlineLevel="1" width="10" customWidth="1" style="47" min="157" max="157"/>
    <col hidden="1" outlineLevel="1" width="10" customWidth="1" style="47" min="158" max="158"/>
    <col hidden="1" outlineLevel="1" width="10" customWidth="1" style="47" min="159" max="159"/>
    <col hidden="1" outlineLevel="1" width="10" customWidth="1" style="47" min="160" max="160"/>
    <col hidden="1" outlineLevel="1" width="10" customWidth="1" style="47" min="161" max="161"/>
    <col hidden="1" outlineLevel="1" width="10" customWidth="1" style="47" min="162" max="162"/>
    <col hidden="1" outlineLevel="1" width="10" customWidth="1" style="47" min="163" max="163"/>
    <col hidden="1" outlineLevel="1" width="10" customWidth="1" style="47" min="164" max="164"/>
    <col hidden="1" outlineLevel="1" width="10" customWidth="1" style="47" min="165" max="165"/>
    <col hidden="1" outlineLevel="1" width="10" customWidth="1" style="47" min="166" max="166"/>
    <col hidden="1" outlineLevel="1" width="10" customWidth="1" style="47" min="167" max="167"/>
    <col hidden="1" outlineLevel="1" width="10" customWidth="1" style="47" min="168" max="168"/>
    <col hidden="1" outlineLevel="1" width="10" customWidth="1" style="47" min="169" max="169"/>
    <col hidden="1" outlineLevel="1" width="10" customWidth="1" style="47" min="170" max="170"/>
    <col hidden="1" outlineLevel="1" width="10" customWidth="1" style="47" min="171" max="171"/>
    <col hidden="1" outlineLevel="1" width="10" customWidth="1" style="47" min="172" max="172"/>
    <col hidden="1" outlineLevel="1" width="10" customWidth="1" style="47" min="173" max="173"/>
    <col hidden="1" outlineLevel="1" width="10" customWidth="1" style="47" min="174" max="174"/>
    <col hidden="1" outlineLevel="1" width="10" customWidth="1" style="47" min="175" max="175"/>
    <col hidden="1" outlineLevel="1" width="10" customWidth="1" style="47" min="176" max="176"/>
    <col hidden="1" outlineLevel="1" width="10" customWidth="1" style="47" min="177" max="177"/>
    <col hidden="1" outlineLevel="1" width="10" customWidth="1" style="47" min="178" max="178"/>
    <col hidden="1" outlineLevel="1" width="10" customWidth="1" style="47" min="179" max="179"/>
    <col hidden="1" outlineLevel="1" width="10" customWidth="1" style="47" min="180" max="180"/>
    <col hidden="1" outlineLevel="1" width="10" customWidth="1" style="47" min="181" max="181"/>
    <col hidden="1" outlineLevel="1" width="10" customWidth="1" style="47" min="182" max="182"/>
    <col hidden="1" outlineLevel="1" width="10" customWidth="1" style="47" min="183" max="183"/>
    <col hidden="1" outlineLevel="1" width="10" customWidth="1" style="47" min="184" max="184"/>
    <col hidden="1" outlineLevel="1" width="10" customWidth="1" style="47" min="185" max="185"/>
    <col hidden="1" outlineLevel="1" width="10" customWidth="1" style="47" min="186" max="186"/>
    <col hidden="1" outlineLevel="1" width="10" customWidth="1" style="47" min="187" max="187"/>
    <col hidden="1" outlineLevel="1" width="10" customWidth="1" style="47" min="188" max="188"/>
    <col hidden="1" outlineLevel="1" width="10" customWidth="1" style="47" min="189" max="189"/>
    <col hidden="1" outlineLevel="1" width="10" customWidth="1" style="47" min="190" max="190"/>
    <col hidden="1" outlineLevel="1" width="10" customWidth="1" style="47" min="191" max="191"/>
    <col hidden="1" outlineLevel="1" width="10" customWidth="1" style="47" min="192" max="192"/>
    <col hidden="1" outlineLevel="1" width="10" customWidth="1" style="47" min="193" max="193"/>
    <col hidden="1" outlineLevel="1" width="10" customWidth="1" style="47" min="194" max="194"/>
    <col hidden="1" outlineLevel="1" width="10" customWidth="1" style="47" min="195" max="195"/>
    <col hidden="1" outlineLevel="1" width="10" customWidth="1" style="47" min="196" max="196"/>
    <col hidden="1" outlineLevel="1" width="10" customWidth="1" style="47" min="197" max="197"/>
    <col hidden="1" outlineLevel="1" width="10" customWidth="1" style="47" min="198" max="198"/>
    <col hidden="1" outlineLevel="1" width="10" customWidth="1" style="47" min="199" max="199"/>
    <col hidden="1" outlineLevel="1" width="10" customWidth="1" style="47" min="200" max="200"/>
    <col hidden="1" outlineLevel="1" width="10" customWidth="1" style="47" min="201" max="201"/>
    <col hidden="1" outlineLevel="1" width="10" customWidth="1" style="47" min="202" max="202"/>
    <col hidden="1" outlineLevel="1" width="10" customWidth="1" style="47" min="203" max="203"/>
    <col hidden="1" outlineLevel="1" width="10" customWidth="1" style="47" min="204" max="204"/>
    <col hidden="1" outlineLevel="1" width="10" customWidth="1" style="47" min="205" max="205"/>
    <col hidden="1" outlineLevel="1" width="10" customWidth="1" style="47" min="206" max="206"/>
    <col collapsed="1" width="13" customWidth="1" style="47" min="207" max="207"/>
  </cols>
  <sheetData>
    <row r="2" ht="19.5" customHeight="1" s="47">
      <c r="B2" s="55" t="s">
        <v>9</v>
      </c>
    </row>
    <row r="3" ht="15" customHeight="1" s="47">
      <c r="B3" s="56" t="s">
        <v>177</v>
      </c>
    </row>
    <row r="5" ht="27.75" customHeight="1" s="47">
      <c r="B5" s="57" t="s">
        <v>178</v>
      </c>
      <c r="C5" s="57" t="s">
        <v>5</v>
      </c>
      <c r="D5" s="57" t="s">
        <v>79</v>
      </c>
      <c r="E5" s="57" t="s">
        <v>98</v>
      </c>
      <c r="F5" s="57" t="s">
        <v>179</v>
      </c>
      <c r="G5" s="73">
        <f t="array" ref="G5">IFERROR(INDEX(Starfsmenn!$C$6:$C$10005,MATCH(1,(Starfsmenn!$C$6:$C$10005&lt;&gt;"")*1,0)),"")</f>
        <v/>
      </c>
      <c r="H5" s="74" t="n"/>
      <c r="I5" s="73">
        <f t="array" ref="I5">IFERROR(INDEX(Starfsmenn!$C$6:$C$10005,MATCH(0,COUNTIF($G$5:G$5,Starfsmenn!$C$6:$C$10005)+(Starfsmenn!$C$6:$C$10005=""),0)),"")</f>
        <v/>
      </c>
      <c r="J5" s="74" t="n"/>
      <c r="K5" s="73">
        <f t="array" ref="K5">IFERROR(INDEX(Starfsmenn!$C$6:$C$10005,MATCH(0,COUNTIF($G$5:I$5,Starfsmenn!$C$6:$C$10005)+(Starfsmenn!$C$6:$C$10005=""),0)),"")</f>
        <v/>
      </c>
      <c r="L5" s="74" t="n"/>
      <c r="M5" s="73">
        <f t="array" ref="M5">IFERROR(INDEX(Starfsmenn!$C$6:$C$10005,MATCH(0,COUNTIF($G$5:K$5,Starfsmenn!$C$6:$C$10005)+(Starfsmenn!$C$6:$C$10005=""),0)),"")</f>
        <v/>
      </c>
      <c r="N5" s="74" t="n"/>
      <c r="O5" s="73">
        <f t="array" ref="O5">IFERROR(INDEX(Starfsmenn!$C$6:$C$10005,MATCH(0,COUNTIF($G$5:M$5,Starfsmenn!$C$6:$C$10005)+(Starfsmenn!$C$6:$C$10005=""),0)),"")</f>
        <v/>
      </c>
      <c r="P5" s="74" t="n"/>
      <c r="Q5" s="73">
        <f t="array" ref="Q5">IFERROR(INDEX(Starfsmenn!$C$6:$C$10005,MATCH(0,COUNTIF($G$5:O$5,Starfsmenn!$C$6:$C$10005)+(Starfsmenn!$C$6:$C$10005=""),0)),"")</f>
        <v/>
      </c>
      <c r="R5" s="74" t="n"/>
      <c r="S5" s="73">
        <f t="array" ref="S5">IFERROR(INDEX(Starfsmenn!$C$6:$C$10005,MATCH(0,COUNTIF($G$5:Q$5,Starfsmenn!$C$6:$C$10005)+(Starfsmenn!$C$6:$C$10005=""),0)),"")</f>
        <v/>
      </c>
      <c r="T5" s="74" t="n"/>
      <c r="U5" s="73">
        <f t="array" ref="U5">IFERROR(INDEX(Starfsmenn!$C$6:$C$10005,MATCH(0,COUNTIF($G$5:S$5,Starfsmenn!$C$6:$C$10005)+(Starfsmenn!$C$6:$C$10005=""),0)),"")</f>
        <v/>
      </c>
      <c r="V5" s="74" t="n"/>
      <c r="W5" s="73">
        <f t="array" ref="W5">IFERROR(INDEX(Starfsmenn!$C$6:$C$10005,MATCH(0,COUNTIF($G$5:U$5,Starfsmenn!$C$6:$C$10005)+(Starfsmenn!$C$6:$C$10005=""),0)),"")</f>
        <v/>
      </c>
      <c r="X5" s="74" t="n"/>
      <c r="Y5" s="73">
        <f t="array" ref="Y5">IFERROR(INDEX(Starfsmenn!$C$6:$C$10005,MATCH(0,COUNTIF($G$5:W$5,Starfsmenn!$C$6:$C$10005)+(Starfsmenn!$C$6:$C$10005=""),0)),"")</f>
        <v/>
      </c>
      <c r="Z5" s="74" t="n"/>
      <c r="AA5" s="73">
        <f t="array" ref="AA5">IFERROR(INDEX(Starfsmenn!$C$6:$C$10005,MATCH(0,COUNTIF($G$5:Y$5,Starfsmenn!$C$6:$C$10005)+(Starfsmenn!$C$6:$C$10005=""),0)),"")</f>
        <v/>
      </c>
      <c r="AB5" s="74" t="n"/>
      <c r="AC5" s="73">
        <f t="array" ref="AC5">IFERROR(INDEX(Starfsmenn!$C$6:$C$10005,MATCH(0,COUNTIF($G$5:AA$5,Starfsmenn!$C$6:$C$10005)+(Starfsmenn!$C$6:$C$10005=""),0)),"")</f>
        <v/>
      </c>
      <c r="AD5" s="74" t="n"/>
      <c r="AE5" s="73">
        <f t="array" ref="AE5">IFERROR(INDEX(Starfsmenn!$C$6:$C$10005,MATCH(0,COUNTIF($G$5:AC$5,Starfsmenn!$C$6:$C$10005)+(Starfsmenn!$C$6:$C$10005=""),0)),"")</f>
        <v/>
      </c>
      <c r="AF5" s="74" t="n"/>
      <c r="AG5" s="73">
        <f t="array" ref="AG5">IFERROR(INDEX(Starfsmenn!$C$6:$C$10005,MATCH(0,COUNTIF($G$5:AE$5,Starfsmenn!$C$6:$C$10005)+(Starfsmenn!$C$6:$C$10005=""),0)),"")</f>
        <v/>
      </c>
      <c r="AH5" s="74" t="n"/>
      <c r="AI5" s="73">
        <f t="array" ref="AI5">IFERROR(INDEX(Starfsmenn!$C$6:$C$10005,MATCH(0,COUNTIF($G$5:AG$5,Starfsmenn!$C$6:$C$10005)+(Starfsmenn!$C$6:$C$10005=""),0)),"")</f>
        <v/>
      </c>
      <c r="AJ5" s="74" t="n"/>
      <c r="AK5" s="73">
        <f t="array" ref="AK5">IFERROR(INDEX(Starfsmenn!$C$6:$C$10005,MATCH(0,COUNTIF($G$5:AI$5,Starfsmenn!$C$6:$C$10005)+(Starfsmenn!$C$6:$C$10005=""),0)),"")</f>
        <v/>
      </c>
      <c r="AL5" s="74" t="n"/>
      <c r="AM5" s="73">
        <f t="array" ref="AM5">IFERROR(INDEX(Starfsmenn!$C$6:$C$10005,MATCH(0,COUNTIF($G$5:AK$5,Starfsmenn!$C$6:$C$10005)+(Starfsmenn!$C$6:$C$10005=""),0)),"")</f>
        <v/>
      </c>
      <c r="AN5" s="74" t="n"/>
      <c r="AO5" s="73">
        <f t="array" ref="AO5">IFERROR(INDEX(Starfsmenn!$C$6:$C$10005,MATCH(0,COUNTIF($G$5:AM$5,Starfsmenn!$C$6:$C$10005)+(Starfsmenn!$C$6:$C$10005=""),0)),"")</f>
        <v/>
      </c>
      <c r="AP5" s="74" t="n"/>
      <c r="AQ5" s="73">
        <f t="array" ref="AQ5">IFERROR(INDEX(Starfsmenn!$C$6:$C$10005,MATCH(0,COUNTIF($G$5:AO$5,Starfsmenn!$C$6:$C$10005)+(Starfsmenn!$C$6:$C$10005=""),0)),"")</f>
        <v/>
      </c>
      <c r="AR5" s="74" t="n"/>
      <c r="AS5" s="73">
        <f t="array" ref="AS5">IFERROR(INDEX(Starfsmenn!$C$6:$C$10005,MATCH(0,COUNTIF($G$5:AQ$5,Starfsmenn!$C$6:$C$10005)+(Starfsmenn!$C$6:$C$10005=""),0)),"")</f>
        <v/>
      </c>
      <c r="AT5" s="74" t="n"/>
      <c r="AU5" s="73">
        <f t="array" ref="AU5">IFERROR(INDEX(Starfsmenn!$C$6:$C$10005,MATCH(0,COUNTIF($G$5:AS$5,Starfsmenn!$C$6:$C$10005)+(Starfsmenn!$C$6:$C$10005=""),0)),"")</f>
        <v/>
      </c>
      <c r="AV5" s="74" t="n"/>
      <c r="AW5" s="73">
        <f t="array" ref="AW5">IFERROR(INDEX(Starfsmenn!$C$6:$C$10005,MATCH(0,COUNTIF($G$5:AU$5,Starfsmenn!$C$6:$C$10005)+(Starfsmenn!$C$6:$C$10005=""),0)),"")</f>
        <v/>
      </c>
      <c r="AX5" s="74" t="n"/>
      <c r="AY5" s="73">
        <f t="array" ref="AY5">IFERROR(INDEX(Starfsmenn!$C$6:$C$10005,MATCH(0,COUNTIF($G$5:AW$5,Starfsmenn!$C$6:$C$10005)+(Starfsmenn!$C$6:$C$10005=""),0)),"")</f>
        <v/>
      </c>
      <c r="AZ5" s="74" t="n"/>
      <c r="BA5" s="73">
        <f t="array" ref="BA5">IFERROR(INDEX(Starfsmenn!$C$6:$C$10005,MATCH(0,COUNTIF($G$5:AY$5,Starfsmenn!$C$6:$C$10005)+(Starfsmenn!$C$6:$C$10005=""),0)),"")</f>
        <v/>
      </c>
      <c r="BB5" s="74" t="n"/>
      <c r="BC5" s="73">
        <f t="array" ref="BC5">IFERROR(INDEX(Starfsmenn!$C$6:$C$10005,MATCH(0,COUNTIF($G$5:BA$5,Starfsmenn!$C$6:$C$10005)+(Starfsmenn!$C$6:$C$10005=""),0)),"")</f>
        <v/>
      </c>
      <c r="BD5" s="74" t="n"/>
      <c r="BE5" s="73">
        <f t="array" ref="BE5">IFERROR(INDEX(Starfsmenn!$C$6:$C$10005,MATCH(0,COUNTIF($G$5:BC$5,Starfsmenn!$C$6:$C$10005)+(Starfsmenn!$C$6:$C$10005=""),0)),"")</f>
        <v/>
      </c>
      <c r="BF5" s="74" t="n"/>
      <c r="BG5" s="73">
        <f t="array" ref="BG5">IFERROR(INDEX(Starfsmenn!$C$6:$C$10005,MATCH(0,COUNTIF($G$5:BE$5,Starfsmenn!$C$6:$C$10005)+(Starfsmenn!$C$6:$C$10005=""),0)),"")</f>
        <v/>
      </c>
      <c r="BH5" s="74" t="n"/>
      <c r="BI5" s="73">
        <f t="array" ref="BI5">IFERROR(INDEX(Starfsmenn!$C$6:$C$10005,MATCH(0,COUNTIF($G$5:BG$5,Starfsmenn!$C$6:$C$10005)+(Starfsmenn!$C$6:$C$10005=""),0)),"")</f>
        <v/>
      </c>
      <c r="BJ5" s="74" t="n"/>
      <c r="BK5" s="73">
        <f t="array" ref="BK5">IFERROR(INDEX(Starfsmenn!$C$6:$C$10005,MATCH(0,COUNTIF($G$5:BI$5,Starfsmenn!$C$6:$C$10005)+(Starfsmenn!$C$6:$C$10005=""),0)),"")</f>
        <v/>
      </c>
      <c r="BL5" s="74" t="n"/>
      <c r="BM5" s="73">
        <f t="array" ref="BM5">IFERROR(INDEX(Starfsmenn!$C$6:$C$10005,MATCH(0,COUNTIF($G$5:BK$5,Starfsmenn!$C$6:$C$10005)+(Starfsmenn!$C$6:$C$10005=""),0)),"")</f>
        <v/>
      </c>
      <c r="BN5" s="74" t="n"/>
      <c r="BO5" s="73">
        <f t="array" ref="BO5">IFERROR(INDEX(Starfsmenn!$C$6:$C$10005,MATCH(0,COUNTIF($G$5:BM$5,Starfsmenn!$C$6:$C$10005)+(Starfsmenn!$C$6:$C$10005=""),0)),"")</f>
        <v/>
      </c>
      <c r="BP5" s="74" t="n"/>
      <c r="BQ5" s="73">
        <f t="array" ref="BQ5">IFERROR(INDEX(Starfsmenn!$C$6:$C$10005,MATCH(0,COUNTIF($G$5:BO$5,Starfsmenn!$C$6:$C$10005)+(Starfsmenn!$C$6:$C$10005=""),0)),"")</f>
        <v/>
      </c>
      <c r="BR5" s="74" t="n"/>
      <c r="BS5" s="73">
        <f t="array" ref="BS5">IFERROR(INDEX(Starfsmenn!$C$6:$C$10005,MATCH(0,COUNTIF($G$5:BQ$5,Starfsmenn!$C$6:$C$10005)+(Starfsmenn!$C$6:$C$10005=""),0)),"")</f>
        <v/>
      </c>
      <c r="BT5" s="74" t="n"/>
      <c r="BU5" s="73">
        <f t="array" ref="BU5">IFERROR(INDEX(Starfsmenn!$C$6:$C$10005,MATCH(0,COUNTIF($G$5:BS$5,Starfsmenn!$C$6:$C$10005)+(Starfsmenn!$C$6:$C$10005=""),0)),"")</f>
        <v/>
      </c>
      <c r="BV5" s="74" t="n"/>
      <c r="BW5" s="73">
        <f t="array" ref="BW5">IFERROR(INDEX(Starfsmenn!$C$6:$C$10005,MATCH(0,COUNTIF($G$5:BU$5,Starfsmenn!$C$6:$C$10005)+(Starfsmenn!$C$6:$C$10005=""),0)),"")</f>
        <v/>
      </c>
      <c r="BX5" s="74" t="n"/>
      <c r="BY5" s="73">
        <f t="array" ref="BY5">IFERROR(INDEX(Starfsmenn!$C$6:$C$10005,MATCH(0,COUNTIF($G$5:BW$5,Starfsmenn!$C$6:$C$10005)+(Starfsmenn!$C$6:$C$10005=""),0)),"")</f>
        <v/>
      </c>
      <c r="BZ5" s="74" t="n"/>
      <c r="CA5" s="73">
        <f t="array" ref="CA5">IFERROR(INDEX(Starfsmenn!$C$6:$C$10005,MATCH(0,COUNTIF($G$5:BY$5,Starfsmenn!$C$6:$C$10005)+(Starfsmenn!$C$6:$C$10005=""),0)),"")</f>
        <v/>
      </c>
      <c r="CB5" s="74" t="n"/>
      <c r="CC5" s="73">
        <f t="array" ref="CC5">IFERROR(INDEX(Starfsmenn!$C$6:$C$10005,MATCH(0,COUNTIF($G$5:CA$5,Starfsmenn!$C$6:$C$10005)+(Starfsmenn!$C$6:$C$10005=""),0)),"")</f>
        <v/>
      </c>
      <c r="CD5" s="74" t="n"/>
      <c r="CE5" s="73">
        <f t="array" ref="CE5">IFERROR(INDEX(Starfsmenn!$C$6:$C$10005,MATCH(0,COUNTIF($G$5:CC$5,Starfsmenn!$C$6:$C$10005)+(Starfsmenn!$C$6:$C$10005=""),0)),"")</f>
        <v/>
      </c>
      <c r="CF5" s="74" t="n"/>
      <c r="CG5" s="73">
        <f t="array" ref="CG5">IFERROR(INDEX(Starfsmenn!$C$6:$C$10005,MATCH(0,COUNTIF($G$5:CE$5,Starfsmenn!$C$6:$C$10005)+(Starfsmenn!$C$6:$C$10005=""),0)),"")</f>
        <v/>
      </c>
      <c r="CH5" s="74" t="n"/>
      <c r="CI5" s="73">
        <f t="array" ref="CI5">IFERROR(INDEX(Starfsmenn!$C$6:$C$10005,MATCH(0,COUNTIF($G$5:CG$5,Starfsmenn!$C$6:$C$10005)+(Starfsmenn!$C$6:$C$10005=""),0)),"")</f>
        <v/>
      </c>
      <c r="CJ5" s="74" t="n"/>
      <c r="CK5" s="73">
        <f t="array" ref="CK5">IFERROR(INDEX(Starfsmenn!$C$6:$C$10005,MATCH(0,COUNTIF($G$5:CI$5,Starfsmenn!$C$6:$C$10005)+(Starfsmenn!$C$6:$C$10005=""),0)),"")</f>
        <v/>
      </c>
      <c r="CL5" s="74" t="n"/>
      <c r="CM5" s="73">
        <f t="array" ref="CM5">IFERROR(INDEX(Starfsmenn!$C$6:$C$10005,MATCH(0,COUNTIF($G$5:CK$5,Starfsmenn!$C$6:$C$10005)+(Starfsmenn!$C$6:$C$10005=""),0)),"")</f>
        <v/>
      </c>
      <c r="CN5" s="74" t="n"/>
      <c r="CO5" s="73">
        <f t="array" ref="CO5">IFERROR(INDEX(Starfsmenn!$C$6:$C$10005,MATCH(0,COUNTIF($G$5:CM$5,Starfsmenn!$C$6:$C$10005)+(Starfsmenn!$C$6:$C$10005=""),0)),"")</f>
        <v/>
      </c>
      <c r="CP5" s="74" t="n"/>
      <c r="CQ5" s="73">
        <f t="array" ref="CQ5">IFERROR(INDEX(Starfsmenn!$C$6:$C$10005,MATCH(0,COUNTIF($G$5:CO$5,Starfsmenn!$C$6:$C$10005)+(Starfsmenn!$C$6:$C$10005=""),0)),"")</f>
        <v/>
      </c>
      <c r="CR5" s="74" t="n"/>
      <c r="CS5" s="73">
        <f t="array" ref="CS5">IFERROR(INDEX(Starfsmenn!$C$6:$C$10005,MATCH(0,COUNTIF($G$5:CQ$5,Starfsmenn!$C$6:$C$10005)+(Starfsmenn!$C$6:$C$10005=""),0)),"")</f>
        <v/>
      </c>
      <c r="CT5" s="74" t="n"/>
      <c r="CU5" s="73">
        <f t="array" ref="CU5">IFERROR(INDEX(Starfsmenn!$C$6:$C$10005,MATCH(0,COUNTIF($G$5:CS$5,Starfsmenn!$C$6:$C$10005)+(Starfsmenn!$C$6:$C$10005=""),0)),"")</f>
        <v/>
      </c>
      <c r="CV5" s="74" t="n"/>
      <c r="CW5" s="73">
        <f t="array" ref="CW5">IFERROR(INDEX(Starfsmenn!$C$6:$C$10005,MATCH(0,COUNTIF($G$5:CU$5,Starfsmenn!$C$6:$C$10005)+(Starfsmenn!$C$6:$C$10005=""),0)),"")</f>
        <v/>
      </c>
      <c r="CX5" s="74" t="n"/>
      <c r="CY5" s="73">
        <f t="array" ref="CY5">IFERROR(INDEX(Starfsmenn!$C$6:$C$10005,MATCH(0,COUNTIF($G$5:CW$5,Starfsmenn!$C$6:$C$10005)+(Starfsmenn!$C$6:$C$10005=""),0)),"")</f>
        <v/>
      </c>
      <c r="CZ5" s="74" t="n"/>
      <c r="DA5" s="73">
        <f t="array" ref="DA5">IFERROR(INDEX(Starfsmenn!$C$6:$C$10005,MATCH(0,COUNTIF($G$5:CY$5,Starfsmenn!$C$6:$C$10005)+(Starfsmenn!$C$6:$C$10005=""),0)),"")</f>
        <v/>
      </c>
      <c r="DB5" s="74" t="n"/>
      <c r="DC5" s="73">
        <f t="array" ref="DC5">IFERROR(INDEX(Starfsmenn!$C$6:$C$10005,MATCH(0,COUNTIF($G$5:DA$5,Starfsmenn!$C$6:$C$10005)+(Starfsmenn!$C$6:$C$10005=""),0)),"")</f>
        <v/>
      </c>
      <c r="DD5" s="74" t="n"/>
      <c r="DE5" s="73">
        <f t="array" ref="DE5">IFERROR(INDEX(Starfsmenn!$C$6:$C$10005,MATCH(0,COUNTIF($G$5:DC$5,Starfsmenn!$C$6:$C$10005)+(Starfsmenn!$C$6:$C$10005=""),0)),"")</f>
        <v/>
      </c>
      <c r="DF5" s="74" t="n"/>
      <c r="DG5" s="73">
        <f t="array" ref="DG5">IFERROR(INDEX(Starfsmenn!$C$6:$C$10005,MATCH(0,COUNTIF($G$5:DE$5,Starfsmenn!$C$6:$C$10005)+(Starfsmenn!$C$6:$C$10005=""),0)),"")</f>
        <v/>
      </c>
      <c r="DH5" s="74" t="n"/>
      <c r="DI5" s="73">
        <f t="array" ref="DI5">IFERROR(INDEX(Starfsmenn!$C$6:$C$10005,MATCH(0,COUNTIF($G$5:DG$5,Starfsmenn!$C$6:$C$10005)+(Starfsmenn!$C$6:$C$10005=""),0)),"")</f>
        <v/>
      </c>
      <c r="DJ5" s="74" t="n"/>
      <c r="DK5" s="73">
        <f t="array" ref="DK5">IFERROR(INDEX(Starfsmenn!$C$6:$C$10005,MATCH(0,COUNTIF($G$5:DI$5,Starfsmenn!$C$6:$C$10005)+(Starfsmenn!$C$6:$C$10005=""),0)),"")</f>
        <v/>
      </c>
      <c r="DL5" s="74" t="n"/>
      <c r="DM5" s="73">
        <f t="array" ref="DM5">IFERROR(INDEX(Starfsmenn!$C$6:$C$10005,MATCH(0,COUNTIF($G$5:DK$5,Starfsmenn!$C$6:$C$10005)+(Starfsmenn!$C$6:$C$10005=""),0)),"")</f>
        <v/>
      </c>
      <c r="DN5" s="74" t="n"/>
      <c r="DO5" s="73">
        <f t="array" ref="DO5">IFERROR(INDEX(Starfsmenn!$C$6:$C$10005,MATCH(0,COUNTIF($G$5:DM$5,Starfsmenn!$C$6:$C$10005)+(Starfsmenn!$C$6:$C$10005=""),0)),"")</f>
        <v/>
      </c>
      <c r="DP5" s="74" t="n"/>
      <c r="DQ5" s="73">
        <f t="array" ref="DQ5">IFERROR(INDEX(Starfsmenn!$C$6:$C$10005,MATCH(0,COUNTIF($G$5:DO$5,Starfsmenn!$C$6:$C$10005)+(Starfsmenn!$C$6:$C$10005=""),0)),"")</f>
        <v/>
      </c>
      <c r="DR5" s="74" t="n"/>
      <c r="DS5" s="73">
        <f t="array" ref="DS5">IFERROR(INDEX(Starfsmenn!$C$6:$C$10005,MATCH(0,COUNTIF($G$5:DQ$5,Starfsmenn!$C$6:$C$10005)+(Starfsmenn!$C$6:$C$10005=""),0)),"")</f>
        <v/>
      </c>
      <c r="DT5" s="74" t="n"/>
      <c r="DU5" s="73">
        <f t="array" ref="DU5">IFERROR(INDEX(Starfsmenn!$C$6:$C$10005,MATCH(0,COUNTIF($G$5:DS$5,Starfsmenn!$C$6:$C$10005)+(Starfsmenn!$C$6:$C$10005=""),0)),"")</f>
        <v/>
      </c>
      <c r="DV5" s="74" t="n"/>
      <c r="DW5" s="73">
        <f t="array" ref="DW5">IFERROR(INDEX(Starfsmenn!$C$6:$C$10005,MATCH(0,COUNTIF($G$5:DU$5,Starfsmenn!$C$6:$C$10005)+(Starfsmenn!$C$6:$C$10005=""),0)),"")</f>
        <v/>
      </c>
      <c r="DX5" s="74" t="n"/>
      <c r="DY5" s="73">
        <f t="array" ref="DY5">IFERROR(INDEX(Starfsmenn!$C$6:$C$10005,MATCH(0,COUNTIF($G$5:DW$5,Starfsmenn!$C$6:$C$10005)+(Starfsmenn!$C$6:$C$10005=""),0)),"")</f>
        <v/>
      </c>
      <c r="DZ5" s="74" t="n"/>
      <c r="EA5" s="73">
        <f t="array" ref="EA5">IFERROR(INDEX(Starfsmenn!$C$6:$C$10005,MATCH(0,COUNTIF($G$5:DY$5,Starfsmenn!$C$6:$C$10005)+(Starfsmenn!$C$6:$C$10005=""),0)),"")</f>
        <v/>
      </c>
      <c r="EB5" s="74" t="n"/>
      <c r="EC5" s="73">
        <f t="array" ref="EC5">IFERROR(INDEX(Starfsmenn!$C$6:$C$10005,MATCH(0,COUNTIF($G$5:EA$5,Starfsmenn!$C$6:$C$10005)+(Starfsmenn!$C$6:$C$10005=""),0)),"")</f>
        <v/>
      </c>
      <c r="ED5" s="74" t="n"/>
      <c r="EE5" s="73">
        <f t="array" ref="EE5">IFERROR(INDEX(Starfsmenn!$C$6:$C$10005,MATCH(0,COUNTIF($G$5:EC$5,Starfsmenn!$C$6:$C$10005)+(Starfsmenn!$C$6:$C$10005=""),0)),"")</f>
        <v/>
      </c>
      <c r="EF5" s="74" t="n"/>
      <c r="EG5" s="73">
        <f t="array" ref="EG5">IFERROR(INDEX(Starfsmenn!$C$6:$C$10005,MATCH(0,COUNTIF($G$5:EE$5,Starfsmenn!$C$6:$C$10005)+(Starfsmenn!$C$6:$C$10005=""),0)),"")</f>
        <v/>
      </c>
      <c r="EH5" s="74" t="n"/>
      <c r="EI5" s="73">
        <f t="array" ref="EI5">IFERROR(INDEX(Starfsmenn!$C$6:$C$10005,MATCH(0,COUNTIF($G$5:EG$5,Starfsmenn!$C$6:$C$10005)+(Starfsmenn!$C$6:$C$10005=""),0)),"")</f>
        <v/>
      </c>
      <c r="EJ5" s="74" t="n"/>
      <c r="EK5" s="73">
        <f t="array" ref="EK5">IFERROR(INDEX(Starfsmenn!$C$6:$C$10005,MATCH(0,COUNTIF($G$5:EI$5,Starfsmenn!$C$6:$C$10005)+(Starfsmenn!$C$6:$C$10005=""),0)),"")</f>
        <v/>
      </c>
      <c r="EL5" s="74" t="n"/>
      <c r="EM5" s="73">
        <f t="array" ref="EM5">IFERROR(INDEX(Starfsmenn!$C$6:$C$10005,MATCH(0,COUNTIF($G$5:EK$5,Starfsmenn!$C$6:$C$10005)+(Starfsmenn!$C$6:$C$10005=""),0)),"")</f>
        <v/>
      </c>
      <c r="EN5" s="74" t="n"/>
      <c r="EO5" s="73">
        <f t="array" ref="EO5">IFERROR(INDEX(Starfsmenn!$C$6:$C$10005,MATCH(0,COUNTIF($G$5:EM$5,Starfsmenn!$C$6:$C$10005)+(Starfsmenn!$C$6:$C$10005=""),0)),"")</f>
        <v/>
      </c>
      <c r="EP5" s="74" t="n"/>
      <c r="EQ5" s="73">
        <f t="array" ref="EQ5">IFERROR(INDEX(Starfsmenn!$C$6:$C$10005,MATCH(0,COUNTIF($G$5:EO$5,Starfsmenn!$C$6:$C$10005)+(Starfsmenn!$C$6:$C$10005=""),0)),"")</f>
        <v/>
      </c>
      <c r="ER5" s="74" t="n"/>
      <c r="ES5" s="73">
        <f t="array" ref="ES5">IFERROR(INDEX(Starfsmenn!$C$6:$C$10005,MATCH(0,COUNTIF($G$5:EQ$5,Starfsmenn!$C$6:$C$10005)+(Starfsmenn!$C$6:$C$10005=""),0)),"")</f>
        <v/>
      </c>
      <c r="ET5" s="74" t="n"/>
      <c r="EU5" s="73">
        <f t="array" ref="EU5">IFERROR(INDEX(Starfsmenn!$C$6:$C$10005,MATCH(0,COUNTIF($G$5:ES$5,Starfsmenn!$C$6:$C$10005)+(Starfsmenn!$C$6:$C$10005=""),0)),"")</f>
        <v/>
      </c>
      <c r="EV5" s="74" t="n"/>
      <c r="EW5" s="73">
        <f t="array" ref="EW5">IFERROR(INDEX(Starfsmenn!$C$6:$C$10005,MATCH(0,COUNTIF($G$5:EU$5,Starfsmenn!$C$6:$C$10005)+(Starfsmenn!$C$6:$C$10005=""),0)),"")</f>
        <v/>
      </c>
      <c r="EX5" s="74" t="n"/>
      <c r="EY5" s="73">
        <f t="array" ref="EY5">IFERROR(INDEX(Starfsmenn!$C$6:$C$10005,MATCH(0,COUNTIF($G$5:EW$5,Starfsmenn!$C$6:$C$10005)+(Starfsmenn!$C$6:$C$10005=""),0)),"")</f>
        <v/>
      </c>
      <c r="EZ5" s="74" t="n"/>
      <c r="FA5" s="73">
        <f t="array" ref="FA5">IFERROR(INDEX(Starfsmenn!$C$6:$C$10005,MATCH(0,COUNTIF($G$5:EY$5,Starfsmenn!$C$6:$C$10005)+(Starfsmenn!$C$6:$C$10005=""),0)),"")</f>
        <v/>
      </c>
      <c r="FB5" s="74" t="n"/>
      <c r="FC5" s="73">
        <f t="array" ref="FC5">IFERROR(INDEX(Starfsmenn!$C$6:$C$10005,MATCH(0,COUNTIF($G$5:FA$5,Starfsmenn!$C$6:$C$10005)+(Starfsmenn!$C$6:$C$10005=""),0)),"")</f>
        <v/>
      </c>
      <c r="FD5" s="74" t="n"/>
      <c r="FE5" s="73">
        <f t="array" ref="FE5">IFERROR(INDEX(Starfsmenn!$C$6:$C$10005,MATCH(0,COUNTIF($G$5:FC$5,Starfsmenn!$C$6:$C$10005)+(Starfsmenn!$C$6:$C$10005=""),0)),"")</f>
        <v/>
      </c>
      <c r="FF5" s="74" t="n"/>
      <c r="FG5" s="73">
        <f t="array" ref="FG5">IFERROR(INDEX(Starfsmenn!$C$6:$C$10005,MATCH(0,COUNTIF($G$5:FE$5,Starfsmenn!$C$6:$C$10005)+(Starfsmenn!$C$6:$C$10005=""),0)),"")</f>
        <v/>
      </c>
      <c r="FH5" s="74" t="n"/>
      <c r="FI5" s="73">
        <f t="array" ref="FI5">IFERROR(INDEX(Starfsmenn!$C$6:$C$10005,MATCH(0,COUNTIF($G$5:FG$5,Starfsmenn!$C$6:$C$10005)+(Starfsmenn!$C$6:$C$10005=""),0)),"")</f>
        <v/>
      </c>
      <c r="FJ5" s="74" t="n"/>
      <c r="FK5" s="73">
        <f t="array" ref="FK5">IFERROR(INDEX(Starfsmenn!$C$6:$C$10005,MATCH(0,COUNTIF($G$5:FI$5,Starfsmenn!$C$6:$C$10005)+(Starfsmenn!$C$6:$C$10005=""),0)),"")</f>
        <v/>
      </c>
      <c r="FL5" s="74" t="n"/>
      <c r="FM5" s="73">
        <f t="array" ref="FM5">IFERROR(INDEX(Starfsmenn!$C$6:$C$10005,MATCH(0,COUNTIF($G$5:FK$5,Starfsmenn!$C$6:$C$10005)+(Starfsmenn!$C$6:$C$10005=""),0)),"")</f>
        <v/>
      </c>
      <c r="FN5" s="74" t="n"/>
      <c r="FO5" s="73">
        <f t="array" ref="FO5">IFERROR(INDEX(Starfsmenn!$C$6:$C$10005,MATCH(0,COUNTIF($G$5:FM$5,Starfsmenn!$C$6:$C$10005)+(Starfsmenn!$C$6:$C$10005=""),0)),"")</f>
        <v/>
      </c>
      <c r="FP5" s="74" t="n"/>
      <c r="FQ5" s="73">
        <f t="array" ref="FQ5">IFERROR(INDEX(Starfsmenn!$C$6:$C$10005,MATCH(0,COUNTIF($G$5:FO$5,Starfsmenn!$C$6:$C$10005)+(Starfsmenn!$C$6:$C$10005=""),0)),"")</f>
        <v/>
      </c>
      <c r="FR5" s="74" t="n"/>
      <c r="FS5" s="73">
        <f t="array" ref="FS5">IFERROR(INDEX(Starfsmenn!$C$6:$C$10005,MATCH(0,COUNTIF($G$5:FQ$5,Starfsmenn!$C$6:$C$10005)+(Starfsmenn!$C$6:$C$10005=""),0)),"")</f>
        <v/>
      </c>
      <c r="FT5" s="74" t="n"/>
      <c r="FU5" s="73">
        <f t="array" ref="FU5">IFERROR(INDEX(Starfsmenn!$C$6:$C$10005,MATCH(0,COUNTIF($G$5:FS$5,Starfsmenn!$C$6:$C$10005)+(Starfsmenn!$C$6:$C$10005=""),0)),"")</f>
        <v/>
      </c>
      <c r="FV5" s="74" t="n"/>
      <c r="FW5" s="73">
        <f t="array" ref="FW5">IFERROR(INDEX(Starfsmenn!$C$6:$C$10005,MATCH(0,COUNTIF($G$5:FU$5,Starfsmenn!$C$6:$C$10005)+(Starfsmenn!$C$6:$C$10005=""),0)),"")</f>
        <v/>
      </c>
      <c r="FX5" s="74" t="n"/>
      <c r="FY5" s="73">
        <f t="array" ref="FY5">IFERROR(INDEX(Starfsmenn!$C$6:$C$10005,MATCH(0,COUNTIF($G$5:FW$5,Starfsmenn!$C$6:$C$10005)+(Starfsmenn!$C$6:$C$10005=""),0)),"")</f>
        <v/>
      </c>
      <c r="FZ5" s="74" t="n"/>
      <c r="GA5" s="73">
        <f t="array" ref="GA5">IFERROR(INDEX(Starfsmenn!$C$6:$C$10005,MATCH(0,COUNTIF($G$5:FY$5,Starfsmenn!$C$6:$C$10005)+(Starfsmenn!$C$6:$C$10005=""),0)),"")</f>
        <v/>
      </c>
      <c r="GB5" s="74" t="n"/>
      <c r="GC5" s="73">
        <f t="array" ref="GC5">IFERROR(INDEX(Starfsmenn!$C$6:$C$10005,MATCH(0,COUNTIF($G$5:GA$5,Starfsmenn!$C$6:$C$10005)+(Starfsmenn!$C$6:$C$10005=""),0)),"")</f>
        <v/>
      </c>
      <c r="GD5" s="74" t="n"/>
      <c r="GE5" s="73">
        <f t="array" ref="GE5">IFERROR(INDEX(Starfsmenn!$C$6:$C$10005,MATCH(0,COUNTIF($G$5:GC$5,Starfsmenn!$C$6:$C$10005)+(Starfsmenn!$C$6:$C$10005=""),0)),"")</f>
        <v/>
      </c>
      <c r="GF5" s="74" t="n"/>
      <c r="GG5" s="73">
        <f t="array" ref="GG5">IFERROR(INDEX(Starfsmenn!$C$6:$C$10005,MATCH(0,COUNTIF($G$5:GE$5,Starfsmenn!$C$6:$C$10005)+(Starfsmenn!$C$6:$C$10005=""),0)),"")</f>
        <v/>
      </c>
      <c r="GH5" s="74" t="n"/>
      <c r="GI5" s="73">
        <f t="array" ref="GI5">IFERROR(INDEX(Starfsmenn!$C$6:$C$10005,MATCH(0,COUNTIF($G$5:GG$5,Starfsmenn!$C$6:$C$10005)+(Starfsmenn!$C$6:$C$10005=""),0)),"")</f>
        <v/>
      </c>
      <c r="GJ5" s="74" t="n"/>
      <c r="GK5" s="73">
        <f t="array" ref="GK5">IFERROR(INDEX(Starfsmenn!$C$6:$C$10005,MATCH(0,COUNTIF($G$5:GI$5,Starfsmenn!$C$6:$C$10005)+(Starfsmenn!$C$6:$C$10005=""),0)),"")</f>
        <v/>
      </c>
      <c r="GL5" s="74" t="n"/>
      <c r="GM5" s="73">
        <f t="array" ref="GM5">IFERROR(INDEX(Starfsmenn!$C$6:$C$10005,MATCH(0,COUNTIF($G$5:GK$5,Starfsmenn!$C$6:$C$10005)+(Starfsmenn!$C$6:$C$10005=""),0)),"")</f>
        <v/>
      </c>
      <c r="GN5" s="74" t="n"/>
      <c r="GO5" s="73">
        <f t="array" ref="GO5">IFERROR(INDEX(Starfsmenn!$C$6:$C$10005,MATCH(0,COUNTIF($G$5:GM$5,Starfsmenn!$C$6:$C$10005)+(Starfsmenn!$C$6:$C$10005=""),0)),"")</f>
        <v/>
      </c>
      <c r="GP5" s="74" t="n"/>
      <c r="GQ5" s="73">
        <f t="array" ref="GQ5">IFERROR(INDEX(Starfsmenn!$C$6:$C$10005,MATCH(0,COUNTIF($G$5:GO$5,Starfsmenn!$C$6:$C$10005)+(Starfsmenn!$C$6:$C$10005=""),0)),"")</f>
        <v/>
      </c>
      <c r="GR5" s="74" t="n"/>
      <c r="GS5" s="73">
        <f t="array" ref="GS5">IFERROR(INDEX(Starfsmenn!$C$6:$C$10005,MATCH(0,COUNTIF($G$5:GQ$5,Starfsmenn!$C$6:$C$10005)+(Starfsmenn!$C$6:$C$10005=""),0)),"")</f>
        <v/>
      </c>
      <c r="GT5" s="74" t="n"/>
      <c r="GU5" s="73">
        <f t="array" ref="GU5">IFERROR(INDEX(Starfsmenn!$C$6:$C$10005,MATCH(0,COUNTIF($G$5:GS$5,Starfsmenn!$C$6:$C$10005)+(Starfsmenn!$C$6:$C$10005=""),0)),"")</f>
        <v/>
      </c>
      <c r="GV5" s="74" t="n"/>
      <c r="GW5" s="73">
        <f t="array" ref="GW5">IFERROR(INDEX(Starfsmenn!$C$6:$C$10005,MATCH(0,COUNTIF($G$5:GU$5,Starfsmenn!$C$6:$C$10005)+(Starfsmenn!$C$6:$C$10005=""),0)),"")</f>
        <v/>
      </c>
      <c r="GX5" s="74" t="n"/>
    </row>
    <row r="6" ht="21.75" customHeight="1" s="47">
      <c r="B6" s="75" t="n"/>
      <c r="C6" s="75" t="s">
        <v>180</v>
      </c>
      <c r="D6" s="75" t="n"/>
      <c r="E6" s="75" t="n"/>
      <c r="F6" s="75" t="n"/>
      <c r="G6" s="76">
        <f>IF(G$5="","","Þrep")</f>
        <v/>
      </c>
      <c r="H6" s="76">
        <f>IF(G$5="","","Stig")</f>
        <v/>
      </c>
      <c r="I6" s="76">
        <f>IF(I$5="","","Þrep")</f>
        <v/>
      </c>
      <c r="J6" s="76">
        <f>IF(I$5="","","Stig")</f>
        <v/>
      </c>
      <c r="K6" s="76">
        <f>IF(K$5="","","Þrep")</f>
        <v/>
      </c>
      <c r="L6" s="76">
        <f>IF(K$5="","","Stig")</f>
        <v/>
      </c>
      <c r="M6" s="76">
        <f>IF(M$5="","","Þrep")</f>
        <v/>
      </c>
      <c r="N6" s="76">
        <f>IF(M$5="","","Stig")</f>
        <v/>
      </c>
      <c r="O6" s="76">
        <f>IF(O$5="","","Þrep")</f>
        <v/>
      </c>
      <c r="P6" s="76">
        <f>IF(O$5="","","Stig")</f>
        <v/>
      </c>
      <c r="Q6" s="76">
        <f>IF(Q$5="","","Þrep")</f>
        <v/>
      </c>
      <c r="R6" s="76">
        <f>IF(Q$5="","","Stig")</f>
        <v/>
      </c>
      <c r="S6" s="76">
        <f>IF(S$5="","","Þrep")</f>
        <v/>
      </c>
      <c r="T6" s="76">
        <f>IF(S$5="","","Stig")</f>
        <v/>
      </c>
      <c r="U6" s="76">
        <f>IF(U$5="","","Þrep")</f>
        <v/>
      </c>
      <c r="V6" s="76">
        <f>IF(U$5="","","Stig")</f>
        <v/>
      </c>
      <c r="W6" s="76">
        <f>IF(W$5="","","Þrep")</f>
        <v/>
      </c>
      <c r="X6" s="76">
        <f>IF(W$5="","","Stig")</f>
        <v/>
      </c>
      <c r="Y6" s="76">
        <f>IF(Y$5="","","Þrep")</f>
        <v/>
      </c>
      <c r="Z6" s="76">
        <f>IF(Y$5="","","Stig")</f>
        <v/>
      </c>
      <c r="AA6" s="76">
        <f>IF(AA$5="","","Þrep")</f>
        <v/>
      </c>
      <c r="AB6" s="76">
        <f>IF(AA$5="","","Stig")</f>
        <v/>
      </c>
      <c r="AC6" s="76">
        <f>IF(AC$5="","","Þrep")</f>
        <v/>
      </c>
      <c r="AD6" s="76">
        <f>IF(AC$5="","","Stig")</f>
        <v/>
      </c>
      <c r="AE6" s="76">
        <f>IF(AE$5="","","Þrep")</f>
        <v/>
      </c>
      <c r="AF6" s="76">
        <f>IF(AE$5="","","Stig")</f>
        <v/>
      </c>
      <c r="AG6" s="76">
        <f>IF(AG$5="","","Þrep")</f>
        <v/>
      </c>
      <c r="AH6" s="76">
        <f>IF(AG$5="","","Stig")</f>
        <v/>
      </c>
      <c r="AI6" s="76">
        <f>IF(AI$5="","","Þrep")</f>
        <v/>
      </c>
      <c r="AJ6" s="76">
        <f>IF(AI$5="","","Stig")</f>
        <v/>
      </c>
      <c r="AK6" s="76">
        <f>IF(AK$5="","","Þrep")</f>
        <v/>
      </c>
      <c r="AL6" s="76">
        <f>IF(AK$5="","","Stig")</f>
        <v/>
      </c>
      <c r="AM6" s="76">
        <f>IF(AM$5="","","Þrep")</f>
        <v/>
      </c>
      <c r="AN6" s="76">
        <f>IF(AM$5="","","Stig")</f>
        <v/>
      </c>
      <c r="AO6" s="76">
        <f>IF(AO$5="","","Þrep")</f>
        <v/>
      </c>
      <c r="AP6" s="76">
        <f>IF(AO$5="","","Stig")</f>
        <v/>
      </c>
      <c r="AQ6" s="76">
        <f>IF(AQ$5="","","Þrep")</f>
        <v/>
      </c>
      <c r="AR6" s="76">
        <f>IF(AQ$5="","","Stig")</f>
        <v/>
      </c>
      <c r="AS6" s="76">
        <f>IF(AS$5="","","Þrep")</f>
        <v/>
      </c>
      <c r="AT6" s="76">
        <f>IF(AS$5="","","Stig")</f>
        <v/>
      </c>
      <c r="AU6" s="76">
        <f>IF(AU$5="","","Þrep")</f>
        <v/>
      </c>
      <c r="AV6" s="76">
        <f>IF(AU$5="","","Stig")</f>
        <v/>
      </c>
      <c r="AW6" s="76">
        <f>IF(AW$5="","","Þrep")</f>
        <v/>
      </c>
      <c r="AX6" s="76">
        <f>IF(AW$5="","","Stig")</f>
        <v/>
      </c>
      <c r="AY6" s="76">
        <f>IF(AY$5="","","Þrep")</f>
        <v/>
      </c>
      <c r="AZ6" s="76">
        <f>IF(AY$5="","","Stig")</f>
        <v/>
      </c>
      <c r="BA6" s="76">
        <f>IF(BA$5="","","Þrep")</f>
        <v/>
      </c>
      <c r="BB6" s="76">
        <f>IF(BA$5="","","Stig")</f>
        <v/>
      </c>
      <c r="BC6" s="76">
        <f>IF(BC$5="","","Þrep")</f>
        <v/>
      </c>
      <c r="BD6" s="76">
        <f>IF(BC$5="","","Stig")</f>
        <v/>
      </c>
      <c r="BE6" s="76">
        <f>IF(BE$5="","","Þrep")</f>
        <v/>
      </c>
      <c r="BF6" s="76">
        <f>IF(BE$5="","","Stig")</f>
        <v/>
      </c>
      <c r="BG6" s="76">
        <f>IF(BG$5="","","Þrep")</f>
        <v/>
      </c>
      <c r="BH6" s="76">
        <f>IF(BG$5="","","Stig")</f>
        <v/>
      </c>
      <c r="BI6" s="76">
        <f>IF(BI$5="","","Þrep")</f>
        <v/>
      </c>
      <c r="BJ6" s="76">
        <f>IF(BI$5="","","Stig")</f>
        <v/>
      </c>
      <c r="BK6" s="76">
        <f>IF(BK$5="","","Þrep")</f>
        <v/>
      </c>
      <c r="BL6" s="76">
        <f>IF(BK$5="","","Stig")</f>
        <v/>
      </c>
      <c r="BM6" s="76">
        <f>IF(BM$5="","","Þrep")</f>
        <v/>
      </c>
      <c r="BN6" s="76">
        <f>IF(BM$5="","","Stig")</f>
        <v/>
      </c>
      <c r="BO6" s="76">
        <f>IF(BO$5="","","Þrep")</f>
        <v/>
      </c>
      <c r="BP6" s="76">
        <f>IF(BO$5="","","Stig")</f>
        <v/>
      </c>
      <c r="BQ6" s="76">
        <f>IF(BQ$5="","","Þrep")</f>
        <v/>
      </c>
      <c r="BR6" s="76">
        <f>IF(BQ$5="","","Stig")</f>
        <v/>
      </c>
      <c r="BS6" s="76">
        <f>IF(BS$5="","","Þrep")</f>
        <v/>
      </c>
      <c r="BT6" s="76">
        <f>IF(BS$5="","","Stig")</f>
        <v/>
      </c>
      <c r="BU6" s="76">
        <f>IF(BU$5="","","Þrep")</f>
        <v/>
      </c>
      <c r="BV6" s="76">
        <f>IF(BU$5="","","Stig")</f>
        <v/>
      </c>
      <c r="BW6" s="76">
        <f>IF(BW$5="","","Þrep")</f>
        <v/>
      </c>
      <c r="BX6" s="76">
        <f>IF(BW$5="","","Stig")</f>
        <v/>
      </c>
      <c r="BY6" s="76">
        <f>IF(BY$5="","","Þrep")</f>
        <v/>
      </c>
      <c r="BZ6" s="76">
        <f>IF(BY$5="","","Stig")</f>
        <v/>
      </c>
      <c r="CA6" s="76">
        <f>IF(CA$5="","","Þrep")</f>
        <v/>
      </c>
      <c r="CB6" s="76">
        <f>IF(CA$5="","","Stig")</f>
        <v/>
      </c>
      <c r="CC6" s="76">
        <f>IF(CC$5="","","Þrep")</f>
        <v/>
      </c>
      <c r="CD6" s="76">
        <f>IF(CC$5="","","Stig")</f>
        <v/>
      </c>
      <c r="CE6" s="76">
        <f>IF(CE$5="","","Þrep")</f>
        <v/>
      </c>
      <c r="CF6" s="76">
        <f>IF(CE$5="","","Stig")</f>
        <v/>
      </c>
      <c r="CG6" s="76">
        <f>IF(CG$5="","","Þrep")</f>
        <v/>
      </c>
      <c r="CH6" s="76">
        <f>IF(CG$5="","","Stig")</f>
        <v/>
      </c>
      <c r="CI6" s="76">
        <f>IF(CI$5="","","Þrep")</f>
        <v/>
      </c>
      <c r="CJ6" s="76">
        <f>IF(CI$5="","","Stig")</f>
        <v/>
      </c>
      <c r="CK6" s="76">
        <f>IF(CK$5="","","Þrep")</f>
        <v/>
      </c>
      <c r="CL6" s="76">
        <f>IF(CK$5="","","Stig")</f>
        <v/>
      </c>
      <c r="CM6" s="76">
        <f>IF(CM$5="","","Þrep")</f>
        <v/>
      </c>
      <c r="CN6" s="76">
        <f>IF(CM$5="","","Stig")</f>
        <v/>
      </c>
      <c r="CO6" s="76">
        <f>IF(CO$5="","","Þrep")</f>
        <v/>
      </c>
      <c r="CP6" s="76">
        <f>IF(CO$5="","","Stig")</f>
        <v/>
      </c>
      <c r="CQ6" s="76">
        <f>IF(CQ$5="","","Þrep")</f>
        <v/>
      </c>
      <c r="CR6" s="76">
        <f>IF(CQ$5="","","Stig")</f>
        <v/>
      </c>
      <c r="CS6" s="76">
        <f>IF(CS$5="","","Þrep")</f>
        <v/>
      </c>
      <c r="CT6" s="76">
        <f>IF(CS$5="","","Stig")</f>
        <v/>
      </c>
      <c r="CU6" s="76">
        <f>IF(CU$5="","","Þrep")</f>
        <v/>
      </c>
      <c r="CV6" s="76">
        <f>IF(CU$5="","","Stig")</f>
        <v/>
      </c>
      <c r="CW6" s="76">
        <f>IF(CW$5="","","Þrep")</f>
        <v/>
      </c>
      <c r="CX6" s="76">
        <f>IF(CW$5="","","Stig")</f>
        <v/>
      </c>
      <c r="CY6" s="76">
        <f>IF(CY$5="","","Þrep")</f>
        <v/>
      </c>
      <c r="CZ6" s="76">
        <f>IF(CY$5="","","Stig")</f>
        <v/>
      </c>
      <c r="DA6" s="76">
        <f>IF(DA$5="","","Þrep")</f>
        <v/>
      </c>
      <c r="DB6" s="76">
        <f>IF(DA$5="","","Stig")</f>
        <v/>
      </c>
      <c r="DC6" s="76">
        <f>IF(DC$5="","","Þrep")</f>
        <v/>
      </c>
      <c r="DD6" s="76">
        <f>IF(DC$5="","","Stig")</f>
        <v/>
      </c>
      <c r="DE6" s="76">
        <f>IF(DE$5="","","Þrep")</f>
        <v/>
      </c>
      <c r="DF6" s="76">
        <f>IF(DE$5="","","Stig")</f>
        <v/>
      </c>
      <c r="DG6" s="76">
        <f>IF(DG$5="","","Þrep")</f>
        <v/>
      </c>
      <c r="DH6" s="76">
        <f>IF(DG$5="","","Stig")</f>
        <v/>
      </c>
      <c r="DI6" s="76">
        <f>IF(DI$5="","","Þrep")</f>
        <v/>
      </c>
      <c r="DJ6" s="76">
        <f>IF(DI$5="","","Stig")</f>
        <v/>
      </c>
      <c r="DK6" s="76">
        <f>IF(DK$5="","","Þrep")</f>
        <v/>
      </c>
      <c r="DL6" s="76">
        <f>IF(DK$5="","","Stig")</f>
        <v/>
      </c>
      <c r="DM6" s="76">
        <f>IF(DM$5="","","Þrep")</f>
        <v/>
      </c>
      <c r="DN6" s="76">
        <f>IF(DM$5="","","Stig")</f>
        <v/>
      </c>
      <c r="DO6" s="76">
        <f>IF(DO$5="","","Þrep")</f>
        <v/>
      </c>
      <c r="DP6" s="76">
        <f>IF(DO$5="","","Stig")</f>
        <v/>
      </c>
      <c r="DQ6" s="76">
        <f>IF(DQ$5="","","Þrep")</f>
        <v/>
      </c>
      <c r="DR6" s="76">
        <f>IF(DQ$5="","","Stig")</f>
        <v/>
      </c>
      <c r="DS6" s="76">
        <f>IF(DS$5="","","Þrep")</f>
        <v/>
      </c>
      <c r="DT6" s="76">
        <f>IF(DS$5="","","Stig")</f>
        <v/>
      </c>
      <c r="DU6" s="76">
        <f>IF(DU$5="","","Þrep")</f>
        <v/>
      </c>
      <c r="DV6" s="76">
        <f>IF(DU$5="","","Stig")</f>
        <v/>
      </c>
      <c r="DW6" s="76">
        <f>IF(DW$5="","","Þrep")</f>
        <v/>
      </c>
      <c r="DX6" s="76">
        <f>IF(DW$5="","","Stig")</f>
        <v/>
      </c>
      <c r="DY6" s="76">
        <f>IF(DY$5="","","Þrep")</f>
        <v/>
      </c>
      <c r="DZ6" s="76">
        <f>IF(DY$5="","","Stig")</f>
        <v/>
      </c>
      <c r="EA6" s="76">
        <f>IF(EA$5="","","Þrep")</f>
        <v/>
      </c>
      <c r="EB6" s="76">
        <f>IF(EA$5="","","Stig")</f>
        <v/>
      </c>
      <c r="EC6" s="76">
        <f>IF(EC$5="","","Þrep")</f>
        <v/>
      </c>
      <c r="ED6" s="76">
        <f>IF(EC$5="","","Stig")</f>
        <v/>
      </c>
      <c r="EE6" s="76">
        <f>IF(EE$5="","","Þrep")</f>
        <v/>
      </c>
      <c r="EF6" s="76">
        <f>IF(EE$5="","","Stig")</f>
        <v/>
      </c>
      <c r="EG6" s="76">
        <f>IF(EG$5="","","Þrep")</f>
        <v/>
      </c>
      <c r="EH6" s="76">
        <f>IF(EG$5="","","Stig")</f>
        <v/>
      </c>
      <c r="EI6" s="76">
        <f>IF(EI$5="","","Þrep")</f>
        <v/>
      </c>
      <c r="EJ6" s="76">
        <f>IF(EI$5="","","Stig")</f>
        <v/>
      </c>
      <c r="EK6" s="76">
        <f>IF(EK$5="","","Þrep")</f>
        <v/>
      </c>
      <c r="EL6" s="76">
        <f>IF(EK$5="","","Stig")</f>
        <v/>
      </c>
      <c r="EM6" s="76">
        <f>IF(EM$5="","","Þrep")</f>
        <v/>
      </c>
      <c r="EN6" s="76">
        <f>IF(EM$5="","","Stig")</f>
        <v/>
      </c>
      <c r="EO6" s="76">
        <f>IF(EO$5="","","Þrep")</f>
        <v/>
      </c>
      <c r="EP6" s="76">
        <f>IF(EO$5="","","Stig")</f>
        <v/>
      </c>
      <c r="EQ6" s="76">
        <f>IF(EQ$5="","","Þrep")</f>
        <v/>
      </c>
      <c r="ER6" s="76">
        <f>IF(EQ$5="","","Stig")</f>
        <v/>
      </c>
      <c r="ES6" s="76">
        <f>IF(ES$5="","","Þrep")</f>
        <v/>
      </c>
      <c r="ET6" s="76">
        <f>IF(ES$5="","","Stig")</f>
        <v/>
      </c>
      <c r="EU6" s="76">
        <f>IF(EU$5="","","Þrep")</f>
        <v/>
      </c>
      <c r="EV6" s="76">
        <f>IF(EU$5="","","Stig")</f>
        <v/>
      </c>
      <c r="EW6" s="76">
        <f>IF(EW$5="","","Þrep")</f>
        <v/>
      </c>
      <c r="EX6" s="76">
        <f>IF(EW$5="","","Stig")</f>
        <v/>
      </c>
      <c r="EY6" s="76">
        <f>IF(EY$5="","","Þrep")</f>
        <v/>
      </c>
      <c r="EZ6" s="76">
        <f>IF(EY$5="","","Stig")</f>
        <v/>
      </c>
      <c r="FA6" s="76">
        <f>IF(FA$5="","","Þrep")</f>
        <v/>
      </c>
      <c r="FB6" s="76">
        <f>IF(FA$5="","","Stig")</f>
        <v/>
      </c>
      <c r="FC6" s="76">
        <f>IF(FC$5="","","Þrep")</f>
        <v/>
      </c>
      <c r="FD6" s="76">
        <f>IF(FC$5="","","Stig")</f>
        <v/>
      </c>
      <c r="FE6" s="76">
        <f>IF(FE$5="","","Þrep")</f>
        <v/>
      </c>
      <c r="FF6" s="76">
        <f>IF(FE$5="","","Stig")</f>
        <v/>
      </c>
      <c r="FG6" s="76">
        <f>IF(FG$5="","","Þrep")</f>
        <v/>
      </c>
      <c r="FH6" s="76">
        <f>IF(FG$5="","","Stig")</f>
        <v/>
      </c>
      <c r="FI6" s="76">
        <f>IF(FI$5="","","Þrep")</f>
        <v/>
      </c>
      <c r="FJ6" s="76">
        <f>IF(FI$5="","","Stig")</f>
        <v/>
      </c>
      <c r="FK6" s="76">
        <f>IF(FK$5="","","Þrep")</f>
        <v/>
      </c>
      <c r="FL6" s="76">
        <f>IF(FK$5="","","Stig")</f>
        <v/>
      </c>
      <c r="FM6" s="76">
        <f>IF(FM$5="","","Þrep")</f>
        <v/>
      </c>
      <c r="FN6" s="76">
        <f>IF(FM$5="","","Stig")</f>
        <v/>
      </c>
      <c r="FO6" s="76">
        <f>IF(FO$5="","","Þrep")</f>
        <v/>
      </c>
      <c r="FP6" s="76">
        <f>IF(FO$5="","","Stig")</f>
        <v/>
      </c>
      <c r="FQ6" s="76">
        <f>IF(FQ$5="","","Þrep")</f>
        <v/>
      </c>
      <c r="FR6" s="76">
        <f>IF(FQ$5="","","Stig")</f>
        <v/>
      </c>
      <c r="FS6" s="76">
        <f>IF(FS$5="","","Þrep")</f>
        <v/>
      </c>
      <c r="FT6" s="76">
        <f>IF(FS$5="","","Stig")</f>
        <v/>
      </c>
      <c r="FU6" s="76">
        <f>IF(FU$5="","","Þrep")</f>
        <v/>
      </c>
      <c r="FV6" s="76">
        <f>IF(FU$5="","","Stig")</f>
        <v/>
      </c>
      <c r="FW6" s="76">
        <f>IF(FW$5="","","Þrep")</f>
        <v/>
      </c>
      <c r="FX6" s="76">
        <f>IF(FW$5="","","Stig")</f>
        <v/>
      </c>
      <c r="FY6" s="76">
        <f>IF(FY$5="","","Þrep")</f>
        <v/>
      </c>
      <c r="FZ6" s="76">
        <f>IF(FY$5="","","Stig")</f>
        <v/>
      </c>
      <c r="GA6" s="76">
        <f>IF(GA$5="","","Þrep")</f>
        <v/>
      </c>
      <c r="GB6" s="76">
        <f>IF(GA$5="","","Stig")</f>
        <v/>
      </c>
      <c r="GC6" s="76">
        <f>IF(GC$5="","","Þrep")</f>
        <v/>
      </c>
      <c r="GD6" s="76">
        <f>IF(GC$5="","","Stig")</f>
        <v/>
      </c>
      <c r="GE6" s="76">
        <f>IF(GE$5="","","Þrep")</f>
        <v/>
      </c>
      <c r="GF6" s="76">
        <f>IF(GE$5="","","Stig")</f>
        <v/>
      </c>
      <c r="GG6" s="76">
        <f>IF(GG$5="","","Þrep")</f>
        <v/>
      </c>
      <c r="GH6" s="76">
        <f>IF(GG$5="","","Stig")</f>
        <v/>
      </c>
      <c r="GI6" s="76">
        <f>IF(GI$5="","","Þrep")</f>
        <v/>
      </c>
      <c r="GJ6" s="76">
        <f>IF(GI$5="","","Stig")</f>
        <v/>
      </c>
      <c r="GK6" s="76">
        <f>IF(GK$5="","","Þrep")</f>
        <v/>
      </c>
      <c r="GL6" s="76">
        <f>IF(GK$5="","","Stig")</f>
        <v/>
      </c>
      <c r="GM6" s="76">
        <f>IF(GM$5="","","Þrep")</f>
        <v/>
      </c>
      <c r="GN6" s="76">
        <f>IF(GM$5="","","Stig")</f>
        <v/>
      </c>
      <c r="GO6" s="76">
        <f>IF(GO$5="","","Þrep")</f>
        <v/>
      </c>
      <c r="GP6" s="76">
        <f>IF(GO$5="","","Stig")</f>
        <v/>
      </c>
      <c r="GQ6" s="76">
        <f>IF(GQ$5="","","Þrep")</f>
        <v/>
      </c>
      <c r="GR6" s="76">
        <f>IF(GQ$5="","","Stig")</f>
        <v/>
      </c>
      <c r="GS6" s="76">
        <f>IF(GS$5="","","Þrep")</f>
        <v/>
      </c>
      <c r="GT6" s="76">
        <f>IF(GS$5="","","Stig")</f>
        <v/>
      </c>
      <c r="GU6" s="76">
        <f>IF(GU$5="","","Þrep")</f>
        <v/>
      </c>
      <c r="GV6" s="76">
        <f>IF(GU$5="","","Stig")</f>
        <v/>
      </c>
      <c r="GW6" s="76">
        <f>IF(GW$5="","","Þrep")</f>
        <v/>
      </c>
      <c r="GX6" s="76">
        <f>IF(GW$5="","","Stig")</f>
        <v/>
      </c>
    </row>
    <row r="7" ht="15" customHeight="1" s="47">
      <c r="B7" s="67">
        <f>IF(INDEX(Undirviðmið!$G$6:$G$105,ROW()-6)="Starfsbundinn",INDEX(Undirviðmið!$B$6:$B$105,ROW()-6),"")</f>
        <v/>
      </c>
      <c r="C7" s="67">
        <f>IF(INDEX(Undirviðmið!$G$6:$G$105,ROW()-6)="Starfsbundinn",INDEX(Undirviðmið!$C$6:$C$105,ROW()-6),"")</f>
        <v/>
      </c>
      <c r="D7" s="77">
        <f>IF(INDEX(Undirviðmið!$G$6:$G$105,ROW()-6)="Starfsbundinn",INDEX(Undirviðmið!$E$6:$E$105,ROW()-6),"")</f>
        <v/>
      </c>
      <c r="E7" s="77">
        <f>IF(INDEX(Undirviðmið!$G$6:$G$105,ROW()-6)="Starfsbundinn",INDEX(Undirviðmið!$F$6:$F$105,ROW()-6),"")</f>
        <v/>
      </c>
      <c r="F7" s="77">
        <f>IF(INDEX(Undirviðmið!$G$6:$G$105,ROW()-6)="Starfsbundinn",IFERROR(INDEX(Undirviðmið!$E$6:$E$105,ROW()-6)*KVARDI,""),"")</f>
        <v/>
      </c>
      <c r="G7" s="66" t="n"/>
      <c r="H7" s="78">
        <f>IF(OR(INDEX(Undirviðmið!$G$6:$G$105,ROW()-6)&lt;&gt;"Starfsbundinn",G7="",$E7="",$D7=""),"",ROUND(G7/$E7*$D7*KVARDI,2))</f>
        <v/>
      </c>
      <c r="I7" s="66" t="n"/>
      <c r="J7" s="78">
        <f>IF(OR(INDEX(Undirviðmið!$G$6:$G$105,ROW()-6)&lt;&gt;"Starfsbundinn",I7="",$E7="",$D7=""),"",ROUND(I7/$E7*$D7*KVARDI,2))</f>
        <v/>
      </c>
      <c r="K7" s="66" t="n"/>
      <c r="L7" s="78">
        <f>IF(OR(INDEX(Undirviðmið!$G$6:$G$105,ROW()-6)&lt;&gt;"Starfsbundinn",K7="",$E7="",$D7=""),"",ROUND(K7/$E7*$D7*KVARDI,2))</f>
        <v/>
      </c>
      <c r="M7" s="66" t="n"/>
      <c r="N7" s="78">
        <f>IF(OR(INDEX(Undirviðmið!$G$6:$G$105,ROW()-6)&lt;&gt;"Starfsbundinn",M7="",$E7="",$D7=""),"",ROUND(M7/$E7*$D7*KVARDI,2))</f>
        <v/>
      </c>
      <c r="O7" s="66" t="n"/>
      <c r="P7" s="78">
        <f>IF(OR(INDEX(Undirviðmið!$G$6:$G$105,ROW()-6)&lt;&gt;"Starfsbundinn",O7="",$E7="",$D7=""),"",ROUND(O7/$E7*$D7*KVARDI,2))</f>
        <v/>
      </c>
      <c r="Q7" s="66" t="n"/>
      <c r="R7" s="78">
        <f>IF(OR(INDEX(Undirviðmið!$G$6:$G$105,ROW()-6)&lt;&gt;"Starfsbundinn",Q7="",$E7="",$D7=""),"",ROUND(Q7/$E7*$D7*KVARDI,2))</f>
        <v/>
      </c>
      <c r="S7" s="66" t="n"/>
      <c r="T7" s="78">
        <f>IF(OR(INDEX(Undirviðmið!$G$6:$G$105,ROW()-6)&lt;&gt;"Starfsbundinn",S7="",$E7="",$D7=""),"",ROUND(S7/$E7*$D7*KVARDI,2))</f>
        <v/>
      </c>
      <c r="U7" s="66" t="n"/>
      <c r="V7" s="78">
        <f>IF(OR(INDEX(Undirviðmið!$G$6:$G$105,ROW()-6)&lt;&gt;"Starfsbundinn",U7="",$E7="",$D7=""),"",ROUND(U7/$E7*$D7*KVARDI,2))</f>
        <v/>
      </c>
      <c r="W7" s="66" t="n"/>
      <c r="X7" s="78">
        <f>IF(OR(INDEX(Undirviðmið!$G$6:$G$105,ROW()-6)&lt;&gt;"Starfsbundinn",W7="",$E7="",$D7=""),"",ROUND(W7/$E7*$D7*KVARDI,2))</f>
        <v/>
      </c>
      <c r="Y7" s="66" t="n"/>
      <c r="Z7" s="78">
        <f>IF(OR(INDEX(Undirviðmið!$G$6:$G$105,ROW()-6)&lt;&gt;"Starfsbundinn",Y7="",$E7="",$D7=""),"",ROUND(Y7/$E7*$D7*KVARDI,2))</f>
        <v/>
      </c>
      <c r="AA7" s="66" t="n"/>
      <c r="AB7" s="78">
        <f>IF(OR(INDEX(Undirviðmið!$G$6:$G$105,ROW()-6)&lt;&gt;"Starfsbundinn",AA7="",$E7="",$D7=""),"",ROUND(AA7/$E7*$D7*KVARDI,2))</f>
        <v/>
      </c>
      <c r="AC7" s="66" t="n"/>
      <c r="AD7" s="78">
        <f>IF(OR(INDEX(Undirviðmið!$G$6:$G$105,ROW()-6)&lt;&gt;"Starfsbundinn",AC7="",$E7="",$D7=""),"",ROUND(AC7/$E7*$D7*KVARDI,2))</f>
        <v/>
      </c>
      <c r="AE7" s="66" t="n"/>
      <c r="AF7" s="78">
        <f>IF(OR(INDEX(Undirviðmið!$G$6:$G$105,ROW()-6)&lt;&gt;"Starfsbundinn",AE7="",$E7="",$D7=""),"",ROUND(AE7/$E7*$D7*KVARDI,2))</f>
        <v/>
      </c>
      <c r="AG7" s="66" t="n"/>
      <c r="AH7" s="78">
        <f>IF(OR(INDEX(Undirviðmið!$G$6:$G$105,ROW()-6)&lt;&gt;"Starfsbundinn",AG7="",$E7="",$D7=""),"",ROUND(AG7/$E7*$D7*KVARDI,2))</f>
        <v/>
      </c>
      <c r="AI7" s="66" t="n"/>
      <c r="AJ7" s="78">
        <f>IF(OR(INDEX(Undirviðmið!$G$6:$G$105,ROW()-6)&lt;&gt;"Starfsbundinn",AI7="",$E7="",$D7=""),"",ROUND(AI7/$E7*$D7*KVARDI,2))</f>
        <v/>
      </c>
      <c r="AK7" s="66" t="n"/>
      <c r="AL7" s="78">
        <f>IF(OR(INDEX(Undirviðmið!$G$6:$G$105,ROW()-6)&lt;&gt;"Starfsbundinn",AK7="",$E7="",$D7=""),"",ROUND(AK7/$E7*$D7*KVARDI,2))</f>
        <v/>
      </c>
      <c r="AM7" s="66" t="n"/>
      <c r="AN7" s="78">
        <f>IF(OR(INDEX(Undirviðmið!$G$6:$G$105,ROW()-6)&lt;&gt;"Starfsbundinn",AM7="",$E7="",$D7=""),"",ROUND(AM7/$E7*$D7*KVARDI,2))</f>
        <v/>
      </c>
      <c r="AO7" s="66" t="n"/>
      <c r="AP7" s="78">
        <f>IF(OR(INDEX(Undirviðmið!$G$6:$G$105,ROW()-6)&lt;&gt;"Starfsbundinn",AO7="",$E7="",$D7=""),"",ROUND(AO7/$E7*$D7*KVARDI,2))</f>
        <v/>
      </c>
      <c r="AQ7" s="66" t="n"/>
      <c r="AR7" s="78">
        <f>IF(OR(INDEX(Undirviðmið!$G$6:$G$105,ROW()-6)&lt;&gt;"Starfsbundinn",AQ7="",$E7="",$D7=""),"",ROUND(AQ7/$E7*$D7*KVARDI,2))</f>
        <v/>
      </c>
      <c r="AS7" s="66" t="n"/>
      <c r="AT7" s="78">
        <f>IF(OR(INDEX(Undirviðmið!$G$6:$G$105,ROW()-6)&lt;&gt;"Starfsbundinn",AS7="",$E7="",$D7=""),"",ROUND(AS7/$E7*$D7*KVARDI,2))</f>
        <v/>
      </c>
      <c r="AU7" s="66" t="n"/>
      <c r="AV7" s="78">
        <f>IF(OR(INDEX(Undirviðmið!$G$6:$G$105,ROW()-6)&lt;&gt;"Starfsbundinn",AU7="",$E7="",$D7=""),"",ROUND(AU7/$E7*$D7*KVARDI,2))</f>
        <v/>
      </c>
      <c r="AW7" s="66" t="n"/>
      <c r="AX7" s="78">
        <f>IF(OR(INDEX(Undirviðmið!$G$6:$G$105,ROW()-6)&lt;&gt;"Starfsbundinn",AW7="",$E7="",$D7=""),"",ROUND(AW7/$E7*$D7*KVARDI,2))</f>
        <v/>
      </c>
      <c r="AY7" s="66" t="n"/>
      <c r="AZ7" s="78">
        <f>IF(OR(INDEX(Undirviðmið!$G$6:$G$105,ROW()-6)&lt;&gt;"Starfsbundinn",AY7="",$E7="",$D7=""),"",ROUND(AY7/$E7*$D7*KVARDI,2))</f>
        <v/>
      </c>
      <c r="BA7" s="66" t="n"/>
      <c r="BB7" s="78">
        <f>IF(OR(INDEX(Undirviðmið!$G$6:$G$105,ROW()-6)&lt;&gt;"Starfsbundinn",BA7="",$E7="",$D7=""),"",ROUND(BA7/$E7*$D7*KVARDI,2))</f>
        <v/>
      </c>
      <c r="BC7" s="66" t="n"/>
      <c r="BD7" s="78">
        <f>IF(OR(INDEX(Undirviðmið!$G$6:$G$105,ROW()-6)&lt;&gt;"Starfsbundinn",BC7="",$E7="",$D7=""),"",ROUND(BC7/$E7*$D7*KVARDI,2))</f>
        <v/>
      </c>
      <c r="BE7" s="66" t="n"/>
      <c r="BF7" s="78">
        <f>IF(OR(INDEX(Undirviðmið!$G$6:$G$105,ROW()-6)&lt;&gt;"Starfsbundinn",BE7="",$E7="",$D7=""),"",ROUND(BE7/$E7*$D7*KVARDI,2))</f>
        <v/>
      </c>
      <c r="BG7" s="66" t="n"/>
      <c r="BH7" s="78">
        <f>IF(OR(INDEX(Undirviðmið!$G$6:$G$105,ROW()-6)&lt;&gt;"Starfsbundinn",BG7="",$E7="",$D7=""),"",ROUND(BG7/$E7*$D7*KVARDI,2))</f>
        <v/>
      </c>
      <c r="BI7" s="66" t="n"/>
      <c r="BJ7" s="78">
        <f>IF(OR(INDEX(Undirviðmið!$G$6:$G$105,ROW()-6)&lt;&gt;"Starfsbundinn",BI7="",$E7="",$D7=""),"",ROUND(BI7/$E7*$D7*KVARDI,2))</f>
        <v/>
      </c>
      <c r="BK7" s="66" t="n"/>
      <c r="BL7" s="78">
        <f>IF(OR(INDEX(Undirviðmið!$G$6:$G$105,ROW()-6)&lt;&gt;"Starfsbundinn",BK7="",$E7="",$D7=""),"",ROUND(BK7/$E7*$D7*KVARDI,2))</f>
        <v/>
      </c>
      <c r="BM7" s="66" t="n"/>
      <c r="BN7" s="78">
        <f>IF(OR(INDEX(Undirviðmið!$G$6:$G$105,ROW()-6)&lt;&gt;"Starfsbundinn",BM7="",$E7="",$D7=""),"",ROUND(BM7/$E7*$D7*KVARDI,2))</f>
        <v/>
      </c>
      <c r="BO7" s="66" t="n"/>
      <c r="BP7" s="78">
        <f>IF(OR(INDEX(Undirviðmið!$G$6:$G$105,ROW()-6)&lt;&gt;"Starfsbundinn",BO7="",$E7="",$D7=""),"",ROUND(BO7/$E7*$D7*KVARDI,2))</f>
        <v/>
      </c>
      <c r="BQ7" s="66" t="n"/>
      <c r="BR7" s="78">
        <f>IF(OR(INDEX(Undirviðmið!$G$6:$G$105,ROW()-6)&lt;&gt;"Starfsbundinn",BQ7="",$E7="",$D7=""),"",ROUND(BQ7/$E7*$D7*KVARDI,2))</f>
        <v/>
      </c>
      <c r="BS7" s="66" t="n"/>
      <c r="BT7" s="78">
        <f>IF(OR(INDEX(Undirviðmið!$G$6:$G$105,ROW()-6)&lt;&gt;"Starfsbundinn",BS7="",$E7="",$D7=""),"",ROUND(BS7/$E7*$D7*KVARDI,2))</f>
        <v/>
      </c>
      <c r="BU7" s="66" t="n"/>
      <c r="BV7" s="78">
        <f>IF(OR(INDEX(Undirviðmið!$G$6:$G$105,ROW()-6)&lt;&gt;"Starfsbundinn",BU7="",$E7="",$D7=""),"",ROUND(BU7/$E7*$D7*KVARDI,2))</f>
        <v/>
      </c>
      <c r="BW7" s="66" t="n"/>
      <c r="BX7" s="78">
        <f>IF(OR(INDEX(Undirviðmið!$G$6:$G$105,ROW()-6)&lt;&gt;"Starfsbundinn",BW7="",$E7="",$D7=""),"",ROUND(BW7/$E7*$D7*KVARDI,2))</f>
        <v/>
      </c>
      <c r="BY7" s="66" t="n"/>
      <c r="BZ7" s="78">
        <f>IF(OR(INDEX(Undirviðmið!$G$6:$G$105,ROW()-6)&lt;&gt;"Starfsbundinn",BY7="",$E7="",$D7=""),"",ROUND(BY7/$E7*$D7*KVARDI,2))</f>
        <v/>
      </c>
      <c r="CA7" s="66" t="n"/>
      <c r="CB7" s="78">
        <f>IF(OR(INDEX(Undirviðmið!$G$6:$G$105,ROW()-6)&lt;&gt;"Starfsbundinn",CA7="",$E7="",$D7=""),"",ROUND(CA7/$E7*$D7*KVARDI,2))</f>
        <v/>
      </c>
      <c r="CC7" s="66" t="n"/>
      <c r="CD7" s="78">
        <f>IF(OR(INDEX(Undirviðmið!$G$6:$G$105,ROW()-6)&lt;&gt;"Starfsbundinn",CC7="",$E7="",$D7=""),"",ROUND(CC7/$E7*$D7*KVARDI,2))</f>
        <v/>
      </c>
      <c r="CE7" s="66" t="n"/>
      <c r="CF7" s="78">
        <f>IF(OR(INDEX(Undirviðmið!$G$6:$G$105,ROW()-6)&lt;&gt;"Starfsbundinn",CE7="",$E7="",$D7=""),"",ROUND(CE7/$E7*$D7*KVARDI,2))</f>
        <v/>
      </c>
      <c r="CG7" s="66" t="n"/>
      <c r="CH7" s="78">
        <f>IF(OR(INDEX(Undirviðmið!$G$6:$G$105,ROW()-6)&lt;&gt;"Starfsbundinn",CG7="",$E7="",$D7=""),"",ROUND(CG7/$E7*$D7*KVARDI,2))</f>
        <v/>
      </c>
      <c r="CI7" s="66" t="n"/>
      <c r="CJ7" s="78">
        <f>IF(OR(INDEX(Undirviðmið!$G$6:$G$105,ROW()-6)&lt;&gt;"Starfsbundinn",CI7="",$E7="",$D7=""),"",ROUND(CI7/$E7*$D7*KVARDI,2))</f>
        <v/>
      </c>
      <c r="CK7" s="66" t="n"/>
      <c r="CL7" s="78">
        <f>IF(OR(INDEX(Undirviðmið!$G$6:$G$105,ROW()-6)&lt;&gt;"Starfsbundinn",CK7="",$E7="",$D7=""),"",ROUND(CK7/$E7*$D7*KVARDI,2))</f>
        <v/>
      </c>
      <c r="CM7" s="66" t="n"/>
      <c r="CN7" s="78">
        <f>IF(OR(INDEX(Undirviðmið!$G$6:$G$105,ROW()-6)&lt;&gt;"Starfsbundinn",CM7="",$E7="",$D7=""),"",ROUND(CM7/$E7*$D7*KVARDI,2))</f>
        <v/>
      </c>
      <c r="CO7" s="66" t="n"/>
      <c r="CP7" s="78">
        <f>IF(OR(INDEX(Undirviðmið!$G$6:$G$105,ROW()-6)&lt;&gt;"Starfsbundinn",CO7="",$E7="",$D7=""),"",ROUND(CO7/$E7*$D7*KVARDI,2))</f>
        <v/>
      </c>
      <c r="CQ7" s="66" t="n"/>
      <c r="CR7" s="78">
        <f>IF(OR(INDEX(Undirviðmið!$G$6:$G$105,ROW()-6)&lt;&gt;"Starfsbundinn",CQ7="",$E7="",$D7=""),"",ROUND(CQ7/$E7*$D7*KVARDI,2))</f>
        <v/>
      </c>
      <c r="CS7" s="66" t="n"/>
      <c r="CT7" s="78">
        <f>IF(OR(INDEX(Undirviðmið!$G$6:$G$105,ROW()-6)&lt;&gt;"Starfsbundinn",CS7="",$E7="",$D7=""),"",ROUND(CS7/$E7*$D7*KVARDI,2))</f>
        <v/>
      </c>
      <c r="CU7" s="66" t="n"/>
      <c r="CV7" s="78">
        <f>IF(OR(INDEX(Undirviðmið!$G$6:$G$105,ROW()-6)&lt;&gt;"Starfsbundinn",CU7="",$E7="",$D7=""),"",ROUND(CU7/$E7*$D7*KVARDI,2))</f>
        <v/>
      </c>
      <c r="CW7" s="66" t="n"/>
      <c r="CX7" s="78">
        <f>IF(OR(INDEX(Undirviðmið!$G$6:$G$105,ROW()-6)&lt;&gt;"Starfsbundinn",CW7="",$E7="",$D7=""),"",ROUND(CW7/$E7*$D7*KVARDI,2))</f>
        <v/>
      </c>
      <c r="CY7" s="66" t="n"/>
      <c r="CZ7" s="78">
        <f>IF(OR(INDEX(Undirviðmið!$G$6:$G$105,ROW()-6)&lt;&gt;"Starfsbundinn",CY7="",$E7="",$D7=""),"",ROUND(CY7/$E7*$D7*KVARDI,2))</f>
        <v/>
      </c>
      <c r="DA7" s="66" t="n"/>
      <c r="DB7" s="78">
        <f>IF(OR(INDEX(Undirviðmið!$G$6:$G$105,ROW()-6)&lt;&gt;"Starfsbundinn",DA7="",$E7="",$D7=""),"",ROUND(DA7/$E7*$D7*KVARDI,2))</f>
        <v/>
      </c>
      <c r="DC7" s="66" t="n"/>
      <c r="DD7" s="78">
        <f>IF(OR(INDEX(Undirviðmið!$G$6:$G$105,ROW()-6)&lt;&gt;"Starfsbundinn",DC7="",$E7="",$D7=""),"",ROUND(DC7/$E7*$D7*KVARDI,2))</f>
        <v/>
      </c>
      <c r="DE7" s="66" t="n"/>
      <c r="DF7" s="78">
        <f>IF(OR(INDEX(Undirviðmið!$G$6:$G$105,ROW()-6)&lt;&gt;"Starfsbundinn",DE7="",$E7="",$D7=""),"",ROUND(DE7/$E7*$D7*KVARDI,2))</f>
        <v/>
      </c>
      <c r="DG7" s="66" t="n"/>
      <c r="DH7" s="78">
        <f>IF(OR(INDEX(Undirviðmið!$G$6:$G$105,ROW()-6)&lt;&gt;"Starfsbundinn",DG7="",$E7="",$D7=""),"",ROUND(DG7/$E7*$D7*KVARDI,2))</f>
        <v/>
      </c>
      <c r="DI7" s="66" t="n"/>
      <c r="DJ7" s="78">
        <f>IF(OR(INDEX(Undirviðmið!$G$6:$G$105,ROW()-6)&lt;&gt;"Starfsbundinn",DI7="",$E7="",$D7=""),"",ROUND(DI7/$E7*$D7*KVARDI,2))</f>
        <v/>
      </c>
      <c r="DK7" s="66" t="n"/>
      <c r="DL7" s="78">
        <f>IF(OR(INDEX(Undirviðmið!$G$6:$G$105,ROW()-6)&lt;&gt;"Starfsbundinn",DK7="",$E7="",$D7=""),"",ROUND(DK7/$E7*$D7*KVARDI,2))</f>
        <v/>
      </c>
      <c r="DM7" s="66" t="n"/>
      <c r="DN7" s="78">
        <f>IF(OR(INDEX(Undirviðmið!$G$6:$G$105,ROW()-6)&lt;&gt;"Starfsbundinn",DM7="",$E7="",$D7=""),"",ROUND(DM7/$E7*$D7*KVARDI,2))</f>
        <v/>
      </c>
      <c r="DO7" s="66" t="n"/>
      <c r="DP7" s="78">
        <f>IF(OR(INDEX(Undirviðmið!$G$6:$G$105,ROW()-6)&lt;&gt;"Starfsbundinn",DO7="",$E7="",$D7=""),"",ROUND(DO7/$E7*$D7*KVARDI,2))</f>
        <v/>
      </c>
      <c r="DQ7" s="66" t="n"/>
      <c r="DR7" s="78">
        <f>IF(OR(INDEX(Undirviðmið!$G$6:$G$105,ROW()-6)&lt;&gt;"Starfsbundinn",DQ7="",$E7="",$D7=""),"",ROUND(DQ7/$E7*$D7*KVARDI,2))</f>
        <v/>
      </c>
      <c r="DS7" s="66" t="n"/>
      <c r="DT7" s="78">
        <f>IF(OR(INDEX(Undirviðmið!$G$6:$G$105,ROW()-6)&lt;&gt;"Starfsbundinn",DS7="",$E7="",$D7=""),"",ROUND(DS7/$E7*$D7*KVARDI,2))</f>
        <v/>
      </c>
      <c r="DU7" s="66" t="n"/>
      <c r="DV7" s="78">
        <f>IF(OR(INDEX(Undirviðmið!$G$6:$G$105,ROW()-6)&lt;&gt;"Starfsbundinn",DU7="",$E7="",$D7=""),"",ROUND(DU7/$E7*$D7*KVARDI,2))</f>
        <v/>
      </c>
      <c r="DW7" s="66" t="n"/>
      <c r="DX7" s="78">
        <f>IF(OR(INDEX(Undirviðmið!$G$6:$G$105,ROW()-6)&lt;&gt;"Starfsbundinn",DW7="",$E7="",$D7=""),"",ROUND(DW7/$E7*$D7*KVARDI,2))</f>
        <v/>
      </c>
      <c r="DY7" s="66" t="n"/>
      <c r="DZ7" s="78">
        <f>IF(OR(INDEX(Undirviðmið!$G$6:$G$105,ROW()-6)&lt;&gt;"Starfsbundinn",DY7="",$E7="",$D7=""),"",ROUND(DY7/$E7*$D7*KVARDI,2))</f>
        <v/>
      </c>
      <c r="EA7" s="66" t="n"/>
      <c r="EB7" s="78">
        <f>IF(OR(INDEX(Undirviðmið!$G$6:$G$105,ROW()-6)&lt;&gt;"Starfsbundinn",EA7="",$E7="",$D7=""),"",ROUND(EA7/$E7*$D7*KVARDI,2))</f>
        <v/>
      </c>
      <c r="EC7" s="66" t="n"/>
      <c r="ED7" s="78">
        <f>IF(OR(INDEX(Undirviðmið!$G$6:$G$105,ROW()-6)&lt;&gt;"Starfsbundinn",EC7="",$E7="",$D7=""),"",ROUND(EC7/$E7*$D7*KVARDI,2))</f>
        <v/>
      </c>
      <c r="EE7" s="66" t="n"/>
      <c r="EF7" s="78">
        <f>IF(OR(INDEX(Undirviðmið!$G$6:$G$105,ROW()-6)&lt;&gt;"Starfsbundinn",EE7="",$E7="",$D7=""),"",ROUND(EE7/$E7*$D7*KVARDI,2))</f>
        <v/>
      </c>
      <c r="EG7" s="66" t="n"/>
      <c r="EH7" s="78">
        <f>IF(OR(INDEX(Undirviðmið!$G$6:$G$105,ROW()-6)&lt;&gt;"Starfsbundinn",EG7="",$E7="",$D7=""),"",ROUND(EG7/$E7*$D7*KVARDI,2))</f>
        <v/>
      </c>
      <c r="EI7" s="66" t="n"/>
      <c r="EJ7" s="78">
        <f>IF(OR(INDEX(Undirviðmið!$G$6:$G$105,ROW()-6)&lt;&gt;"Starfsbundinn",EI7="",$E7="",$D7=""),"",ROUND(EI7/$E7*$D7*KVARDI,2))</f>
        <v/>
      </c>
      <c r="EK7" s="66" t="n"/>
      <c r="EL7" s="78">
        <f>IF(OR(INDEX(Undirviðmið!$G$6:$G$105,ROW()-6)&lt;&gt;"Starfsbundinn",EK7="",$E7="",$D7=""),"",ROUND(EK7/$E7*$D7*KVARDI,2))</f>
        <v/>
      </c>
      <c r="EM7" s="66" t="n"/>
      <c r="EN7" s="78">
        <f>IF(OR(INDEX(Undirviðmið!$G$6:$G$105,ROW()-6)&lt;&gt;"Starfsbundinn",EM7="",$E7="",$D7=""),"",ROUND(EM7/$E7*$D7*KVARDI,2))</f>
        <v/>
      </c>
      <c r="EO7" s="66" t="n"/>
      <c r="EP7" s="78">
        <f>IF(OR(INDEX(Undirviðmið!$G$6:$G$105,ROW()-6)&lt;&gt;"Starfsbundinn",EO7="",$E7="",$D7=""),"",ROUND(EO7/$E7*$D7*KVARDI,2))</f>
        <v/>
      </c>
      <c r="EQ7" s="66" t="n"/>
      <c r="ER7" s="78">
        <f>IF(OR(INDEX(Undirviðmið!$G$6:$G$105,ROW()-6)&lt;&gt;"Starfsbundinn",EQ7="",$E7="",$D7=""),"",ROUND(EQ7/$E7*$D7*KVARDI,2))</f>
        <v/>
      </c>
      <c r="ES7" s="66" t="n"/>
      <c r="ET7" s="78">
        <f>IF(OR(INDEX(Undirviðmið!$G$6:$G$105,ROW()-6)&lt;&gt;"Starfsbundinn",ES7="",$E7="",$D7=""),"",ROUND(ES7/$E7*$D7*KVARDI,2))</f>
        <v/>
      </c>
      <c r="EU7" s="66" t="n"/>
      <c r="EV7" s="78">
        <f>IF(OR(INDEX(Undirviðmið!$G$6:$G$105,ROW()-6)&lt;&gt;"Starfsbundinn",EU7="",$E7="",$D7=""),"",ROUND(EU7/$E7*$D7*KVARDI,2))</f>
        <v/>
      </c>
      <c r="EW7" s="66" t="n"/>
      <c r="EX7" s="78">
        <f>IF(OR(INDEX(Undirviðmið!$G$6:$G$105,ROW()-6)&lt;&gt;"Starfsbundinn",EW7="",$E7="",$D7=""),"",ROUND(EW7/$E7*$D7*KVARDI,2))</f>
        <v/>
      </c>
      <c r="EY7" s="66" t="n"/>
      <c r="EZ7" s="78">
        <f>IF(OR(INDEX(Undirviðmið!$G$6:$G$105,ROW()-6)&lt;&gt;"Starfsbundinn",EY7="",$E7="",$D7=""),"",ROUND(EY7/$E7*$D7*KVARDI,2))</f>
        <v/>
      </c>
      <c r="FA7" s="66" t="n"/>
      <c r="FB7" s="78">
        <f>IF(OR(INDEX(Undirviðmið!$G$6:$G$105,ROW()-6)&lt;&gt;"Starfsbundinn",FA7="",$E7="",$D7=""),"",ROUND(FA7/$E7*$D7*KVARDI,2))</f>
        <v/>
      </c>
      <c r="FC7" s="66" t="n"/>
      <c r="FD7" s="78">
        <f>IF(OR(INDEX(Undirviðmið!$G$6:$G$105,ROW()-6)&lt;&gt;"Starfsbundinn",FC7="",$E7="",$D7=""),"",ROUND(FC7/$E7*$D7*KVARDI,2))</f>
        <v/>
      </c>
      <c r="FE7" s="66" t="n"/>
      <c r="FF7" s="78">
        <f>IF(OR(INDEX(Undirviðmið!$G$6:$G$105,ROW()-6)&lt;&gt;"Starfsbundinn",FE7="",$E7="",$D7=""),"",ROUND(FE7/$E7*$D7*KVARDI,2))</f>
        <v/>
      </c>
      <c r="FG7" s="66" t="n"/>
      <c r="FH7" s="78">
        <f>IF(OR(INDEX(Undirviðmið!$G$6:$G$105,ROW()-6)&lt;&gt;"Starfsbundinn",FG7="",$E7="",$D7=""),"",ROUND(FG7/$E7*$D7*KVARDI,2))</f>
        <v/>
      </c>
      <c r="FI7" s="66" t="n"/>
      <c r="FJ7" s="78">
        <f>IF(OR(INDEX(Undirviðmið!$G$6:$G$105,ROW()-6)&lt;&gt;"Starfsbundinn",FI7="",$E7="",$D7=""),"",ROUND(FI7/$E7*$D7*KVARDI,2))</f>
        <v/>
      </c>
      <c r="FK7" s="66" t="n"/>
      <c r="FL7" s="78">
        <f>IF(OR(INDEX(Undirviðmið!$G$6:$G$105,ROW()-6)&lt;&gt;"Starfsbundinn",FK7="",$E7="",$D7=""),"",ROUND(FK7/$E7*$D7*KVARDI,2))</f>
        <v/>
      </c>
      <c r="FM7" s="66" t="n"/>
      <c r="FN7" s="78">
        <f>IF(OR(INDEX(Undirviðmið!$G$6:$G$105,ROW()-6)&lt;&gt;"Starfsbundinn",FM7="",$E7="",$D7=""),"",ROUND(FM7/$E7*$D7*KVARDI,2))</f>
        <v/>
      </c>
      <c r="FO7" s="66" t="n"/>
      <c r="FP7" s="78">
        <f>IF(OR(INDEX(Undirviðmið!$G$6:$G$105,ROW()-6)&lt;&gt;"Starfsbundinn",FO7="",$E7="",$D7=""),"",ROUND(FO7/$E7*$D7*KVARDI,2))</f>
        <v/>
      </c>
      <c r="FQ7" s="66" t="n"/>
      <c r="FR7" s="78">
        <f>IF(OR(INDEX(Undirviðmið!$G$6:$G$105,ROW()-6)&lt;&gt;"Starfsbundinn",FQ7="",$E7="",$D7=""),"",ROUND(FQ7/$E7*$D7*KVARDI,2))</f>
        <v/>
      </c>
      <c r="FS7" s="66" t="n"/>
      <c r="FT7" s="78">
        <f>IF(OR(INDEX(Undirviðmið!$G$6:$G$105,ROW()-6)&lt;&gt;"Starfsbundinn",FS7="",$E7="",$D7=""),"",ROUND(FS7/$E7*$D7*KVARDI,2))</f>
        <v/>
      </c>
      <c r="FU7" s="66" t="n"/>
      <c r="FV7" s="78">
        <f>IF(OR(INDEX(Undirviðmið!$G$6:$G$105,ROW()-6)&lt;&gt;"Starfsbundinn",FU7="",$E7="",$D7=""),"",ROUND(FU7/$E7*$D7*KVARDI,2))</f>
        <v/>
      </c>
      <c r="FW7" s="66" t="n"/>
      <c r="FX7" s="78">
        <f>IF(OR(INDEX(Undirviðmið!$G$6:$G$105,ROW()-6)&lt;&gt;"Starfsbundinn",FW7="",$E7="",$D7=""),"",ROUND(FW7/$E7*$D7*KVARDI,2))</f>
        <v/>
      </c>
      <c r="FY7" s="66" t="n"/>
      <c r="FZ7" s="78">
        <f>IF(OR(INDEX(Undirviðmið!$G$6:$G$105,ROW()-6)&lt;&gt;"Starfsbundinn",FY7="",$E7="",$D7=""),"",ROUND(FY7/$E7*$D7*KVARDI,2))</f>
        <v/>
      </c>
      <c r="GA7" s="66" t="n"/>
      <c r="GB7" s="78">
        <f>IF(OR(INDEX(Undirviðmið!$G$6:$G$105,ROW()-6)&lt;&gt;"Starfsbundinn",GA7="",$E7="",$D7=""),"",ROUND(GA7/$E7*$D7*KVARDI,2))</f>
        <v/>
      </c>
      <c r="GC7" s="66" t="n"/>
      <c r="GD7" s="78">
        <f>IF(OR(INDEX(Undirviðmið!$G$6:$G$105,ROW()-6)&lt;&gt;"Starfsbundinn",GC7="",$E7="",$D7=""),"",ROUND(GC7/$E7*$D7*KVARDI,2))</f>
        <v/>
      </c>
      <c r="GE7" s="66" t="n"/>
      <c r="GF7" s="78">
        <f>IF(OR(INDEX(Undirviðmið!$G$6:$G$105,ROW()-6)&lt;&gt;"Starfsbundinn",GE7="",$E7="",$D7=""),"",ROUND(GE7/$E7*$D7*KVARDI,2))</f>
        <v/>
      </c>
      <c r="GG7" s="66" t="n"/>
      <c r="GH7" s="78">
        <f>IF(OR(INDEX(Undirviðmið!$G$6:$G$105,ROW()-6)&lt;&gt;"Starfsbundinn",GG7="",$E7="",$D7=""),"",ROUND(GG7/$E7*$D7*KVARDI,2))</f>
        <v/>
      </c>
      <c r="GI7" s="66" t="n"/>
      <c r="GJ7" s="78">
        <f>IF(OR(INDEX(Undirviðmið!$G$6:$G$105,ROW()-6)&lt;&gt;"Starfsbundinn",GI7="",$E7="",$D7=""),"",ROUND(GI7/$E7*$D7*KVARDI,2))</f>
        <v/>
      </c>
      <c r="GK7" s="66" t="n"/>
      <c r="GL7" s="78">
        <f>IF(OR(INDEX(Undirviðmið!$G$6:$G$105,ROW()-6)&lt;&gt;"Starfsbundinn",GK7="",$E7="",$D7=""),"",ROUND(GK7/$E7*$D7*KVARDI,2))</f>
        <v/>
      </c>
      <c r="GM7" s="66" t="n"/>
      <c r="GN7" s="78">
        <f>IF(OR(INDEX(Undirviðmið!$G$6:$G$105,ROW()-6)&lt;&gt;"Starfsbundinn",GM7="",$E7="",$D7=""),"",ROUND(GM7/$E7*$D7*KVARDI,2))</f>
        <v/>
      </c>
      <c r="GO7" s="66" t="n"/>
      <c r="GP7" s="78">
        <f>IF(OR(INDEX(Undirviðmið!$G$6:$G$105,ROW()-6)&lt;&gt;"Starfsbundinn",GO7="",$E7="",$D7=""),"",ROUND(GO7/$E7*$D7*KVARDI,2))</f>
        <v/>
      </c>
      <c r="GQ7" s="66" t="n"/>
      <c r="GR7" s="78">
        <f>IF(OR(INDEX(Undirviðmið!$G$6:$G$105,ROW()-6)&lt;&gt;"Starfsbundinn",GQ7="",$E7="",$D7=""),"",ROUND(GQ7/$E7*$D7*KVARDI,2))</f>
        <v/>
      </c>
      <c r="GS7" s="66" t="n"/>
      <c r="GT7" s="78">
        <f>IF(OR(INDEX(Undirviðmið!$G$6:$G$105,ROW()-6)&lt;&gt;"Starfsbundinn",GS7="",$E7="",$D7=""),"",ROUND(GS7/$E7*$D7*KVARDI,2))</f>
        <v/>
      </c>
      <c r="GU7" s="66" t="n"/>
      <c r="GV7" s="78">
        <f>IF(OR(INDEX(Undirviðmið!$G$6:$G$105,ROW()-6)&lt;&gt;"Starfsbundinn",GU7="",$E7="",$D7=""),"",ROUND(GU7/$E7*$D7*KVARDI,2))</f>
        <v/>
      </c>
      <c r="GW7" s="66" t="n"/>
      <c r="GX7" s="78">
        <f>IF(OR(INDEX(Undirviðmið!$G$6:$G$105,ROW()-6)&lt;&gt;"Starfsbundinn",GW7="",$E7="",$D7=""),"",ROUND(GW7/$E7*$D7*KVARDI,2))</f>
        <v/>
      </c>
    </row>
    <row r="8" ht="15" customHeight="1" s="47">
      <c r="B8" s="67">
        <f>IF(INDEX(Undirviðmið!$G$6:$G$105,ROW()-6)="Starfsbundinn",INDEX(Undirviðmið!$B$6:$B$105,ROW()-6),"")</f>
        <v/>
      </c>
      <c r="C8" s="67">
        <f>IF(INDEX(Undirviðmið!$G$6:$G$105,ROW()-6)="Starfsbundinn",INDEX(Undirviðmið!$C$6:$C$105,ROW()-6),"")</f>
        <v/>
      </c>
      <c r="D8" s="77">
        <f>IF(INDEX(Undirviðmið!$G$6:$G$105,ROW()-6)="Starfsbundinn",INDEX(Undirviðmið!$E$6:$E$105,ROW()-6),"")</f>
        <v/>
      </c>
      <c r="E8" s="77">
        <f>IF(INDEX(Undirviðmið!$G$6:$G$105,ROW()-6)="Starfsbundinn",INDEX(Undirviðmið!$F$6:$F$105,ROW()-6),"")</f>
        <v/>
      </c>
      <c r="F8" s="77">
        <f>IF(INDEX(Undirviðmið!$G$6:$G$105,ROW()-6)="Starfsbundinn",IFERROR(INDEX(Undirviðmið!$E$6:$E$105,ROW()-6)*KVARDI,""),"")</f>
        <v/>
      </c>
      <c r="G8" s="66" t="n"/>
      <c r="H8" s="78">
        <f>IF(OR(INDEX(Undirviðmið!$G$6:$G$105,ROW()-6)&lt;&gt;"Starfsbundinn",G8="",$E8="",$D8=""),"",ROUND(G8/$E8*$D8*KVARDI,2))</f>
        <v/>
      </c>
      <c r="I8" s="66" t="n"/>
      <c r="J8" s="78">
        <f>IF(OR(INDEX(Undirviðmið!$G$6:$G$105,ROW()-6)&lt;&gt;"Starfsbundinn",I8="",$E8="",$D8=""),"",ROUND(I8/$E8*$D8*KVARDI,2))</f>
        <v/>
      </c>
      <c r="K8" s="66" t="n"/>
      <c r="L8" s="78">
        <f>IF(OR(INDEX(Undirviðmið!$G$6:$G$105,ROW()-6)&lt;&gt;"Starfsbundinn",K8="",$E8="",$D8=""),"",ROUND(K8/$E8*$D8*KVARDI,2))</f>
        <v/>
      </c>
      <c r="M8" s="66" t="n"/>
      <c r="N8" s="78">
        <f>IF(OR(INDEX(Undirviðmið!$G$6:$G$105,ROW()-6)&lt;&gt;"Starfsbundinn",M8="",$E8="",$D8=""),"",ROUND(M8/$E8*$D8*KVARDI,2))</f>
        <v/>
      </c>
      <c r="O8" s="66" t="n"/>
      <c r="P8" s="78">
        <f>IF(OR(INDEX(Undirviðmið!$G$6:$G$105,ROW()-6)&lt;&gt;"Starfsbundinn",O8="",$E8="",$D8=""),"",ROUND(O8/$E8*$D8*KVARDI,2))</f>
        <v/>
      </c>
      <c r="Q8" s="66" t="n"/>
      <c r="R8" s="78">
        <f>IF(OR(INDEX(Undirviðmið!$G$6:$G$105,ROW()-6)&lt;&gt;"Starfsbundinn",Q8="",$E8="",$D8=""),"",ROUND(Q8/$E8*$D8*KVARDI,2))</f>
        <v/>
      </c>
      <c r="S8" s="66" t="n"/>
      <c r="T8" s="78">
        <f>IF(OR(INDEX(Undirviðmið!$G$6:$G$105,ROW()-6)&lt;&gt;"Starfsbundinn",S8="",$E8="",$D8=""),"",ROUND(S8/$E8*$D8*KVARDI,2))</f>
        <v/>
      </c>
      <c r="U8" s="66" t="n"/>
      <c r="V8" s="78">
        <f>IF(OR(INDEX(Undirviðmið!$G$6:$G$105,ROW()-6)&lt;&gt;"Starfsbundinn",U8="",$E8="",$D8=""),"",ROUND(U8/$E8*$D8*KVARDI,2))</f>
        <v/>
      </c>
      <c r="W8" s="66" t="n"/>
      <c r="X8" s="78">
        <f>IF(OR(INDEX(Undirviðmið!$G$6:$G$105,ROW()-6)&lt;&gt;"Starfsbundinn",W8="",$E8="",$D8=""),"",ROUND(W8/$E8*$D8*KVARDI,2))</f>
        <v/>
      </c>
      <c r="Y8" s="66" t="n"/>
      <c r="Z8" s="78">
        <f>IF(OR(INDEX(Undirviðmið!$G$6:$G$105,ROW()-6)&lt;&gt;"Starfsbundinn",Y8="",$E8="",$D8=""),"",ROUND(Y8/$E8*$D8*KVARDI,2))</f>
        <v/>
      </c>
      <c r="AA8" s="66" t="n"/>
      <c r="AB8" s="78">
        <f>IF(OR(INDEX(Undirviðmið!$G$6:$G$105,ROW()-6)&lt;&gt;"Starfsbundinn",AA8="",$E8="",$D8=""),"",ROUND(AA8/$E8*$D8*KVARDI,2))</f>
        <v/>
      </c>
      <c r="AC8" s="66" t="n"/>
      <c r="AD8" s="78">
        <f>IF(OR(INDEX(Undirviðmið!$G$6:$G$105,ROW()-6)&lt;&gt;"Starfsbundinn",AC8="",$E8="",$D8=""),"",ROUND(AC8/$E8*$D8*KVARDI,2))</f>
        <v/>
      </c>
      <c r="AE8" s="66" t="n"/>
      <c r="AF8" s="78">
        <f>IF(OR(INDEX(Undirviðmið!$G$6:$G$105,ROW()-6)&lt;&gt;"Starfsbundinn",AE8="",$E8="",$D8=""),"",ROUND(AE8/$E8*$D8*KVARDI,2))</f>
        <v/>
      </c>
      <c r="AG8" s="66" t="n"/>
      <c r="AH8" s="78">
        <f>IF(OR(INDEX(Undirviðmið!$G$6:$G$105,ROW()-6)&lt;&gt;"Starfsbundinn",AG8="",$E8="",$D8=""),"",ROUND(AG8/$E8*$D8*KVARDI,2))</f>
        <v/>
      </c>
      <c r="AI8" s="66" t="n"/>
      <c r="AJ8" s="78">
        <f>IF(OR(INDEX(Undirviðmið!$G$6:$G$105,ROW()-6)&lt;&gt;"Starfsbundinn",AI8="",$E8="",$D8=""),"",ROUND(AI8/$E8*$D8*KVARDI,2))</f>
        <v/>
      </c>
      <c r="AK8" s="66" t="n"/>
      <c r="AL8" s="78">
        <f>IF(OR(INDEX(Undirviðmið!$G$6:$G$105,ROW()-6)&lt;&gt;"Starfsbundinn",AK8="",$E8="",$D8=""),"",ROUND(AK8/$E8*$D8*KVARDI,2))</f>
        <v/>
      </c>
      <c r="AM8" s="66" t="n"/>
      <c r="AN8" s="78">
        <f>IF(OR(INDEX(Undirviðmið!$G$6:$G$105,ROW()-6)&lt;&gt;"Starfsbundinn",AM8="",$E8="",$D8=""),"",ROUND(AM8/$E8*$D8*KVARDI,2))</f>
        <v/>
      </c>
      <c r="AO8" s="66" t="n"/>
      <c r="AP8" s="78">
        <f>IF(OR(INDEX(Undirviðmið!$G$6:$G$105,ROW()-6)&lt;&gt;"Starfsbundinn",AO8="",$E8="",$D8=""),"",ROUND(AO8/$E8*$D8*KVARDI,2))</f>
        <v/>
      </c>
      <c r="AQ8" s="66" t="n"/>
      <c r="AR8" s="78">
        <f>IF(OR(INDEX(Undirviðmið!$G$6:$G$105,ROW()-6)&lt;&gt;"Starfsbundinn",AQ8="",$E8="",$D8=""),"",ROUND(AQ8/$E8*$D8*KVARDI,2))</f>
        <v/>
      </c>
      <c r="AS8" s="66" t="n"/>
      <c r="AT8" s="78">
        <f>IF(OR(INDEX(Undirviðmið!$G$6:$G$105,ROW()-6)&lt;&gt;"Starfsbundinn",AS8="",$E8="",$D8=""),"",ROUND(AS8/$E8*$D8*KVARDI,2))</f>
        <v/>
      </c>
      <c r="AU8" s="66" t="n"/>
      <c r="AV8" s="78">
        <f>IF(OR(INDEX(Undirviðmið!$G$6:$G$105,ROW()-6)&lt;&gt;"Starfsbundinn",AU8="",$E8="",$D8=""),"",ROUND(AU8/$E8*$D8*KVARDI,2))</f>
        <v/>
      </c>
      <c r="AW8" s="66" t="n"/>
      <c r="AX8" s="78">
        <f>IF(OR(INDEX(Undirviðmið!$G$6:$G$105,ROW()-6)&lt;&gt;"Starfsbundinn",AW8="",$E8="",$D8=""),"",ROUND(AW8/$E8*$D8*KVARDI,2))</f>
        <v/>
      </c>
      <c r="AY8" s="66" t="n"/>
      <c r="AZ8" s="78">
        <f>IF(OR(INDEX(Undirviðmið!$G$6:$G$105,ROW()-6)&lt;&gt;"Starfsbundinn",AY8="",$E8="",$D8=""),"",ROUND(AY8/$E8*$D8*KVARDI,2))</f>
        <v/>
      </c>
      <c r="BA8" s="66" t="n"/>
      <c r="BB8" s="78">
        <f>IF(OR(INDEX(Undirviðmið!$G$6:$G$105,ROW()-6)&lt;&gt;"Starfsbundinn",BA8="",$E8="",$D8=""),"",ROUND(BA8/$E8*$D8*KVARDI,2))</f>
        <v/>
      </c>
      <c r="BC8" s="66" t="n"/>
      <c r="BD8" s="78">
        <f>IF(OR(INDEX(Undirviðmið!$G$6:$G$105,ROW()-6)&lt;&gt;"Starfsbundinn",BC8="",$E8="",$D8=""),"",ROUND(BC8/$E8*$D8*KVARDI,2))</f>
        <v/>
      </c>
      <c r="BE8" s="66" t="n"/>
      <c r="BF8" s="78">
        <f>IF(OR(INDEX(Undirviðmið!$G$6:$G$105,ROW()-6)&lt;&gt;"Starfsbundinn",BE8="",$E8="",$D8=""),"",ROUND(BE8/$E8*$D8*KVARDI,2))</f>
        <v/>
      </c>
      <c r="BG8" s="66" t="n"/>
      <c r="BH8" s="78">
        <f>IF(OR(INDEX(Undirviðmið!$G$6:$G$105,ROW()-6)&lt;&gt;"Starfsbundinn",BG8="",$E8="",$D8=""),"",ROUND(BG8/$E8*$D8*KVARDI,2))</f>
        <v/>
      </c>
      <c r="BI8" s="66" t="n"/>
      <c r="BJ8" s="78">
        <f>IF(OR(INDEX(Undirviðmið!$G$6:$G$105,ROW()-6)&lt;&gt;"Starfsbundinn",BI8="",$E8="",$D8=""),"",ROUND(BI8/$E8*$D8*KVARDI,2))</f>
        <v/>
      </c>
      <c r="BK8" s="66" t="n"/>
      <c r="BL8" s="78">
        <f>IF(OR(INDEX(Undirviðmið!$G$6:$G$105,ROW()-6)&lt;&gt;"Starfsbundinn",BK8="",$E8="",$D8=""),"",ROUND(BK8/$E8*$D8*KVARDI,2))</f>
        <v/>
      </c>
      <c r="BM8" s="66" t="n"/>
      <c r="BN8" s="78">
        <f>IF(OR(INDEX(Undirviðmið!$G$6:$G$105,ROW()-6)&lt;&gt;"Starfsbundinn",BM8="",$E8="",$D8=""),"",ROUND(BM8/$E8*$D8*KVARDI,2))</f>
        <v/>
      </c>
      <c r="BO8" s="66" t="n"/>
      <c r="BP8" s="78">
        <f>IF(OR(INDEX(Undirviðmið!$G$6:$G$105,ROW()-6)&lt;&gt;"Starfsbundinn",BO8="",$E8="",$D8=""),"",ROUND(BO8/$E8*$D8*KVARDI,2))</f>
        <v/>
      </c>
      <c r="BQ8" s="66" t="n"/>
      <c r="BR8" s="78">
        <f>IF(OR(INDEX(Undirviðmið!$G$6:$G$105,ROW()-6)&lt;&gt;"Starfsbundinn",BQ8="",$E8="",$D8=""),"",ROUND(BQ8/$E8*$D8*KVARDI,2))</f>
        <v/>
      </c>
      <c r="BS8" s="66" t="n"/>
      <c r="BT8" s="78">
        <f>IF(OR(INDEX(Undirviðmið!$G$6:$G$105,ROW()-6)&lt;&gt;"Starfsbundinn",BS8="",$E8="",$D8=""),"",ROUND(BS8/$E8*$D8*KVARDI,2))</f>
        <v/>
      </c>
      <c r="BU8" s="66" t="n"/>
      <c r="BV8" s="78">
        <f>IF(OR(INDEX(Undirviðmið!$G$6:$G$105,ROW()-6)&lt;&gt;"Starfsbundinn",BU8="",$E8="",$D8=""),"",ROUND(BU8/$E8*$D8*KVARDI,2))</f>
        <v/>
      </c>
      <c r="BW8" s="66" t="n"/>
      <c r="BX8" s="78">
        <f>IF(OR(INDEX(Undirviðmið!$G$6:$G$105,ROW()-6)&lt;&gt;"Starfsbundinn",BW8="",$E8="",$D8=""),"",ROUND(BW8/$E8*$D8*KVARDI,2))</f>
        <v/>
      </c>
      <c r="BY8" s="66" t="n"/>
      <c r="BZ8" s="78">
        <f>IF(OR(INDEX(Undirviðmið!$G$6:$G$105,ROW()-6)&lt;&gt;"Starfsbundinn",BY8="",$E8="",$D8=""),"",ROUND(BY8/$E8*$D8*KVARDI,2))</f>
        <v/>
      </c>
      <c r="CA8" s="66" t="n"/>
      <c r="CB8" s="78">
        <f>IF(OR(INDEX(Undirviðmið!$G$6:$G$105,ROW()-6)&lt;&gt;"Starfsbundinn",CA8="",$E8="",$D8=""),"",ROUND(CA8/$E8*$D8*KVARDI,2))</f>
        <v/>
      </c>
      <c r="CC8" s="66" t="n"/>
      <c r="CD8" s="78">
        <f>IF(OR(INDEX(Undirviðmið!$G$6:$G$105,ROW()-6)&lt;&gt;"Starfsbundinn",CC8="",$E8="",$D8=""),"",ROUND(CC8/$E8*$D8*KVARDI,2))</f>
        <v/>
      </c>
      <c r="CE8" s="66" t="n"/>
      <c r="CF8" s="78">
        <f>IF(OR(INDEX(Undirviðmið!$G$6:$G$105,ROW()-6)&lt;&gt;"Starfsbundinn",CE8="",$E8="",$D8=""),"",ROUND(CE8/$E8*$D8*KVARDI,2))</f>
        <v/>
      </c>
      <c r="CG8" s="66" t="n"/>
      <c r="CH8" s="78">
        <f>IF(OR(INDEX(Undirviðmið!$G$6:$G$105,ROW()-6)&lt;&gt;"Starfsbundinn",CG8="",$E8="",$D8=""),"",ROUND(CG8/$E8*$D8*KVARDI,2))</f>
        <v/>
      </c>
      <c r="CI8" s="66" t="n"/>
      <c r="CJ8" s="78">
        <f>IF(OR(INDEX(Undirviðmið!$G$6:$G$105,ROW()-6)&lt;&gt;"Starfsbundinn",CI8="",$E8="",$D8=""),"",ROUND(CI8/$E8*$D8*KVARDI,2))</f>
        <v/>
      </c>
      <c r="CK8" s="66" t="n"/>
      <c r="CL8" s="78">
        <f>IF(OR(INDEX(Undirviðmið!$G$6:$G$105,ROW()-6)&lt;&gt;"Starfsbundinn",CK8="",$E8="",$D8=""),"",ROUND(CK8/$E8*$D8*KVARDI,2))</f>
        <v/>
      </c>
      <c r="CM8" s="66" t="n"/>
      <c r="CN8" s="78">
        <f>IF(OR(INDEX(Undirviðmið!$G$6:$G$105,ROW()-6)&lt;&gt;"Starfsbundinn",CM8="",$E8="",$D8=""),"",ROUND(CM8/$E8*$D8*KVARDI,2))</f>
        <v/>
      </c>
      <c r="CO8" s="66" t="n"/>
      <c r="CP8" s="78">
        <f>IF(OR(INDEX(Undirviðmið!$G$6:$G$105,ROW()-6)&lt;&gt;"Starfsbundinn",CO8="",$E8="",$D8=""),"",ROUND(CO8/$E8*$D8*KVARDI,2))</f>
        <v/>
      </c>
      <c r="CQ8" s="66" t="n"/>
      <c r="CR8" s="78">
        <f>IF(OR(INDEX(Undirviðmið!$G$6:$G$105,ROW()-6)&lt;&gt;"Starfsbundinn",CQ8="",$E8="",$D8=""),"",ROUND(CQ8/$E8*$D8*KVARDI,2))</f>
        <v/>
      </c>
      <c r="CS8" s="66" t="n"/>
      <c r="CT8" s="78">
        <f>IF(OR(INDEX(Undirviðmið!$G$6:$G$105,ROW()-6)&lt;&gt;"Starfsbundinn",CS8="",$E8="",$D8=""),"",ROUND(CS8/$E8*$D8*KVARDI,2))</f>
        <v/>
      </c>
      <c r="CU8" s="66" t="n"/>
      <c r="CV8" s="78">
        <f>IF(OR(INDEX(Undirviðmið!$G$6:$G$105,ROW()-6)&lt;&gt;"Starfsbundinn",CU8="",$E8="",$D8=""),"",ROUND(CU8/$E8*$D8*KVARDI,2))</f>
        <v/>
      </c>
      <c r="CW8" s="66" t="n"/>
      <c r="CX8" s="78">
        <f>IF(OR(INDEX(Undirviðmið!$G$6:$G$105,ROW()-6)&lt;&gt;"Starfsbundinn",CW8="",$E8="",$D8=""),"",ROUND(CW8/$E8*$D8*KVARDI,2))</f>
        <v/>
      </c>
      <c r="CY8" s="66" t="n"/>
      <c r="CZ8" s="78">
        <f>IF(OR(INDEX(Undirviðmið!$G$6:$G$105,ROW()-6)&lt;&gt;"Starfsbundinn",CY8="",$E8="",$D8=""),"",ROUND(CY8/$E8*$D8*KVARDI,2))</f>
        <v/>
      </c>
      <c r="DA8" s="66" t="n"/>
      <c r="DB8" s="78">
        <f>IF(OR(INDEX(Undirviðmið!$G$6:$G$105,ROW()-6)&lt;&gt;"Starfsbundinn",DA8="",$E8="",$D8=""),"",ROUND(DA8/$E8*$D8*KVARDI,2))</f>
        <v/>
      </c>
      <c r="DC8" s="66" t="n"/>
      <c r="DD8" s="78">
        <f>IF(OR(INDEX(Undirviðmið!$G$6:$G$105,ROW()-6)&lt;&gt;"Starfsbundinn",DC8="",$E8="",$D8=""),"",ROUND(DC8/$E8*$D8*KVARDI,2))</f>
        <v/>
      </c>
      <c r="DE8" s="66" t="n"/>
      <c r="DF8" s="78">
        <f>IF(OR(INDEX(Undirviðmið!$G$6:$G$105,ROW()-6)&lt;&gt;"Starfsbundinn",DE8="",$E8="",$D8=""),"",ROUND(DE8/$E8*$D8*KVARDI,2))</f>
        <v/>
      </c>
      <c r="DG8" s="66" t="n"/>
      <c r="DH8" s="78">
        <f>IF(OR(INDEX(Undirviðmið!$G$6:$G$105,ROW()-6)&lt;&gt;"Starfsbundinn",DG8="",$E8="",$D8=""),"",ROUND(DG8/$E8*$D8*KVARDI,2))</f>
        <v/>
      </c>
      <c r="DI8" s="66" t="n"/>
      <c r="DJ8" s="78">
        <f>IF(OR(INDEX(Undirviðmið!$G$6:$G$105,ROW()-6)&lt;&gt;"Starfsbundinn",DI8="",$E8="",$D8=""),"",ROUND(DI8/$E8*$D8*KVARDI,2))</f>
        <v/>
      </c>
      <c r="DK8" s="66" t="n"/>
      <c r="DL8" s="78">
        <f>IF(OR(INDEX(Undirviðmið!$G$6:$G$105,ROW()-6)&lt;&gt;"Starfsbundinn",DK8="",$E8="",$D8=""),"",ROUND(DK8/$E8*$D8*KVARDI,2))</f>
        <v/>
      </c>
      <c r="DM8" s="66" t="n"/>
      <c r="DN8" s="78">
        <f>IF(OR(INDEX(Undirviðmið!$G$6:$G$105,ROW()-6)&lt;&gt;"Starfsbundinn",DM8="",$E8="",$D8=""),"",ROUND(DM8/$E8*$D8*KVARDI,2))</f>
        <v/>
      </c>
      <c r="DO8" s="66" t="n"/>
      <c r="DP8" s="78">
        <f>IF(OR(INDEX(Undirviðmið!$G$6:$G$105,ROW()-6)&lt;&gt;"Starfsbundinn",DO8="",$E8="",$D8=""),"",ROUND(DO8/$E8*$D8*KVARDI,2))</f>
        <v/>
      </c>
      <c r="DQ8" s="66" t="n"/>
      <c r="DR8" s="78">
        <f>IF(OR(INDEX(Undirviðmið!$G$6:$G$105,ROW()-6)&lt;&gt;"Starfsbundinn",DQ8="",$E8="",$D8=""),"",ROUND(DQ8/$E8*$D8*KVARDI,2))</f>
        <v/>
      </c>
      <c r="DS8" s="66" t="n"/>
      <c r="DT8" s="78">
        <f>IF(OR(INDEX(Undirviðmið!$G$6:$G$105,ROW()-6)&lt;&gt;"Starfsbundinn",DS8="",$E8="",$D8=""),"",ROUND(DS8/$E8*$D8*KVARDI,2))</f>
        <v/>
      </c>
      <c r="DU8" s="66" t="n"/>
      <c r="DV8" s="78">
        <f>IF(OR(INDEX(Undirviðmið!$G$6:$G$105,ROW()-6)&lt;&gt;"Starfsbundinn",DU8="",$E8="",$D8=""),"",ROUND(DU8/$E8*$D8*KVARDI,2))</f>
        <v/>
      </c>
      <c r="DW8" s="66" t="n"/>
      <c r="DX8" s="78">
        <f>IF(OR(INDEX(Undirviðmið!$G$6:$G$105,ROW()-6)&lt;&gt;"Starfsbundinn",DW8="",$E8="",$D8=""),"",ROUND(DW8/$E8*$D8*KVARDI,2))</f>
        <v/>
      </c>
      <c r="DY8" s="66" t="n"/>
      <c r="DZ8" s="78">
        <f>IF(OR(INDEX(Undirviðmið!$G$6:$G$105,ROW()-6)&lt;&gt;"Starfsbundinn",DY8="",$E8="",$D8=""),"",ROUND(DY8/$E8*$D8*KVARDI,2))</f>
        <v/>
      </c>
      <c r="EA8" s="66" t="n"/>
      <c r="EB8" s="78">
        <f>IF(OR(INDEX(Undirviðmið!$G$6:$G$105,ROW()-6)&lt;&gt;"Starfsbundinn",EA8="",$E8="",$D8=""),"",ROUND(EA8/$E8*$D8*KVARDI,2))</f>
        <v/>
      </c>
      <c r="EC8" s="66" t="n"/>
      <c r="ED8" s="78">
        <f>IF(OR(INDEX(Undirviðmið!$G$6:$G$105,ROW()-6)&lt;&gt;"Starfsbundinn",EC8="",$E8="",$D8=""),"",ROUND(EC8/$E8*$D8*KVARDI,2))</f>
        <v/>
      </c>
      <c r="EE8" s="66" t="n"/>
      <c r="EF8" s="78">
        <f>IF(OR(INDEX(Undirviðmið!$G$6:$G$105,ROW()-6)&lt;&gt;"Starfsbundinn",EE8="",$E8="",$D8=""),"",ROUND(EE8/$E8*$D8*KVARDI,2))</f>
        <v/>
      </c>
      <c r="EG8" s="66" t="n"/>
      <c r="EH8" s="78">
        <f>IF(OR(INDEX(Undirviðmið!$G$6:$G$105,ROW()-6)&lt;&gt;"Starfsbundinn",EG8="",$E8="",$D8=""),"",ROUND(EG8/$E8*$D8*KVARDI,2))</f>
        <v/>
      </c>
      <c r="EI8" s="66" t="n"/>
      <c r="EJ8" s="78">
        <f>IF(OR(INDEX(Undirviðmið!$G$6:$G$105,ROW()-6)&lt;&gt;"Starfsbundinn",EI8="",$E8="",$D8=""),"",ROUND(EI8/$E8*$D8*KVARDI,2))</f>
        <v/>
      </c>
      <c r="EK8" s="66" t="n"/>
      <c r="EL8" s="78">
        <f>IF(OR(INDEX(Undirviðmið!$G$6:$G$105,ROW()-6)&lt;&gt;"Starfsbundinn",EK8="",$E8="",$D8=""),"",ROUND(EK8/$E8*$D8*KVARDI,2))</f>
        <v/>
      </c>
      <c r="EM8" s="66" t="n"/>
      <c r="EN8" s="78">
        <f>IF(OR(INDEX(Undirviðmið!$G$6:$G$105,ROW()-6)&lt;&gt;"Starfsbundinn",EM8="",$E8="",$D8=""),"",ROUND(EM8/$E8*$D8*KVARDI,2))</f>
        <v/>
      </c>
      <c r="EO8" s="66" t="n"/>
      <c r="EP8" s="78">
        <f>IF(OR(INDEX(Undirviðmið!$G$6:$G$105,ROW()-6)&lt;&gt;"Starfsbundinn",EO8="",$E8="",$D8=""),"",ROUND(EO8/$E8*$D8*KVARDI,2))</f>
        <v/>
      </c>
      <c r="EQ8" s="66" t="n"/>
      <c r="ER8" s="78">
        <f>IF(OR(INDEX(Undirviðmið!$G$6:$G$105,ROW()-6)&lt;&gt;"Starfsbundinn",EQ8="",$E8="",$D8=""),"",ROUND(EQ8/$E8*$D8*KVARDI,2))</f>
        <v/>
      </c>
      <c r="ES8" s="66" t="n"/>
      <c r="ET8" s="78">
        <f>IF(OR(INDEX(Undirviðmið!$G$6:$G$105,ROW()-6)&lt;&gt;"Starfsbundinn",ES8="",$E8="",$D8=""),"",ROUND(ES8/$E8*$D8*KVARDI,2))</f>
        <v/>
      </c>
      <c r="EU8" s="66" t="n"/>
      <c r="EV8" s="78">
        <f>IF(OR(INDEX(Undirviðmið!$G$6:$G$105,ROW()-6)&lt;&gt;"Starfsbundinn",EU8="",$E8="",$D8=""),"",ROUND(EU8/$E8*$D8*KVARDI,2))</f>
        <v/>
      </c>
      <c r="EW8" s="66" t="n"/>
      <c r="EX8" s="78">
        <f>IF(OR(INDEX(Undirviðmið!$G$6:$G$105,ROW()-6)&lt;&gt;"Starfsbundinn",EW8="",$E8="",$D8=""),"",ROUND(EW8/$E8*$D8*KVARDI,2))</f>
        <v/>
      </c>
      <c r="EY8" s="66" t="n"/>
      <c r="EZ8" s="78">
        <f>IF(OR(INDEX(Undirviðmið!$G$6:$G$105,ROW()-6)&lt;&gt;"Starfsbundinn",EY8="",$E8="",$D8=""),"",ROUND(EY8/$E8*$D8*KVARDI,2))</f>
        <v/>
      </c>
      <c r="FA8" s="66" t="n"/>
      <c r="FB8" s="78">
        <f>IF(OR(INDEX(Undirviðmið!$G$6:$G$105,ROW()-6)&lt;&gt;"Starfsbundinn",FA8="",$E8="",$D8=""),"",ROUND(FA8/$E8*$D8*KVARDI,2))</f>
        <v/>
      </c>
      <c r="FC8" s="66" t="n"/>
      <c r="FD8" s="78">
        <f>IF(OR(INDEX(Undirviðmið!$G$6:$G$105,ROW()-6)&lt;&gt;"Starfsbundinn",FC8="",$E8="",$D8=""),"",ROUND(FC8/$E8*$D8*KVARDI,2))</f>
        <v/>
      </c>
      <c r="FE8" s="66" t="n"/>
      <c r="FF8" s="78">
        <f>IF(OR(INDEX(Undirviðmið!$G$6:$G$105,ROW()-6)&lt;&gt;"Starfsbundinn",FE8="",$E8="",$D8=""),"",ROUND(FE8/$E8*$D8*KVARDI,2))</f>
        <v/>
      </c>
      <c r="FG8" s="66" t="n"/>
      <c r="FH8" s="78">
        <f>IF(OR(INDEX(Undirviðmið!$G$6:$G$105,ROW()-6)&lt;&gt;"Starfsbundinn",FG8="",$E8="",$D8=""),"",ROUND(FG8/$E8*$D8*KVARDI,2))</f>
        <v/>
      </c>
      <c r="FI8" s="66" t="n"/>
      <c r="FJ8" s="78">
        <f>IF(OR(INDEX(Undirviðmið!$G$6:$G$105,ROW()-6)&lt;&gt;"Starfsbundinn",FI8="",$E8="",$D8=""),"",ROUND(FI8/$E8*$D8*KVARDI,2))</f>
        <v/>
      </c>
      <c r="FK8" s="66" t="n"/>
      <c r="FL8" s="78">
        <f>IF(OR(INDEX(Undirviðmið!$G$6:$G$105,ROW()-6)&lt;&gt;"Starfsbundinn",FK8="",$E8="",$D8=""),"",ROUND(FK8/$E8*$D8*KVARDI,2))</f>
        <v/>
      </c>
      <c r="FM8" s="66" t="n"/>
      <c r="FN8" s="78">
        <f>IF(OR(INDEX(Undirviðmið!$G$6:$G$105,ROW()-6)&lt;&gt;"Starfsbundinn",FM8="",$E8="",$D8=""),"",ROUND(FM8/$E8*$D8*KVARDI,2))</f>
        <v/>
      </c>
      <c r="FO8" s="66" t="n"/>
      <c r="FP8" s="78">
        <f>IF(OR(INDEX(Undirviðmið!$G$6:$G$105,ROW()-6)&lt;&gt;"Starfsbundinn",FO8="",$E8="",$D8=""),"",ROUND(FO8/$E8*$D8*KVARDI,2))</f>
        <v/>
      </c>
      <c r="FQ8" s="66" t="n"/>
      <c r="FR8" s="78">
        <f>IF(OR(INDEX(Undirviðmið!$G$6:$G$105,ROW()-6)&lt;&gt;"Starfsbundinn",FQ8="",$E8="",$D8=""),"",ROUND(FQ8/$E8*$D8*KVARDI,2))</f>
        <v/>
      </c>
      <c r="FS8" s="66" t="n"/>
      <c r="FT8" s="78">
        <f>IF(OR(INDEX(Undirviðmið!$G$6:$G$105,ROW()-6)&lt;&gt;"Starfsbundinn",FS8="",$E8="",$D8=""),"",ROUND(FS8/$E8*$D8*KVARDI,2))</f>
        <v/>
      </c>
      <c r="FU8" s="66" t="n"/>
      <c r="FV8" s="78">
        <f>IF(OR(INDEX(Undirviðmið!$G$6:$G$105,ROW()-6)&lt;&gt;"Starfsbundinn",FU8="",$E8="",$D8=""),"",ROUND(FU8/$E8*$D8*KVARDI,2))</f>
        <v/>
      </c>
      <c r="FW8" s="66" t="n"/>
      <c r="FX8" s="78">
        <f>IF(OR(INDEX(Undirviðmið!$G$6:$G$105,ROW()-6)&lt;&gt;"Starfsbundinn",FW8="",$E8="",$D8=""),"",ROUND(FW8/$E8*$D8*KVARDI,2))</f>
        <v/>
      </c>
      <c r="FY8" s="66" t="n"/>
      <c r="FZ8" s="78">
        <f>IF(OR(INDEX(Undirviðmið!$G$6:$G$105,ROW()-6)&lt;&gt;"Starfsbundinn",FY8="",$E8="",$D8=""),"",ROUND(FY8/$E8*$D8*KVARDI,2))</f>
        <v/>
      </c>
      <c r="GA8" s="66" t="n"/>
      <c r="GB8" s="78">
        <f>IF(OR(INDEX(Undirviðmið!$G$6:$G$105,ROW()-6)&lt;&gt;"Starfsbundinn",GA8="",$E8="",$D8=""),"",ROUND(GA8/$E8*$D8*KVARDI,2))</f>
        <v/>
      </c>
      <c r="GC8" s="66" t="n"/>
      <c r="GD8" s="78">
        <f>IF(OR(INDEX(Undirviðmið!$G$6:$G$105,ROW()-6)&lt;&gt;"Starfsbundinn",GC8="",$E8="",$D8=""),"",ROUND(GC8/$E8*$D8*KVARDI,2))</f>
        <v/>
      </c>
      <c r="GE8" s="66" t="n"/>
      <c r="GF8" s="78">
        <f>IF(OR(INDEX(Undirviðmið!$G$6:$G$105,ROW()-6)&lt;&gt;"Starfsbundinn",GE8="",$E8="",$D8=""),"",ROUND(GE8/$E8*$D8*KVARDI,2))</f>
        <v/>
      </c>
      <c r="GG8" s="66" t="n"/>
      <c r="GH8" s="78">
        <f>IF(OR(INDEX(Undirviðmið!$G$6:$G$105,ROW()-6)&lt;&gt;"Starfsbundinn",GG8="",$E8="",$D8=""),"",ROUND(GG8/$E8*$D8*KVARDI,2))</f>
        <v/>
      </c>
      <c r="GI8" s="66" t="n"/>
      <c r="GJ8" s="78">
        <f>IF(OR(INDEX(Undirviðmið!$G$6:$G$105,ROW()-6)&lt;&gt;"Starfsbundinn",GI8="",$E8="",$D8=""),"",ROUND(GI8/$E8*$D8*KVARDI,2))</f>
        <v/>
      </c>
      <c r="GK8" s="66" t="n"/>
      <c r="GL8" s="78">
        <f>IF(OR(INDEX(Undirviðmið!$G$6:$G$105,ROW()-6)&lt;&gt;"Starfsbundinn",GK8="",$E8="",$D8=""),"",ROUND(GK8/$E8*$D8*KVARDI,2))</f>
        <v/>
      </c>
      <c r="GM8" s="66" t="n"/>
      <c r="GN8" s="78">
        <f>IF(OR(INDEX(Undirviðmið!$G$6:$G$105,ROW()-6)&lt;&gt;"Starfsbundinn",GM8="",$E8="",$D8=""),"",ROUND(GM8/$E8*$D8*KVARDI,2))</f>
        <v/>
      </c>
      <c r="GO8" s="66" t="n"/>
      <c r="GP8" s="78">
        <f>IF(OR(INDEX(Undirviðmið!$G$6:$G$105,ROW()-6)&lt;&gt;"Starfsbundinn",GO8="",$E8="",$D8=""),"",ROUND(GO8/$E8*$D8*KVARDI,2))</f>
        <v/>
      </c>
      <c r="GQ8" s="66" t="n"/>
      <c r="GR8" s="78">
        <f>IF(OR(INDEX(Undirviðmið!$G$6:$G$105,ROW()-6)&lt;&gt;"Starfsbundinn",GQ8="",$E8="",$D8=""),"",ROUND(GQ8/$E8*$D8*KVARDI,2))</f>
        <v/>
      </c>
      <c r="GS8" s="66" t="n"/>
      <c r="GT8" s="78">
        <f>IF(OR(INDEX(Undirviðmið!$G$6:$G$105,ROW()-6)&lt;&gt;"Starfsbundinn",GS8="",$E8="",$D8=""),"",ROUND(GS8/$E8*$D8*KVARDI,2))</f>
        <v/>
      </c>
      <c r="GU8" s="66" t="n"/>
      <c r="GV8" s="78">
        <f>IF(OR(INDEX(Undirviðmið!$G$6:$G$105,ROW()-6)&lt;&gt;"Starfsbundinn",GU8="",$E8="",$D8=""),"",ROUND(GU8/$E8*$D8*KVARDI,2))</f>
        <v/>
      </c>
      <c r="GW8" s="66" t="n"/>
      <c r="GX8" s="78">
        <f>IF(OR(INDEX(Undirviðmið!$G$6:$G$105,ROW()-6)&lt;&gt;"Starfsbundinn",GW8="",$E8="",$D8=""),"",ROUND(GW8/$E8*$D8*KVARDI,2))</f>
        <v/>
      </c>
    </row>
    <row r="9" ht="15" customHeight="1" s="47">
      <c r="B9" s="67">
        <f>IF(INDEX(Undirviðmið!$G$6:$G$105,ROW()-6)="Starfsbundinn",INDEX(Undirviðmið!$B$6:$B$105,ROW()-6),"")</f>
        <v/>
      </c>
      <c r="C9" s="67">
        <f>IF(INDEX(Undirviðmið!$G$6:$G$105,ROW()-6)="Starfsbundinn",INDEX(Undirviðmið!$C$6:$C$105,ROW()-6),"")</f>
        <v/>
      </c>
      <c r="D9" s="77">
        <f>IF(INDEX(Undirviðmið!$G$6:$G$105,ROW()-6)="Starfsbundinn",INDEX(Undirviðmið!$E$6:$E$105,ROW()-6),"")</f>
        <v/>
      </c>
      <c r="E9" s="77">
        <f>IF(INDEX(Undirviðmið!$G$6:$G$105,ROW()-6)="Starfsbundinn",INDEX(Undirviðmið!$F$6:$F$105,ROW()-6),"")</f>
        <v/>
      </c>
      <c r="F9" s="77">
        <f>IF(INDEX(Undirviðmið!$G$6:$G$105,ROW()-6)="Starfsbundinn",IFERROR(INDEX(Undirviðmið!$E$6:$E$105,ROW()-6)*KVARDI,""),"")</f>
        <v/>
      </c>
      <c r="G9" s="66" t="n"/>
      <c r="H9" s="78">
        <f>IF(OR(INDEX(Undirviðmið!$G$6:$G$105,ROW()-6)&lt;&gt;"Starfsbundinn",G9="",$E9="",$D9=""),"",ROUND(G9/$E9*$D9*KVARDI,2))</f>
        <v/>
      </c>
      <c r="I9" s="66" t="n"/>
      <c r="J9" s="78">
        <f>IF(OR(INDEX(Undirviðmið!$G$6:$G$105,ROW()-6)&lt;&gt;"Starfsbundinn",I9="",$E9="",$D9=""),"",ROUND(I9/$E9*$D9*KVARDI,2))</f>
        <v/>
      </c>
      <c r="K9" s="66" t="n"/>
      <c r="L9" s="78">
        <f>IF(OR(INDEX(Undirviðmið!$G$6:$G$105,ROW()-6)&lt;&gt;"Starfsbundinn",K9="",$E9="",$D9=""),"",ROUND(K9/$E9*$D9*KVARDI,2))</f>
        <v/>
      </c>
      <c r="M9" s="66" t="n"/>
      <c r="N9" s="78">
        <f>IF(OR(INDEX(Undirviðmið!$G$6:$G$105,ROW()-6)&lt;&gt;"Starfsbundinn",M9="",$E9="",$D9=""),"",ROUND(M9/$E9*$D9*KVARDI,2))</f>
        <v/>
      </c>
      <c r="O9" s="66" t="n"/>
      <c r="P9" s="78">
        <f>IF(OR(INDEX(Undirviðmið!$G$6:$G$105,ROW()-6)&lt;&gt;"Starfsbundinn",O9="",$E9="",$D9=""),"",ROUND(O9/$E9*$D9*KVARDI,2))</f>
        <v/>
      </c>
      <c r="Q9" s="66" t="n"/>
      <c r="R9" s="78">
        <f>IF(OR(INDEX(Undirviðmið!$G$6:$G$105,ROW()-6)&lt;&gt;"Starfsbundinn",Q9="",$E9="",$D9=""),"",ROUND(Q9/$E9*$D9*KVARDI,2))</f>
        <v/>
      </c>
      <c r="S9" s="66" t="n"/>
      <c r="T9" s="78">
        <f>IF(OR(INDEX(Undirviðmið!$G$6:$G$105,ROW()-6)&lt;&gt;"Starfsbundinn",S9="",$E9="",$D9=""),"",ROUND(S9/$E9*$D9*KVARDI,2))</f>
        <v/>
      </c>
      <c r="U9" s="66" t="n"/>
      <c r="V9" s="78">
        <f>IF(OR(INDEX(Undirviðmið!$G$6:$G$105,ROW()-6)&lt;&gt;"Starfsbundinn",U9="",$E9="",$D9=""),"",ROUND(U9/$E9*$D9*KVARDI,2))</f>
        <v/>
      </c>
      <c r="W9" s="66" t="n"/>
      <c r="X9" s="78">
        <f>IF(OR(INDEX(Undirviðmið!$G$6:$G$105,ROW()-6)&lt;&gt;"Starfsbundinn",W9="",$E9="",$D9=""),"",ROUND(W9/$E9*$D9*KVARDI,2))</f>
        <v/>
      </c>
      <c r="Y9" s="66" t="n"/>
      <c r="Z9" s="78">
        <f>IF(OR(INDEX(Undirviðmið!$G$6:$G$105,ROW()-6)&lt;&gt;"Starfsbundinn",Y9="",$E9="",$D9=""),"",ROUND(Y9/$E9*$D9*KVARDI,2))</f>
        <v/>
      </c>
      <c r="AA9" s="66" t="n"/>
      <c r="AB9" s="78">
        <f>IF(OR(INDEX(Undirviðmið!$G$6:$G$105,ROW()-6)&lt;&gt;"Starfsbundinn",AA9="",$E9="",$D9=""),"",ROUND(AA9/$E9*$D9*KVARDI,2))</f>
        <v/>
      </c>
      <c r="AC9" s="66" t="n"/>
      <c r="AD9" s="78">
        <f>IF(OR(INDEX(Undirviðmið!$G$6:$G$105,ROW()-6)&lt;&gt;"Starfsbundinn",AC9="",$E9="",$D9=""),"",ROUND(AC9/$E9*$D9*KVARDI,2))</f>
        <v/>
      </c>
      <c r="AE9" s="66" t="n"/>
      <c r="AF9" s="78">
        <f>IF(OR(INDEX(Undirviðmið!$G$6:$G$105,ROW()-6)&lt;&gt;"Starfsbundinn",AE9="",$E9="",$D9=""),"",ROUND(AE9/$E9*$D9*KVARDI,2))</f>
        <v/>
      </c>
      <c r="AG9" s="66" t="n"/>
      <c r="AH9" s="78">
        <f>IF(OR(INDEX(Undirviðmið!$G$6:$G$105,ROW()-6)&lt;&gt;"Starfsbundinn",AG9="",$E9="",$D9=""),"",ROUND(AG9/$E9*$D9*KVARDI,2))</f>
        <v/>
      </c>
      <c r="AI9" s="66" t="n"/>
      <c r="AJ9" s="78">
        <f>IF(OR(INDEX(Undirviðmið!$G$6:$G$105,ROW()-6)&lt;&gt;"Starfsbundinn",AI9="",$E9="",$D9=""),"",ROUND(AI9/$E9*$D9*KVARDI,2))</f>
        <v/>
      </c>
      <c r="AK9" s="66" t="n"/>
      <c r="AL9" s="78">
        <f>IF(OR(INDEX(Undirviðmið!$G$6:$G$105,ROW()-6)&lt;&gt;"Starfsbundinn",AK9="",$E9="",$D9=""),"",ROUND(AK9/$E9*$D9*KVARDI,2))</f>
        <v/>
      </c>
      <c r="AM9" s="66" t="n"/>
      <c r="AN9" s="78">
        <f>IF(OR(INDEX(Undirviðmið!$G$6:$G$105,ROW()-6)&lt;&gt;"Starfsbundinn",AM9="",$E9="",$D9=""),"",ROUND(AM9/$E9*$D9*KVARDI,2))</f>
        <v/>
      </c>
      <c r="AO9" s="66" t="n"/>
      <c r="AP9" s="78">
        <f>IF(OR(INDEX(Undirviðmið!$G$6:$G$105,ROW()-6)&lt;&gt;"Starfsbundinn",AO9="",$E9="",$D9=""),"",ROUND(AO9/$E9*$D9*KVARDI,2))</f>
        <v/>
      </c>
      <c r="AQ9" s="66" t="n"/>
      <c r="AR9" s="78">
        <f>IF(OR(INDEX(Undirviðmið!$G$6:$G$105,ROW()-6)&lt;&gt;"Starfsbundinn",AQ9="",$E9="",$D9=""),"",ROUND(AQ9/$E9*$D9*KVARDI,2))</f>
        <v/>
      </c>
      <c r="AS9" s="66" t="n"/>
      <c r="AT9" s="78">
        <f>IF(OR(INDEX(Undirviðmið!$G$6:$G$105,ROW()-6)&lt;&gt;"Starfsbundinn",AS9="",$E9="",$D9=""),"",ROUND(AS9/$E9*$D9*KVARDI,2))</f>
        <v/>
      </c>
      <c r="AU9" s="66" t="n"/>
      <c r="AV9" s="78">
        <f>IF(OR(INDEX(Undirviðmið!$G$6:$G$105,ROW()-6)&lt;&gt;"Starfsbundinn",AU9="",$E9="",$D9=""),"",ROUND(AU9/$E9*$D9*KVARDI,2))</f>
        <v/>
      </c>
      <c r="AW9" s="66" t="n"/>
      <c r="AX9" s="78">
        <f>IF(OR(INDEX(Undirviðmið!$G$6:$G$105,ROW()-6)&lt;&gt;"Starfsbundinn",AW9="",$E9="",$D9=""),"",ROUND(AW9/$E9*$D9*KVARDI,2))</f>
        <v/>
      </c>
      <c r="AY9" s="66" t="n"/>
      <c r="AZ9" s="78">
        <f>IF(OR(INDEX(Undirviðmið!$G$6:$G$105,ROW()-6)&lt;&gt;"Starfsbundinn",AY9="",$E9="",$D9=""),"",ROUND(AY9/$E9*$D9*KVARDI,2))</f>
        <v/>
      </c>
      <c r="BA9" s="66" t="n"/>
      <c r="BB9" s="78">
        <f>IF(OR(INDEX(Undirviðmið!$G$6:$G$105,ROW()-6)&lt;&gt;"Starfsbundinn",BA9="",$E9="",$D9=""),"",ROUND(BA9/$E9*$D9*KVARDI,2))</f>
        <v/>
      </c>
      <c r="BC9" s="66" t="n"/>
      <c r="BD9" s="78">
        <f>IF(OR(INDEX(Undirviðmið!$G$6:$G$105,ROW()-6)&lt;&gt;"Starfsbundinn",BC9="",$E9="",$D9=""),"",ROUND(BC9/$E9*$D9*KVARDI,2))</f>
        <v/>
      </c>
      <c r="BE9" s="66" t="n"/>
      <c r="BF9" s="78">
        <f>IF(OR(INDEX(Undirviðmið!$G$6:$G$105,ROW()-6)&lt;&gt;"Starfsbundinn",BE9="",$E9="",$D9=""),"",ROUND(BE9/$E9*$D9*KVARDI,2))</f>
        <v/>
      </c>
      <c r="BG9" s="66" t="n"/>
      <c r="BH9" s="78">
        <f>IF(OR(INDEX(Undirviðmið!$G$6:$G$105,ROW()-6)&lt;&gt;"Starfsbundinn",BG9="",$E9="",$D9=""),"",ROUND(BG9/$E9*$D9*KVARDI,2))</f>
        <v/>
      </c>
      <c r="BI9" s="66" t="n"/>
      <c r="BJ9" s="78">
        <f>IF(OR(INDEX(Undirviðmið!$G$6:$G$105,ROW()-6)&lt;&gt;"Starfsbundinn",BI9="",$E9="",$D9=""),"",ROUND(BI9/$E9*$D9*KVARDI,2))</f>
        <v/>
      </c>
      <c r="BK9" s="66" t="n"/>
      <c r="BL9" s="78">
        <f>IF(OR(INDEX(Undirviðmið!$G$6:$G$105,ROW()-6)&lt;&gt;"Starfsbundinn",BK9="",$E9="",$D9=""),"",ROUND(BK9/$E9*$D9*KVARDI,2))</f>
        <v/>
      </c>
      <c r="BM9" s="66" t="n"/>
      <c r="BN9" s="78">
        <f>IF(OR(INDEX(Undirviðmið!$G$6:$G$105,ROW()-6)&lt;&gt;"Starfsbundinn",BM9="",$E9="",$D9=""),"",ROUND(BM9/$E9*$D9*KVARDI,2))</f>
        <v/>
      </c>
      <c r="BO9" s="66" t="n"/>
      <c r="BP9" s="78">
        <f>IF(OR(INDEX(Undirviðmið!$G$6:$G$105,ROW()-6)&lt;&gt;"Starfsbundinn",BO9="",$E9="",$D9=""),"",ROUND(BO9/$E9*$D9*KVARDI,2))</f>
        <v/>
      </c>
      <c r="BQ9" s="66" t="n"/>
      <c r="BR9" s="78">
        <f>IF(OR(INDEX(Undirviðmið!$G$6:$G$105,ROW()-6)&lt;&gt;"Starfsbundinn",BQ9="",$E9="",$D9=""),"",ROUND(BQ9/$E9*$D9*KVARDI,2))</f>
        <v/>
      </c>
      <c r="BS9" s="66" t="n"/>
      <c r="BT9" s="78">
        <f>IF(OR(INDEX(Undirviðmið!$G$6:$G$105,ROW()-6)&lt;&gt;"Starfsbundinn",BS9="",$E9="",$D9=""),"",ROUND(BS9/$E9*$D9*KVARDI,2))</f>
        <v/>
      </c>
      <c r="BU9" s="66" t="n"/>
      <c r="BV9" s="78">
        <f>IF(OR(INDEX(Undirviðmið!$G$6:$G$105,ROW()-6)&lt;&gt;"Starfsbundinn",BU9="",$E9="",$D9=""),"",ROUND(BU9/$E9*$D9*KVARDI,2))</f>
        <v/>
      </c>
      <c r="BW9" s="66" t="n"/>
      <c r="BX9" s="78">
        <f>IF(OR(INDEX(Undirviðmið!$G$6:$G$105,ROW()-6)&lt;&gt;"Starfsbundinn",BW9="",$E9="",$D9=""),"",ROUND(BW9/$E9*$D9*KVARDI,2))</f>
        <v/>
      </c>
      <c r="BY9" s="66" t="n"/>
      <c r="BZ9" s="78">
        <f>IF(OR(INDEX(Undirviðmið!$G$6:$G$105,ROW()-6)&lt;&gt;"Starfsbundinn",BY9="",$E9="",$D9=""),"",ROUND(BY9/$E9*$D9*KVARDI,2))</f>
        <v/>
      </c>
      <c r="CA9" s="66" t="n"/>
      <c r="CB9" s="78">
        <f>IF(OR(INDEX(Undirviðmið!$G$6:$G$105,ROW()-6)&lt;&gt;"Starfsbundinn",CA9="",$E9="",$D9=""),"",ROUND(CA9/$E9*$D9*KVARDI,2))</f>
        <v/>
      </c>
      <c r="CC9" s="66" t="n"/>
      <c r="CD9" s="78">
        <f>IF(OR(INDEX(Undirviðmið!$G$6:$G$105,ROW()-6)&lt;&gt;"Starfsbundinn",CC9="",$E9="",$D9=""),"",ROUND(CC9/$E9*$D9*KVARDI,2))</f>
        <v/>
      </c>
      <c r="CE9" s="66" t="n"/>
      <c r="CF9" s="78">
        <f>IF(OR(INDEX(Undirviðmið!$G$6:$G$105,ROW()-6)&lt;&gt;"Starfsbundinn",CE9="",$E9="",$D9=""),"",ROUND(CE9/$E9*$D9*KVARDI,2))</f>
        <v/>
      </c>
      <c r="CG9" s="66" t="n"/>
      <c r="CH9" s="78">
        <f>IF(OR(INDEX(Undirviðmið!$G$6:$G$105,ROW()-6)&lt;&gt;"Starfsbundinn",CG9="",$E9="",$D9=""),"",ROUND(CG9/$E9*$D9*KVARDI,2))</f>
        <v/>
      </c>
      <c r="CI9" s="66" t="n"/>
      <c r="CJ9" s="78">
        <f>IF(OR(INDEX(Undirviðmið!$G$6:$G$105,ROW()-6)&lt;&gt;"Starfsbundinn",CI9="",$E9="",$D9=""),"",ROUND(CI9/$E9*$D9*KVARDI,2))</f>
        <v/>
      </c>
      <c r="CK9" s="66" t="n"/>
      <c r="CL9" s="78">
        <f>IF(OR(INDEX(Undirviðmið!$G$6:$G$105,ROW()-6)&lt;&gt;"Starfsbundinn",CK9="",$E9="",$D9=""),"",ROUND(CK9/$E9*$D9*KVARDI,2))</f>
        <v/>
      </c>
      <c r="CM9" s="66" t="n"/>
      <c r="CN9" s="78">
        <f>IF(OR(INDEX(Undirviðmið!$G$6:$G$105,ROW()-6)&lt;&gt;"Starfsbundinn",CM9="",$E9="",$D9=""),"",ROUND(CM9/$E9*$D9*KVARDI,2))</f>
        <v/>
      </c>
      <c r="CO9" s="66" t="n"/>
      <c r="CP9" s="78">
        <f>IF(OR(INDEX(Undirviðmið!$G$6:$G$105,ROW()-6)&lt;&gt;"Starfsbundinn",CO9="",$E9="",$D9=""),"",ROUND(CO9/$E9*$D9*KVARDI,2))</f>
        <v/>
      </c>
      <c r="CQ9" s="66" t="n"/>
      <c r="CR9" s="78">
        <f>IF(OR(INDEX(Undirviðmið!$G$6:$G$105,ROW()-6)&lt;&gt;"Starfsbundinn",CQ9="",$E9="",$D9=""),"",ROUND(CQ9/$E9*$D9*KVARDI,2))</f>
        <v/>
      </c>
      <c r="CS9" s="66" t="n"/>
      <c r="CT9" s="78">
        <f>IF(OR(INDEX(Undirviðmið!$G$6:$G$105,ROW()-6)&lt;&gt;"Starfsbundinn",CS9="",$E9="",$D9=""),"",ROUND(CS9/$E9*$D9*KVARDI,2))</f>
        <v/>
      </c>
      <c r="CU9" s="66" t="n"/>
      <c r="CV9" s="78">
        <f>IF(OR(INDEX(Undirviðmið!$G$6:$G$105,ROW()-6)&lt;&gt;"Starfsbundinn",CU9="",$E9="",$D9=""),"",ROUND(CU9/$E9*$D9*KVARDI,2))</f>
        <v/>
      </c>
      <c r="CW9" s="66" t="n"/>
      <c r="CX9" s="78">
        <f>IF(OR(INDEX(Undirviðmið!$G$6:$G$105,ROW()-6)&lt;&gt;"Starfsbundinn",CW9="",$E9="",$D9=""),"",ROUND(CW9/$E9*$D9*KVARDI,2))</f>
        <v/>
      </c>
      <c r="CY9" s="66" t="n"/>
      <c r="CZ9" s="78">
        <f>IF(OR(INDEX(Undirviðmið!$G$6:$G$105,ROW()-6)&lt;&gt;"Starfsbundinn",CY9="",$E9="",$D9=""),"",ROUND(CY9/$E9*$D9*KVARDI,2))</f>
        <v/>
      </c>
      <c r="DA9" s="66" t="n"/>
      <c r="DB9" s="78">
        <f>IF(OR(INDEX(Undirviðmið!$G$6:$G$105,ROW()-6)&lt;&gt;"Starfsbundinn",DA9="",$E9="",$D9=""),"",ROUND(DA9/$E9*$D9*KVARDI,2))</f>
        <v/>
      </c>
      <c r="DC9" s="66" t="n"/>
      <c r="DD9" s="78">
        <f>IF(OR(INDEX(Undirviðmið!$G$6:$G$105,ROW()-6)&lt;&gt;"Starfsbundinn",DC9="",$E9="",$D9=""),"",ROUND(DC9/$E9*$D9*KVARDI,2))</f>
        <v/>
      </c>
      <c r="DE9" s="66" t="n"/>
      <c r="DF9" s="78">
        <f>IF(OR(INDEX(Undirviðmið!$G$6:$G$105,ROW()-6)&lt;&gt;"Starfsbundinn",DE9="",$E9="",$D9=""),"",ROUND(DE9/$E9*$D9*KVARDI,2))</f>
        <v/>
      </c>
      <c r="DG9" s="66" t="n"/>
      <c r="DH9" s="78">
        <f>IF(OR(INDEX(Undirviðmið!$G$6:$G$105,ROW()-6)&lt;&gt;"Starfsbundinn",DG9="",$E9="",$D9=""),"",ROUND(DG9/$E9*$D9*KVARDI,2))</f>
        <v/>
      </c>
      <c r="DI9" s="66" t="n"/>
      <c r="DJ9" s="78">
        <f>IF(OR(INDEX(Undirviðmið!$G$6:$G$105,ROW()-6)&lt;&gt;"Starfsbundinn",DI9="",$E9="",$D9=""),"",ROUND(DI9/$E9*$D9*KVARDI,2))</f>
        <v/>
      </c>
      <c r="DK9" s="66" t="n"/>
      <c r="DL9" s="78">
        <f>IF(OR(INDEX(Undirviðmið!$G$6:$G$105,ROW()-6)&lt;&gt;"Starfsbundinn",DK9="",$E9="",$D9=""),"",ROUND(DK9/$E9*$D9*KVARDI,2))</f>
        <v/>
      </c>
      <c r="DM9" s="66" t="n"/>
      <c r="DN9" s="78">
        <f>IF(OR(INDEX(Undirviðmið!$G$6:$G$105,ROW()-6)&lt;&gt;"Starfsbundinn",DM9="",$E9="",$D9=""),"",ROUND(DM9/$E9*$D9*KVARDI,2))</f>
        <v/>
      </c>
      <c r="DO9" s="66" t="n"/>
      <c r="DP9" s="78">
        <f>IF(OR(INDEX(Undirviðmið!$G$6:$G$105,ROW()-6)&lt;&gt;"Starfsbundinn",DO9="",$E9="",$D9=""),"",ROUND(DO9/$E9*$D9*KVARDI,2))</f>
        <v/>
      </c>
      <c r="DQ9" s="66" t="n"/>
      <c r="DR9" s="78">
        <f>IF(OR(INDEX(Undirviðmið!$G$6:$G$105,ROW()-6)&lt;&gt;"Starfsbundinn",DQ9="",$E9="",$D9=""),"",ROUND(DQ9/$E9*$D9*KVARDI,2))</f>
        <v/>
      </c>
      <c r="DS9" s="66" t="n"/>
      <c r="DT9" s="78">
        <f>IF(OR(INDEX(Undirviðmið!$G$6:$G$105,ROW()-6)&lt;&gt;"Starfsbundinn",DS9="",$E9="",$D9=""),"",ROUND(DS9/$E9*$D9*KVARDI,2))</f>
        <v/>
      </c>
      <c r="DU9" s="66" t="n"/>
      <c r="DV9" s="78">
        <f>IF(OR(INDEX(Undirviðmið!$G$6:$G$105,ROW()-6)&lt;&gt;"Starfsbundinn",DU9="",$E9="",$D9=""),"",ROUND(DU9/$E9*$D9*KVARDI,2))</f>
        <v/>
      </c>
      <c r="DW9" s="66" t="n"/>
      <c r="DX9" s="78">
        <f>IF(OR(INDEX(Undirviðmið!$G$6:$G$105,ROW()-6)&lt;&gt;"Starfsbundinn",DW9="",$E9="",$D9=""),"",ROUND(DW9/$E9*$D9*KVARDI,2))</f>
        <v/>
      </c>
      <c r="DY9" s="66" t="n"/>
      <c r="DZ9" s="78">
        <f>IF(OR(INDEX(Undirviðmið!$G$6:$G$105,ROW()-6)&lt;&gt;"Starfsbundinn",DY9="",$E9="",$D9=""),"",ROUND(DY9/$E9*$D9*KVARDI,2))</f>
        <v/>
      </c>
      <c r="EA9" s="66" t="n"/>
      <c r="EB9" s="78">
        <f>IF(OR(INDEX(Undirviðmið!$G$6:$G$105,ROW()-6)&lt;&gt;"Starfsbundinn",EA9="",$E9="",$D9=""),"",ROUND(EA9/$E9*$D9*KVARDI,2))</f>
        <v/>
      </c>
      <c r="EC9" s="66" t="n"/>
      <c r="ED9" s="78">
        <f>IF(OR(INDEX(Undirviðmið!$G$6:$G$105,ROW()-6)&lt;&gt;"Starfsbundinn",EC9="",$E9="",$D9=""),"",ROUND(EC9/$E9*$D9*KVARDI,2))</f>
        <v/>
      </c>
      <c r="EE9" s="66" t="n"/>
      <c r="EF9" s="78">
        <f>IF(OR(INDEX(Undirviðmið!$G$6:$G$105,ROW()-6)&lt;&gt;"Starfsbundinn",EE9="",$E9="",$D9=""),"",ROUND(EE9/$E9*$D9*KVARDI,2))</f>
        <v/>
      </c>
      <c r="EG9" s="66" t="n"/>
      <c r="EH9" s="78">
        <f>IF(OR(INDEX(Undirviðmið!$G$6:$G$105,ROW()-6)&lt;&gt;"Starfsbundinn",EG9="",$E9="",$D9=""),"",ROUND(EG9/$E9*$D9*KVARDI,2))</f>
        <v/>
      </c>
      <c r="EI9" s="66" t="n"/>
      <c r="EJ9" s="78">
        <f>IF(OR(INDEX(Undirviðmið!$G$6:$G$105,ROW()-6)&lt;&gt;"Starfsbundinn",EI9="",$E9="",$D9=""),"",ROUND(EI9/$E9*$D9*KVARDI,2))</f>
        <v/>
      </c>
      <c r="EK9" s="66" t="n"/>
      <c r="EL9" s="78">
        <f>IF(OR(INDEX(Undirviðmið!$G$6:$G$105,ROW()-6)&lt;&gt;"Starfsbundinn",EK9="",$E9="",$D9=""),"",ROUND(EK9/$E9*$D9*KVARDI,2))</f>
        <v/>
      </c>
      <c r="EM9" s="66" t="n"/>
      <c r="EN9" s="78">
        <f>IF(OR(INDEX(Undirviðmið!$G$6:$G$105,ROW()-6)&lt;&gt;"Starfsbundinn",EM9="",$E9="",$D9=""),"",ROUND(EM9/$E9*$D9*KVARDI,2))</f>
        <v/>
      </c>
      <c r="EO9" s="66" t="n"/>
      <c r="EP9" s="78">
        <f>IF(OR(INDEX(Undirviðmið!$G$6:$G$105,ROW()-6)&lt;&gt;"Starfsbundinn",EO9="",$E9="",$D9=""),"",ROUND(EO9/$E9*$D9*KVARDI,2))</f>
        <v/>
      </c>
      <c r="EQ9" s="66" t="n"/>
      <c r="ER9" s="78">
        <f>IF(OR(INDEX(Undirviðmið!$G$6:$G$105,ROW()-6)&lt;&gt;"Starfsbundinn",EQ9="",$E9="",$D9=""),"",ROUND(EQ9/$E9*$D9*KVARDI,2))</f>
        <v/>
      </c>
      <c r="ES9" s="66" t="n"/>
      <c r="ET9" s="78">
        <f>IF(OR(INDEX(Undirviðmið!$G$6:$G$105,ROW()-6)&lt;&gt;"Starfsbundinn",ES9="",$E9="",$D9=""),"",ROUND(ES9/$E9*$D9*KVARDI,2))</f>
        <v/>
      </c>
      <c r="EU9" s="66" t="n"/>
      <c r="EV9" s="78">
        <f>IF(OR(INDEX(Undirviðmið!$G$6:$G$105,ROW()-6)&lt;&gt;"Starfsbundinn",EU9="",$E9="",$D9=""),"",ROUND(EU9/$E9*$D9*KVARDI,2))</f>
        <v/>
      </c>
      <c r="EW9" s="66" t="n"/>
      <c r="EX9" s="78">
        <f>IF(OR(INDEX(Undirviðmið!$G$6:$G$105,ROW()-6)&lt;&gt;"Starfsbundinn",EW9="",$E9="",$D9=""),"",ROUND(EW9/$E9*$D9*KVARDI,2))</f>
        <v/>
      </c>
      <c r="EY9" s="66" t="n"/>
      <c r="EZ9" s="78">
        <f>IF(OR(INDEX(Undirviðmið!$G$6:$G$105,ROW()-6)&lt;&gt;"Starfsbundinn",EY9="",$E9="",$D9=""),"",ROUND(EY9/$E9*$D9*KVARDI,2))</f>
        <v/>
      </c>
      <c r="FA9" s="66" t="n"/>
      <c r="FB9" s="78">
        <f>IF(OR(INDEX(Undirviðmið!$G$6:$G$105,ROW()-6)&lt;&gt;"Starfsbundinn",FA9="",$E9="",$D9=""),"",ROUND(FA9/$E9*$D9*KVARDI,2))</f>
        <v/>
      </c>
      <c r="FC9" s="66" t="n"/>
      <c r="FD9" s="78">
        <f>IF(OR(INDEX(Undirviðmið!$G$6:$G$105,ROW()-6)&lt;&gt;"Starfsbundinn",FC9="",$E9="",$D9=""),"",ROUND(FC9/$E9*$D9*KVARDI,2))</f>
        <v/>
      </c>
      <c r="FE9" s="66" t="n"/>
      <c r="FF9" s="78">
        <f>IF(OR(INDEX(Undirviðmið!$G$6:$G$105,ROW()-6)&lt;&gt;"Starfsbundinn",FE9="",$E9="",$D9=""),"",ROUND(FE9/$E9*$D9*KVARDI,2))</f>
        <v/>
      </c>
      <c r="FG9" s="66" t="n"/>
      <c r="FH9" s="78">
        <f>IF(OR(INDEX(Undirviðmið!$G$6:$G$105,ROW()-6)&lt;&gt;"Starfsbundinn",FG9="",$E9="",$D9=""),"",ROUND(FG9/$E9*$D9*KVARDI,2))</f>
        <v/>
      </c>
      <c r="FI9" s="66" t="n"/>
      <c r="FJ9" s="78">
        <f>IF(OR(INDEX(Undirviðmið!$G$6:$G$105,ROW()-6)&lt;&gt;"Starfsbundinn",FI9="",$E9="",$D9=""),"",ROUND(FI9/$E9*$D9*KVARDI,2))</f>
        <v/>
      </c>
      <c r="FK9" s="66" t="n"/>
      <c r="FL9" s="78">
        <f>IF(OR(INDEX(Undirviðmið!$G$6:$G$105,ROW()-6)&lt;&gt;"Starfsbundinn",FK9="",$E9="",$D9=""),"",ROUND(FK9/$E9*$D9*KVARDI,2))</f>
        <v/>
      </c>
      <c r="FM9" s="66" t="n"/>
      <c r="FN9" s="78">
        <f>IF(OR(INDEX(Undirviðmið!$G$6:$G$105,ROW()-6)&lt;&gt;"Starfsbundinn",FM9="",$E9="",$D9=""),"",ROUND(FM9/$E9*$D9*KVARDI,2))</f>
        <v/>
      </c>
      <c r="FO9" s="66" t="n"/>
      <c r="FP9" s="78">
        <f>IF(OR(INDEX(Undirviðmið!$G$6:$G$105,ROW()-6)&lt;&gt;"Starfsbundinn",FO9="",$E9="",$D9=""),"",ROUND(FO9/$E9*$D9*KVARDI,2))</f>
        <v/>
      </c>
      <c r="FQ9" s="66" t="n"/>
      <c r="FR9" s="78">
        <f>IF(OR(INDEX(Undirviðmið!$G$6:$G$105,ROW()-6)&lt;&gt;"Starfsbundinn",FQ9="",$E9="",$D9=""),"",ROUND(FQ9/$E9*$D9*KVARDI,2))</f>
        <v/>
      </c>
      <c r="FS9" s="66" t="n"/>
      <c r="FT9" s="78">
        <f>IF(OR(INDEX(Undirviðmið!$G$6:$G$105,ROW()-6)&lt;&gt;"Starfsbundinn",FS9="",$E9="",$D9=""),"",ROUND(FS9/$E9*$D9*KVARDI,2))</f>
        <v/>
      </c>
      <c r="FU9" s="66" t="n"/>
      <c r="FV9" s="78">
        <f>IF(OR(INDEX(Undirviðmið!$G$6:$G$105,ROW()-6)&lt;&gt;"Starfsbundinn",FU9="",$E9="",$D9=""),"",ROUND(FU9/$E9*$D9*KVARDI,2))</f>
        <v/>
      </c>
      <c r="FW9" s="66" t="n"/>
      <c r="FX9" s="78">
        <f>IF(OR(INDEX(Undirviðmið!$G$6:$G$105,ROW()-6)&lt;&gt;"Starfsbundinn",FW9="",$E9="",$D9=""),"",ROUND(FW9/$E9*$D9*KVARDI,2))</f>
        <v/>
      </c>
      <c r="FY9" s="66" t="n"/>
      <c r="FZ9" s="78">
        <f>IF(OR(INDEX(Undirviðmið!$G$6:$G$105,ROW()-6)&lt;&gt;"Starfsbundinn",FY9="",$E9="",$D9=""),"",ROUND(FY9/$E9*$D9*KVARDI,2))</f>
        <v/>
      </c>
      <c r="GA9" s="66" t="n"/>
      <c r="GB9" s="78">
        <f>IF(OR(INDEX(Undirviðmið!$G$6:$G$105,ROW()-6)&lt;&gt;"Starfsbundinn",GA9="",$E9="",$D9=""),"",ROUND(GA9/$E9*$D9*KVARDI,2))</f>
        <v/>
      </c>
      <c r="GC9" s="66" t="n"/>
      <c r="GD9" s="78">
        <f>IF(OR(INDEX(Undirviðmið!$G$6:$G$105,ROW()-6)&lt;&gt;"Starfsbundinn",GC9="",$E9="",$D9=""),"",ROUND(GC9/$E9*$D9*KVARDI,2))</f>
        <v/>
      </c>
      <c r="GE9" s="66" t="n"/>
      <c r="GF9" s="78">
        <f>IF(OR(INDEX(Undirviðmið!$G$6:$G$105,ROW()-6)&lt;&gt;"Starfsbundinn",GE9="",$E9="",$D9=""),"",ROUND(GE9/$E9*$D9*KVARDI,2))</f>
        <v/>
      </c>
      <c r="GG9" s="66" t="n"/>
      <c r="GH9" s="78">
        <f>IF(OR(INDEX(Undirviðmið!$G$6:$G$105,ROW()-6)&lt;&gt;"Starfsbundinn",GG9="",$E9="",$D9=""),"",ROUND(GG9/$E9*$D9*KVARDI,2))</f>
        <v/>
      </c>
      <c r="GI9" s="66" t="n"/>
      <c r="GJ9" s="78">
        <f>IF(OR(INDEX(Undirviðmið!$G$6:$G$105,ROW()-6)&lt;&gt;"Starfsbundinn",GI9="",$E9="",$D9=""),"",ROUND(GI9/$E9*$D9*KVARDI,2))</f>
        <v/>
      </c>
      <c r="GK9" s="66" t="n"/>
      <c r="GL9" s="78">
        <f>IF(OR(INDEX(Undirviðmið!$G$6:$G$105,ROW()-6)&lt;&gt;"Starfsbundinn",GK9="",$E9="",$D9=""),"",ROUND(GK9/$E9*$D9*KVARDI,2))</f>
        <v/>
      </c>
      <c r="GM9" s="66" t="n"/>
      <c r="GN9" s="78">
        <f>IF(OR(INDEX(Undirviðmið!$G$6:$G$105,ROW()-6)&lt;&gt;"Starfsbundinn",GM9="",$E9="",$D9=""),"",ROUND(GM9/$E9*$D9*KVARDI,2))</f>
        <v/>
      </c>
      <c r="GO9" s="66" t="n"/>
      <c r="GP9" s="78">
        <f>IF(OR(INDEX(Undirviðmið!$G$6:$G$105,ROW()-6)&lt;&gt;"Starfsbundinn",GO9="",$E9="",$D9=""),"",ROUND(GO9/$E9*$D9*KVARDI,2))</f>
        <v/>
      </c>
      <c r="GQ9" s="66" t="n"/>
      <c r="GR9" s="78">
        <f>IF(OR(INDEX(Undirviðmið!$G$6:$G$105,ROW()-6)&lt;&gt;"Starfsbundinn",GQ9="",$E9="",$D9=""),"",ROUND(GQ9/$E9*$D9*KVARDI,2))</f>
        <v/>
      </c>
      <c r="GS9" s="66" t="n"/>
      <c r="GT9" s="78">
        <f>IF(OR(INDEX(Undirviðmið!$G$6:$G$105,ROW()-6)&lt;&gt;"Starfsbundinn",GS9="",$E9="",$D9=""),"",ROUND(GS9/$E9*$D9*KVARDI,2))</f>
        <v/>
      </c>
      <c r="GU9" s="66" t="n"/>
      <c r="GV9" s="78">
        <f>IF(OR(INDEX(Undirviðmið!$G$6:$G$105,ROW()-6)&lt;&gt;"Starfsbundinn",GU9="",$E9="",$D9=""),"",ROUND(GU9/$E9*$D9*KVARDI,2))</f>
        <v/>
      </c>
      <c r="GW9" s="66" t="n"/>
      <c r="GX9" s="78">
        <f>IF(OR(INDEX(Undirviðmið!$G$6:$G$105,ROW()-6)&lt;&gt;"Starfsbundinn",GW9="",$E9="",$D9=""),"",ROUND(GW9/$E9*$D9*KVARDI,2))</f>
        <v/>
      </c>
    </row>
    <row r="10" ht="15" customHeight="1" s="47">
      <c r="B10" s="67">
        <f>IF(INDEX(Undirviðmið!$G$6:$G$105,ROW()-6)="Starfsbundinn",INDEX(Undirviðmið!$B$6:$B$105,ROW()-6),"")</f>
        <v/>
      </c>
      <c r="C10" s="67">
        <f>IF(INDEX(Undirviðmið!$G$6:$G$105,ROW()-6)="Starfsbundinn",INDEX(Undirviðmið!$C$6:$C$105,ROW()-6),"")</f>
        <v/>
      </c>
      <c r="D10" s="77">
        <f>IF(INDEX(Undirviðmið!$G$6:$G$105,ROW()-6)="Starfsbundinn",INDEX(Undirviðmið!$E$6:$E$105,ROW()-6),"")</f>
        <v/>
      </c>
      <c r="E10" s="77">
        <f>IF(INDEX(Undirviðmið!$G$6:$G$105,ROW()-6)="Starfsbundinn",INDEX(Undirviðmið!$F$6:$F$105,ROW()-6),"")</f>
        <v/>
      </c>
      <c r="F10" s="77">
        <f>IF(INDEX(Undirviðmið!$G$6:$G$105,ROW()-6)="Starfsbundinn",IFERROR(INDEX(Undirviðmið!$E$6:$E$105,ROW()-6)*KVARDI,""),"")</f>
        <v/>
      </c>
      <c r="G10" s="66" t="n"/>
      <c r="H10" s="78">
        <f>IF(OR(INDEX(Undirviðmið!$G$6:$G$105,ROW()-6)&lt;&gt;"Starfsbundinn",G10="",$E10="",$D10=""),"",ROUND(G10/$E10*$D10*KVARDI,2))</f>
        <v/>
      </c>
      <c r="I10" s="66" t="n"/>
      <c r="J10" s="78">
        <f>IF(OR(INDEX(Undirviðmið!$G$6:$G$105,ROW()-6)&lt;&gt;"Starfsbundinn",I10="",$E10="",$D10=""),"",ROUND(I10/$E10*$D10*KVARDI,2))</f>
        <v/>
      </c>
      <c r="K10" s="66" t="n"/>
      <c r="L10" s="78">
        <f>IF(OR(INDEX(Undirviðmið!$G$6:$G$105,ROW()-6)&lt;&gt;"Starfsbundinn",K10="",$E10="",$D10=""),"",ROUND(K10/$E10*$D10*KVARDI,2))</f>
        <v/>
      </c>
      <c r="M10" s="66" t="n"/>
      <c r="N10" s="78">
        <f>IF(OR(INDEX(Undirviðmið!$G$6:$G$105,ROW()-6)&lt;&gt;"Starfsbundinn",M10="",$E10="",$D10=""),"",ROUND(M10/$E10*$D10*KVARDI,2))</f>
        <v/>
      </c>
      <c r="O10" s="66" t="n"/>
      <c r="P10" s="78">
        <f>IF(OR(INDEX(Undirviðmið!$G$6:$G$105,ROW()-6)&lt;&gt;"Starfsbundinn",O10="",$E10="",$D10=""),"",ROUND(O10/$E10*$D10*KVARDI,2))</f>
        <v/>
      </c>
      <c r="Q10" s="66" t="n"/>
      <c r="R10" s="78">
        <f>IF(OR(INDEX(Undirviðmið!$G$6:$G$105,ROW()-6)&lt;&gt;"Starfsbundinn",Q10="",$E10="",$D10=""),"",ROUND(Q10/$E10*$D10*KVARDI,2))</f>
        <v/>
      </c>
      <c r="S10" s="66" t="n"/>
      <c r="T10" s="78">
        <f>IF(OR(INDEX(Undirviðmið!$G$6:$G$105,ROW()-6)&lt;&gt;"Starfsbundinn",S10="",$E10="",$D10=""),"",ROUND(S10/$E10*$D10*KVARDI,2))</f>
        <v/>
      </c>
      <c r="U10" s="66" t="n"/>
      <c r="V10" s="78">
        <f>IF(OR(INDEX(Undirviðmið!$G$6:$G$105,ROW()-6)&lt;&gt;"Starfsbundinn",U10="",$E10="",$D10=""),"",ROUND(U10/$E10*$D10*KVARDI,2))</f>
        <v/>
      </c>
      <c r="W10" s="66" t="n"/>
      <c r="X10" s="78">
        <f>IF(OR(INDEX(Undirviðmið!$G$6:$G$105,ROW()-6)&lt;&gt;"Starfsbundinn",W10="",$E10="",$D10=""),"",ROUND(W10/$E10*$D10*KVARDI,2))</f>
        <v/>
      </c>
      <c r="Y10" s="66" t="n"/>
      <c r="Z10" s="78">
        <f>IF(OR(INDEX(Undirviðmið!$G$6:$G$105,ROW()-6)&lt;&gt;"Starfsbundinn",Y10="",$E10="",$D10=""),"",ROUND(Y10/$E10*$D10*KVARDI,2))</f>
        <v/>
      </c>
      <c r="AA10" s="66" t="n"/>
      <c r="AB10" s="78">
        <f>IF(OR(INDEX(Undirviðmið!$G$6:$G$105,ROW()-6)&lt;&gt;"Starfsbundinn",AA10="",$E10="",$D10=""),"",ROUND(AA10/$E10*$D10*KVARDI,2))</f>
        <v/>
      </c>
      <c r="AC10" s="66" t="n"/>
      <c r="AD10" s="78">
        <f>IF(OR(INDEX(Undirviðmið!$G$6:$G$105,ROW()-6)&lt;&gt;"Starfsbundinn",AC10="",$E10="",$D10=""),"",ROUND(AC10/$E10*$D10*KVARDI,2))</f>
        <v/>
      </c>
      <c r="AE10" s="66" t="n"/>
      <c r="AF10" s="78">
        <f>IF(OR(INDEX(Undirviðmið!$G$6:$G$105,ROW()-6)&lt;&gt;"Starfsbundinn",AE10="",$E10="",$D10=""),"",ROUND(AE10/$E10*$D10*KVARDI,2))</f>
        <v/>
      </c>
      <c r="AG10" s="66" t="n"/>
      <c r="AH10" s="78">
        <f>IF(OR(INDEX(Undirviðmið!$G$6:$G$105,ROW()-6)&lt;&gt;"Starfsbundinn",AG10="",$E10="",$D10=""),"",ROUND(AG10/$E10*$D10*KVARDI,2))</f>
        <v/>
      </c>
      <c r="AI10" s="66" t="n"/>
      <c r="AJ10" s="78">
        <f>IF(OR(INDEX(Undirviðmið!$G$6:$G$105,ROW()-6)&lt;&gt;"Starfsbundinn",AI10="",$E10="",$D10=""),"",ROUND(AI10/$E10*$D10*KVARDI,2))</f>
        <v/>
      </c>
      <c r="AK10" s="66" t="n"/>
      <c r="AL10" s="78">
        <f>IF(OR(INDEX(Undirviðmið!$G$6:$G$105,ROW()-6)&lt;&gt;"Starfsbundinn",AK10="",$E10="",$D10=""),"",ROUND(AK10/$E10*$D10*KVARDI,2))</f>
        <v/>
      </c>
      <c r="AM10" s="66" t="n"/>
      <c r="AN10" s="78">
        <f>IF(OR(INDEX(Undirviðmið!$G$6:$G$105,ROW()-6)&lt;&gt;"Starfsbundinn",AM10="",$E10="",$D10=""),"",ROUND(AM10/$E10*$D10*KVARDI,2))</f>
        <v/>
      </c>
      <c r="AO10" s="66" t="n"/>
      <c r="AP10" s="78">
        <f>IF(OR(INDEX(Undirviðmið!$G$6:$G$105,ROW()-6)&lt;&gt;"Starfsbundinn",AO10="",$E10="",$D10=""),"",ROUND(AO10/$E10*$D10*KVARDI,2))</f>
        <v/>
      </c>
      <c r="AQ10" s="66" t="n"/>
      <c r="AR10" s="78">
        <f>IF(OR(INDEX(Undirviðmið!$G$6:$G$105,ROW()-6)&lt;&gt;"Starfsbundinn",AQ10="",$E10="",$D10=""),"",ROUND(AQ10/$E10*$D10*KVARDI,2))</f>
        <v/>
      </c>
      <c r="AS10" s="66" t="n"/>
      <c r="AT10" s="78">
        <f>IF(OR(INDEX(Undirviðmið!$G$6:$G$105,ROW()-6)&lt;&gt;"Starfsbundinn",AS10="",$E10="",$D10=""),"",ROUND(AS10/$E10*$D10*KVARDI,2))</f>
        <v/>
      </c>
      <c r="AU10" s="66" t="n"/>
      <c r="AV10" s="78">
        <f>IF(OR(INDEX(Undirviðmið!$G$6:$G$105,ROW()-6)&lt;&gt;"Starfsbundinn",AU10="",$E10="",$D10=""),"",ROUND(AU10/$E10*$D10*KVARDI,2))</f>
        <v/>
      </c>
      <c r="AW10" s="66" t="n"/>
      <c r="AX10" s="78">
        <f>IF(OR(INDEX(Undirviðmið!$G$6:$G$105,ROW()-6)&lt;&gt;"Starfsbundinn",AW10="",$E10="",$D10=""),"",ROUND(AW10/$E10*$D10*KVARDI,2))</f>
        <v/>
      </c>
      <c r="AY10" s="66" t="n"/>
      <c r="AZ10" s="78">
        <f>IF(OR(INDEX(Undirviðmið!$G$6:$G$105,ROW()-6)&lt;&gt;"Starfsbundinn",AY10="",$E10="",$D10=""),"",ROUND(AY10/$E10*$D10*KVARDI,2))</f>
        <v/>
      </c>
      <c r="BA10" s="66" t="n"/>
      <c r="BB10" s="78">
        <f>IF(OR(INDEX(Undirviðmið!$G$6:$G$105,ROW()-6)&lt;&gt;"Starfsbundinn",BA10="",$E10="",$D10=""),"",ROUND(BA10/$E10*$D10*KVARDI,2))</f>
        <v/>
      </c>
      <c r="BC10" s="66" t="n"/>
      <c r="BD10" s="78">
        <f>IF(OR(INDEX(Undirviðmið!$G$6:$G$105,ROW()-6)&lt;&gt;"Starfsbundinn",BC10="",$E10="",$D10=""),"",ROUND(BC10/$E10*$D10*KVARDI,2))</f>
        <v/>
      </c>
      <c r="BE10" s="66" t="n"/>
      <c r="BF10" s="78">
        <f>IF(OR(INDEX(Undirviðmið!$G$6:$G$105,ROW()-6)&lt;&gt;"Starfsbundinn",BE10="",$E10="",$D10=""),"",ROUND(BE10/$E10*$D10*KVARDI,2))</f>
        <v/>
      </c>
      <c r="BG10" s="66" t="n"/>
      <c r="BH10" s="78">
        <f>IF(OR(INDEX(Undirviðmið!$G$6:$G$105,ROW()-6)&lt;&gt;"Starfsbundinn",BG10="",$E10="",$D10=""),"",ROUND(BG10/$E10*$D10*KVARDI,2))</f>
        <v/>
      </c>
      <c r="BI10" s="66" t="n"/>
      <c r="BJ10" s="78">
        <f>IF(OR(INDEX(Undirviðmið!$G$6:$G$105,ROW()-6)&lt;&gt;"Starfsbundinn",BI10="",$E10="",$D10=""),"",ROUND(BI10/$E10*$D10*KVARDI,2))</f>
        <v/>
      </c>
      <c r="BK10" s="66" t="n"/>
      <c r="BL10" s="78">
        <f>IF(OR(INDEX(Undirviðmið!$G$6:$G$105,ROW()-6)&lt;&gt;"Starfsbundinn",BK10="",$E10="",$D10=""),"",ROUND(BK10/$E10*$D10*KVARDI,2))</f>
        <v/>
      </c>
      <c r="BM10" s="66" t="n"/>
      <c r="BN10" s="78">
        <f>IF(OR(INDEX(Undirviðmið!$G$6:$G$105,ROW()-6)&lt;&gt;"Starfsbundinn",BM10="",$E10="",$D10=""),"",ROUND(BM10/$E10*$D10*KVARDI,2))</f>
        <v/>
      </c>
      <c r="BO10" s="66" t="n"/>
      <c r="BP10" s="78">
        <f>IF(OR(INDEX(Undirviðmið!$G$6:$G$105,ROW()-6)&lt;&gt;"Starfsbundinn",BO10="",$E10="",$D10=""),"",ROUND(BO10/$E10*$D10*KVARDI,2))</f>
        <v/>
      </c>
      <c r="BQ10" s="66" t="n"/>
      <c r="BR10" s="78">
        <f>IF(OR(INDEX(Undirviðmið!$G$6:$G$105,ROW()-6)&lt;&gt;"Starfsbundinn",BQ10="",$E10="",$D10=""),"",ROUND(BQ10/$E10*$D10*KVARDI,2))</f>
        <v/>
      </c>
      <c r="BS10" s="66" t="n"/>
      <c r="BT10" s="78">
        <f>IF(OR(INDEX(Undirviðmið!$G$6:$G$105,ROW()-6)&lt;&gt;"Starfsbundinn",BS10="",$E10="",$D10=""),"",ROUND(BS10/$E10*$D10*KVARDI,2))</f>
        <v/>
      </c>
      <c r="BU10" s="66" t="n"/>
      <c r="BV10" s="78">
        <f>IF(OR(INDEX(Undirviðmið!$G$6:$G$105,ROW()-6)&lt;&gt;"Starfsbundinn",BU10="",$E10="",$D10=""),"",ROUND(BU10/$E10*$D10*KVARDI,2))</f>
        <v/>
      </c>
      <c r="BW10" s="66" t="n"/>
      <c r="BX10" s="78">
        <f>IF(OR(INDEX(Undirviðmið!$G$6:$G$105,ROW()-6)&lt;&gt;"Starfsbundinn",BW10="",$E10="",$D10=""),"",ROUND(BW10/$E10*$D10*KVARDI,2))</f>
        <v/>
      </c>
      <c r="BY10" s="66" t="n"/>
      <c r="BZ10" s="78">
        <f>IF(OR(INDEX(Undirviðmið!$G$6:$G$105,ROW()-6)&lt;&gt;"Starfsbundinn",BY10="",$E10="",$D10=""),"",ROUND(BY10/$E10*$D10*KVARDI,2))</f>
        <v/>
      </c>
      <c r="CA10" s="66" t="n"/>
      <c r="CB10" s="78">
        <f>IF(OR(INDEX(Undirviðmið!$G$6:$G$105,ROW()-6)&lt;&gt;"Starfsbundinn",CA10="",$E10="",$D10=""),"",ROUND(CA10/$E10*$D10*KVARDI,2))</f>
        <v/>
      </c>
      <c r="CC10" s="66" t="n"/>
      <c r="CD10" s="78">
        <f>IF(OR(INDEX(Undirviðmið!$G$6:$G$105,ROW()-6)&lt;&gt;"Starfsbundinn",CC10="",$E10="",$D10=""),"",ROUND(CC10/$E10*$D10*KVARDI,2))</f>
        <v/>
      </c>
      <c r="CE10" s="66" t="n"/>
      <c r="CF10" s="78">
        <f>IF(OR(INDEX(Undirviðmið!$G$6:$G$105,ROW()-6)&lt;&gt;"Starfsbundinn",CE10="",$E10="",$D10=""),"",ROUND(CE10/$E10*$D10*KVARDI,2))</f>
        <v/>
      </c>
      <c r="CG10" s="66" t="n"/>
      <c r="CH10" s="78">
        <f>IF(OR(INDEX(Undirviðmið!$G$6:$G$105,ROW()-6)&lt;&gt;"Starfsbundinn",CG10="",$E10="",$D10=""),"",ROUND(CG10/$E10*$D10*KVARDI,2))</f>
        <v/>
      </c>
      <c r="CI10" s="66" t="n"/>
      <c r="CJ10" s="78">
        <f>IF(OR(INDEX(Undirviðmið!$G$6:$G$105,ROW()-6)&lt;&gt;"Starfsbundinn",CI10="",$E10="",$D10=""),"",ROUND(CI10/$E10*$D10*KVARDI,2))</f>
        <v/>
      </c>
      <c r="CK10" s="66" t="n"/>
      <c r="CL10" s="78">
        <f>IF(OR(INDEX(Undirviðmið!$G$6:$G$105,ROW()-6)&lt;&gt;"Starfsbundinn",CK10="",$E10="",$D10=""),"",ROUND(CK10/$E10*$D10*KVARDI,2))</f>
        <v/>
      </c>
      <c r="CM10" s="66" t="n"/>
      <c r="CN10" s="78">
        <f>IF(OR(INDEX(Undirviðmið!$G$6:$G$105,ROW()-6)&lt;&gt;"Starfsbundinn",CM10="",$E10="",$D10=""),"",ROUND(CM10/$E10*$D10*KVARDI,2))</f>
        <v/>
      </c>
      <c r="CO10" s="66" t="n"/>
      <c r="CP10" s="78">
        <f>IF(OR(INDEX(Undirviðmið!$G$6:$G$105,ROW()-6)&lt;&gt;"Starfsbundinn",CO10="",$E10="",$D10=""),"",ROUND(CO10/$E10*$D10*KVARDI,2))</f>
        <v/>
      </c>
      <c r="CQ10" s="66" t="n"/>
      <c r="CR10" s="78">
        <f>IF(OR(INDEX(Undirviðmið!$G$6:$G$105,ROW()-6)&lt;&gt;"Starfsbundinn",CQ10="",$E10="",$D10=""),"",ROUND(CQ10/$E10*$D10*KVARDI,2))</f>
        <v/>
      </c>
      <c r="CS10" s="66" t="n"/>
      <c r="CT10" s="78">
        <f>IF(OR(INDEX(Undirviðmið!$G$6:$G$105,ROW()-6)&lt;&gt;"Starfsbundinn",CS10="",$E10="",$D10=""),"",ROUND(CS10/$E10*$D10*KVARDI,2))</f>
        <v/>
      </c>
      <c r="CU10" s="66" t="n"/>
      <c r="CV10" s="78">
        <f>IF(OR(INDEX(Undirviðmið!$G$6:$G$105,ROW()-6)&lt;&gt;"Starfsbundinn",CU10="",$E10="",$D10=""),"",ROUND(CU10/$E10*$D10*KVARDI,2))</f>
        <v/>
      </c>
      <c r="CW10" s="66" t="n"/>
      <c r="CX10" s="78">
        <f>IF(OR(INDEX(Undirviðmið!$G$6:$G$105,ROW()-6)&lt;&gt;"Starfsbundinn",CW10="",$E10="",$D10=""),"",ROUND(CW10/$E10*$D10*KVARDI,2))</f>
        <v/>
      </c>
      <c r="CY10" s="66" t="n"/>
      <c r="CZ10" s="78">
        <f>IF(OR(INDEX(Undirviðmið!$G$6:$G$105,ROW()-6)&lt;&gt;"Starfsbundinn",CY10="",$E10="",$D10=""),"",ROUND(CY10/$E10*$D10*KVARDI,2))</f>
        <v/>
      </c>
      <c r="DA10" s="66" t="n"/>
      <c r="DB10" s="78">
        <f>IF(OR(INDEX(Undirviðmið!$G$6:$G$105,ROW()-6)&lt;&gt;"Starfsbundinn",DA10="",$E10="",$D10=""),"",ROUND(DA10/$E10*$D10*KVARDI,2))</f>
        <v/>
      </c>
      <c r="DC10" s="66" t="n"/>
      <c r="DD10" s="78">
        <f>IF(OR(INDEX(Undirviðmið!$G$6:$G$105,ROW()-6)&lt;&gt;"Starfsbundinn",DC10="",$E10="",$D10=""),"",ROUND(DC10/$E10*$D10*KVARDI,2))</f>
        <v/>
      </c>
      <c r="DE10" s="66" t="n"/>
      <c r="DF10" s="78">
        <f>IF(OR(INDEX(Undirviðmið!$G$6:$G$105,ROW()-6)&lt;&gt;"Starfsbundinn",DE10="",$E10="",$D10=""),"",ROUND(DE10/$E10*$D10*KVARDI,2))</f>
        <v/>
      </c>
      <c r="DG10" s="66" t="n"/>
      <c r="DH10" s="78">
        <f>IF(OR(INDEX(Undirviðmið!$G$6:$G$105,ROW()-6)&lt;&gt;"Starfsbundinn",DG10="",$E10="",$D10=""),"",ROUND(DG10/$E10*$D10*KVARDI,2))</f>
        <v/>
      </c>
      <c r="DI10" s="66" t="n"/>
      <c r="DJ10" s="78">
        <f>IF(OR(INDEX(Undirviðmið!$G$6:$G$105,ROW()-6)&lt;&gt;"Starfsbundinn",DI10="",$E10="",$D10=""),"",ROUND(DI10/$E10*$D10*KVARDI,2))</f>
        <v/>
      </c>
      <c r="DK10" s="66" t="n"/>
      <c r="DL10" s="78">
        <f>IF(OR(INDEX(Undirviðmið!$G$6:$G$105,ROW()-6)&lt;&gt;"Starfsbundinn",DK10="",$E10="",$D10=""),"",ROUND(DK10/$E10*$D10*KVARDI,2))</f>
        <v/>
      </c>
      <c r="DM10" s="66" t="n"/>
      <c r="DN10" s="78">
        <f>IF(OR(INDEX(Undirviðmið!$G$6:$G$105,ROW()-6)&lt;&gt;"Starfsbundinn",DM10="",$E10="",$D10=""),"",ROUND(DM10/$E10*$D10*KVARDI,2))</f>
        <v/>
      </c>
      <c r="DO10" s="66" t="n"/>
      <c r="DP10" s="78">
        <f>IF(OR(INDEX(Undirviðmið!$G$6:$G$105,ROW()-6)&lt;&gt;"Starfsbundinn",DO10="",$E10="",$D10=""),"",ROUND(DO10/$E10*$D10*KVARDI,2))</f>
        <v/>
      </c>
      <c r="DQ10" s="66" t="n"/>
      <c r="DR10" s="78">
        <f>IF(OR(INDEX(Undirviðmið!$G$6:$G$105,ROW()-6)&lt;&gt;"Starfsbundinn",DQ10="",$E10="",$D10=""),"",ROUND(DQ10/$E10*$D10*KVARDI,2))</f>
        <v/>
      </c>
      <c r="DS10" s="66" t="n"/>
      <c r="DT10" s="78">
        <f>IF(OR(INDEX(Undirviðmið!$G$6:$G$105,ROW()-6)&lt;&gt;"Starfsbundinn",DS10="",$E10="",$D10=""),"",ROUND(DS10/$E10*$D10*KVARDI,2))</f>
        <v/>
      </c>
      <c r="DU10" s="66" t="n"/>
      <c r="DV10" s="78">
        <f>IF(OR(INDEX(Undirviðmið!$G$6:$G$105,ROW()-6)&lt;&gt;"Starfsbundinn",DU10="",$E10="",$D10=""),"",ROUND(DU10/$E10*$D10*KVARDI,2))</f>
        <v/>
      </c>
      <c r="DW10" s="66" t="n"/>
      <c r="DX10" s="78">
        <f>IF(OR(INDEX(Undirviðmið!$G$6:$G$105,ROW()-6)&lt;&gt;"Starfsbundinn",DW10="",$E10="",$D10=""),"",ROUND(DW10/$E10*$D10*KVARDI,2))</f>
        <v/>
      </c>
      <c r="DY10" s="66" t="n"/>
      <c r="DZ10" s="78">
        <f>IF(OR(INDEX(Undirviðmið!$G$6:$G$105,ROW()-6)&lt;&gt;"Starfsbundinn",DY10="",$E10="",$D10=""),"",ROUND(DY10/$E10*$D10*KVARDI,2))</f>
        <v/>
      </c>
      <c r="EA10" s="66" t="n"/>
      <c r="EB10" s="78">
        <f>IF(OR(INDEX(Undirviðmið!$G$6:$G$105,ROW()-6)&lt;&gt;"Starfsbundinn",EA10="",$E10="",$D10=""),"",ROUND(EA10/$E10*$D10*KVARDI,2))</f>
        <v/>
      </c>
      <c r="EC10" s="66" t="n"/>
      <c r="ED10" s="78">
        <f>IF(OR(INDEX(Undirviðmið!$G$6:$G$105,ROW()-6)&lt;&gt;"Starfsbundinn",EC10="",$E10="",$D10=""),"",ROUND(EC10/$E10*$D10*KVARDI,2))</f>
        <v/>
      </c>
      <c r="EE10" s="66" t="n"/>
      <c r="EF10" s="78">
        <f>IF(OR(INDEX(Undirviðmið!$G$6:$G$105,ROW()-6)&lt;&gt;"Starfsbundinn",EE10="",$E10="",$D10=""),"",ROUND(EE10/$E10*$D10*KVARDI,2))</f>
        <v/>
      </c>
      <c r="EG10" s="66" t="n"/>
      <c r="EH10" s="78">
        <f>IF(OR(INDEX(Undirviðmið!$G$6:$G$105,ROW()-6)&lt;&gt;"Starfsbundinn",EG10="",$E10="",$D10=""),"",ROUND(EG10/$E10*$D10*KVARDI,2))</f>
        <v/>
      </c>
      <c r="EI10" s="66" t="n"/>
      <c r="EJ10" s="78">
        <f>IF(OR(INDEX(Undirviðmið!$G$6:$G$105,ROW()-6)&lt;&gt;"Starfsbundinn",EI10="",$E10="",$D10=""),"",ROUND(EI10/$E10*$D10*KVARDI,2))</f>
        <v/>
      </c>
      <c r="EK10" s="66" t="n"/>
      <c r="EL10" s="78">
        <f>IF(OR(INDEX(Undirviðmið!$G$6:$G$105,ROW()-6)&lt;&gt;"Starfsbundinn",EK10="",$E10="",$D10=""),"",ROUND(EK10/$E10*$D10*KVARDI,2))</f>
        <v/>
      </c>
      <c r="EM10" s="66" t="n"/>
      <c r="EN10" s="78">
        <f>IF(OR(INDEX(Undirviðmið!$G$6:$G$105,ROW()-6)&lt;&gt;"Starfsbundinn",EM10="",$E10="",$D10=""),"",ROUND(EM10/$E10*$D10*KVARDI,2))</f>
        <v/>
      </c>
      <c r="EO10" s="66" t="n"/>
      <c r="EP10" s="78">
        <f>IF(OR(INDEX(Undirviðmið!$G$6:$G$105,ROW()-6)&lt;&gt;"Starfsbundinn",EO10="",$E10="",$D10=""),"",ROUND(EO10/$E10*$D10*KVARDI,2))</f>
        <v/>
      </c>
      <c r="EQ10" s="66" t="n"/>
      <c r="ER10" s="78">
        <f>IF(OR(INDEX(Undirviðmið!$G$6:$G$105,ROW()-6)&lt;&gt;"Starfsbundinn",EQ10="",$E10="",$D10=""),"",ROUND(EQ10/$E10*$D10*KVARDI,2))</f>
        <v/>
      </c>
      <c r="ES10" s="66" t="n"/>
      <c r="ET10" s="78">
        <f>IF(OR(INDEX(Undirviðmið!$G$6:$G$105,ROW()-6)&lt;&gt;"Starfsbundinn",ES10="",$E10="",$D10=""),"",ROUND(ES10/$E10*$D10*KVARDI,2))</f>
        <v/>
      </c>
      <c r="EU10" s="66" t="n"/>
      <c r="EV10" s="78">
        <f>IF(OR(INDEX(Undirviðmið!$G$6:$G$105,ROW()-6)&lt;&gt;"Starfsbundinn",EU10="",$E10="",$D10=""),"",ROUND(EU10/$E10*$D10*KVARDI,2))</f>
        <v/>
      </c>
      <c r="EW10" s="66" t="n"/>
      <c r="EX10" s="78">
        <f>IF(OR(INDEX(Undirviðmið!$G$6:$G$105,ROW()-6)&lt;&gt;"Starfsbundinn",EW10="",$E10="",$D10=""),"",ROUND(EW10/$E10*$D10*KVARDI,2))</f>
        <v/>
      </c>
      <c r="EY10" s="66" t="n"/>
      <c r="EZ10" s="78">
        <f>IF(OR(INDEX(Undirviðmið!$G$6:$G$105,ROW()-6)&lt;&gt;"Starfsbundinn",EY10="",$E10="",$D10=""),"",ROUND(EY10/$E10*$D10*KVARDI,2))</f>
        <v/>
      </c>
      <c r="FA10" s="66" t="n"/>
      <c r="FB10" s="78">
        <f>IF(OR(INDEX(Undirviðmið!$G$6:$G$105,ROW()-6)&lt;&gt;"Starfsbundinn",FA10="",$E10="",$D10=""),"",ROUND(FA10/$E10*$D10*KVARDI,2))</f>
        <v/>
      </c>
      <c r="FC10" s="66" t="n"/>
      <c r="FD10" s="78">
        <f>IF(OR(INDEX(Undirviðmið!$G$6:$G$105,ROW()-6)&lt;&gt;"Starfsbundinn",FC10="",$E10="",$D10=""),"",ROUND(FC10/$E10*$D10*KVARDI,2))</f>
        <v/>
      </c>
      <c r="FE10" s="66" t="n"/>
      <c r="FF10" s="78">
        <f>IF(OR(INDEX(Undirviðmið!$G$6:$G$105,ROW()-6)&lt;&gt;"Starfsbundinn",FE10="",$E10="",$D10=""),"",ROUND(FE10/$E10*$D10*KVARDI,2))</f>
        <v/>
      </c>
      <c r="FG10" s="66" t="n"/>
      <c r="FH10" s="78">
        <f>IF(OR(INDEX(Undirviðmið!$G$6:$G$105,ROW()-6)&lt;&gt;"Starfsbundinn",FG10="",$E10="",$D10=""),"",ROUND(FG10/$E10*$D10*KVARDI,2))</f>
        <v/>
      </c>
      <c r="FI10" s="66" t="n"/>
      <c r="FJ10" s="78">
        <f>IF(OR(INDEX(Undirviðmið!$G$6:$G$105,ROW()-6)&lt;&gt;"Starfsbundinn",FI10="",$E10="",$D10=""),"",ROUND(FI10/$E10*$D10*KVARDI,2))</f>
        <v/>
      </c>
      <c r="FK10" s="66" t="n"/>
      <c r="FL10" s="78">
        <f>IF(OR(INDEX(Undirviðmið!$G$6:$G$105,ROW()-6)&lt;&gt;"Starfsbundinn",FK10="",$E10="",$D10=""),"",ROUND(FK10/$E10*$D10*KVARDI,2))</f>
        <v/>
      </c>
      <c r="FM10" s="66" t="n"/>
      <c r="FN10" s="78">
        <f>IF(OR(INDEX(Undirviðmið!$G$6:$G$105,ROW()-6)&lt;&gt;"Starfsbundinn",FM10="",$E10="",$D10=""),"",ROUND(FM10/$E10*$D10*KVARDI,2))</f>
        <v/>
      </c>
      <c r="FO10" s="66" t="n"/>
      <c r="FP10" s="78">
        <f>IF(OR(INDEX(Undirviðmið!$G$6:$G$105,ROW()-6)&lt;&gt;"Starfsbundinn",FO10="",$E10="",$D10=""),"",ROUND(FO10/$E10*$D10*KVARDI,2))</f>
        <v/>
      </c>
      <c r="FQ10" s="66" t="n"/>
      <c r="FR10" s="78">
        <f>IF(OR(INDEX(Undirviðmið!$G$6:$G$105,ROW()-6)&lt;&gt;"Starfsbundinn",FQ10="",$E10="",$D10=""),"",ROUND(FQ10/$E10*$D10*KVARDI,2))</f>
        <v/>
      </c>
      <c r="FS10" s="66" t="n"/>
      <c r="FT10" s="78">
        <f>IF(OR(INDEX(Undirviðmið!$G$6:$G$105,ROW()-6)&lt;&gt;"Starfsbundinn",FS10="",$E10="",$D10=""),"",ROUND(FS10/$E10*$D10*KVARDI,2))</f>
        <v/>
      </c>
      <c r="FU10" s="66" t="n"/>
      <c r="FV10" s="78">
        <f>IF(OR(INDEX(Undirviðmið!$G$6:$G$105,ROW()-6)&lt;&gt;"Starfsbundinn",FU10="",$E10="",$D10=""),"",ROUND(FU10/$E10*$D10*KVARDI,2))</f>
        <v/>
      </c>
      <c r="FW10" s="66" t="n"/>
      <c r="FX10" s="78">
        <f>IF(OR(INDEX(Undirviðmið!$G$6:$G$105,ROW()-6)&lt;&gt;"Starfsbundinn",FW10="",$E10="",$D10=""),"",ROUND(FW10/$E10*$D10*KVARDI,2))</f>
        <v/>
      </c>
      <c r="FY10" s="66" t="n"/>
      <c r="FZ10" s="78">
        <f>IF(OR(INDEX(Undirviðmið!$G$6:$G$105,ROW()-6)&lt;&gt;"Starfsbundinn",FY10="",$E10="",$D10=""),"",ROUND(FY10/$E10*$D10*KVARDI,2))</f>
        <v/>
      </c>
      <c r="GA10" s="66" t="n"/>
      <c r="GB10" s="78">
        <f>IF(OR(INDEX(Undirviðmið!$G$6:$G$105,ROW()-6)&lt;&gt;"Starfsbundinn",GA10="",$E10="",$D10=""),"",ROUND(GA10/$E10*$D10*KVARDI,2))</f>
        <v/>
      </c>
      <c r="GC10" s="66" t="n"/>
      <c r="GD10" s="78">
        <f>IF(OR(INDEX(Undirviðmið!$G$6:$G$105,ROW()-6)&lt;&gt;"Starfsbundinn",GC10="",$E10="",$D10=""),"",ROUND(GC10/$E10*$D10*KVARDI,2))</f>
        <v/>
      </c>
      <c r="GE10" s="66" t="n"/>
      <c r="GF10" s="78">
        <f>IF(OR(INDEX(Undirviðmið!$G$6:$G$105,ROW()-6)&lt;&gt;"Starfsbundinn",GE10="",$E10="",$D10=""),"",ROUND(GE10/$E10*$D10*KVARDI,2))</f>
        <v/>
      </c>
      <c r="GG10" s="66" t="n"/>
      <c r="GH10" s="78">
        <f>IF(OR(INDEX(Undirviðmið!$G$6:$G$105,ROW()-6)&lt;&gt;"Starfsbundinn",GG10="",$E10="",$D10=""),"",ROUND(GG10/$E10*$D10*KVARDI,2))</f>
        <v/>
      </c>
      <c r="GI10" s="66" t="n"/>
      <c r="GJ10" s="78">
        <f>IF(OR(INDEX(Undirviðmið!$G$6:$G$105,ROW()-6)&lt;&gt;"Starfsbundinn",GI10="",$E10="",$D10=""),"",ROUND(GI10/$E10*$D10*KVARDI,2))</f>
        <v/>
      </c>
      <c r="GK10" s="66" t="n"/>
      <c r="GL10" s="78">
        <f>IF(OR(INDEX(Undirviðmið!$G$6:$G$105,ROW()-6)&lt;&gt;"Starfsbundinn",GK10="",$E10="",$D10=""),"",ROUND(GK10/$E10*$D10*KVARDI,2))</f>
        <v/>
      </c>
      <c r="GM10" s="66" t="n"/>
      <c r="GN10" s="78">
        <f>IF(OR(INDEX(Undirviðmið!$G$6:$G$105,ROW()-6)&lt;&gt;"Starfsbundinn",GM10="",$E10="",$D10=""),"",ROUND(GM10/$E10*$D10*KVARDI,2))</f>
        <v/>
      </c>
      <c r="GO10" s="66" t="n"/>
      <c r="GP10" s="78">
        <f>IF(OR(INDEX(Undirviðmið!$G$6:$G$105,ROW()-6)&lt;&gt;"Starfsbundinn",GO10="",$E10="",$D10=""),"",ROUND(GO10/$E10*$D10*KVARDI,2))</f>
        <v/>
      </c>
      <c r="GQ10" s="66" t="n"/>
      <c r="GR10" s="78">
        <f>IF(OR(INDEX(Undirviðmið!$G$6:$G$105,ROW()-6)&lt;&gt;"Starfsbundinn",GQ10="",$E10="",$D10=""),"",ROUND(GQ10/$E10*$D10*KVARDI,2))</f>
        <v/>
      </c>
      <c r="GS10" s="66" t="n"/>
      <c r="GT10" s="78">
        <f>IF(OR(INDEX(Undirviðmið!$G$6:$G$105,ROW()-6)&lt;&gt;"Starfsbundinn",GS10="",$E10="",$D10=""),"",ROUND(GS10/$E10*$D10*KVARDI,2))</f>
        <v/>
      </c>
      <c r="GU10" s="66" t="n"/>
      <c r="GV10" s="78">
        <f>IF(OR(INDEX(Undirviðmið!$G$6:$G$105,ROW()-6)&lt;&gt;"Starfsbundinn",GU10="",$E10="",$D10=""),"",ROUND(GU10/$E10*$D10*KVARDI,2))</f>
        <v/>
      </c>
      <c r="GW10" s="66" t="n"/>
      <c r="GX10" s="78">
        <f>IF(OR(INDEX(Undirviðmið!$G$6:$G$105,ROW()-6)&lt;&gt;"Starfsbundinn",GW10="",$E10="",$D10=""),"",ROUND(GW10/$E10*$D10*KVARDI,2))</f>
        <v/>
      </c>
    </row>
    <row r="11" ht="15" customHeight="1" s="47">
      <c r="B11" s="67">
        <f>IF(INDEX(Undirviðmið!$G$6:$G$105,ROW()-6)="Starfsbundinn",INDEX(Undirviðmið!$B$6:$B$105,ROW()-6),"")</f>
        <v/>
      </c>
      <c r="C11" s="67">
        <f>IF(INDEX(Undirviðmið!$G$6:$G$105,ROW()-6)="Starfsbundinn",INDEX(Undirviðmið!$C$6:$C$105,ROW()-6),"")</f>
        <v/>
      </c>
      <c r="D11" s="77">
        <f>IF(INDEX(Undirviðmið!$G$6:$G$105,ROW()-6)="Starfsbundinn",INDEX(Undirviðmið!$E$6:$E$105,ROW()-6),"")</f>
        <v/>
      </c>
      <c r="E11" s="77">
        <f>IF(INDEX(Undirviðmið!$G$6:$G$105,ROW()-6)="Starfsbundinn",INDEX(Undirviðmið!$F$6:$F$105,ROW()-6),"")</f>
        <v/>
      </c>
      <c r="F11" s="77">
        <f>IF(INDEX(Undirviðmið!$G$6:$G$105,ROW()-6)="Starfsbundinn",IFERROR(INDEX(Undirviðmið!$E$6:$E$105,ROW()-6)*KVARDI,""),"")</f>
        <v/>
      </c>
      <c r="G11" s="66" t="n"/>
      <c r="H11" s="78">
        <f>IF(OR(INDEX(Undirviðmið!$G$6:$G$105,ROW()-6)&lt;&gt;"Starfsbundinn",G11="",$E11="",$D11=""),"",ROUND(G11/$E11*$D11*KVARDI,2))</f>
        <v/>
      </c>
      <c r="I11" s="66" t="n"/>
      <c r="J11" s="78">
        <f>IF(OR(INDEX(Undirviðmið!$G$6:$G$105,ROW()-6)&lt;&gt;"Starfsbundinn",I11="",$E11="",$D11=""),"",ROUND(I11/$E11*$D11*KVARDI,2))</f>
        <v/>
      </c>
      <c r="K11" s="66" t="n"/>
      <c r="L11" s="78">
        <f>IF(OR(INDEX(Undirviðmið!$G$6:$G$105,ROW()-6)&lt;&gt;"Starfsbundinn",K11="",$E11="",$D11=""),"",ROUND(K11/$E11*$D11*KVARDI,2))</f>
        <v/>
      </c>
      <c r="M11" s="66" t="n"/>
      <c r="N11" s="78">
        <f>IF(OR(INDEX(Undirviðmið!$G$6:$G$105,ROW()-6)&lt;&gt;"Starfsbundinn",M11="",$E11="",$D11=""),"",ROUND(M11/$E11*$D11*KVARDI,2))</f>
        <v/>
      </c>
      <c r="O11" s="66" t="n"/>
      <c r="P11" s="78">
        <f>IF(OR(INDEX(Undirviðmið!$G$6:$G$105,ROW()-6)&lt;&gt;"Starfsbundinn",O11="",$E11="",$D11=""),"",ROUND(O11/$E11*$D11*KVARDI,2))</f>
        <v/>
      </c>
      <c r="Q11" s="66" t="n"/>
      <c r="R11" s="78">
        <f>IF(OR(INDEX(Undirviðmið!$G$6:$G$105,ROW()-6)&lt;&gt;"Starfsbundinn",Q11="",$E11="",$D11=""),"",ROUND(Q11/$E11*$D11*KVARDI,2))</f>
        <v/>
      </c>
      <c r="S11" s="66" t="n"/>
      <c r="T11" s="78">
        <f>IF(OR(INDEX(Undirviðmið!$G$6:$G$105,ROW()-6)&lt;&gt;"Starfsbundinn",S11="",$E11="",$D11=""),"",ROUND(S11/$E11*$D11*KVARDI,2))</f>
        <v/>
      </c>
      <c r="U11" s="66" t="n"/>
      <c r="V11" s="78">
        <f>IF(OR(INDEX(Undirviðmið!$G$6:$G$105,ROW()-6)&lt;&gt;"Starfsbundinn",U11="",$E11="",$D11=""),"",ROUND(U11/$E11*$D11*KVARDI,2))</f>
        <v/>
      </c>
      <c r="W11" s="66" t="n"/>
      <c r="X11" s="78">
        <f>IF(OR(INDEX(Undirviðmið!$G$6:$G$105,ROW()-6)&lt;&gt;"Starfsbundinn",W11="",$E11="",$D11=""),"",ROUND(W11/$E11*$D11*KVARDI,2))</f>
        <v/>
      </c>
      <c r="Y11" s="66" t="n"/>
      <c r="Z11" s="78">
        <f>IF(OR(INDEX(Undirviðmið!$G$6:$G$105,ROW()-6)&lt;&gt;"Starfsbundinn",Y11="",$E11="",$D11=""),"",ROUND(Y11/$E11*$D11*KVARDI,2))</f>
        <v/>
      </c>
      <c r="AA11" s="66" t="n"/>
      <c r="AB11" s="78">
        <f>IF(OR(INDEX(Undirviðmið!$G$6:$G$105,ROW()-6)&lt;&gt;"Starfsbundinn",AA11="",$E11="",$D11=""),"",ROUND(AA11/$E11*$D11*KVARDI,2))</f>
        <v/>
      </c>
      <c r="AC11" s="66" t="n"/>
      <c r="AD11" s="78">
        <f>IF(OR(INDEX(Undirviðmið!$G$6:$G$105,ROW()-6)&lt;&gt;"Starfsbundinn",AC11="",$E11="",$D11=""),"",ROUND(AC11/$E11*$D11*KVARDI,2))</f>
        <v/>
      </c>
      <c r="AE11" s="66" t="n"/>
      <c r="AF11" s="78">
        <f>IF(OR(INDEX(Undirviðmið!$G$6:$G$105,ROW()-6)&lt;&gt;"Starfsbundinn",AE11="",$E11="",$D11=""),"",ROUND(AE11/$E11*$D11*KVARDI,2))</f>
        <v/>
      </c>
      <c r="AG11" s="66" t="n"/>
      <c r="AH11" s="78">
        <f>IF(OR(INDEX(Undirviðmið!$G$6:$G$105,ROW()-6)&lt;&gt;"Starfsbundinn",AG11="",$E11="",$D11=""),"",ROUND(AG11/$E11*$D11*KVARDI,2))</f>
        <v/>
      </c>
      <c r="AI11" s="66" t="n"/>
      <c r="AJ11" s="78">
        <f>IF(OR(INDEX(Undirviðmið!$G$6:$G$105,ROW()-6)&lt;&gt;"Starfsbundinn",AI11="",$E11="",$D11=""),"",ROUND(AI11/$E11*$D11*KVARDI,2))</f>
        <v/>
      </c>
      <c r="AK11" s="66" t="n"/>
      <c r="AL11" s="78">
        <f>IF(OR(INDEX(Undirviðmið!$G$6:$G$105,ROW()-6)&lt;&gt;"Starfsbundinn",AK11="",$E11="",$D11=""),"",ROUND(AK11/$E11*$D11*KVARDI,2))</f>
        <v/>
      </c>
      <c r="AM11" s="66" t="n"/>
      <c r="AN11" s="78">
        <f>IF(OR(INDEX(Undirviðmið!$G$6:$G$105,ROW()-6)&lt;&gt;"Starfsbundinn",AM11="",$E11="",$D11=""),"",ROUND(AM11/$E11*$D11*KVARDI,2))</f>
        <v/>
      </c>
      <c r="AO11" s="66" t="n"/>
      <c r="AP11" s="78">
        <f>IF(OR(INDEX(Undirviðmið!$G$6:$G$105,ROW()-6)&lt;&gt;"Starfsbundinn",AO11="",$E11="",$D11=""),"",ROUND(AO11/$E11*$D11*KVARDI,2))</f>
        <v/>
      </c>
      <c r="AQ11" s="66" t="n"/>
      <c r="AR11" s="78">
        <f>IF(OR(INDEX(Undirviðmið!$G$6:$G$105,ROW()-6)&lt;&gt;"Starfsbundinn",AQ11="",$E11="",$D11=""),"",ROUND(AQ11/$E11*$D11*KVARDI,2))</f>
        <v/>
      </c>
      <c r="AS11" s="66" t="n"/>
      <c r="AT11" s="78">
        <f>IF(OR(INDEX(Undirviðmið!$G$6:$G$105,ROW()-6)&lt;&gt;"Starfsbundinn",AS11="",$E11="",$D11=""),"",ROUND(AS11/$E11*$D11*KVARDI,2))</f>
        <v/>
      </c>
      <c r="AU11" s="66" t="n"/>
      <c r="AV11" s="78">
        <f>IF(OR(INDEX(Undirviðmið!$G$6:$G$105,ROW()-6)&lt;&gt;"Starfsbundinn",AU11="",$E11="",$D11=""),"",ROUND(AU11/$E11*$D11*KVARDI,2))</f>
        <v/>
      </c>
      <c r="AW11" s="66" t="n"/>
      <c r="AX11" s="78">
        <f>IF(OR(INDEX(Undirviðmið!$G$6:$G$105,ROW()-6)&lt;&gt;"Starfsbundinn",AW11="",$E11="",$D11=""),"",ROUND(AW11/$E11*$D11*KVARDI,2))</f>
        <v/>
      </c>
      <c r="AY11" s="66" t="n"/>
      <c r="AZ11" s="78">
        <f>IF(OR(INDEX(Undirviðmið!$G$6:$G$105,ROW()-6)&lt;&gt;"Starfsbundinn",AY11="",$E11="",$D11=""),"",ROUND(AY11/$E11*$D11*KVARDI,2))</f>
        <v/>
      </c>
      <c r="BA11" s="66" t="n"/>
      <c r="BB11" s="78">
        <f>IF(OR(INDEX(Undirviðmið!$G$6:$G$105,ROW()-6)&lt;&gt;"Starfsbundinn",BA11="",$E11="",$D11=""),"",ROUND(BA11/$E11*$D11*KVARDI,2))</f>
        <v/>
      </c>
      <c r="BC11" s="66" t="n"/>
      <c r="BD11" s="78">
        <f>IF(OR(INDEX(Undirviðmið!$G$6:$G$105,ROW()-6)&lt;&gt;"Starfsbundinn",BC11="",$E11="",$D11=""),"",ROUND(BC11/$E11*$D11*KVARDI,2))</f>
        <v/>
      </c>
      <c r="BE11" s="66" t="n"/>
      <c r="BF11" s="78">
        <f>IF(OR(INDEX(Undirviðmið!$G$6:$G$105,ROW()-6)&lt;&gt;"Starfsbundinn",BE11="",$E11="",$D11=""),"",ROUND(BE11/$E11*$D11*KVARDI,2))</f>
        <v/>
      </c>
      <c r="BG11" s="66" t="n"/>
      <c r="BH11" s="78">
        <f>IF(OR(INDEX(Undirviðmið!$G$6:$G$105,ROW()-6)&lt;&gt;"Starfsbundinn",BG11="",$E11="",$D11=""),"",ROUND(BG11/$E11*$D11*KVARDI,2))</f>
        <v/>
      </c>
      <c r="BI11" s="66" t="n"/>
      <c r="BJ11" s="78">
        <f>IF(OR(INDEX(Undirviðmið!$G$6:$G$105,ROW()-6)&lt;&gt;"Starfsbundinn",BI11="",$E11="",$D11=""),"",ROUND(BI11/$E11*$D11*KVARDI,2))</f>
        <v/>
      </c>
      <c r="BK11" s="66" t="n"/>
      <c r="BL11" s="78">
        <f>IF(OR(INDEX(Undirviðmið!$G$6:$G$105,ROW()-6)&lt;&gt;"Starfsbundinn",BK11="",$E11="",$D11=""),"",ROUND(BK11/$E11*$D11*KVARDI,2))</f>
        <v/>
      </c>
      <c r="BM11" s="66" t="n"/>
      <c r="BN11" s="78">
        <f>IF(OR(INDEX(Undirviðmið!$G$6:$G$105,ROW()-6)&lt;&gt;"Starfsbundinn",BM11="",$E11="",$D11=""),"",ROUND(BM11/$E11*$D11*KVARDI,2))</f>
        <v/>
      </c>
      <c r="BO11" s="66" t="n"/>
      <c r="BP11" s="78">
        <f>IF(OR(INDEX(Undirviðmið!$G$6:$G$105,ROW()-6)&lt;&gt;"Starfsbundinn",BO11="",$E11="",$D11=""),"",ROUND(BO11/$E11*$D11*KVARDI,2))</f>
        <v/>
      </c>
      <c r="BQ11" s="66" t="n"/>
      <c r="BR11" s="78">
        <f>IF(OR(INDEX(Undirviðmið!$G$6:$G$105,ROW()-6)&lt;&gt;"Starfsbundinn",BQ11="",$E11="",$D11=""),"",ROUND(BQ11/$E11*$D11*KVARDI,2))</f>
        <v/>
      </c>
      <c r="BS11" s="66" t="n"/>
      <c r="BT11" s="78">
        <f>IF(OR(INDEX(Undirviðmið!$G$6:$G$105,ROW()-6)&lt;&gt;"Starfsbundinn",BS11="",$E11="",$D11=""),"",ROUND(BS11/$E11*$D11*KVARDI,2))</f>
        <v/>
      </c>
      <c r="BU11" s="66" t="n"/>
      <c r="BV11" s="78">
        <f>IF(OR(INDEX(Undirviðmið!$G$6:$G$105,ROW()-6)&lt;&gt;"Starfsbundinn",BU11="",$E11="",$D11=""),"",ROUND(BU11/$E11*$D11*KVARDI,2))</f>
        <v/>
      </c>
      <c r="BW11" s="66" t="n"/>
      <c r="BX11" s="78">
        <f>IF(OR(INDEX(Undirviðmið!$G$6:$G$105,ROW()-6)&lt;&gt;"Starfsbundinn",BW11="",$E11="",$D11=""),"",ROUND(BW11/$E11*$D11*KVARDI,2))</f>
        <v/>
      </c>
      <c r="BY11" s="66" t="n"/>
      <c r="BZ11" s="78">
        <f>IF(OR(INDEX(Undirviðmið!$G$6:$G$105,ROW()-6)&lt;&gt;"Starfsbundinn",BY11="",$E11="",$D11=""),"",ROUND(BY11/$E11*$D11*KVARDI,2))</f>
        <v/>
      </c>
      <c r="CA11" s="66" t="n"/>
      <c r="CB11" s="78">
        <f>IF(OR(INDEX(Undirviðmið!$G$6:$G$105,ROW()-6)&lt;&gt;"Starfsbundinn",CA11="",$E11="",$D11=""),"",ROUND(CA11/$E11*$D11*KVARDI,2))</f>
        <v/>
      </c>
      <c r="CC11" s="66" t="n"/>
      <c r="CD11" s="78">
        <f>IF(OR(INDEX(Undirviðmið!$G$6:$G$105,ROW()-6)&lt;&gt;"Starfsbundinn",CC11="",$E11="",$D11=""),"",ROUND(CC11/$E11*$D11*KVARDI,2))</f>
        <v/>
      </c>
      <c r="CE11" s="66" t="n"/>
      <c r="CF11" s="78">
        <f>IF(OR(INDEX(Undirviðmið!$G$6:$G$105,ROW()-6)&lt;&gt;"Starfsbundinn",CE11="",$E11="",$D11=""),"",ROUND(CE11/$E11*$D11*KVARDI,2))</f>
        <v/>
      </c>
      <c r="CG11" s="66" t="n"/>
      <c r="CH11" s="78">
        <f>IF(OR(INDEX(Undirviðmið!$G$6:$G$105,ROW()-6)&lt;&gt;"Starfsbundinn",CG11="",$E11="",$D11=""),"",ROUND(CG11/$E11*$D11*KVARDI,2))</f>
        <v/>
      </c>
      <c r="CI11" s="66" t="n"/>
      <c r="CJ11" s="78">
        <f>IF(OR(INDEX(Undirviðmið!$G$6:$G$105,ROW()-6)&lt;&gt;"Starfsbundinn",CI11="",$E11="",$D11=""),"",ROUND(CI11/$E11*$D11*KVARDI,2))</f>
        <v/>
      </c>
      <c r="CK11" s="66" t="n"/>
      <c r="CL11" s="78">
        <f>IF(OR(INDEX(Undirviðmið!$G$6:$G$105,ROW()-6)&lt;&gt;"Starfsbundinn",CK11="",$E11="",$D11=""),"",ROUND(CK11/$E11*$D11*KVARDI,2))</f>
        <v/>
      </c>
      <c r="CM11" s="66" t="n"/>
      <c r="CN11" s="78">
        <f>IF(OR(INDEX(Undirviðmið!$G$6:$G$105,ROW()-6)&lt;&gt;"Starfsbundinn",CM11="",$E11="",$D11=""),"",ROUND(CM11/$E11*$D11*KVARDI,2))</f>
        <v/>
      </c>
      <c r="CO11" s="66" t="n"/>
      <c r="CP11" s="78">
        <f>IF(OR(INDEX(Undirviðmið!$G$6:$G$105,ROW()-6)&lt;&gt;"Starfsbundinn",CO11="",$E11="",$D11=""),"",ROUND(CO11/$E11*$D11*KVARDI,2))</f>
        <v/>
      </c>
      <c r="CQ11" s="66" t="n"/>
      <c r="CR11" s="78">
        <f>IF(OR(INDEX(Undirviðmið!$G$6:$G$105,ROW()-6)&lt;&gt;"Starfsbundinn",CQ11="",$E11="",$D11=""),"",ROUND(CQ11/$E11*$D11*KVARDI,2))</f>
        <v/>
      </c>
      <c r="CS11" s="66" t="n"/>
      <c r="CT11" s="78">
        <f>IF(OR(INDEX(Undirviðmið!$G$6:$G$105,ROW()-6)&lt;&gt;"Starfsbundinn",CS11="",$E11="",$D11=""),"",ROUND(CS11/$E11*$D11*KVARDI,2))</f>
        <v/>
      </c>
      <c r="CU11" s="66" t="n"/>
      <c r="CV11" s="78">
        <f>IF(OR(INDEX(Undirviðmið!$G$6:$G$105,ROW()-6)&lt;&gt;"Starfsbundinn",CU11="",$E11="",$D11=""),"",ROUND(CU11/$E11*$D11*KVARDI,2))</f>
        <v/>
      </c>
      <c r="CW11" s="66" t="n"/>
      <c r="CX11" s="78">
        <f>IF(OR(INDEX(Undirviðmið!$G$6:$G$105,ROW()-6)&lt;&gt;"Starfsbundinn",CW11="",$E11="",$D11=""),"",ROUND(CW11/$E11*$D11*KVARDI,2))</f>
        <v/>
      </c>
      <c r="CY11" s="66" t="n"/>
      <c r="CZ11" s="78">
        <f>IF(OR(INDEX(Undirviðmið!$G$6:$G$105,ROW()-6)&lt;&gt;"Starfsbundinn",CY11="",$E11="",$D11=""),"",ROUND(CY11/$E11*$D11*KVARDI,2))</f>
        <v/>
      </c>
      <c r="DA11" s="66" t="n"/>
      <c r="DB11" s="78">
        <f>IF(OR(INDEX(Undirviðmið!$G$6:$G$105,ROW()-6)&lt;&gt;"Starfsbundinn",DA11="",$E11="",$D11=""),"",ROUND(DA11/$E11*$D11*KVARDI,2))</f>
        <v/>
      </c>
      <c r="DC11" s="66" t="n"/>
      <c r="DD11" s="78">
        <f>IF(OR(INDEX(Undirviðmið!$G$6:$G$105,ROW()-6)&lt;&gt;"Starfsbundinn",DC11="",$E11="",$D11=""),"",ROUND(DC11/$E11*$D11*KVARDI,2))</f>
        <v/>
      </c>
      <c r="DE11" s="66" t="n"/>
      <c r="DF11" s="78">
        <f>IF(OR(INDEX(Undirviðmið!$G$6:$G$105,ROW()-6)&lt;&gt;"Starfsbundinn",DE11="",$E11="",$D11=""),"",ROUND(DE11/$E11*$D11*KVARDI,2))</f>
        <v/>
      </c>
      <c r="DG11" s="66" t="n"/>
      <c r="DH11" s="78">
        <f>IF(OR(INDEX(Undirviðmið!$G$6:$G$105,ROW()-6)&lt;&gt;"Starfsbundinn",DG11="",$E11="",$D11=""),"",ROUND(DG11/$E11*$D11*KVARDI,2))</f>
        <v/>
      </c>
      <c r="DI11" s="66" t="n"/>
      <c r="DJ11" s="78">
        <f>IF(OR(INDEX(Undirviðmið!$G$6:$G$105,ROW()-6)&lt;&gt;"Starfsbundinn",DI11="",$E11="",$D11=""),"",ROUND(DI11/$E11*$D11*KVARDI,2))</f>
        <v/>
      </c>
      <c r="DK11" s="66" t="n"/>
      <c r="DL11" s="78">
        <f>IF(OR(INDEX(Undirviðmið!$G$6:$G$105,ROW()-6)&lt;&gt;"Starfsbundinn",DK11="",$E11="",$D11=""),"",ROUND(DK11/$E11*$D11*KVARDI,2))</f>
        <v/>
      </c>
      <c r="DM11" s="66" t="n"/>
      <c r="DN11" s="78">
        <f>IF(OR(INDEX(Undirviðmið!$G$6:$G$105,ROW()-6)&lt;&gt;"Starfsbundinn",DM11="",$E11="",$D11=""),"",ROUND(DM11/$E11*$D11*KVARDI,2))</f>
        <v/>
      </c>
      <c r="DO11" s="66" t="n"/>
      <c r="DP11" s="78">
        <f>IF(OR(INDEX(Undirviðmið!$G$6:$G$105,ROW()-6)&lt;&gt;"Starfsbundinn",DO11="",$E11="",$D11=""),"",ROUND(DO11/$E11*$D11*KVARDI,2))</f>
        <v/>
      </c>
      <c r="DQ11" s="66" t="n"/>
      <c r="DR11" s="78">
        <f>IF(OR(INDEX(Undirviðmið!$G$6:$G$105,ROW()-6)&lt;&gt;"Starfsbundinn",DQ11="",$E11="",$D11=""),"",ROUND(DQ11/$E11*$D11*KVARDI,2))</f>
        <v/>
      </c>
      <c r="DS11" s="66" t="n"/>
      <c r="DT11" s="78">
        <f>IF(OR(INDEX(Undirviðmið!$G$6:$G$105,ROW()-6)&lt;&gt;"Starfsbundinn",DS11="",$E11="",$D11=""),"",ROUND(DS11/$E11*$D11*KVARDI,2))</f>
        <v/>
      </c>
      <c r="DU11" s="66" t="n"/>
      <c r="DV11" s="78">
        <f>IF(OR(INDEX(Undirviðmið!$G$6:$G$105,ROW()-6)&lt;&gt;"Starfsbundinn",DU11="",$E11="",$D11=""),"",ROUND(DU11/$E11*$D11*KVARDI,2))</f>
        <v/>
      </c>
      <c r="DW11" s="66" t="n"/>
      <c r="DX11" s="78">
        <f>IF(OR(INDEX(Undirviðmið!$G$6:$G$105,ROW()-6)&lt;&gt;"Starfsbundinn",DW11="",$E11="",$D11=""),"",ROUND(DW11/$E11*$D11*KVARDI,2))</f>
        <v/>
      </c>
      <c r="DY11" s="66" t="n"/>
      <c r="DZ11" s="78">
        <f>IF(OR(INDEX(Undirviðmið!$G$6:$G$105,ROW()-6)&lt;&gt;"Starfsbundinn",DY11="",$E11="",$D11=""),"",ROUND(DY11/$E11*$D11*KVARDI,2))</f>
        <v/>
      </c>
      <c r="EA11" s="66" t="n"/>
      <c r="EB11" s="78">
        <f>IF(OR(INDEX(Undirviðmið!$G$6:$G$105,ROW()-6)&lt;&gt;"Starfsbundinn",EA11="",$E11="",$D11=""),"",ROUND(EA11/$E11*$D11*KVARDI,2))</f>
        <v/>
      </c>
      <c r="EC11" s="66" t="n"/>
      <c r="ED11" s="78">
        <f>IF(OR(INDEX(Undirviðmið!$G$6:$G$105,ROW()-6)&lt;&gt;"Starfsbundinn",EC11="",$E11="",$D11=""),"",ROUND(EC11/$E11*$D11*KVARDI,2))</f>
        <v/>
      </c>
      <c r="EE11" s="66" t="n"/>
      <c r="EF11" s="78">
        <f>IF(OR(INDEX(Undirviðmið!$G$6:$G$105,ROW()-6)&lt;&gt;"Starfsbundinn",EE11="",$E11="",$D11=""),"",ROUND(EE11/$E11*$D11*KVARDI,2))</f>
        <v/>
      </c>
      <c r="EG11" s="66" t="n"/>
      <c r="EH11" s="78">
        <f>IF(OR(INDEX(Undirviðmið!$G$6:$G$105,ROW()-6)&lt;&gt;"Starfsbundinn",EG11="",$E11="",$D11=""),"",ROUND(EG11/$E11*$D11*KVARDI,2))</f>
        <v/>
      </c>
      <c r="EI11" s="66" t="n"/>
      <c r="EJ11" s="78">
        <f>IF(OR(INDEX(Undirviðmið!$G$6:$G$105,ROW()-6)&lt;&gt;"Starfsbundinn",EI11="",$E11="",$D11=""),"",ROUND(EI11/$E11*$D11*KVARDI,2))</f>
        <v/>
      </c>
      <c r="EK11" s="66" t="n"/>
      <c r="EL11" s="78">
        <f>IF(OR(INDEX(Undirviðmið!$G$6:$G$105,ROW()-6)&lt;&gt;"Starfsbundinn",EK11="",$E11="",$D11=""),"",ROUND(EK11/$E11*$D11*KVARDI,2))</f>
        <v/>
      </c>
      <c r="EM11" s="66" t="n"/>
      <c r="EN11" s="78">
        <f>IF(OR(INDEX(Undirviðmið!$G$6:$G$105,ROW()-6)&lt;&gt;"Starfsbundinn",EM11="",$E11="",$D11=""),"",ROUND(EM11/$E11*$D11*KVARDI,2))</f>
        <v/>
      </c>
      <c r="EO11" s="66" t="n"/>
      <c r="EP11" s="78">
        <f>IF(OR(INDEX(Undirviðmið!$G$6:$G$105,ROW()-6)&lt;&gt;"Starfsbundinn",EO11="",$E11="",$D11=""),"",ROUND(EO11/$E11*$D11*KVARDI,2))</f>
        <v/>
      </c>
      <c r="EQ11" s="66" t="n"/>
      <c r="ER11" s="78">
        <f>IF(OR(INDEX(Undirviðmið!$G$6:$G$105,ROW()-6)&lt;&gt;"Starfsbundinn",EQ11="",$E11="",$D11=""),"",ROUND(EQ11/$E11*$D11*KVARDI,2))</f>
        <v/>
      </c>
      <c r="ES11" s="66" t="n"/>
      <c r="ET11" s="78">
        <f>IF(OR(INDEX(Undirviðmið!$G$6:$G$105,ROW()-6)&lt;&gt;"Starfsbundinn",ES11="",$E11="",$D11=""),"",ROUND(ES11/$E11*$D11*KVARDI,2))</f>
        <v/>
      </c>
      <c r="EU11" s="66" t="n"/>
      <c r="EV11" s="78">
        <f>IF(OR(INDEX(Undirviðmið!$G$6:$G$105,ROW()-6)&lt;&gt;"Starfsbundinn",EU11="",$E11="",$D11=""),"",ROUND(EU11/$E11*$D11*KVARDI,2))</f>
        <v/>
      </c>
      <c r="EW11" s="66" t="n"/>
      <c r="EX11" s="78">
        <f>IF(OR(INDEX(Undirviðmið!$G$6:$G$105,ROW()-6)&lt;&gt;"Starfsbundinn",EW11="",$E11="",$D11=""),"",ROUND(EW11/$E11*$D11*KVARDI,2))</f>
        <v/>
      </c>
      <c r="EY11" s="66" t="n"/>
      <c r="EZ11" s="78">
        <f>IF(OR(INDEX(Undirviðmið!$G$6:$G$105,ROW()-6)&lt;&gt;"Starfsbundinn",EY11="",$E11="",$D11=""),"",ROUND(EY11/$E11*$D11*KVARDI,2))</f>
        <v/>
      </c>
      <c r="FA11" s="66" t="n"/>
      <c r="FB11" s="78">
        <f>IF(OR(INDEX(Undirviðmið!$G$6:$G$105,ROW()-6)&lt;&gt;"Starfsbundinn",FA11="",$E11="",$D11=""),"",ROUND(FA11/$E11*$D11*KVARDI,2))</f>
        <v/>
      </c>
      <c r="FC11" s="66" t="n"/>
      <c r="FD11" s="78">
        <f>IF(OR(INDEX(Undirviðmið!$G$6:$G$105,ROW()-6)&lt;&gt;"Starfsbundinn",FC11="",$E11="",$D11=""),"",ROUND(FC11/$E11*$D11*KVARDI,2))</f>
        <v/>
      </c>
      <c r="FE11" s="66" t="n"/>
      <c r="FF11" s="78">
        <f>IF(OR(INDEX(Undirviðmið!$G$6:$G$105,ROW()-6)&lt;&gt;"Starfsbundinn",FE11="",$E11="",$D11=""),"",ROUND(FE11/$E11*$D11*KVARDI,2))</f>
        <v/>
      </c>
      <c r="FG11" s="66" t="n"/>
      <c r="FH11" s="78">
        <f>IF(OR(INDEX(Undirviðmið!$G$6:$G$105,ROW()-6)&lt;&gt;"Starfsbundinn",FG11="",$E11="",$D11=""),"",ROUND(FG11/$E11*$D11*KVARDI,2))</f>
        <v/>
      </c>
      <c r="FI11" s="66" t="n"/>
      <c r="FJ11" s="78">
        <f>IF(OR(INDEX(Undirviðmið!$G$6:$G$105,ROW()-6)&lt;&gt;"Starfsbundinn",FI11="",$E11="",$D11=""),"",ROUND(FI11/$E11*$D11*KVARDI,2))</f>
        <v/>
      </c>
      <c r="FK11" s="66" t="n"/>
      <c r="FL11" s="78">
        <f>IF(OR(INDEX(Undirviðmið!$G$6:$G$105,ROW()-6)&lt;&gt;"Starfsbundinn",FK11="",$E11="",$D11=""),"",ROUND(FK11/$E11*$D11*KVARDI,2))</f>
        <v/>
      </c>
      <c r="FM11" s="66" t="n"/>
      <c r="FN11" s="78">
        <f>IF(OR(INDEX(Undirviðmið!$G$6:$G$105,ROW()-6)&lt;&gt;"Starfsbundinn",FM11="",$E11="",$D11=""),"",ROUND(FM11/$E11*$D11*KVARDI,2))</f>
        <v/>
      </c>
      <c r="FO11" s="66" t="n"/>
      <c r="FP11" s="78">
        <f>IF(OR(INDEX(Undirviðmið!$G$6:$G$105,ROW()-6)&lt;&gt;"Starfsbundinn",FO11="",$E11="",$D11=""),"",ROUND(FO11/$E11*$D11*KVARDI,2))</f>
        <v/>
      </c>
      <c r="FQ11" s="66" t="n"/>
      <c r="FR11" s="78">
        <f>IF(OR(INDEX(Undirviðmið!$G$6:$G$105,ROW()-6)&lt;&gt;"Starfsbundinn",FQ11="",$E11="",$D11=""),"",ROUND(FQ11/$E11*$D11*KVARDI,2))</f>
        <v/>
      </c>
      <c r="FS11" s="66" t="n"/>
      <c r="FT11" s="78">
        <f>IF(OR(INDEX(Undirviðmið!$G$6:$G$105,ROW()-6)&lt;&gt;"Starfsbundinn",FS11="",$E11="",$D11=""),"",ROUND(FS11/$E11*$D11*KVARDI,2))</f>
        <v/>
      </c>
      <c r="FU11" s="66" t="n"/>
      <c r="FV11" s="78">
        <f>IF(OR(INDEX(Undirviðmið!$G$6:$G$105,ROW()-6)&lt;&gt;"Starfsbundinn",FU11="",$E11="",$D11=""),"",ROUND(FU11/$E11*$D11*KVARDI,2))</f>
        <v/>
      </c>
      <c r="FW11" s="66" t="n"/>
      <c r="FX11" s="78">
        <f>IF(OR(INDEX(Undirviðmið!$G$6:$G$105,ROW()-6)&lt;&gt;"Starfsbundinn",FW11="",$E11="",$D11=""),"",ROUND(FW11/$E11*$D11*KVARDI,2))</f>
        <v/>
      </c>
      <c r="FY11" s="66" t="n"/>
      <c r="FZ11" s="78">
        <f>IF(OR(INDEX(Undirviðmið!$G$6:$G$105,ROW()-6)&lt;&gt;"Starfsbundinn",FY11="",$E11="",$D11=""),"",ROUND(FY11/$E11*$D11*KVARDI,2))</f>
        <v/>
      </c>
      <c r="GA11" s="66" t="n"/>
      <c r="GB11" s="78">
        <f>IF(OR(INDEX(Undirviðmið!$G$6:$G$105,ROW()-6)&lt;&gt;"Starfsbundinn",GA11="",$E11="",$D11=""),"",ROUND(GA11/$E11*$D11*KVARDI,2))</f>
        <v/>
      </c>
      <c r="GC11" s="66" t="n"/>
      <c r="GD11" s="78">
        <f>IF(OR(INDEX(Undirviðmið!$G$6:$G$105,ROW()-6)&lt;&gt;"Starfsbundinn",GC11="",$E11="",$D11=""),"",ROUND(GC11/$E11*$D11*KVARDI,2))</f>
        <v/>
      </c>
      <c r="GE11" s="66" t="n"/>
      <c r="GF11" s="78">
        <f>IF(OR(INDEX(Undirviðmið!$G$6:$G$105,ROW()-6)&lt;&gt;"Starfsbundinn",GE11="",$E11="",$D11=""),"",ROUND(GE11/$E11*$D11*KVARDI,2))</f>
        <v/>
      </c>
      <c r="GG11" s="66" t="n"/>
      <c r="GH11" s="78">
        <f>IF(OR(INDEX(Undirviðmið!$G$6:$G$105,ROW()-6)&lt;&gt;"Starfsbundinn",GG11="",$E11="",$D11=""),"",ROUND(GG11/$E11*$D11*KVARDI,2))</f>
        <v/>
      </c>
      <c r="GI11" s="66" t="n"/>
      <c r="GJ11" s="78">
        <f>IF(OR(INDEX(Undirviðmið!$G$6:$G$105,ROW()-6)&lt;&gt;"Starfsbundinn",GI11="",$E11="",$D11=""),"",ROUND(GI11/$E11*$D11*KVARDI,2))</f>
        <v/>
      </c>
      <c r="GK11" s="66" t="n"/>
      <c r="GL11" s="78">
        <f>IF(OR(INDEX(Undirviðmið!$G$6:$G$105,ROW()-6)&lt;&gt;"Starfsbundinn",GK11="",$E11="",$D11=""),"",ROUND(GK11/$E11*$D11*KVARDI,2))</f>
        <v/>
      </c>
      <c r="GM11" s="66" t="n"/>
      <c r="GN11" s="78">
        <f>IF(OR(INDEX(Undirviðmið!$G$6:$G$105,ROW()-6)&lt;&gt;"Starfsbundinn",GM11="",$E11="",$D11=""),"",ROUND(GM11/$E11*$D11*KVARDI,2))</f>
        <v/>
      </c>
      <c r="GO11" s="66" t="n"/>
      <c r="GP11" s="78">
        <f>IF(OR(INDEX(Undirviðmið!$G$6:$G$105,ROW()-6)&lt;&gt;"Starfsbundinn",GO11="",$E11="",$D11=""),"",ROUND(GO11/$E11*$D11*KVARDI,2))</f>
        <v/>
      </c>
      <c r="GQ11" s="66" t="n"/>
      <c r="GR11" s="78">
        <f>IF(OR(INDEX(Undirviðmið!$G$6:$G$105,ROW()-6)&lt;&gt;"Starfsbundinn",GQ11="",$E11="",$D11=""),"",ROUND(GQ11/$E11*$D11*KVARDI,2))</f>
        <v/>
      </c>
      <c r="GS11" s="66" t="n"/>
      <c r="GT11" s="78">
        <f>IF(OR(INDEX(Undirviðmið!$G$6:$G$105,ROW()-6)&lt;&gt;"Starfsbundinn",GS11="",$E11="",$D11=""),"",ROUND(GS11/$E11*$D11*KVARDI,2))</f>
        <v/>
      </c>
      <c r="GU11" s="66" t="n"/>
      <c r="GV11" s="78">
        <f>IF(OR(INDEX(Undirviðmið!$G$6:$G$105,ROW()-6)&lt;&gt;"Starfsbundinn",GU11="",$E11="",$D11=""),"",ROUND(GU11/$E11*$D11*KVARDI,2))</f>
        <v/>
      </c>
      <c r="GW11" s="66" t="n"/>
      <c r="GX11" s="78">
        <f>IF(OR(INDEX(Undirviðmið!$G$6:$G$105,ROW()-6)&lt;&gt;"Starfsbundinn",GW11="",$E11="",$D11=""),"",ROUND(GW11/$E11*$D11*KVARDI,2))</f>
        <v/>
      </c>
    </row>
    <row r="12" ht="15" customHeight="1" s="47">
      <c r="B12" s="67">
        <f>IF(INDEX(Undirviðmið!$G$6:$G$105,ROW()-6)="Starfsbundinn",INDEX(Undirviðmið!$B$6:$B$105,ROW()-6),"")</f>
        <v/>
      </c>
      <c r="C12" s="67">
        <f>IF(INDEX(Undirviðmið!$G$6:$G$105,ROW()-6)="Starfsbundinn",INDEX(Undirviðmið!$C$6:$C$105,ROW()-6),"")</f>
        <v/>
      </c>
      <c r="D12" s="77">
        <f>IF(INDEX(Undirviðmið!$G$6:$G$105,ROW()-6)="Starfsbundinn",INDEX(Undirviðmið!$E$6:$E$105,ROW()-6),"")</f>
        <v/>
      </c>
      <c r="E12" s="77">
        <f>IF(INDEX(Undirviðmið!$G$6:$G$105,ROW()-6)="Starfsbundinn",INDEX(Undirviðmið!$F$6:$F$105,ROW()-6),"")</f>
        <v/>
      </c>
      <c r="F12" s="77">
        <f>IF(INDEX(Undirviðmið!$G$6:$G$105,ROW()-6)="Starfsbundinn",IFERROR(INDEX(Undirviðmið!$E$6:$E$105,ROW()-6)*KVARDI,""),"")</f>
        <v/>
      </c>
      <c r="G12" s="66" t="n"/>
      <c r="H12" s="78">
        <f>IF(OR(INDEX(Undirviðmið!$G$6:$G$105,ROW()-6)&lt;&gt;"Starfsbundinn",G12="",$E12="",$D12=""),"",ROUND(G12/$E12*$D12*KVARDI,2))</f>
        <v/>
      </c>
      <c r="I12" s="66" t="n"/>
      <c r="J12" s="78">
        <f>IF(OR(INDEX(Undirviðmið!$G$6:$G$105,ROW()-6)&lt;&gt;"Starfsbundinn",I12="",$E12="",$D12=""),"",ROUND(I12/$E12*$D12*KVARDI,2))</f>
        <v/>
      </c>
      <c r="K12" s="66" t="n"/>
      <c r="L12" s="78">
        <f>IF(OR(INDEX(Undirviðmið!$G$6:$G$105,ROW()-6)&lt;&gt;"Starfsbundinn",K12="",$E12="",$D12=""),"",ROUND(K12/$E12*$D12*KVARDI,2))</f>
        <v/>
      </c>
      <c r="M12" s="66" t="n"/>
      <c r="N12" s="78">
        <f>IF(OR(INDEX(Undirviðmið!$G$6:$G$105,ROW()-6)&lt;&gt;"Starfsbundinn",M12="",$E12="",$D12=""),"",ROUND(M12/$E12*$D12*KVARDI,2))</f>
        <v/>
      </c>
      <c r="O12" s="66" t="n"/>
      <c r="P12" s="78">
        <f>IF(OR(INDEX(Undirviðmið!$G$6:$G$105,ROW()-6)&lt;&gt;"Starfsbundinn",O12="",$E12="",$D12=""),"",ROUND(O12/$E12*$D12*KVARDI,2))</f>
        <v/>
      </c>
      <c r="Q12" s="66" t="n"/>
      <c r="R12" s="78">
        <f>IF(OR(INDEX(Undirviðmið!$G$6:$G$105,ROW()-6)&lt;&gt;"Starfsbundinn",Q12="",$E12="",$D12=""),"",ROUND(Q12/$E12*$D12*KVARDI,2))</f>
        <v/>
      </c>
      <c r="S12" s="66" t="n"/>
      <c r="T12" s="78">
        <f>IF(OR(INDEX(Undirviðmið!$G$6:$G$105,ROW()-6)&lt;&gt;"Starfsbundinn",S12="",$E12="",$D12=""),"",ROUND(S12/$E12*$D12*KVARDI,2))</f>
        <v/>
      </c>
      <c r="U12" s="66" t="n"/>
      <c r="V12" s="78">
        <f>IF(OR(INDEX(Undirviðmið!$G$6:$G$105,ROW()-6)&lt;&gt;"Starfsbundinn",U12="",$E12="",$D12=""),"",ROUND(U12/$E12*$D12*KVARDI,2))</f>
        <v/>
      </c>
      <c r="W12" s="66" t="n"/>
      <c r="X12" s="78">
        <f>IF(OR(INDEX(Undirviðmið!$G$6:$G$105,ROW()-6)&lt;&gt;"Starfsbundinn",W12="",$E12="",$D12=""),"",ROUND(W12/$E12*$D12*KVARDI,2))</f>
        <v/>
      </c>
      <c r="Y12" s="66" t="n"/>
      <c r="Z12" s="78">
        <f>IF(OR(INDEX(Undirviðmið!$G$6:$G$105,ROW()-6)&lt;&gt;"Starfsbundinn",Y12="",$E12="",$D12=""),"",ROUND(Y12/$E12*$D12*KVARDI,2))</f>
        <v/>
      </c>
      <c r="AA12" s="66" t="n"/>
      <c r="AB12" s="78">
        <f>IF(OR(INDEX(Undirviðmið!$G$6:$G$105,ROW()-6)&lt;&gt;"Starfsbundinn",AA12="",$E12="",$D12=""),"",ROUND(AA12/$E12*$D12*KVARDI,2))</f>
        <v/>
      </c>
      <c r="AC12" s="66" t="n"/>
      <c r="AD12" s="78">
        <f>IF(OR(INDEX(Undirviðmið!$G$6:$G$105,ROW()-6)&lt;&gt;"Starfsbundinn",AC12="",$E12="",$D12=""),"",ROUND(AC12/$E12*$D12*KVARDI,2))</f>
        <v/>
      </c>
      <c r="AE12" s="66" t="n"/>
      <c r="AF12" s="78">
        <f>IF(OR(INDEX(Undirviðmið!$G$6:$G$105,ROW()-6)&lt;&gt;"Starfsbundinn",AE12="",$E12="",$D12=""),"",ROUND(AE12/$E12*$D12*KVARDI,2))</f>
        <v/>
      </c>
      <c r="AG12" s="66" t="n"/>
      <c r="AH12" s="78">
        <f>IF(OR(INDEX(Undirviðmið!$G$6:$G$105,ROW()-6)&lt;&gt;"Starfsbundinn",AG12="",$E12="",$D12=""),"",ROUND(AG12/$E12*$D12*KVARDI,2))</f>
        <v/>
      </c>
      <c r="AI12" s="66" t="n"/>
      <c r="AJ12" s="78">
        <f>IF(OR(INDEX(Undirviðmið!$G$6:$G$105,ROW()-6)&lt;&gt;"Starfsbundinn",AI12="",$E12="",$D12=""),"",ROUND(AI12/$E12*$D12*KVARDI,2))</f>
        <v/>
      </c>
      <c r="AK12" s="66" t="n"/>
      <c r="AL12" s="78">
        <f>IF(OR(INDEX(Undirviðmið!$G$6:$G$105,ROW()-6)&lt;&gt;"Starfsbundinn",AK12="",$E12="",$D12=""),"",ROUND(AK12/$E12*$D12*KVARDI,2))</f>
        <v/>
      </c>
      <c r="AM12" s="66" t="n"/>
      <c r="AN12" s="78">
        <f>IF(OR(INDEX(Undirviðmið!$G$6:$G$105,ROW()-6)&lt;&gt;"Starfsbundinn",AM12="",$E12="",$D12=""),"",ROUND(AM12/$E12*$D12*KVARDI,2))</f>
        <v/>
      </c>
      <c r="AO12" s="66" t="n"/>
      <c r="AP12" s="78">
        <f>IF(OR(INDEX(Undirviðmið!$G$6:$G$105,ROW()-6)&lt;&gt;"Starfsbundinn",AO12="",$E12="",$D12=""),"",ROUND(AO12/$E12*$D12*KVARDI,2))</f>
        <v/>
      </c>
      <c r="AQ12" s="66" t="n"/>
      <c r="AR12" s="78">
        <f>IF(OR(INDEX(Undirviðmið!$G$6:$G$105,ROW()-6)&lt;&gt;"Starfsbundinn",AQ12="",$E12="",$D12=""),"",ROUND(AQ12/$E12*$D12*KVARDI,2))</f>
        <v/>
      </c>
      <c r="AS12" s="66" t="n"/>
      <c r="AT12" s="78">
        <f>IF(OR(INDEX(Undirviðmið!$G$6:$G$105,ROW()-6)&lt;&gt;"Starfsbundinn",AS12="",$E12="",$D12=""),"",ROUND(AS12/$E12*$D12*KVARDI,2))</f>
        <v/>
      </c>
      <c r="AU12" s="66" t="n"/>
      <c r="AV12" s="78">
        <f>IF(OR(INDEX(Undirviðmið!$G$6:$G$105,ROW()-6)&lt;&gt;"Starfsbundinn",AU12="",$E12="",$D12=""),"",ROUND(AU12/$E12*$D12*KVARDI,2))</f>
        <v/>
      </c>
      <c r="AW12" s="66" t="n"/>
      <c r="AX12" s="78">
        <f>IF(OR(INDEX(Undirviðmið!$G$6:$G$105,ROW()-6)&lt;&gt;"Starfsbundinn",AW12="",$E12="",$D12=""),"",ROUND(AW12/$E12*$D12*KVARDI,2))</f>
        <v/>
      </c>
      <c r="AY12" s="66" t="n"/>
      <c r="AZ12" s="78">
        <f>IF(OR(INDEX(Undirviðmið!$G$6:$G$105,ROW()-6)&lt;&gt;"Starfsbundinn",AY12="",$E12="",$D12=""),"",ROUND(AY12/$E12*$D12*KVARDI,2))</f>
        <v/>
      </c>
      <c r="BA12" s="66" t="n"/>
      <c r="BB12" s="78">
        <f>IF(OR(INDEX(Undirviðmið!$G$6:$G$105,ROW()-6)&lt;&gt;"Starfsbundinn",BA12="",$E12="",$D12=""),"",ROUND(BA12/$E12*$D12*KVARDI,2))</f>
        <v/>
      </c>
      <c r="BC12" s="66" t="n"/>
      <c r="BD12" s="78">
        <f>IF(OR(INDEX(Undirviðmið!$G$6:$G$105,ROW()-6)&lt;&gt;"Starfsbundinn",BC12="",$E12="",$D12=""),"",ROUND(BC12/$E12*$D12*KVARDI,2))</f>
        <v/>
      </c>
      <c r="BE12" s="66" t="n"/>
      <c r="BF12" s="78">
        <f>IF(OR(INDEX(Undirviðmið!$G$6:$G$105,ROW()-6)&lt;&gt;"Starfsbundinn",BE12="",$E12="",$D12=""),"",ROUND(BE12/$E12*$D12*KVARDI,2))</f>
        <v/>
      </c>
      <c r="BG12" s="66" t="n"/>
      <c r="BH12" s="78">
        <f>IF(OR(INDEX(Undirviðmið!$G$6:$G$105,ROW()-6)&lt;&gt;"Starfsbundinn",BG12="",$E12="",$D12=""),"",ROUND(BG12/$E12*$D12*KVARDI,2))</f>
        <v/>
      </c>
      <c r="BI12" s="66" t="n"/>
      <c r="BJ12" s="78">
        <f>IF(OR(INDEX(Undirviðmið!$G$6:$G$105,ROW()-6)&lt;&gt;"Starfsbundinn",BI12="",$E12="",$D12=""),"",ROUND(BI12/$E12*$D12*KVARDI,2))</f>
        <v/>
      </c>
      <c r="BK12" s="66" t="n"/>
      <c r="BL12" s="78">
        <f>IF(OR(INDEX(Undirviðmið!$G$6:$G$105,ROW()-6)&lt;&gt;"Starfsbundinn",BK12="",$E12="",$D12=""),"",ROUND(BK12/$E12*$D12*KVARDI,2))</f>
        <v/>
      </c>
      <c r="BM12" s="66" t="n"/>
      <c r="BN12" s="78">
        <f>IF(OR(INDEX(Undirviðmið!$G$6:$G$105,ROW()-6)&lt;&gt;"Starfsbundinn",BM12="",$E12="",$D12=""),"",ROUND(BM12/$E12*$D12*KVARDI,2))</f>
        <v/>
      </c>
      <c r="BO12" s="66" t="n"/>
      <c r="BP12" s="78">
        <f>IF(OR(INDEX(Undirviðmið!$G$6:$G$105,ROW()-6)&lt;&gt;"Starfsbundinn",BO12="",$E12="",$D12=""),"",ROUND(BO12/$E12*$D12*KVARDI,2))</f>
        <v/>
      </c>
      <c r="BQ12" s="66" t="n"/>
      <c r="BR12" s="78">
        <f>IF(OR(INDEX(Undirviðmið!$G$6:$G$105,ROW()-6)&lt;&gt;"Starfsbundinn",BQ12="",$E12="",$D12=""),"",ROUND(BQ12/$E12*$D12*KVARDI,2))</f>
        <v/>
      </c>
      <c r="BS12" s="66" t="n"/>
      <c r="BT12" s="78">
        <f>IF(OR(INDEX(Undirviðmið!$G$6:$G$105,ROW()-6)&lt;&gt;"Starfsbundinn",BS12="",$E12="",$D12=""),"",ROUND(BS12/$E12*$D12*KVARDI,2))</f>
        <v/>
      </c>
      <c r="BU12" s="66" t="n"/>
      <c r="BV12" s="78">
        <f>IF(OR(INDEX(Undirviðmið!$G$6:$G$105,ROW()-6)&lt;&gt;"Starfsbundinn",BU12="",$E12="",$D12=""),"",ROUND(BU12/$E12*$D12*KVARDI,2))</f>
        <v/>
      </c>
      <c r="BW12" s="66" t="n"/>
      <c r="BX12" s="78">
        <f>IF(OR(INDEX(Undirviðmið!$G$6:$G$105,ROW()-6)&lt;&gt;"Starfsbundinn",BW12="",$E12="",$D12=""),"",ROUND(BW12/$E12*$D12*KVARDI,2))</f>
        <v/>
      </c>
      <c r="BY12" s="66" t="n"/>
      <c r="BZ12" s="78">
        <f>IF(OR(INDEX(Undirviðmið!$G$6:$G$105,ROW()-6)&lt;&gt;"Starfsbundinn",BY12="",$E12="",$D12=""),"",ROUND(BY12/$E12*$D12*KVARDI,2))</f>
        <v/>
      </c>
      <c r="CA12" s="66" t="n"/>
      <c r="CB12" s="78">
        <f>IF(OR(INDEX(Undirviðmið!$G$6:$G$105,ROW()-6)&lt;&gt;"Starfsbundinn",CA12="",$E12="",$D12=""),"",ROUND(CA12/$E12*$D12*KVARDI,2))</f>
        <v/>
      </c>
      <c r="CC12" s="66" t="n"/>
      <c r="CD12" s="78">
        <f>IF(OR(INDEX(Undirviðmið!$G$6:$G$105,ROW()-6)&lt;&gt;"Starfsbundinn",CC12="",$E12="",$D12=""),"",ROUND(CC12/$E12*$D12*KVARDI,2))</f>
        <v/>
      </c>
      <c r="CE12" s="66" t="n"/>
      <c r="CF12" s="78">
        <f>IF(OR(INDEX(Undirviðmið!$G$6:$G$105,ROW()-6)&lt;&gt;"Starfsbundinn",CE12="",$E12="",$D12=""),"",ROUND(CE12/$E12*$D12*KVARDI,2))</f>
        <v/>
      </c>
      <c r="CG12" s="66" t="n"/>
      <c r="CH12" s="78">
        <f>IF(OR(INDEX(Undirviðmið!$G$6:$G$105,ROW()-6)&lt;&gt;"Starfsbundinn",CG12="",$E12="",$D12=""),"",ROUND(CG12/$E12*$D12*KVARDI,2))</f>
        <v/>
      </c>
      <c r="CI12" s="66" t="n"/>
      <c r="CJ12" s="78">
        <f>IF(OR(INDEX(Undirviðmið!$G$6:$G$105,ROW()-6)&lt;&gt;"Starfsbundinn",CI12="",$E12="",$D12=""),"",ROUND(CI12/$E12*$D12*KVARDI,2))</f>
        <v/>
      </c>
      <c r="CK12" s="66" t="n"/>
      <c r="CL12" s="78">
        <f>IF(OR(INDEX(Undirviðmið!$G$6:$G$105,ROW()-6)&lt;&gt;"Starfsbundinn",CK12="",$E12="",$D12=""),"",ROUND(CK12/$E12*$D12*KVARDI,2))</f>
        <v/>
      </c>
      <c r="CM12" s="66" t="n"/>
      <c r="CN12" s="78">
        <f>IF(OR(INDEX(Undirviðmið!$G$6:$G$105,ROW()-6)&lt;&gt;"Starfsbundinn",CM12="",$E12="",$D12=""),"",ROUND(CM12/$E12*$D12*KVARDI,2))</f>
        <v/>
      </c>
      <c r="CO12" s="66" t="n"/>
      <c r="CP12" s="78">
        <f>IF(OR(INDEX(Undirviðmið!$G$6:$G$105,ROW()-6)&lt;&gt;"Starfsbundinn",CO12="",$E12="",$D12=""),"",ROUND(CO12/$E12*$D12*KVARDI,2))</f>
        <v/>
      </c>
      <c r="CQ12" s="66" t="n"/>
      <c r="CR12" s="78">
        <f>IF(OR(INDEX(Undirviðmið!$G$6:$G$105,ROW()-6)&lt;&gt;"Starfsbundinn",CQ12="",$E12="",$D12=""),"",ROUND(CQ12/$E12*$D12*KVARDI,2))</f>
        <v/>
      </c>
      <c r="CS12" s="66" t="n"/>
      <c r="CT12" s="78">
        <f>IF(OR(INDEX(Undirviðmið!$G$6:$G$105,ROW()-6)&lt;&gt;"Starfsbundinn",CS12="",$E12="",$D12=""),"",ROUND(CS12/$E12*$D12*KVARDI,2))</f>
        <v/>
      </c>
      <c r="CU12" s="66" t="n"/>
      <c r="CV12" s="78">
        <f>IF(OR(INDEX(Undirviðmið!$G$6:$G$105,ROW()-6)&lt;&gt;"Starfsbundinn",CU12="",$E12="",$D12=""),"",ROUND(CU12/$E12*$D12*KVARDI,2))</f>
        <v/>
      </c>
      <c r="CW12" s="66" t="n"/>
      <c r="CX12" s="78">
        <f>IF(OR(INDEX(Undirviðmið!$G$6:$G$105,ROW()-6)&lt;&gt;"Starfsbundinn",CW12="",$E12="",$D12=""),"",ROUND(CW12/$E12*$D12*KVARDI,2))</f>
        <v/>
      </c>
      <c r="CY12" s="66" t="n"/>
      <c r="CZ12" s="78">
        <f>IF(OR(INDEX(Undirviðmið!$G$6:$G$105,ROW()-6)&lt;&gt;"Starfsbundinn",CY12="",$E12="",$D12=""),"",ROUND(CY12/$E12*$D12*KVARDI,2))</f>
        <v/>
      </c>
      <c r="DA12" s="66" t="n"/>
      <c r="DB12" s="78">
        <f>IF(OR(INDEX(Undirviðmið!$G$6:$G$105,ROW()-6)&lt;&gt;"Starfsbundinn",DA12="",$E12="",$D12=""),"",ROUND(DA12/$E12*$D12*KVARDI,2))</f>
        <v/>
      </c>
      <c r="DC12" s="66" t="n"/>
      <c r="DD12" s="78">
        <f>IF(OR(INDEX(Undirviðmið!$G$6:$G$105,ROW()-6)&lt;&gt;"Starfsbundinn",DC12="",$E12="",$D12=""),"",ROUND(DC12/$E12*$D12*KVARDI,2))</f>
        <v/>
      </c>
      <c r="DE12" s="66" t="n"/>
      <c r="DF12" s="78">
        <f>IF(OR(INDEX(Undirviðmið!$G$6:$G$105,ROW()-6)&lt;&gt;"Starfsbundinn",DE12="",$E12="",$D12=""),"",ROUND(DE12/$E12*$D12*KVARDI,2))</f>
        <v/>
      </c>
      <c r="DG12" s="66" t="n"/>
      <c r="DH12" s="78">
        <f>IF(OR(INDEX(Undirviðmið!$G$6:$G$105,ROW()-6)&lt;&gt;"Starfsbundinn",DG12="",$E12="",$D12=""),"",ROUND(DG12/$E12*$D12*KVARDI,2))</f>
        <v/>
      </c>
      <c r="DI12" s="66" t="n"/>
      <c r="DJ12" s="78">
        <f>IF(OR(INDEX(Undirviðmið!$G$6:$G$105,ROW()-6)&lt;&gt;"Starfsbundinn",DI12="",$E12="",$D12=""),"",ROUND(DI12/$E12*$D12*KVARDI,2))</f>
        <v/>
      </c>
      <c r="DK12" s="66" t="n"/>
      <c r="DL12" s="78">
        <f>IF(OR(INDEX(Undirviðmið!$G$6:$G$105,ROW()-6)&lt;&gt;"Starfsbundinn",DK12="",$E12="",$D12=""),"",ROUND(DK12/$E12*$D12*KVARDI,2))</f>
        <v/>
      </c>
      <c r="DM12" s="66" t="n"/>
      <c r="DN12" s="78">
        <f>IF(OR(INDEX(Undirviðmið!$G$6:$G$105,ROW()-6)&lt;&gt;"Starfsbundinn",DM12="",$E12="",$D12=""),"",ROUND(DM12/$E12*$D12*KVARDI,2))</f>
        <v/>
      </c>
      <c r="DO12" s="66" t="n"/>
      <c r="DP12" s="78">
        <f>IF(OR(INDEX(Undirviðmið!$G$6:$G$105,ROW()-6)&lt;&gt;"Starfsbundinn",DO12="",$E12="",$D12=""),"",ROUND(DO12/$E12*$D12*KVARDI,2))</f>
        <v/>
      </c>
      <c r="DQ12" s="66" t="n"/>
      <c r="DR12" s="78">
        <f>IF(OR(INDEX(Undirviðmið!$G$6:$G$105,ROW()-6)&lt;&gt;"Starfsbundinn",DQ12="",$E12="",$D12=""),"",ROUND(DQ12/$E12*$D12*KVARDI,2))</f>
        <v/>
      </c>
      <c r="DS12" s="66" t="n"/>
      <c r="DT12" s="78">
        <f>IF(OR(INDEX(Undirviðmið!$G$6:$G$105,ROW()-6)&lt;&gt;"Starfsbundinn",DS12="",$E12="",$D12=""),"",ROUND(DS12/$E12*$D12*KVARDI,2))</f>
        <v/>
      </c>
      <c r="DU12" s="66" t="n"/>
      <c r="DV12" s="78">
        <f>IF(OR(INDEX(Undirviðmið!$G$6:$G$105,ROW()-6)&lt;&gt;"Starfsbundinn",DU12="",$E12="",$D12=""),"",ROUND(DU12/$E12*$D12*KVARDI,2))</f>
        <v/>
      </c>
      <c r="DW12" s="66" t="n"/>
      <c r="DX12" s="78">
        <f>IF(OR(INDEX(Undirviðmið!$G$6:$G$105,ROW()-6)&lt;&gt;"Starfsbundinn",DW12="",$E12="",$D12=""),"",ROUND(DW12/$E12*$D12*KVARDI,2))</f>
        <v/>
      </c>
      <c r="DY12" s="66" t="n"/>
      <c r="DZ12" s="78">
        <f>IF(OR(INDEX(Undirviðmið!$G$6:$G$105,ROW()-6)&lt;&gt;"Starfsbundinn",DY12="",$E12="",$D12=""),"",ROUND(DY12/$E12*$D12*KVARDI,2))</f>
        <v/>
      </c>
      <c r="EA12" s="66" t="n"/>
      <c r="EB12" s="78">
        <f>IF(OR(INDEX(Undirviðmið!$G$6:$G$105,ROW()-6)&lt;&gt;"Starfsbundinn",EA12="",$E12="",$D12=""),"",ROUND(EA12/$E12*$D12*KVARDI,2))</f>
        <v/>
      </c>
      <c r="EC12" s="66" t="n"/>
      <c r="ED12" s="78">
        <f>IF(OR(INDEX(Undirviðmið!$G$6:$G$105,ROW()-6)&lt;&gt;"Starfsbundinn",EC12="",$E12="",$D12=""),"",ROUND(EC12/$E12*$D12*KVARDI,2))</f>
        <v/>
      </c>
      <c r="EE12" s="66" t="n"/>
      <c r="EF12" s="78">
        <f>IF(OR(INDEX(Undirviðmið!$G$6:$G$105,ROW()-6)&lt;&gt;"Starfsbundinn",EE12="",$E12="",$D12=""),"",ROUND(EE12/$E12*$D12*KVARDI,2))</f>
        <v/>
      </c>
      <c r="EG12" s="66" t="n"/>
      <c r="EH12" s="78">
        <f>IF(OR(INDEX(Undirviðmið!$G$6:$G$105,ROW()-6)&lt;&gt;"Starfsbundinn",EG12="",$E12="",$D12=""),"",ROUND(EG12/$E12*$D12*KVARDI,2))</f>
        <v/>
      </c>
      <c r="EI12" s="66" t="n"/>
      <c r="EJ12" s="78">
        <f>IF(OR(INDEX(Undirviðmið!$G$6:$G$105,ROW()-6)&lt;&gt;"Starfsbundinn",EI12="",$E12="",$D12=""),"",ROUND(EI12/$E12*$D12*KVARDI,2))</f>
        <v/>
      </c>
      <c r="EK12" s="66" t="n"/>
      <c r="EL12" s="78">
        <f>IF(OR(INDEX(Undirviðmið!$G$6:$G$105,ROW()-6)&lt;&gt;"Starfsbundinn",EK12="",$E12="",$D12=""),"",ROUND(EK12/$E12*$D12*KVARDI,2))</f>
        <v/>
      </c>
      <c r="EM12" s="66" t="n"/>
      <c r="EN12" s="78">
        <f>IF(OR(INDEX(Undirviðmið!$G$6:$G$105,ROW()-6)&lt;&gt;"Starfsbundinn",EM12="",$E12="",$D12=""),"",ROUND(EM12/$E12*$D12*KVARDI,2))</f>
        <v/>
      </c>
      <c r="EO12" s="66" t="n"/>
      <c r="EP12" s="78">
        <f>IF(OR(INDEX(Undirviðmið!$G$6:$G$105,ROW()-6)&lt;&gt;"Starfsbundinn",EO12="",$E12="",$D12=""),"",ROUND(EO12/$E12*$D12*KVARDI,2))</f>
        <v/>
      </c>
      <c r="EQ12" s="66" t="n"/>
      <c r="ER12" s="78">
        <f>IF(OR(INDEX(Undirviðmið!$G$6:$G$105,ROW()-6)&lt;&gt;"Starfsbundinn",EQ12="",$E12="",$D12=""),"",ROUND(EQ12/$E12*$D12*KVARDI,2))</f>
        <v/>
      </c>
      <c r="ES12" s="66" t="n"/>
      <c r="ET12" s="78">
        <f>IF(OR(INDEX(Undirviðmið!$G$6:$G$105,ROW()-6)&lt;&gt;"Starfsbundinn",ES12="",$E12="",$D12=""),"",ROUND(ES12/$E12*$D12*KVARDI,2))</f>
        <v/>
      </c>
      <c r="EU12" s="66" t="n"/>
      <c r="EV12" s="78">
        <f>IF(OR(INDEX(Undirviðmið!$G$6:$G$105,ROW()-6)&lt;&gt;"Starfsbundinn",EU12="",$E12="",$D12=""),"",ROUND(EU12/$E12*$D12*KVARDI,2))</f>
        <v/>
      </c>
      <c r="EW12" s="66" t="n"/>
      <c r="EX12" s="78">
        <f>IF(OR(INDEX(Undirviðmið!$G$6:$G$105,ROW()-6)&lt;&gt;"Starfsbundinn",EW12="",$E12="",$D12=""),"",ROUND(EW12/$E12*$D12*KVARDI,2))</f>
        <v/>
      </c>
      <c r="EY12" s="66" t="n"/>
      <c r="EZ12" s="78">
        <f>IF(OR(INDEX(Undirviðmið!$G$6:$G$105,ROW()-6)&lt;&gt;"Starfsbundinn",EY12="",$E12="",$D12=""),"",ROUND(EY12/$E12*$D12*KVARDI,2))</f>
        <v/>
      </c>
      <c r="FA12" s="66" t="n"/>
      <c r="FB12" s="78">
        <f>IF(OR(INDEX(Undirviðmið!$G$6:$G$105,ROW()-6)&lt;&gt;"Starfsbundinn",FA12="",$E12="",$D12=""),"",ROUND(FA12/$E12*$D12*KVARDI,2))</f>
        <v/>
      </c>
      <c r="FC12" s="66" t="n"/>
      <c r="FD12" s="78">
        <f>IF(OR(INDEX(Undirviðmið!$G$6:$G$105,ROW()-6)&lt;&gt;"Starfsbundinn",FC12="",$E12="",$D12=""),"",ROUND(FC12/$E12*$D12*KVARDI,2))</f>
        <v/>
      </c>
      <c r="FE12" s="66" t="n"/>
      <c r="FF12" s="78">
        <f>IF(OR(INDEX(Undirviðmið!$G$6:$G$105,ROW()-6)&lt;&gt;"Starfsbundinn",FE12="",$E12="",$D12=""),"",ROUND(FE12/$E12*$D12*KVARDI,2))</f>
        <v/>
      </c>
      <c r="FG12" s="66" t="n"/>
      <c r="FH12" s="78">
        <f>IF(OR(INDEX(Undirviðmið!$G$6:$G$105,ROW()-6)&lt;&gt;"Starfsbundinn",FG12="",$E12="",$D12=""),"",ROUND(FG12/$E12*$D12*KVARDI,2))</f>
        <v/>
      </c>
      <c r="FI12" s="66" t="n"/>
      <c r="FJ12" s="78">
        <f>IF(OR(INDEX(Undirviðmið!$G$6:$G$105,ROW()-6)&lt;&gt;"Starfsbundinn",FI12="",$E12="",$D12=""),"",ROUND(FI12/$E12*$D12*KVARDI,2))</f>
        <v/>
      </c>
      <c r="FK12" s="66" t="n"/>
      <c r="FL12" s="78">
        <f>IF(OR(INDEX(Undirviðmið!$G$6:$G$105,ROW()-6)&lt;&gt;"Starfsbundinn",FK12="",$E12="",$D12=""),"",ROUND(FK12/$E12*$D12*KVARDI,2))</f>
        <v/>
      </c>
      <c r="FM12" s="66" t="n"/>
      <c r="FN12" s="78">
        <f>IF(OR(INDEX(Undirviðmið!$G$6:$G$105,ROW()-6)&lt;&gt;"Starfsbundinn",FM12="",$E12="",$D12=""),"",ROUND(FM12/$E12*$D12*KVARDI,2))</f>
        <v/>
      </c>
      <c r="FO12" s="66" t="n"/>
      <c r="FP12" s="78">
        <f>IF(OR(INDEX(Undirviðmið!$G$6:$G$105,ROW()-6)&lt;&gt;"Starfsbundinn",FO12="",$E12="",$D12=""),"",ROUND(FO12/$E12*$D12*KVARDI,2))</f>
        <v/>
      </c>
      <c r="FQ12" s="66" t="n"/>
      <c r="FR12" s="78">
        <f>IF(OR(INDEX(Undirviðmið!$G$6:$G$105,ROW()-6)&lt;&gt;"Starfsbundinn",FQ12="",$E12="",$D12=""),"",ROUND(FQ12/$E12*$D12*KVARDI,2))</f>
        <v/>
      </c>
      <c r="FS12" s="66" t="n"/>
      <c r="FT12" s="78">
        <f>IF(OR(INDEX(Undirviðmið!$G$6:$G$105,ROW()-6)&lt;&gt;"Starfsbundinn",FS12="",$E12="",$D12=""),"",ROUND(FS12/$E12*$D12*KVARDI,2))</f>
        <v/>
      </c>
      <c r="FU12" s="66" t="n"/>
      <c r="FV12" s="78">
        <f>IF(OR(INDEX(Undirviðmið!$G$6:$G$105,ROW()-6)&lt;&gt;"Starfsbundinn",FU12="",$E12="",$D12=""),"",ROUND(FU12/$E12*$D12*KVARDI,2))</f>
        <v/>
      </c>
      <c r="FW12" s="66" t="n"/>
      <c r="FX12" s="78">
        <f>IF(OR(INDEX(Undirviðmið!$G$6:$G$105,ROW()-6)&lt;&gt;"Starfsbundinn",FW12="",$E12="",$D12=""),"",ROUND(FW12/$E12*$D12*KVARDI,2))</f>
        <v/>
      </c>
      <c r="FY12" s="66" t="n"/>
      <c r="FZ12" s="78">
        <f>IF(OR(INDEX(Undirviðmið!$G$6:$G$105,ROW()-6)&lt;&gt;"Starfsbundinn",FY12="",$E12="",$D12=""),"",ROUND(FY12/$E12*$D12*KVARDI,2))</f>
        <v/>
      </c>
      <c r="GA12" s="66" t="n"/>
      <c r="GB12" s="78">
        <f>IF(OR(INDEX(Undirviðmið!$G$6:$G$105,ROW()-6)&lt;&gt;"Starfsbundinn",GA12="",$E12="",$D12=""),"",ROUND(GA12/$E12*$D12*KVARDI,2))</f>
        <v/>
      </c>
      <c r="GC12" s="66" t="n"/>
      <c r="GD12" s="78">
        <f>IF(OR(INDEX(Undirviðmið!$G$6:$G$105,ROW()-6)&lt;&gt;"Starfsbundinn",GC12="",$E12="",$D12=""),"",ROUND(GC12/$E12*$D12*KVARDI,2))</f>
        <v/>
      </c>
      <c r="GE12" s="66" t="n"/>
      <c r="GF12" s="78">
        <f>IF(OR(INDEX(Undirviðmið!$G$6:$G$105,ROW()-6)&lt;&gt;"Starfsbundinn",GE12="",$E12="",$D12=""),"",ROUND(GE12/$E12*$D12*KVARDI,2))</f>
        <v/>
      </c>
      <c r="GG12" s="66" t="n"/>
      <c r="GH12" s="78">
        <f>IF(OR(INDEX(Undirviðmið!$G$6:$G$105,ROW()-6)&lt;&gt;"Starfsbundinn",GG12="",$E12="",$D12=""),"",ROUND(GG12/$E12*$D12*KVARDI,2))</f>
        <v/>
      </c>
      <c r="GI12" s="66" t="n"/>
      <c r="GJ12" s="78">
        <f>IF(OR(INDEX(Undirviðmið!$G$6:$G$105,ROW()-6)&lt;&gt;"Starfsbundinn",GI12="",$E12="",$D12=""),"",ROUND(GI12/$E12*$D12*KVARDI,2))</f>
        <v/>
      </c>
      <c r="GK12" s="66" t="n"/>
      <c r="GL12" s="78">
        <f>IF(OR(INDEX(Undirviðmið!$G$6:$G$105,ROW()-6)&lt;&gt;"Starfsbundinn",GK12="",$E12="",$D12=""),"",ROUND(GK12/$E12*$D12*KVARDI,2))</f>
        <v/>
      </c>
      <c r="GM12" s="66" t="n"/>
      <c r="GN12" s="78">
        <f>IF(OR(INDEX(Undirviðmið!$G$6:$G$105,ROW()-6)&lt;&gt;"Starfsbundinn",GM12="",$E12="",$D12=""),"",ROUND(GM12/$E12*$D12*KVARDI,2))</f>
        <v/>
      </c>
      <c r="GO12" s="66" t="n"/>
      <c r="GP12" s="78">
        <f>IF(OR(INDEX(Undirviðmið!$G$6:$G$105,ROW()-6)&lt;&gt;"Starfsbundinn",GO12="",$E12="",$D12=""),"",ROUND(GO12/$E12*$D12*KVARDI,2))</f>
        <v/>
      </c>
      <c r="GQ12" s="66" t="n"/>
      <c r="GR12" s="78">
        <f>IF(OR(INDEX(Undirviðmið!$G$6:$G$105,ROW()-6)&lt;&gt;"Starfsbundinn",GQ12="",$E12="",$D12=""),"",ROUND(GQ12/$E12*$D12*KVARDI,2))</f>
        <v/>
      </c>
      <c r="GS12" s="66" t="n"/>
      <c r="GT12" s="78">
        <f>IF(OR(INDEX(Undirviðmið!$G$6:$G$105,ROW()-6)&lt;&gt;"Starfsbundinn",GS12="",$E12="",$D12=""),"",ROUND(GS12/$E12*$D12*KVARDI,2))</f>
        <v/>
      </c>
      <c r="GU12" s="66" t="n"/>
      <c r="GV12" s="78">
        <f>IF(OR(INDEX(Undirviðmið!$G$6:$G$105,ROW()-6)&lt;&gt;"Starfsbundinn",GU12="",$E12="",$D12=""),"",ROUND(GU12/$E12*$D12*KVARDI,2))</f>
        <v/>
      </c>
      <c r="GW12" s="66" t="n"/>
      <c r="GX12" s="78">
        <f>IF(OR(INDEX(Undirviðmið!$G$6:$G$105,ROW()-6)&lt;&gt;"Starfsbundinn",GW12="",$E12="",$D12=""),"",ROUND(GW12/$E12*$D12*KVARDI,2))</f>
        <v/>
      </c>
    </row>
    <row r="13" ht="15" customHeight="1" s="47">
      <c r="B13" s="67">
        <f>IF(INDEX(Undirviðmið!$G$6:$G$105,ROW()-6)="Starfsbundinn",INDEX(Undirviðmið!$B$6:$B$105,ROW()-6),"")</f>
        <v/>
      </c>
      <c r="C13" s="67">
        <f>IF(INDEX(Undirviðmið!$G$6:$G$105,ROW()-6)="Starfsbundinn",INDEX(Undirviðmið!$C$6:$C$105,ROW()-6),"")</f>
        <v/>
      </c>
      <c r="D13" s="77">
        <f>IF(INDEX(Undirviðmið!$G$6:$G$105,ROW()-6)="Starfsbundinn",INDEX(Undirviðmið!$E$6:$E$105,ROW()-6),"")</f>
        <v/>
      </c>
      <c r="E13" s="77">
        <f>IF(INDEX(Undirviðmið!$G$6:$G$105,ROW()-6)="Starfsbundinn",INDEX(Undirviðmið!$F$6:$F$105,ROW()-6),"")</f>
        <v/>
      </c>
      <c r="F13" s="77">
        <f>IF(INDEX(Undirviðmið!$G$6:$G$105,ROW()-6)="Starfsbundinn",IFERROR(INDEX(Undirviðmið!$E$6:$E$105,ROW()-6)*KVARDI,""),"")</f>
        <v/>
      </c>
      <c r="G13" s="66" t="n"/>
      <c r="H13" s="78">
        <f>IF(OR(INDEX(Undirviðmið!$G$6:$G$105,ROW()-6)&lt;&gt;"Starfsbundinn",G13="",$E13="",$D13=""),"",ROUND(G13/$E13*$D13*KVARDI,2))</f>
        <v/>
      </c>
      <c r="I13" s="66" t="n"/>
      <c r="J13" s="78">
        <f>IF(OR(INDEX(Undirviðmið!$G$6:$G$105,ROW()-6)&lt;&gt;"Starfsbundinn",I13="",$E13="",$D13=""),"",ROUND(I13/$E13*$D13*KVARDI,2))</f>
        <v/>
      </c>
      <c r="K13" s="66" t="n"/>
      <c r="L13" s="78">
        <f>IF(OR(INDEX(Undirviðmið!$G$6:$G$105,ROW()-6)&lt;&gt;"Starfsbundinn",K13="",$E13="",$D13=""),"",ROUND(K13/$E13*$D13*KVARDI,2))</f>
        <v/>
      </c>
      <c r="M13" s="66" t="n"/>
      <c r="N13" s="78">
        <f>IF(OR(INDEX(Undirviðmið!$G$6:$G$105,ROW()-6)&lt;&gt;"Starfsbundinn",M13="",$E13="",$D13=""),"",ROUND(M13/$E13*$D13*KVARDI,2))</f>
        <v/>
      </c>
      <c r="O13" s="66" t="n"/>
      <c r="P13" s="78">
        <f>IF(OR(INDEX(Undirviðmið!$G$6:$G$105,ROW()-6)&lt;&gt;"Starfsbundinn",O13="",$E13="",$D13=""),"",ROUND(O13/$E13*$D13*KVARDI,2))</f>
        <v/>
      </c>
      <c r="Q13" s="66" t="n"/>
      <c r="R13" s="78">
        <f>IF(OR(INDEX(Undirviðmið!$G$6:$G$105,ROW()-6)&lt;&gt;"Starfsbundinn",Q13="",$E13="",$D13=""),"",ROUND(Q13/$E13*$D13*KVARDI,2))</f>
        <v/>
      </c>
      <c r="S13" s="66" t="n"/>
      <c r="T13" s="78">
        <f>IF(OR(INDEX(Undirviðmið!$G$6:$G$105,ROW()-6)&lt;&gt;"Starfsbundinn",S13="",$E13="",$D13=""),"",ROUND(S13/$E13*$D13*KVARDI,2))</f>
        <v/>
      </c>
      <c r="U13" s="66" t="n"/>
      <c r="V13" s="78">
        <f>IF(OR(INDEX(Undirviðmið!$G$6:$G$105,ROW()-6)&lt;&gt;"Starfsbundinn",U13="",$E13="",$D13=""),"",ROUND(U13/$E13*$D13*KVARDI,2))</f>
        <v/>
      </c>
      <c r="W13" s="66" t="n"/>
      <c r="X13" s="78">
        <f>IF(OR(INDEX(Undirviðmið!$G$6:$G$105,ROW()-6)&lt;&gt;"Starfsbundinn",W13="",$E13="",$D13=""),"",ROUND(W13/$E13*$D13*KVARDI,2))</f>
        <v/>
      </c>
      <c r="Y13" s="66" t="n"/>
      <c r="Z13" s="78">
        <f>IF(OR(INDEX(Undirviðmið!$G$6:$G$105,ROW()-6)&lt;&gt;"Starfsbundinn",Y13="",$E13="",$D13=""),"",ROUND(Y13/$E13*$D13*KVARDI,2))</f>
        <v/>
      </c>
      <c r="AA13" s="66" t="n"/>
      <c r="AB13" s="78">
        <f>IF(OR(INDEX(Undirviðmið!$G$6:$G$105,ROW()-6)&lt;&gt;"Starfsbundinn",AA13="",$E13="",$D13=""),"",ROUND(AA13/$E13*$D13*KVARDI,2))</f>
        <v/>
      </c>
      <c r="AC13" s="66" t="n"/>
      <c r="AD13" s="78">
        <f>IF(OR(INDEX(Undirviðmið!$G$6:$G$105,ROW()-6)&lt;&gt;"Starfsbundinn",AC13="",$E13="",$D13=""),"",ROUND(AC13/$E13*$D13*KVARDI,2))</f>
        <v/>
      </c>
      <c r="AE13" s="66" t="n"/>
      <c r="AF13" s="78">
        <f>IF(OR(INDEX(Undirviðmið!$G$6:$G$105,ROW()-6)&lt;&gt;"Starfsbundinn",AE13="",$E13="",$D13=""),"",ROUND(AE13/$E13*$D13*KVARDI,2))</f>
        <v/>
      </c>
      <c r="AG13" s="66" t="n"/>
      <c r="AH13" s="78">
        <f>IF(OR(INDEX(Undirviðmið!$G$6:$G$105,ROW()-6)&lt;&gt;"Starfsbundinn",AG13="",$E13="",$D13=""),"",ROUND(AG13/$E13*$D13*KVARDI,2))</f>
        <v/>
      </c>
      <c r="AI13" s="66" t="n"/>
      <c r="AJ13" s="78">
        <f>IF(OR(INDEX(Undirviðmið!$G$6:$G$105,ROW()-6)&lt;&gt;"Starfsbundinn",AI13="",$E13="",$D13=""),"",ROUND(AI13/$E13*$D13*KVARDI,2))</f>
        <v/>
      </c>
      <c r="AK13" s="66" t="n"/>
      <c r="AL13" s="78">
        <f>IF(OR(INDEX(Undirviðmið!$G$6:$G$105,ROW()-6)&lt;&gt;"Starfsbundinn",AK13="",$E13="",$D13=""),"",ROUND(AK13/$E13*$D13*KVARDI,2))</f>
        <v/>
      </c>
      <c r="AM13" s="66" t="n"/>
      <c r="AN13" s="78">
        <f>IF(OR(INDEX(Undirviðmið!$G$6:$G$105,ROW()-6)&lt;&gt;"Starfsbundinn",AM13="",$E13="",$D13=""),"",ROUND(AM13/$E13*$D13*KVARDI,2))</f>
        <v/>
      </c>
      <c r="AO13" s="66" t="n"/>
      <c r="AP13" s="78">
        <f>IF(OR(INDEX(Undirviðmið!$G$6:$G$105,ROW()-6)&lt;&gt;"Starfsbundinn",AO13="",$E13="",$D13=""),"",ROUND(AO13/$E13*$D13*KVARDI,2))</f>
        <v/>
      </c>
      <c r="AQ13" s="66" t="n"/>
      <c r="AR13" s="78">
        <f>IF(OR(INDEX(Undirviðmið!$G$6:$G$105,ROW()-6)&lt;&gt;"Starfsbundinn",AQ13="",$E13="",$D13=""),"",ROUND(AQ13/$E13*$D13*KVARDI,2))</f>
        <v/>
      </c>
      <c r="AS13" s="66" t="n"/>
      <c r="AT13" s="78">
        <f>IF(OR(INDEX(Undirviðmið!$G$6:$G$105,ROW()-6)&lt;&gt;"Starfsbundinn",AS13="",$E13="",$D13=""),"",ROUND(AS13/$E13*$D13*KVARDI,2))</f>
        <v/>
      </c>
      <c r="AU13" s="66" t="n"/>
      <c r="AV13" s="78">
        <f>IF(OR(INDEX(Undirviðmið!$G$6:$G$105,ROW()-6)&lt;&gt;"Starfsbundinn",AU13="",$E13="",$D13=""),"",ROUND(AU13/$E13*$D13*KVARDI,2))</f>
        <v/>
      </c>
      <c r="AW13" s="66" t="n"/>
      <c r="AX13" s="78">
        <f>IF(OR(INDEX(Undirviðmið!$G$6:$G$105,ROW()-6)&lt;&gt;"Starfsbundinn",AW13="",$E13="",$D13=""),"",ROUND(AW13/$E13*$D13*KVARDI,2))</f>
        <v/>
      </c>
      <c r="AY13" s="66" t="n"/>
      <c r="AZ13" s="78">
        <f>IF(OR(INDEX(Undirviðmið!$G$6:$G$105,ROW()-6)&lt;&gt;"Starfsbundinn",AY13="",$E13="",$D13=""),"",ROUND(AY13/$E13*$D13*KVARDI,2))</f>
        <v/>
      </c>
      <c r="BA13" s="66" t="n"/>
      <c r="BB13" s="78">
        <f>IF(OR(INDEX(Undirviðmið!$G$6:$G$105,ROW()-6)&lt;&gt;"Starfsbundinn",BA13="",$E13="",$D13=""),"",ROUND(BA13/$E13*$D13*KVARDI,2))</f>
        <v/>
      </c>
      <c r="BC13" s="66" t="n"/>
      <c r="BD13" s="78">
        <f>IF(OR(INDEX(Undirviðmið!$G$6:$G$105,ROW()-6)&lt;&gt;"Starfsbundinn",BC13="",$E13="",$D13=""),"",ROUND(BC13/$E13*$D13*KVARDI,2))</f>
        <v/>
      </c>
      <c r="BE13" s="66" t="n"/>
      <c r="BF13" s="78">
        <f>IF(OR(INDEX(Undirviðmið!$G$6:$G$105,ROW()-6)&lt;&gt;"Starfsbundinn",BE13="",$E13="",$D13=""),"",ROUND(BE13/$E13*$D13*KVARDI,2))</f>
        <v/>
      </c>
      <c r="BG13" s="66" t="n"/>
      <c r="BH13" s="78">
        <f>IF(OR(INDEX(Undirviðmið!$G$6:$G$105,ROW()-6)&lt;&gt;"Starfsbundinn",BG13="",$E13="",$D13=""),"",ROUND(BG13/$E13*$D13*KVARDI,2))</f>
        <v/>
      </c>
      <c r="BI13" s="66" t="n"/>
      <c r="BJ13" s="78">
        <f>IF(OR(INDEX(Undirviðmið!$G$6:$G$105,ROW()-6)&lt;&gt;"Starfsbundinn",BI13="",$E13="",$D13=""),"",ROUND(BI13/$E13*$D13*KVARDI,2))</f>
        <v/>
      </c>
      <c r="BK13" s="66" t="n"/>
      <c r="BL13" s="78">
        <f>IF(OR(INDEX(Undirviðmið!$G$6:$G$105,ROW()-6)&lt;&gt;"Starfsbundinn",BK13="",$E13="",$D13=""),"",ROUND(BK13/$E13*$D13*KVARDI,2))</f>
        <v/>
      </c>
      <c r="BM13" s="66" t="n"/>
      <c r="BN13" s="78">
        <f>IF(OR(INDEX(Undirviðmið!$G$6:$G$105,ROW()-6)&lt;&gt;"Starfsbundinn",BM13="",$E13="",$D13=""),"",ROUND(BM13/$E13*$D13*KVARDI,2))</f>
        <v/>
      </c>
      <c r="BO13" s="66" t="n"/>
      <c r="BP13" s="78">
        <f>IF(OR(INDEX(Undirviðmið!$G$6:$G$105,ROW()-6)&lt;&gt;"Starfsbundinn",BO13="",$E13="",$D13=""),"",ROUND(BO13/$E13*$D13*KVARDI,2))</f>
        <v/>
      </c>
      <c r="BQ13" s="66" t="n"/>
      <c r="BR13" s="78">
        <f>IF(OR(INDEX(Undirviðmið!$G$6:$G$105,ROW()-6)&lt;&gt;"Starfsbundinn",BQ13="",$E13="",$D13=""),"",ROUND(BQ13/$E13*$D13*KVARDI,2))</f>
        <v/>
      </c>
      <c r="BS13" s="66" t="n"/>
      <c r="BT13" s="78">
        <f>IF(OR(INDEX(Undirviðmið!$G$6:$G$105,ROW()-6)&lt;&gt;"Starfsbundinn",BS13="",$E13="",$D13=""),"",ROUND(BS13/$E13*$D13*KVARDI,2))</f>
        <v/>
      </c>
      <c r="BU13" s="66" t="n"/>
      <c r="BV13" s="78">
        <f>IF(OR(INDEX(Undirviðmið!$G$6:$G$105,ROW()-6)&lt;&gt;"Starfsbundinn",BU13="",$E13="",$D13=""),"",ROUND(BU13/$E13*$D13*KVARDI,2))</f>
        <v/>
      </c>
      <c r="BW13" s="66" t="n"/>
      <c r="BX13" s="78">
        <f>IF(OR(INDEX(Undirviðmið!$G$6:$G$105,ROW()-6)&lt;&gt;"Starfsbundinn",BW13="",$E13="",$D13=""),"",ROUND(BW13/$E13*$D13*KVARDI,2))</f>
        <v/>
      </c>
      <c r="BY13" s="66" t="n"/>
      <c r="BZ13" s="78">
        <f>IF(OR(INDEX(Undirviðmið!$G$6:$G$105,ROW()-6)&lt;&gt;"Starfsbundinn",BY13="",$E13="",$D13=""),"",ROUND(BY13/$E13*$D13*KVARDI,2))</f>
        <v/>
      </c>
      <c r="CA13" s="66" t="n"/>
      <c r="CB13" s="78">
        <f>IF(OR(INDEX(Undirviðmið!$G$6:$G$105,ROW()-6)&lt;&gt;"Starfsbundinn",CA13="",$E13="",$D13=""),"",ROUND(CA13/$E13*$D13*KVARDI,2))</f>
        <v/>
      </c>
      <c r="CC13" s="66" t="n"/>
      <c r="CD13" s="78">
        <f>IF(OR(INDEX(Undirviðmið!$G$6:$G$105,ROW()-6)&lt;&gt;"Starfsbundinn",CC13="",$E13="",$D13=""),"",ROUND(CC13/$E13*$D13*KVARDI,2))</f>
        <v/>
      </c>
      <c r="CE13" s="66" t="n"/>
      <c r="CF13" s="78">
        <f>IF(OR(INDEX(Undirviðmið!$G$6:$G$105,ROW()-6)&lt;&gt;"Starfsbundinn",CE13="",$E13="",$D13=""),"",ROUND(CE13/$E13*$D13*KVARDI,2))</f>
        <v/>
      </c>
      <c r="CG13" s="66" t="n"/>
      <c r="CH13" s="78">
        <f>IF(OR(INDEX(Undirviðmið!$G$6:$G$105,ROW()-6)&lt;&gt;"Starfsbundinn",CG13="",$E13="",$D13=""),"",ROUND(CG13/$E13*$D13*KVARDI,2))</f>
        <v/>
      </c>
      <c r="CI13" s="66" t="n"/>
      <c r="CJ13" s="78">
        <f>IF(OR(INDEX(Undirviðmið!$G$6:$G$105,ROW()-6)&lt;&gt;"Starfsbundinn",CI13="",$E13="",$D13=""),"",ROUND(CI13/$E13*$D13*KVARDI,2))</f>
        <v/>
      </c>
      <c r="CK13" s="66" t="n"/>
      <c r="CL13" s="78">
        <f>IF(OR(INDEX(Undirviðmið!$G$6:$G$105,ROW()-6)&lt;&gt;"Starfsbundinn",CK13="",$E13="",$D13=""),"",ROUND(CK13/$E13*$D13*KVARDI,2))</f>
        <v/>
      </c>
      <c r="CM13" s="66" t="n"/>
      <c r="CN13" s="78">
        <f>IF(OR(INDEX(Undirviðmið!$G$6:$G$105,ROW()-6)&lt;&gt;"Starfsbundinn",CM13="",$E13="",$D13=""),"",ROUND(CM13/$E13*$D13*KVARDI,2))</f>
        <v/>
      </c>
      <c r="CO13" s="66" t="n"/>
      <c r="CP13" s="78">
        <f>IF(OR(INDEX(Undirviðmið!$G$6:$G$105,ROW()-6)&lt;&gt;"Starfsbundinn",CO13="",$E13="",$D13=""),"",ROUND(CO13/$E13*$D13*KVARDI,2))</f>
        <v/>
      </c>
      <c r="CQ13" s="66" t="n"/>
      <c r="CR13" s="78">
        <f>IF(OR(INDEX(Undirviðmið!$G$6:$G$105,ROW()-6)&lt;&gt;"Starfsbundinn",CQ13="",$E13="",$D13=""),"",ROUND(CQ13/$E13*$D13*KVARDI,2))</f>
        <v/>
      </c>
      <c r="CS13" s="66" t="n"/>
      <c r="CT13" s="78">
        <f>IF(OR(INDEX(Undirviðmið!$G$6:$G$105,ROW()-6)&lt;&gt;"Starfsbundinn",CS13="",$E13="",$D13=""),"",ROUND(CS13/$E13*$D13*KVARDI,2))</f>
        <v/>
      </c>
      <c r="CU13" s="66" t="n"/>
      <c r="CV13" s="78">
        <f>IF(OR(INDEX(Undirviðmið!$G$6:$G$105,ROW()-6)&lt;&gt;"Starfsbundinn",CU13="",$E13="",$D13=""),"",ROUND(CU13/$E13*$D13*KVARDI,2))</f>
        <v/>
      </c>
      <c r="CW13" s="66" t="n"/>
      <c r="CX13" s="78">
        <f>IF(OR(INDEX(Undirviðmið!$G$6:$G$105,ROW()-6)&lt;&gt;"Starfsbundinn",CW13="",$E13="",$D13=""),"",ROUND(CW13/$E13*$D13*KVARDI,2))</f>
        <v/>
      </c>
      <c r="CY13" s="66" t="n"/>
      <c r="CZ13" s="78">
        <f>IF(OR(INDEX(Undirviðmið!$G$6:$G$105,ROW()-6)&lt;&gt;"Starfsbundinn",CY13="",$E13="",$D13=""),"",ROUND(CY13/$E13*$D13*KVARDI,2))</f>
        <v/>
      </c>
      <c r="DA13" s="66" t="n"/>
      <c r="DB13" s="78">
        <f>IF(OR(INDEX(Undirviðmið!$G$6:$G$105,ROW()-6)&lt;&gt;"Starfsbundinn",DA13="",$E13="",$D13=""),"",ROUND(DA13/$E13*$D13*KVARDI,2))</f>
        <v/>
      </c>
      <c r="DC13" s="66" t="n"/>
      <c r="DD13" s="78">
        <f>IF(OR(INDEX(Undirviðmið!$G$6:$G$105,ROW()-6)&lt;&gt;"Starfsbundinn",DC13="",$E13="",$D13=""),"",ROUND(DC13/$E13*$D13*KVARDI,2))</f>
        <v/>
      </c>
      <c r="DE13" s="66" t="n"/>
      <c r="DF13" s="78">
        <f>IF(OR(INDEX(Undirviðmið!$G$6:$G$105,ROW()-6)&lt;&gt;"Starfsbundinn",DE13="",$E13="",$D13=""),"",ROUND(DE13/$E13*$D13*KVARDI,2))</f>
        <v/>
      </c>
      <c r="DG13" s="66" t="n"/>
      <c r="DH13" s="78">
        <f>IF(OR(INDEX(Undirviðmið!$G$6:$G$105,ROW()-6)&lt;&gt;"Starfsbundinn",DG13="",$E13="",$D13=""),"",ROUND(DG13/$E13*$D13*KVARDI,2))</f>
        <v/>
      </c>
      <c r="DI13" s="66" t="n"/>
      <c r="DJ13" s="78">
        <f>IF(OR(INDEX(Undirviðmið!$G$6:$G$105,ROW()-6)&lt;&gt;"Starfsbundinn",DI13="",$E13="",$D13=""),"",ROUND(DI13/$E13*$D13*KVARDI,2))</f>
        <v/>
      </c>
      <c r="DK13" s="66" t="n"/>
      <c r="DL13" s="78">
        <f>IF(OR(INDEX(Undirviðmið!$G$6:$G$105,ROW()-6)&lt;&gt;"Starfsbundinn",DK13="",$E13="",$D13=""),"",ROUND(DK13/$E13*$D13*KVARDI,2))</f>
        <v/>
      </c>
      <c r="DM13" s="66" t="n"/>
      <c r="DN13" s="78">
        <f>IF(OR(INDEX(Undirviðmið!$G$6:$G$105,ROW()-6)&lt;&gt;"Starfsbundinn",DM13="",$E13="",$D13=""),"",ROUND(DM13/$E13*$D13*KVARDI,2))</f>
        <v/>
      </c>
      <c r="DO13" s="66" t="n"/>
      <c r="DP13" s="78">
        <f>IF(OR(INDEX(Undirviðmið!$G$6:$G$105,ROW()-6)&lt;&gt;"Starfsbundinn",DO13="",$E13="",$D13=""),"",ROUND(DO13/$E13*$D13*KVARDI,2))</f>
        <v/>
      </c>
      <c r="DQ13" s="66" t="n"/>
      <c r="DR13" s="78">
        <f>IF(OR(INDEX(Undirviðmið!$G$6:$G$105,ROW()-6)&lt;&gt;"Starfsbundinn",DQ13="",$E13="",$D13=""),"",ROUND(DQ13/$E13*$D13*KVARDI,2))</f>
        <v/>
      </c>
      <c r="DS13" s="66" t="n"/>
      <c r="DT13" s="78">
        <f>IF(OR(INDEX(Undirviðmið!$G$6:$G$105,ROW()-6)&lt;&gt;"Starfsbundinn",DS13="",$E13="",$D13=""),"",ROUND(DS13/$E13*$D13*KVARDI,2))</f>
        <v/>
      </c>
      <c r="DU13" s="66" t="n"/>
      <c r="DV13" s="78">
        <f>IF(OR(INDEX(Undirviðmið!$G$6:$G$105,ROW()-6)&lt;&gt;"Starfsbundinn",DU13="",$E13="",$D13=""),"",ROUND(DU13/$E13*$D13*KVARDI,2))</f>
        <v/>
      </c>
      <c r="DW13" s="66" t="n"/>
      <c r="DX13" s="78">
        <f>IF(OR(INDEX(Undirviðmið!$G$6:$G$105,ROW()-6)&lt;&gt;"Starfsbundinn",DW13="",$E13="",$D13=""),"",ROUND(DW13/$E13*$D13*KVARDI,2))</f>
        <v/>
      </c>
      <c r="DY13" s="66" t="n"/>
      <c r="DZ13" s="78">
        <f>IF(OR(INDEX(Undirviðmið!$G$6:$G$105,ROW()-6)&lt;&gt;"Starfsbundinn",DY13="",$E13="",$D13=""),"",ROUND(DY13/$E13*$D13*KVARDI,2))</f>
        <v/>
      </c>
      <c r="EA13" s="66" t="n"/>
      <c r="EB13" s="78">
        <f>IF(OR(INDEX(Undirviðmið!$G$6:$G$105,ROW()-6)&lt;&gt;"Starfsbundinn",EA13="",$E13="",$D13=""),"",ROUND(EA13/$E13*$D13*KVARDI,2))</f>
        <v/>
      </c>
      <c r="EC13" s="66" t="n"/>
      <c r="ED13" s="78">
        <f>IF(OR(INDEX(Undirviðmið!$G$6:$G$105,ROW()-6)&lt;&gt;"Starfsbundinn",EC13="",$E13="",$D13=""),"",ROUND(EC13/$E13*$D13*KVARDI,2))</f>
        <v/>
      </c>
      <c r="EE13" s="66" t="n"/>
      <c r="EF13" s="78">
        <f>IF(OR(INDEX(Undirviðmið!$G$6:$G$105,ROW()-6)&lt;&gt;"Starfsbundinn",EE13="",$E13="",$D13=""),"",ROUND(EE13/$E13*$D13*KVARDI,2))</f>
        <v/>
      </c>
      <c r="EG13" s="66" t="n"/>
      <c r="EH13" s="78">
        <f>IF(OR(INDEX(Undirviðmið!$G$6:$G$105,ROW()-6)&lt;&gt;"Starfsbundinn",EG13="",$E13="",$D13=""),"",ROUND(EG13/$E13*$D13*KVARDI,2))</f>
        <v/>
      </c>
      <c r="EI13" s="66" t="n"/>
      <c r="EJ13" s="78">
        <f>IF(OR(INDEX(Undirviðmið!$G$6:$G$105,ROW()-6)&lt;&gt;"Starfsbundinn",EI13="",$E13="",$D13=""),"",ROUND(EI13/$E13*$D13*KVARDI,2))</f>
        <v/>
      </c>
      <c r="EK13" s="66" t="n"/>
      <c r="EL13" s="78">
        <f>IF(OR(INDEX(Undirviðmið!$G$6:$G$105,ROW()-6)&lt;&gt;"Starfsbundinn",EK13="",$E13="",$D13=""),"",ROUND(EK13/$E13*$D13*KVARDI,2))</f>
        <v/>
      </c>
      <c r="EM13" s="66" t="n"/>
      <c r="EN13" s="78">
        <f>IF(OR(INDEX(Undirviðmið!$G$6:$G$105,ROW()-6)&lt;&gt;"Starfsbundinn",EM13="",$E13="",$D13=""),"",ROUND(EM13/$E13*$D13*KVARDI,2))</f>
        <v/>
      </c>
      <c r="EO13" s="66" t="n"/>
      <c r="EP13" s="78">
        <f>IF(OR(INDEX(Undirviðmið!$G$6:$G$105,ROW()-6)&lt;&gt;"Starfsbundinn",EO13="",$E13="",$D13=""),"",ROUND(EO13/$E13*$D13*KVARDI,2))</f>
        <v/>
      </c>
      <c r="EQ13" s="66" t="n"/>
      <c r="ER13" s="78">
        <f>IF(OR(INDEX(Undirviðmið!$G$6:$G$105,ROW()-6)&lt;&gt;"Starfsbundinn",EQ13="",$E13="",$D13=""),"",ROUND(EQ13/$E13*$D13*KVARDI,2))</f>
        <v/>
      </c>
      <c r="ES13" s="66" t="n"/>
      <c r="ET13" s="78">
        <f>IF(OR(INDEX(Undirviðmið!$G$6:$G$105,ROW()-6)&lt;&gt;"Starfsbundinn",ES13="",$E13="",$D13=""),"",ROUND(ES13/$E13*$D13*KVARDI,2))</f>
        <v/>
      </c>
      <c r="EU13" s="66" t="n"/>
      <c r="EV13" s="78">
        <f>IF(OR(INDEX(Undirviðmið!$G$6:$G$105,ROW()-6)&lt;&gt;"Starfsbundinn",EU13="",$E13="",$D13=""),"",ROUND(EU13/$E13*$D13*KVARDI,2))</f>
        <v/>
      </c>
      <c r="EW13" s="66" t="n"/>
      <c r="EX13" s="78">
        <f>IF(OR(INDEX(Undirviðmið!$G$6:$G$105,ROW()-6)&lt;&gt;"Starfsbundinn",EW13="",$E13="",$D13=""),"",ROUND(EW13/$E13*$D13*KVARDI,2))</f>
        <v/>
      </c>
      <c r="EY13" s="66" t="n"/>
      <c r="EZ13" s="78">
        <f>IF(OR(INDEX(Undirviðmið!$G$6:$G$105,ROW()-6)&lt;&gt;"Starfsbundinn",EY13="",$E13="",$D13=""),"",ROUND(EY13/$E13*$D13*KVARDI,2))</f>
        <v/>
      </c>
      <c r="FA13" s="66" t="n"/>
      <c r="FB13" s="78">
        <f>IF(OR(INDEX(Undirviðmið!$G$6:$G$105,ROW()-6)&lt;&gt;"Starfsbundinn",FA13="",$E13="",$D13=""),"",ROUND(FA13/$E13*$D13*KVARDI,2))</f>
        <v/>
      </c>
      <c r="FC13" s="66" t="n"/>
      <c r="FD13" s="78">
        <f>IF(OR(INDEX(Undirviðmið!$G$6:$G$105,ROW()-6)&lt;&gt;"Starfsbundinn",FC13="",$E13="",$D13=""),"",ROUND(FC13/$E13*$D13*KVARDI,2))</f>
        <v/>
      </c>
      <c r="FE13" s="66" t="n"/>
      <c r="FF13" s="78">
        <f>IF(OR(INDEX(Undirviðmið!$G$6:$G$105,ROW()-6)&lt;&gt;"Starfsbundinn",FE13="",$E13="",$D13=""),"",ROUND(FE13/$E13*$D13*KVARDI,2))</f>
        <v/>
      </c>
      <c r="FG13" s="66" t="n"/>
      <c r="FH13" s="78">
        <f>IF(OR(INDEX(Undirviðmið!$G$6:$G$105,ROW()-6)&lt;&gt;"Starfsbundinn",FG13="",$E13="",$D13=""),"",ROUND(FG13/$E13*$D13*KVARDI,2))</f>
        <v/>
      </c>
      <c r="FI13" s="66" t="n"/>
      <c r="FJ13" s="78">
        <f>IF(OR(INDEX(Undirviðmið!$G$6:$G$105,ROW()-6)&lt;&gt;"Starfsbundinn",FI13="",$E13="",$D13=""),"",ROUND(FI13/$E13*$D13*KVARDI,2))</f>
        <v/>
      </c>
      <c r="FK13" s="66" t="n"/>
      <c r="FL13" s="78">
        <f>IF(OR(INDEX(Undirviðmið!$G$6:$G$105,ROW()-6)&lt;&gt;"Starfsbundinn",FK13="",$E13="",$D13=""),"",ROUND(FK13/$E13*$D13*KVARDI,2))</f>
        <v/>
      </c>
      <c r="FM13" s="66" t="n"/>
      <c r="FN13" s="78">
        <f>IF(OR(INDEX(Undirviðmið!$G$6:$G$105,ROW()-6)&lt;&gt;"Starfsbundinn",FM13="",$E13="",$D13=""),"",ROUND(FM13/$E13*$D13*KVARDI,2))</f>
        <v/>
      </c>
      <c r="FO13" s="66" t="n"/>
      <c r="FP13" s="78">
        <f>IF(OR(INDEX(Undirviðmið!$G$6:$G$105,ROW()-6)&lt;&gt;"Starfsbundinn",FO13="",$E13="",$D13=""),"",ROUND(FO13/$E13*$D13*KVARDI,2))</f>
        <v/>
      </c>
      <c r="FQ13" s="66" t="n"/>
      <c r="FR13" s="78">
        <f>IF(OR(INDEX(Undirviðmið!$G$6:$G$105,ROW()-6)&lt;&gt;"Starfsbundinn",FQ13="",$E13="",$D13=""),"",ROUND(FQ13/$E13*$D13*KVARDI,2))</f>
        <v/>
      </c>
      <c r="FS13" s="66" t="n"/>
      <c r="FT13" s="78">
        <f>IF(OR(INDEX(Undirviðmið!$G$6:$G$105,ROW()-6)&lt;&gt;"Starfsbundinn",FS13="",$E13="",$D13=""),"",ROUND(FS13/$E13*$D13*KVARDI,2))</f>
        <v/>
      </c>
      <c r="FU13" s="66" t="n"/>
      <c r="FV13" s="78">
        <f>IF(OR(INDEX(Undirviðmið!$G$6:$G$105,ROW()-6)&lt;&gt;"Starfsbundinn",FU13="",$E13="",$D13=""),"",ROUND(FU13/$E13*$D13*KVARDI,2))</f>
        <v/>
      </c>
      <c r="FW13" s="66" t="n"/>
      <c r="FX13" s="78">
        <f>IF(OR(INDEX(Undirviðmið!$G$6:$G$105,ROW()-6)&lt;&gt;"Starfsbundinn",FW13="",$E13="",$D13=""),"",ROUND(FW13/$E13*$D13*KVARDI,2))</f>
        <v/>
      </c>
      <c r="FY13" s="66" t="n"/>
      <c r="FZ13" s="78">
        <f>IF(OR(INDEX(Undirviðmið!$G$6:$G$105,ROW()-6)&lt;&gt;"Starfsbundinn",FY13="",$E13="",$D13=""),"",ROUND(FY13/$E13*$D13*KVARDI,2))</f>
        <v/>
      </c>
      <c r="GA13" s="66" t="n"/>
      <c r="GB13" s="78">
        <f>IF(OR(INDEX(Undirviðmið!$G$6:$G$105,ROW()-6)&lt;&gt;"Starfsbundinn",GA13="",$E13="",$D13=""),"",ROUND(GA13/$E13*$D13*KVARDI,2))</f>
        <v/>
      </c>
      <c r="GC13" s="66" t="n"/>
      <c r="GD13" s="78">
        <f>IF(OR(INDEX(Undirviðmið!$G$6:$G$105,ROW()-6)&lt;&gt;"Starfsbundinn",GC13="",$E13="",$D13=""),"",ROUND(GC13/$E13*$D13*KVARDI,2))</f>
        <v/>
      </c>
      <c r="GE13" s="66" t="n"/>
      <c r="GF13" s="78">
        <f>IF(OR(INDEX(Undirviðmið!$G$6:$G$105,ROW()-6)&lt;&gt;"Starfsbundinn",GE13="",$E13="",$D13=""),"",ROUND(GE13/$E13*$D13*KVARDI,2))</f>
        <v/>
      </c>
      <c r="GG13" s="66" t="n"/>
      <c r="GH13" s="78">
        <f>IF(OR(INDEX(Undirviðmið!$G$6:$G$105,ROW()-6)&lt;&gt;"Starfsbundinn",GG13="",$E13="",$D13=""),"",ROUND(GG13/$E13*$D13*KVARDI,2))</f>
        <v/>
      </c>
      <c r="GI13" s="66" t="n"/>
      <c r="GJ13" s="78">
        <f>IF(OR(INDEX(Undirviðmið!$G$6:$G$105,ROW()-6)&lt;&gt;"Starfsbundinn",GI13="",$E13="",$D13=""),"",ROUND(GI13/$E13*$D13*KVARDI,2))</f>
        <v/>
      </c>
      <c r="GK13" s="66" t="n"/>
      <c r="GL13" s="78">
        <f>IF(OR(INDEX(Undirviðmið!$G$6:$G$105,ROW()-6)&lt;&gt;"Starfsbundinn",GK13="",$E13="",$D13=""),"",ROUND(GK13/$E13*$D13*KVARDI,2))</f>
        <v/>
      </c>
      <c r="GM13" s="66" t="n"/>
      <c r="GN13" s="78">
        <f>IF(OR(INDEX(Undirviðmið!$G$6:$G$105,ROW()-6)&lt;&gt;"Starfsbundinn",GM13="",$E13="",$D13=""),"",ROUND(GM13/$E13*$D13*KVARDI,2))</f>
        <v/>
      </c>
      <c r="GO13" s="66" t="n"/>
      <c r="GP13" s="78">
        <f>IF(OR(INDEX(Undirviðmið!$G$6:$G$105,ROW()-6)&lt;&gt;"Starfsbundinn",GO13="",$E13="",$D13=""),"",ROUND(GO13/$E13*$D13*KVARDI,2))</f>
        <v/>
      </c>
      <c r="GQ13" s="66" t="n"/>
      <c r="GR13" s="78">
        <f>IF(OR(INDEX(Undirviðmið!$G$6:$G$105,ROW()-6)&lt;&gt;"Starfsbundinn",GQ13="",$E13="",$D13=""),"",ROUND(GQ13/$E13*$D13*KVARDI,2))</f>
        <v/>
      </c>
      <c r="GS13" s="66" t="n"/>
      <c r="GT13" s="78">
        <f>IF(OR(INDEX(Undirviðmið!$G$6:$G$105,ROW()-6)&lt;&gt;"Starfsbundinn",GS13="",$E13="",$D13=""),"",ROUND(GS13/$E13*$D13*KVARDI,2))</f>
        <v/>
      </c>
      <c r="GU13" s="66" t="n"/>
      <c r="GV13" s="78">
        <f>IF(OR(INDEX(Undirviðmið!$G$6:$G$105,ROW()-6)&lt;&gt;"Starfsbundinn",GU13="",$E13="",$D13=""),"",ROUND(GU13/$E13*$D13*KVARDI,2))</f>
        <v/>
      </c>
      <c r="GW13" s="66" t="n"/>
      <c r="GX13" s="78">
        <f>IF(OR(INDEX(Undirviðmið!$G$6:$G$105,ROW()-6)&lt;&gt;"Starfsbundinn",GW13="",$E13="",$D13=""),"",ROUND(GW13/$E13*$D13*KVARDI,2))</f>
        <v/>
      </c>
    </row>
    <row r="14" ht="15" customHeight="1" s="47">
      <c r="B14" s="67">
        <f>IF(INDEX(Undirviðmið!$G$6:$G$105,ROW()-6)="Starfsbundinn",INDEX(Undirviðmið!$B$6:$B$105,ROW()-6),"")</f>
        <v/>
      </c>
      <c r="C14" s="67">
        <f>IF(INDEX(Undirviðmið!$G$6:$G$105,ROW()-6)="Starfsbundinn",INDEX(Undirviðmið!$C$6:$C$105,ROW()-6),"")</f>
        <v/>
      </c>
      <c r="D14" s="77">
        <f>IF(INDEX(Undirviðmið!$G$6:$G$105,ROW()-6)="Starfsbundinn",INDEX(Undirviðmið!$E$6:$E$105,ROW()-6),"")</f>
        <v/>
      </c>
      <c r="E14" s="77">
        <f>IF(INDEX(Undirviðmið!$G$6:$G$105,ROW()-6)="Starfsbundinn",INDEX(Undirviðmið!$F$6:$F$105,ROW()-6),"")</f>
        <v/>
      </c>
      <c r="F14" s="77">
        <f>IF(INDEX(Undirviðmið!$G$6:$G$105,ROW()-6)="Starfsbundinn",IFERROR(INDEX(Undirviðmið!$E$6:$E$105,ROW()-6)*KVARDI,""),"")</f>
        <v/>
      </c>
      <c r="G14" s="66" t="n"/>
      <c r="H14" s="78">
        <f>IF(OR(INDEX(Undirviðmið!$G$6:$G$105,ROW()-6)&lt;&gt;"Starfsbundinn",G14="",$E14="",$D14=""),"",ROUND(G14/$E14*$D14*KVARDI,2))</f>
        <v/>
      </c>
      <c r="I14" s="66" t="n"/>
      <c r="J14" s="78">
        <f>IF(OR(INDEX(Undirviðmið!$G$6:$G$105,ROW()-6)&lt;&gt;"Starfsbundinn",I14="",$E14="",$D14=""),"",ROUND(I14/$E14*$D14*KVARDI,2))</f>
        <v/>
      </c>
      <c r="K14" s="66" t="n"/>
      <c r="L14" s="78">
        <f>IF(OR(INDEX(Undirviðmið!$G$6:$G$105,ROW()-6)&lt;&gt;"Starfsbundinn",K14="",$E14="",$D14=""),"",ROUND(K14/$E14*$D14*KVARDI,2))</f>
        <v/>
      </c>
      <c r="M14" s="66" t="n"/>
      <c r="N14" s="78">
        <f>IF(OR(INDEX(Undirviðmið!$G$6:$G$105,ROW()-6)&lt;&gt;"Starfsbundinn",M14="",$E14="",$D14=""),"",ROUND(M14/$E14*$D14*KVARDI,2))</f>
        <v/>
      </c>
      <c r="O14" s="66" t="n"/>
      <c r="P14" s="78">
        <f>IF(OR(INDEX(Undirviðmið!$G$6:$G$105,ROW()-6)&lt;&gt;"Starfsbundinn",O14="",$E14="",$D14=""),"",ROUND(O14/$E14*$D14*KVARDI,2))</f>
        <v/>
      </c>
      <c r="Q14" s="66" t="n"/>
      <c r="R14" s="78">
        <f>IF(OR(INDEX(Undirviðmið!$G$6:$G$105,ROW()-6)&lt;&gt;"Starfsbundinn",Q14="",$E14="",$D14=""),"",ROUND(Q14/$E14*$D14*KVARDI,2))</f>
        <v/>
      </c>
      <c r="S14" s="66" t="n"/>
      <c r="T14" s="78">
        <f>IF(OR(INDEX(Undirviðmið!$G$6:$G$105,ROW()-6)&lt;&gt;"Starfsbundinn",S14="",$E14="",$D14=""),"",ROUND(S14/$E14*$D14*KVARDI,2))</f>
        <v/>
      </c>
      <c r="U14" s="66" t="n"/>
      <c r="V14" s="78">
        <f>IF(OR(INDEX(Undirviðmið!$G$6:$G$105,ROW()-6)&lt;&gt;"Starfsbundinn",U14="",$E14="",$D14=""),"",ROUND(U14/$E14*$D14*KVARDI,2))</f>
        <v/>
      </c>
      <c r="W14" s="66" t="n"/>
      <c r="X14" s="78">
        <f>IF(OR(INDEX(Undirviðmið!$G$6:$G$105,ROW()-6)&lt;&gt;"Starfsbundinn",W14="",$E14="",$D14=""),"",ROUND(W14/$E14*$D14*KVARDI,2))</f>
        <v/>
      </c>
      <c r="Y14" s="66" t="n"/>
      <c r="Z14" s="78">
        <f>IF(OR(INDEX(Undirviðmið!$G$6:$G$105,ROW()-6)&lt;&gt;"Starfsbundinn",Y14="",$E14="",$D14=""),"",ROUND(Y14/$E14*$D14*KVARDI,2))</f>
        <v/>
      </c>
      <c r="AA14" s="66" t="n"/>
      <c r="AB14" s="78">
        <f>IF(OR(INDEX(Undirviðmið!$G$6:$G$105,ROW()-6)&lt;&gt;"Starfsbundinn",AA14="",$E14="",$D14=""),"",ROUND(AA14/$E14*$D14*KVARDI,2))</f>
        <v/>
      </c>
      <c r="AC14" s="66" t="n"/>
      <c r="AD14" s="78">
        <f>IF(OR(INDEX(Undirviðmið!$G$6:$G$105,ROW()-6)&lt;&gt;"Starfsbundinn",AC14="",$E14="",$D14=""),"",ROUND(AC14/$E14*$D14*KVARDI,2))</f>
        <v/>
      </c>
      <c r="AE14" s="66" t="n"/>
      <c r="AF14" s="78">
        <f>IF(OR(INDEX(Undirviðmið!$G$6:$G$105,ROW()-6)&lt;&gt;"Starfsbundinn",AE14="",$E14="",$D14=""),"",ROUND(AE14/$E14*$D14*KVARDI,2))</f>
        <v/>
      </c>
      <c r="AG14" s="66" t="n"/>
      <c r="AH14" s="78">
        <f>IF(OR(INDEX(Undirviðmið!$G$6:$G$105,ROW()-6)&lt;&gt;"Starfsbundinn",AG14="",$E14="",$D14=""),"",ROUND(AG14/$E14*$D14*KVARDI,2))</f>
        <v/>
      </c>
      <c r="AI14" s="66" t="n"/>
      <c r="AJ14" s="78">
        <f>IF(OR(INDEX(Undirviðmið!$G$6:$G$105,ROW()-6)&lt;&gt;"Starfsbundinn",AI14="",$E14="",$D14=""),"",ROUND(AI14/$E14*$D14*KVARDI,2))</f>
        <v/>
      </c>
      <c r="AK14" s="66" t="n"/>
      <c r="AL14" s="78">
        <f>IF(OR(INDEX(Undirviðmið!$G$6:$G$105,ROW()-6)&lt;&gt;"Starfsbundinn",AK14="",$E14="",$D14=""),"",ROUND(AK14/$E14*$D14*KVARDI,2))</f>
        <v/>
      </c>
      <c r="AM14" s="66" t="n"/>
      <c r="AN14" s="78">
        <f>IF(OR(INDEX(Undirviðmið!$G$6:$G$105,ROW()-6)&lt;&gt;"Starfsbundinn",AM14="",$E14="",$D14=""),"",ROUND(AM14/$E14*$D14*KVARDI,2))</f>
        <v/>
      </c>
      <c r="AO14" s="66" t="n"/>
      <c r="AP14" s="78">
        <f>IF(OR(INDEX(Undirviðmið!$G$6:$G$105,ROW()-6)&lt;&gt;"Starfsbundinn",AO14="",$E14="",$D14=""),"",ROUND(AO14/$E14*$D14*KVARDI,2))</f>
        <v/>
      </c>
      <c r="AQ14" s="66" t="n"/>
      <c r="AR14" s="78">
        <f>IF(OR(INDEX(Undirviðmið!$G$6:$G$105,ROW()-6)&lt;&gt;"Starfsbundinn",AQ14="",$E14="",$D14=""),"",ROUND(AQ14/$E14*$D14*KVARDI,2))</f>
        <v/>
      </c>
      <c r="AS14" s="66" t="n"/>
      <c r="AT14" s="78">
        <f>IF(OR(INDEX(Undirviðmið!$G$6:$G$105,ROW()-6)&lt;&gt;"Starfsbundinn",AS14="",$E14="",$D14=""),"",ROUND(AS14/$E14*$D14*KVARDI,2))</f>
        <v/>
      </c>
      <c r="AU14" s="66" t="n"/>
      <c r="AV14" s="78">
        <f>IF(OR(INDEX(Undirviðmið!$G$6:$G$105,ROW()-6)&lt;&gt;"Starfsbundinn",AU14="",$E14="",$D14=""),"",ROUND(AU14/$E14*$D14*KVARDI,2))</f>
        <v/>
      </c>
      <c r="AW14" s="66" t="n"/>
      <c r="AX14" s="78">
        <f>IF(OR(INDEX(Undirviðmið!$G$6:$G$105,ROW()-6)&lt;&gt;"Starfsbundinn",AW14="",$E14="",$D14=""),"",ROUND(AW14/$E14*$D14*KVARDI,2))</f>
        <v/>
      </c>
      <c r="AY14" s="66" t="n"/>
      <c r="AZ14" s="78">
        <f>IF(OR(INDEX(Undirviðmið!$G$6:$G$105,ROW()-6)&lt;&gt;"Starfsbundinn",AY14="",$E14="",$D14=""),"",ROUND(AY14/$E14*$D14*KVARDI,2))</f>
        <v/>
      </c>
      <c r="BA14" s="66" t="n"/>
      <c r="BB14" s="78">
        <f>IF(OR(INDEX(Undirviðmið!$G$6:$G$105,ROW()-6)&lt;&gt;"Starfsbundinn",BA14="",$E14="",$D14=""),"",ROUND(BA14/$E14*$D14*KVARDI,2))</f>
        <v/>
      </c>
      <c r="BC14" s="66" t="n"/>
      <c r="BD14" s="78">
        <f>IF(OR(INDEX(Undirviðmið!$G$6:$G$105,ROW()-6)&lt;&gt;"Starfsbundinn",BC14="",$E14="",$D14=""),"",ROUND(BC14/$E14*$D14*KVARDI,2))</f>
        <v/>
      </c>
      <c r="BE14" s="66" t="n"/>
      <c r="BF14" s="78">
        <f>IF(OR(INDEX(Undirviðmið!$G$6:$G$105,ROW()-6)&lt;&gt;"Starfsbundinn",BE14="",$E14="",$D14=""),"",ROUND(BE14/$E14*$D14*KVARDI,2))</f>
        <v/>
      </c>
      <c r="BG14" s="66" t="n"/>
      <c r="BH14" s="78">
        <f>IF(OR(INDEX(Undirviðmið!$G$6:$G$105,ROW()-6)&lt;&gt;"Starfsbundinn",BG14="",$E14="",$D14=""),"",ROUND(BG14/$E14*$D14*KVARDI,2))</f>
        <v/>
      </c>
      <c r="BI14" s="66" t="n"/>
      <c r="BJ14" s="78">
        <f>IF(OR(INDEX(Undirviðmið!$G$6:$G$105,ROW()-6)&lt;&gt;"Starfsbundinn",BI14="",$E14="",$D14=""),"",ROUND(BI14/$E14*$D14*KVARDI,2))</f>
        <v/>
      </c>
      <c r="BK14" s="66" t="n"/>
      <c r="BL14" s="78">
        <f>IF(OR(INDEX(Undirviðmið!$G$6:$G$105,ROW()-6)&lt;&gt;"Starfsbundinn",BK14="",$E14="",$D14=""),"",ROUND(BK14/$E14*$D14*KVARDI,2))</f>
        <v/>
      </c>
      <c r="BM14" s="66" t="n"/>
      <c r="BN14" s="78">
        <f>IF(OR(INDEX(Undirviðmið!$G$6:$G$105,ROW()-6)&lt;&gt;"Starfsbundinn",BM14="",$E14="",$D14=""),"",ROUND(BM14/$E14*$D14*KVARDI,2))</f>
        <v/>
      </c>
      <c r="BO14" s="66" t="n"/>
      <c r="BP14" s="78">
        <f>IF(OR(INDEX(Undirviðmið!$G$6:$G$105,ROW()-6)&lt;&gt;"Starfsbundinn",BO14="",$E14="",$D14=""),"",ROUND(BO14/$E14*$D14*KVARDI,2))</f>
        <v/>
      </c>
      <c r="BQ14" s="66" t="n"/>
      <c r="BR14" s="78">
        <f>IF(OR(INDEX(Undirviðmið!$G$6:$G$105,ROW()-6)&lt;&gt;"Starfsbundinn",BQ14="",$E14="",$D14=""),"",ROUND(BQ14/$E14*$D14*KVARDI,2))</f>
        <v/>
      </c>
      <c r="BS14" s="66" t="n"/>
      <c r="BT14" s="78">
        <f>IF(OR(INDEX(Undirviðmið!$G$6:$G$105,ROW()-6)&lt;&gt;"Starfsbundinn",BS14="",$E14="",$D14=""),"",ROUND(BS14/$E14*$D14*KVARDI,2))</f>
        <v/>
      </c>
      <c r="BU14" s="66" t="n"/>
      <c r="BV14" s="78">
        <f>IF(OR(INDEX(Undirviðmið!$G$6:$G$105,ROW()-6)&lt;&gt;"Starfsbundinn",BU14="",$E14="",$D14=""),"",ROUND(BU14/$E14*$D14*KVARDI,2))</f>
        <v/>
      </c>
      <c r="BW14" s="66" t="n"/>
      <c r="BX14" s="78">
        <f>IF(OR(INDEX(Undirviðmið!$G$6:$G$105,ROW()-6)&lt;&gt;"Starfsbundinn",BW14="",$E14="",$D14=""),"",ROUND(BW14/$E14*$D14*KVARDI,2))</f>
        <v/>
      </c>
      <c r="BY14" s="66" t="n"/>
      <c r="BZ14" s="78">
        <f>IF(OR(INDEX(Undirviðmið!$G$6:$G$105,ROW()-6)&lt;&gt;"Starfsbundinn",BY14="",$E14="",$D14=""),"",ROUND(BY14/$E14*$D14*KVARDI,2))</f>
        <v/>
      </c>
      <c r="CA14" s="66" t="n"/>
      <c r="CB14" s="78">
        <f>IF(OR(INDEX(Undirviðmið!$G$6:$G$105,ROW()-6)&lt;&gt;"Starfsbundinn",CA14="",$E14="",$D14=""),"",ROUND(CA14/$E14*$D14*KVARDI,2))</f>
        <v/>
      </c>
      <c r="CC14" s="66" t="n"/>
      <c r="CD14" s="78">
        <f>IF(OR(INDEX(Undirviðmið!$G$6:$G$105,ROW()-6)&lt;&gt;"Starfsbundinn",CC14="",$E14="",$D14=""),"",ROUND(CC14/$E14*$D14*KVARDI,2))</f>
        <v/>
      </c>
      <c r="CE14" s="66" t="n"/>
      <c r="CF14" s="78">
        <f>IF(OR(INDEX(Undirviðmið!$G$6:$G$105,ROW()-6)&lt;&gt;"Starfsbundinn",CE14="",$E14="",$D14=""),"",ROUND(CE14/$E14*$D14*KVARDI,2))</f>
        <v/>
      </c>
      <c r="CG14" s="66" t="n"/>
      <c r="CH14" s="78">
        <f>IF(OR(INDEX(Undirviðmið!$G$6:$G$105,ROW()-6)&lt;&gt;"Starfsbundinn",CG14="",$E14="",$D14=""),"",ROUND(CG14/$E14*$D14*KVARDI,2))</f>
        <v/>
      </c>
      <c r="CI14" s="66" t="n"/>
      <c r="CJ14" s="78">
        <f>IF(OR(INDEX(Undirviðmið!$G$6:$G$105,ROW()-6)&lt;&gt;"Starfsbundinn",CI14="",$E14="",$D14=""),"",ROUND(CI14/$E14*$D14*KVARDI,2))</f>
        <v/>
      </c>
      <c r="CK14" s="66" t="n"/>
      <c r="CL14" s="78">
        <f>IF(OR(INDEX(Undirviðmið!$G$6:$G$105,ROW()-6)&lt;&gt;"Starfsbundinn",CK14="",$E14="",$D14=""),"",ROUND(CK14/$E14*$D14*KVARDI,2))</f>
        <v/>
      </c>
      <c r="CM14" s="66" t="n"/>
      <c r="CN14" s="78">
        <f>IF(OR(INDEX(Undirviðmið!$G$6:$G$105,ROW()-6)&lt;&gt;"Starfsbundinn",CM14="",$E14="",$D14=""),"",ROUND(CM14/$E14*$D14*KVARDI,2))</f>
        <v/>
      </c>
      <c r="CO14" s="66" t="n"/>
      <c r="CP14" s="78">
        <f>IF(OR(INDEX(Undirviðmið!$G$6:$G$105,ROW()-6)&lt;&gt;"Starfsbundinn",CO14="",$E14="",$D14=""),"",ROUND(CO14/$E14*$D14*KVARDI,2))</f>
        <v/>
      </c>
      <c r="CQ14" s="66" t="n"/>
      <c r="CR14" s="78">
        <f>IF(OR(INDEX(Undirviðmið!$G$6:$G$105,ROW()-6)&lt;&gt;"Starfsbundinn",CQ14="",$E14="",$D14=""),"",ROUND(CQ14/$E14*$D14*KVARDI,2))</f>
        <v/>
      </c>
      <c r="CS14" s="66" t="n"/>
      <c r="CT14" s="78">
        <f>IF(OR(INDEX(Undirviðmið!$G$6:$G$105,ROW()-6)&lt;&gt;"Starfsbundinn",CS14="",$E14="",$D14=""),"",ROUND(CS14/$E14*$D14*KVARDI,2))</f>
        <v/>
      </c>
      <c r="CU14" s="66" t="n"/>
      <c r="CV14" s="78">
        <f>IF(OR(INDEX(Undirviðmið!$G$6:$G$105,ROW()-6)&lt;&gt;"Starfsbundinn",CU14="",$E14="",$D14=""),"",ROUND(CU14/$E14*$D14*KVARDI,2))</f>
        <v/>
      </c>
      <c r="CW14" s="66" t="n"/>
      <c r="CX14" s="78">
        <f>IF(OR(INDEX(Undirviðmið!$G$6:$G$105,ROW()-6)&lt;&gt;"Starfsbundinn",CW14="",$E14="",$D14=""),"",ROUND(CW14/$E14*$D14*KVARDI,2))</f>
        <v/>
      </c>
      <c r="CY14" s="66" t="n"/>
      <c r="CZ14" s="78">
        <f>IF(OR(INDEX(Undirviðmið!$G$6:$G$105,ROW()-6)&lt;&gt;"Starfsbundinn",CY14="",$E14="",$D14=""),"",ROUND(CY14/$E14*$D14*KVARDI,2))</f>
        <v/>
      </c>
      <c r="DA14" s="66" t="n"/>
      <c r="DB14" s="78">
        <f>IF(OR(INDEX(Undirviðmið!$G$6:$G$105,ROW()-6)&lt;&gt;"Starfsbundinn",DA14="",$E14="",$D14=""),"",ROUND(DA14/$E14*$D14*KVARDI,2))</f>
        <v/>
      </c>
      <c r="DC14" s="66" t="n"/>
      <c r="DD14" s="78">
        <f>IF(OR(INDEX(Undirviðmið!$G$6:$G$105,ROW()-6)&lt;&gt;"Starfsbundinn",DC14="",$E14="",$D14=""),"",ROUND(DC14/$E14*$D14*KVARDI,2))</f>
        <v/>
      </c>
      <c r="DE14" s="66" t="n"/>
      <c r="DF14" s="78">
        <f>IF(OR(INDEX(Undirviðmið!$G$6:$G$105,ROW()-6)&lt;&gt;"Starfsbundinn",DE14="",$E14="",$D14=""),"",ROUND(DE14/$E14*$D14*KVARDI,2))</f>
        <v/>
      </c>
      <c r="DG14" s="66" t="n"/>
      <c r="DH14" s="78">
        <f>IF(OR(INDEX(Undirviðmið!$G$6:$G$105,ROW()-6)&lt;&gt;"Starfsbundinn",DG14="",$E14="",$D14=""),"",ROUND(DG14/$E14*$D14*KVARDI,2))</f>
        <v/>
      </c>
      <c r="DI14" s="66" t="n"/>
      <c r="DJ14" s="78">
        <f>IF(OR(INDEX(Undirviðmið!$G$6:$G$105,ROW()-6)&lt;&gt;"Starfsbundinn",DI14="",$E14="",$D14=""),"",ROUND(DI14/$E14*$D14*KVARDI,2))</f>
        <v/>
      </c>
      <c r="DK14" s="66" t="n"/>
      <c r="DL14" s="78">
        <f>IF(OR(INDEX(Undirviðmið!$G$6:$G$105,ROW()-6)&lt;&gt;"Starfsbundinn",DK14="",$E14="",$D14=""),"",ROUND(DK14/$E14*$D14*KVARDI,2))</f>
        <v/>
      </c>
      <c r="DM14" s="66" t="n"/>
      <c r="DN14" s="78">
        <f>IF(OR(INDEX(Undirviðmið!$G$6:$G$105,ROW()-6)&lt;&gt;"Starfsbundinn",DM14="",$E14="",$D14=""),"",ROUND(DM14/$E14*$D14*KVARDI,2))</f>
        <v/>
      </c>
      <c r="DO14" s="66" t="n"/>
      <c r="DP14" s="78">
        <f>IF(OR(INDEX(Undirviðmið!$G$6:$G$105,ROW()-6)&lt;&gt;"Starfsbundinn",DO14="",$E14="",$D14=""),"",ROUND(DO14/$E14*$D14*KVARDI,2))</f>
        <v/>
      </c>
      <c r="DQ14" s="66" t="n"/>
      <c r="DR14" s="78">
        <f>IF(OR(INDEX(Undirviðmið!$G$6:$G$105,ROW()-6)&lt;&gt;"Starfsbundinn",DQ14="",$E14="",$D14=""),"",ROUND(DQ14/$E14*$D14*KVARDI,2))</f>
        <v/>
      </c>
      <c r="DS14" s="66" t="n"/>
      <c r="DT14" s="78">
        <f>IF(OR(INDEX(Undirviðmið!$G$6:$G$105,ROW()-6)&lt;&gt;"Starfsbundinn",DS14="",$E14="",$D14=""),"",ROUND(DS14/$E14*$D14*KVARDI,2))</f>
        <v/>
      </c>
      <c r="DU14" s="66" t="n"/>
      <c r="DV14" s="78">
        <f>IF(OR(INDEX(Undirviðmið!$G$6:$G$105,ROW()-6)&lt;&gt;"Starfsbundinn",DU14="",$E14="",$D14=""),"",ROUND(DU14/$E14*$D14*KVARDI,2))</f>
        <v/>
      </c>
      <c r="DW14" s="66" t="n"/>
      <c r="DX14" s="78">
        <f>IF(OR(INDEX(Undirviðmið!$G$6:$G$105,ROW()-6)&lt;&gt;"Starfsbundinn",DW14="",$E14="",$D14=""),"",ROUND(DW14/$E14*$D14*KVARDI,2))</f>
        <v/>
      </c>
      <c r="DY14" s="66" t="n"/>
      <c r="DZ14" s="78">
        <f>IF(OR(INDEX(Undirviðmið!$G$6:$G$105,ROW()-6)&lt;&gt;"Starfsbundinn",DY14="",$E14="",$D14=""),"",ROUND(DY14/$E14*$D14*KVARDI,2))</f>
        <v/>
      </c>
      <c r="EA14" s="66" t="n"/>
      <c r="EB14" s="78">
        <f>IF(OR(INDEX(Undirviðmið!$G$6:$G$105,ROW()-6)&lt;&gt;"Starfsbundinn",EA14="",$E14="",$D14=""),"",ROUND(EA14/$E14*$D14*KVARDI,2))</f>
        <v/>
      </c>
      <c r="EC14" s="66" t="n"/>
      <c r="ED14" s="78">
        <f>IF(OR(INDEX(Undirviðmið!$G$6:$G$105,ROW()-6)&lt;&gt;"Starfsbundinn",EC14="",$E14="",$D14=""),"",ROUND(EC14/$E14*$D14*KVARDI,2))</f>
        <v/>
      </c>
      <c r="EE14" s="66" t="n"/>
      <c r="EF14" s="78">
        <f>IF(OR(INDEX(Undirviðmið!$G$6:$G$105,ROW()-6)&lt;&gt;"Starfsbundinn",EE14="",$E14="",$D14=""),"",ROUND(EE14/$E14*$D14*KVARDI,2))</f>
        <v/>
      </c>
      <c r="EG14" s="66" t="n"/>
      <c r="EH14" s="78">
        <f>IF(OR(INDEX(Undirviðmið!$G$6:$G$105,ROW()-6)&lt;&gt;"Starfsbundinn",EG14="",$E14="",$D14=""),"",ROUND(EG14/$E14*$D14*KVARDI,2))</f>
        <v/>
      </c>
      <c r="EI14" s="66" t="n"/>
      <c r="EJ14" s="78">
        <f>IF(OR(INDEX(Undirviðmið!$G$6:$G$105,ROW()-6)&lt;&gt;"Starfsbundinn",EI14="",$E14="",$D14=""),"",ROUND(EI14/$E14*$D14*KVARDI,2))</f>
        <v/>
      </c>
      <c r="EK14" s="66" t="n"/>
      <c r="EL14" s="78">
        <f>IF(OR(INDEX(Undirviðmið!$G$6:$G$105,ROW()-6)&lt;&gt;"Starfsbundinn",EK14="",$E14="",$D14=""),"",ROUND(EK14/$E14*$D14*KVARDI,2))</f>
        <v/>
      </c>
      <c r="EM14" s="66" t="n"/>
      <c r="EN14" s="78">
        <f>IF(OR(INDEX(Undirviðmið!$G$6:$G$105,ROW()-6)&lt;&gt;"Starfsbundinn",EM14="",$E14="",$D14=""),"",ROUND(EM14/$E14*$D14*KVARDI,2))</f>
        <v/>
      </c>
      <c r="EO14" s="66" t="n"/>
      <c r="EP14" s="78">
        <f>IF(OR(INDEX(Undirviðmið!$G$6:$G$105,ROW()-6)&lt;&gt;"Starfsbundinn",EO14="",$E14="",$D14=""),"",ROUND(EO14/$E14*$D14*KVARDI,2))</f>
        <v/>
      </c>
      <c r="EQ14" s="66" t="n"/>
      <c r="ER14" s="78">
        <f>IF(OR(INDEX(Undirviðmið!$G$6:$G$105,ROW()-6)&lt;&gt;"Starfsbundinn",EQ14="",$E14="",$D14=""),"",ROUND(EQ14/$E14*$D14*KVARDI,2))</f>
        <v/>
      </c>
      <c r="ES14" s="66" t="n"/>
      <c r="ET14" s="78">
        <f>IF(OR(INDEX(Undirviðmið!$G$6:$G$105,ROW()-6)&lt;&gt;"Starfsbundinn",ES14="",$E14="",$D14=""),"",ROUND(ES14/$E14*$D14*KVARDI,2))</f>
        <v/>
      </c>
      <c r="EU14" s="66" t="n"/>
      <c r="EV14" s="78">
        <f>IF(OR(INDEX(Undirviðmið!$G$6:$G$105,ROW()-6)&lt;&gt;"Starfsbundinn",EU14="",$E14="",$D14=""),"",ROUND(EU14/$E14*$D14*KVARDI,2))</f>
        <v/>
      </c>
      <c r="EW14" s="66" t="n"/>
      <c r="EX14" s="78">
        <f>IF(OR(INDEX(Undirviðmið!$G$6:$G$105,ROW()-6)&lt;&gt;"Starfsbundinn",EW14="",$E14="",$D14=""),"",ROUND(EW14/$E14*$D14*KVARDI,2))</f>
        <v/>
      </c>
      <c r="EY14" s="66" t="n"/>
      <c r="EZ14" s="78">
        <f>IF(OR(INDEX(Undirviðmið!$G$6:$G$105,ROW()-6)&lt;&gt;"Starfsbundinn",EY14="",$E14="",$D14=""),"",ROUND(EY14/$E14*$D14*KVARDI,2))</f>
        <v/>
      </c>
      <c r="FA14" s="66" t="n"/>
      <c r="FB14" s="78">
        <f>IF(OR(INDEX(Undirviðmið!$G$6:$G$105,ROW()-6)&lt;&gt;"Starfsbundinn",FA14="",$E14="",$D14=""),"",ROUND(FA14/$E14*$D14*KVARDI,2))</f>
        <v/>
      </c>
      <c r="FC14" s="66" t="n"/>
      <c r="FD14" s="78">
        <f>IF(OR(INDEX(Undirviðmið!$G$6:$G$105,ROW()-6)&lt;&gt;"Starfsbundinn",FC14="",$E14="",$D14=""),"",ROUND(FC14/$E14*$D14*KVARDI,2))</f>
        <v/>
      </c>
      <c r="FE14" s="66" t="n"/>
      <c r="FF14" s="78">
        <f>IF(OR(INDEX(Undirviðmið!$G$6:$G$105,ROW()-6)&lt;&gt;"Starfsbundinn",FE14="",$E14="",$D14=""),"",ROUND(FE14/$E14*$D14*KVARDI,2))</f>
        <v/>
      </c>
      <c r="FG14" s="66" t="n"/>
      <c r="FH14" s="78">
        <f>IF(OR(INDEX(Undirviðmið!$G$6:$G$105,ROW()-6)&lt;&gt;"Starfsbundinn",FG14="",$E14="",$D14=""),"",ROUND(FG14/$E14*$D14*KVARDI,2))</f>
        <v/>
      </c>
      <c r="FI14" s="66" t="n"/>
      <c r="FJ14" s="78">
        <f>IF(OR(INDEX(Undirviðmið!$G$6:$G$105,ROW()-6)&lt;&gt;"Starfsbundinn",FI14="",$E14="",$D14=""),"",ROUND(FI14/$E14*$D14*KVARDI,2))</f>
        <v/>
      </c>
      <c r="FK14" s="66" t="n"/>
      <c r="FL14" s="78">
        <f>IF(OR(INDEX(Undirviðmið!$G$6:$G$105,ROW()-6)&lt;&gt;"Starfsbundinn",FK14="",$E14="",$D14=""),"",ROUND(FK14/$E14*$D14*KVARDI,2))</f>
        <v/>
      </c>
      <c r="FM14" s="66" t="n"/>
      <c r="FN14" s="78">
        <f>IF(OR(INDEX(Undirviðmið!$G$6:$G$105,ROW()-6)&lt;&gt;"Starfsbundinn",FM14="",$E14="",$D14=""),"",ROUND(FM14/$E14*$D14*KVARDI,2))</f>
        <v/>
      </c>
      <c r="FO14" s="66" t="n"/>
      <c r="FP14" s="78">
        <f>IF(OR(INDEX(Undirviðmið!$G$6:$G$105,ROW()-6)&lt;&gt;"Starfsbundinn",FO14="",$E14="",$D14=""),"",ROUND(FO14/$E14*$D14*KVARDI,2))</f>
        <v/>
      </c>
      <c r="FQ14" s="66" t="n"/>
      <c r="FR14" s="78">
        <f>IF(OR(INDEX(Undirviðmið!$G$6:$G$105,ROW()-6)&lt;&gt;"Starfsbundinn",FQ14="",$E14="",$D14=""),"",ROUND(FQ14/$E14*$D14*KVARDI,2))</f>
        <v/>
      </c>
      <c r="FS14" s="66" t="n"/>
      <c r="FT14" s="78">
        <f>IF(OR(INDEX(Undirviðmið!$G$6:$G$105,ROW()-6)&lt;&gt;"Starfsbundinn",FS14="",$E14="",$D14=""),"",ROUND(FS14/$E14*$D14*KVARDI,2))</f>
        <v/>
      </c>
      <c r="FU14" s="66" t="n"/>
      <c r="FV14" s="78">
        <f>IF(OR(INDEX(Undirviðmið!$G$6:$G$105,ROW()-6)&lt;&gt;"Starfsbundinn",FU14="",$E14="",$D14=""),"",ROUND(FU14/$E14*$D14*KVARDI,2))</f>
        <v/>
      </c>
      <c r="FW14" s="66" t="n"/>
      <c r="FX14" s="78">
        <f>IF(OR(INDEX(Undirviðmið!$G$6:$G$105,ROW()-6)&lt;&gt;"Starfsbundinn",FW14="",$E14="",$D14=""),"",ROUND(FW14/$E14*$D14*KVARDI,2))</f>
        <v/>
      </c>
      <c r="FY14" s="66" t="n"/>
      <c r="FZ14" s="78">
        <f>IF(OR(INDEX(Undirviðmið!$G$6:$G$105,ROW()-6)&lt;&gt;"Starfsbundinn",FY14="",$E14="",$D14=""),"",ROUND(FY14/$E14*$D14*KVARDI,2))</f>
        <v/>
      </c>
      <c r="GA14" s="66" t="n"/>
      <c r="GB14" s="78">
        <f>IF(OR(INDEX(Undirviðmið!$G$6:$G$105,ROW()-6)&lt;&gt;"Starfsbundinn",GA14="",$E14="",$D14=""),"",ROUND(GA14/$E14*$D14*KVARDI,2))</f>
        <v/>
      </c>
      <c r="GC14" s="66" t="n"/>
      <c r="GD14" s="78">
        <f>IF(OR(INDEX(Undirviðmið!$G$6:$G$105,ROW()-6)&lt;&gt;"Starfsbundinn",GC14="",$E14="",$D14=""),"",ROUND(GC14/$E14*$D14*KVARDI,2))</f>
        <v/>
      </c>
      <c r="GE14" s="66" t="n"/>
      <c r="GF14" s="78">
        <f>IF(OR(INDEX(Undirviðmið!$G$6:$G$105,ROW()-6)&lt;&gt;"Starfsbundinn",GE14="",$E14="",$D14=""),"",ROUND(GE14/$E14*$D14*KVARDI,2))</f>
        <v/>
      </c>
      <c r="GG14" s="66" t="n"/>
      <c r="GH14" s="78">
        <f>IF(OR(INDEX(Undirviðmið!$G$6:$G$105,ROW()-6)&lt;&gt;"Starfsbundinn",GG14="",$E14="",$D14=""),"",ROUND(GG14/$E14*$D14*KVARDI,2))</f>
        <v/>
      </c>
      <c r="GI14" s="66" t="n"/>
      <c r="GJ14" s="78">
        <f>IF(OR(INDEX(Undirviðmið!$G$6:$G$105,ROW()-6)&lt;&gt;"Starfsbundinn",GI14="",$E14="",$D14=""),"",ROUND(GI14/$E14*$D14*KVARDI,2))</f>
        <v/>
      </c>
      <c r="GK14" s="66" t="n"/>
      <c r="GL14" s="78">
        <f>IF(OR(INDEX(Undirviðmið!$G$6:$G$105,ROW()-6)&lt;&gt;"Starfsbundinn",GK14="",$E14="",$D14=""),"",ROUND(GK14/$E14*$D14*KVARDI,2))</f>
        <v/>
      </c>
      <c r="GM14" s="66" t="n"/>
      <c r="GN14" s="78">
        <f>IF(OR(INDEX(Undirviðmið!$G$6:$G$105,ROW()-6)&lt;&gt;"Starfsbundinn",GM14="",$E14="",$D14=""),"",ROUND(GM14/$E14*$D14*KVARDI,2))</f>
        <v/>
      </c>
      <c r="GO14" s="66" t="n"/>
      <c r="GP14" s="78">
        <f>IF(OR(INDEX(Undirviðmið!$G$6:$G$105,ROW()-6)&lt;&gt;"Starfsbundinn",GO14="",$E14="",$D14=""),"",ROUND(GO14/$E14*$D14*KVARDI,2))</f>
        <v/>
      </c>
      <c r="GQ14" s="66" t="n"/>
      <c r="GR14" s="78">
        <f>IF(OR(INDEX(Undirviðmið!$G$6:$G$105,ROW()-6)&lt;&gt;"Starfsbundinn",GQ14="",$E14="",$D14=""),"",ROUND(GQ14/$E14*$D14*KVARDI,2))</f>
        <v/>
      </c>
      <c r="GS14" s="66" t="n"/>
      <c r="GT14" s="78">
        <f>IF(OR(INDEX(Undirviðmið!$G$6:$G$105,ROW()-6)&lt;&gt;"Starfsbundinn",GS14="",$E14="",$D14=""),"",ROUND(GS14/$E14*$D14*KVARDI,2))</f>
        <v/>
      </c>
      <c r="GU14" s="66" t="n"/>
      <c r="GV14" s="78">
        <f>IF(OR(INDEX(Undirviðmið!$G$6:$G$105,ROW()-6)&lt;&gt;"Starfsbundinn",GU14="",$E14="",$D14=""),"",ROUND(GU14/$E14*$D14*KVARDI,2))</f>
        <v/>
      </c>
      <c r="GW14" s="66" t="n"/>
      <c r="GX14" s="78">
        <f>IF(OR(INDEX(Undirviðmið!$G$6:$G$105,ROW()-6)&lt;&gt;"Starfsbundinn",GW14="",$E14="",$D14=""),"",ROUND(GW14/$E14*$D14*KVARDI,2))</f>
        <v/>
      </c>
    </row>
    <row r="15" ht="15" customHeight="1" s="47">
      <c r="B15" s="67">
        <f>IF(INDEX(Undirviðmið!$G$6:$G$105,ROW()-6)="Starfsbundinn",INDEX(Undirviðmið!$B$6:$B$105,ROW()-6),"")</f>
        <v/>
      </c>
      <c r="C15" s="67">
        <f>IF(INDEX(Undirviðmið!$G$6:$G$105,ROW()-6)="Starfsbundinn",INDEX(Undirviðmið!$C$6:$C$105,ROW()-6),"")</f>
        <v/>
      </c>
      <c r="D15" s="77">
        <f>IF(INDEX(Undirviðmið!$G$6:$G$105,ROW()-6)="Starfsbundinn",INDEX(Undirviðmið!$E$6:$E$105,ROW()-6),"")</f>
        <v/>
      </c>
      <c r="E15" s="77">
        <f>IF(INDEX(Undirviðmið!$G$6:$G$105,ROW()-6)="Starfsbundinn",INDEX(Undirviðmið!$F$6:$F$105,ROW()-6),"")</f>
        <v/>
      </c>
      <c r="F15" s="77">
        <f>IF(INDEX(Undirviðmið!$G$6:$G$105,ROW()-6)="Starfsbundinn",IFERROR(INDEX(Undirviðmið!$E$6:$E$105,ROW()-6)*KVARDI,""),"")</f>
        <v/>
      </c>
      <c r="G15" s="66" t="n"/>
      <c r="H15" s="78">
        <f>IF(OR(INDEX(Undirviðmið!$G$6:$G$105,ROW()-6)&lt;&gt;"Starfsbundinn",G15="",$E15="",$D15=""),"",ROUND(G15/$E15*$D15*KVARDI,2))</f>
        <v/>
      </c>
      <c r="I15" s="66" t="n"/>
      <c r="J15" s="78">
        <f>IF(OR(INDEX(Undirviðmið!$G$6:$G$105,ROW()-6)&lt;&gt;"Starfsbundinn",I15="",$E15="",$D15=""),"",ROUND(I15/$E15*$D15*KVARDI,2))</f>
        <v/>
      </c>
      <c r="K15" s="66" t="n"/>
      <c r="L15" s="78">
        <f>IF(OR(INDEX(Undirviðmið!$G$6:$G$105,ROW()-6)&lt;&gt;"Starfsbundinn",K15="",$E15="",$D15=""),"",ROUND(K15/$E15*$D15*KVARDI,2))</f>
        <v/>
      </c>
      <c r="M15" s="66" t="n"/>
      <c r="N15" s="78">
        <f>IF(OR(INDEX(Undirviðmið!$G$6:$G$105,ROW()-6)&lt;&gt;"Starfsbundinn",M15="",$E15="",$D15=""),"",ROUND(M15/$E15*$D15*KVARDI,2))</f>
        <v/>
      </c>
      <c r="O15" s="66" t="n"/>
      <c r="P15" s="78">
        <f>IF(OR(INDEX(Undirviðmið!$G$6:$G$105,ROW()-6)&lt;&gt;"Starfsbundinn",O15="",$E15="",$D15=""),"",ROUND(O15/$E15*$D15*KVARDI,2))</f>
        <v/>
      </c>
      <c r="Q15" s="66" t="n"/>
      <c r="R15" s="78">
        <f>IF(OR(INDEX(Undirviðmið!$G$6:$G$105,ROW()-6)&lt;&gt;"Starfsbundinn",Q15="",$E15="",$D15=""),"",ROUND(Q15/$E15*$D15*KVARDI,2))</f>
        <v/>
      </c>
      <c r="S15" s="66" t="n"/>
      <c r="T15" s="78">
        <f>IF(OR(INDEX(Undirviðmið!$G$6:$G$105,ROW()-6)&lt;&gt;"Starfsbundinn",S15="",$E15="",$D15=""),"",ROUND(S15/$E15*$D15*KVARDI,2))</f>
        <v/>
      </c>
      <c r="U15" s="66" t="n"/>
      <c r="V15" s="78">
        <f>IF(OR(INDEX(Undirviðmið!$G$6:$G$105,ROW()-6)&lt;&gt;"Starfsbundinn",U15="",$E15="",$D15=""),"",ROUND(U15/$E15*$D15*KVARDI,2))</f>
        <v/>
      </c>
      <c r="W15" s="66" t="n"/>
      <c r="X15" s="78">
        <f>IF(OR(INDEX(Undirviðmið!$G$6:$G$105,ROW()-6)&lt;&gt;"Starfsbundinn",W15="",$E15="",$D15=""),"",ROUND(W15/$E15*$D15*KVARDI,2))</f>
        <v/>
      </c>
      <c r="Y15" s="66" t="n"/>
      <c r="Z15" s="78">
        <f>IF(OR(INDEX(Undirviðmið!$G$6:$G$105,ROW()-6)&lt;&gt;"Starfsbundinn",Y15="",$E15="",$D15=""),"",ROUND(Y15/$E15*$D15*KVARDI,2))</f>
        <v/>
      </c>
      <c r="AA15" s="66" t="n"/>
      <c r="AB15" s="78">
        <f>IF(OR(INDEX(Undirviðmið!$G$6:$G$105,ROW()-6)&lt;&gt;"Starfsbundinn",AA15="",$E15="",$D15=""),"",ROUND(AA15/$E15*$D15*KVARDI,2))</f>
        <v/>
      </c>
      <c r="AC15" s="66" t="n"/>
      <c r="AD15" s="78">
        <f>IF(OR(INDEX(Undirviðmið!$G$6:$G$105,ROW()-6)&lt;&gt;"Starfsbundinn",AC15="",$E15="",$D15=""),"",ROUND(AC15/$E15*$D15*KVARDI,2))</f>
        <v/>
      </c>
      <c r="AE15" s="66" t="n"/>
      <c r="AF15" s="78">
        <f>IF(OR(INDEX(Undirviðmið!$G$6:$G$105,ROW()-6)&lt;&gt;"Starfsbundinn",AE15="",$E15="",$D15=""),"",ROUND(AE15/$E15*$D15*KVARDI,2))</f>
        <v/>
      </c>
      <c r="AG15" s="66" t="n"/>
      <c r="AH15" s="78">
        <f>IF(OR(INDEX(Undirviðmið!$G$6:$G$105,ROW()-6)&lt;&gt;"Starfsbundinn",AG15="",$E15="",$D15=""),"",ROUND(AG15/$E15*$D15*KVARDI,2))</f>
        <v/>
      </c>
      <c r="AI15" s="66" t="n"/>
      <c r="AJ15" s="78">
        <f>IF(OR(INDEX(Undirviðmið!$G$6:$G$105,ROW()-6)&lt;&gt;"Starfsbundinn",AI15="",$E15="",$D15=""),"",ROUND(AI15/$E15*$D15*KVARDI,2))</f>
        <v/>
      </c>
      <c r="AK15" s="66" t="n"/>
      <c r="AL15" s="78">
        <f>IF(OR(INDEX(Undirviðmið!$G$6:$G$105,ROW()-6)&lt;&gt;"Starfsbundinn",AK15="",$E15="",$D15=""),"",ROUND(AK15/$E15*$D15*KVARDI,2))</f>
        <v/>
      </c>
      <c r="AM15" s="66" t="n"/>
      <c r="AN15" s="78">
        <f>IF(OR(INDEX(Undirviðmið!$G$6:$G$105,ROW()-6)&lt;&gt;"Starfsbundinn",AM15="",$E15="",$D15=""),"",ROUND(AM15/$E15*$D15*KVARDI,2))</f>
        <v/>
      </c>
      <c r="AO15" s="66" t="n"/>
      <c r="AP15" s="78">
        <f>IF(OR(INDEX(Undirviðmið!$G$6:$G$105,ROW()-6)&lt;&gt;"Starfsbundinn",AO15="",$E15="",$D15=""),"",ROUND(AO15/$E15*$D15*KVARDI,2))</f>
        <v/>
      </c>
      <c r="AQ15" s="66" t="n"/>
      <c r="AR15" s="78">
        <f>IF(OR(INDEX(Undirviðmið!$G$6:$G$105,ROW()-6)&lt;&gt;"Starfsbundinn",AQ15="",$E15="",$D15=""),"",ROUND(AQ15/$E15*$D15*KVARDI,2))</f>
        <v/>
      </c>
      <c r="AS15" s="66" t="n"/>
      <c r="AT15" s="78">
        <f>IF(OR(INDEX(Undirviðmið!$G$6:$G$105,ROW()-6)&lt;&gt;"Starfsbundinn",AS15="",$E15="",$D15=""),"",ROUND(AS15/$E15*$D15*KVARDI,2))</f>
        <v/>
      </c>
      <c r="AU15" s="66" t="n"/>
      <c r="AV15" s="78">
        <f>IF(OR(INDEX(Undirviðmið!$G$6:$G$105,ROW()-6)&lt;&gt;"Starfsbundinn",AU15="",$E15="",$D15=""),"",ROUND(AU15/$E15*$D15*KVARDI,2))</f>
        <v/>
      </c>
      <c r="AW15" s="66" t="n"/>
      <c r="AX15" s="78">
        <f>IF(OR(INDEX(Undirviðmið!$G$6:$G$105,ROW()-6)&lt;&gt;"Starfsbundinn",AW15="",$E15="",$D15=""),"",ROUND(AW15/$E15*$D15*KVARDI,2))</f>
        <v/>
      </c>
      <c r="AY15" s="66" t="n"/>
      <c r="AZ15" s="78">
        <f>IF(OR(INDEX(Undirviðmið!$G$6:$G$105,ROW()-6)&lt;&gt;"Starfsbundinn",AY15="",$E15="",$D15=""),"",ROUND(AY15/$E15*$D15*KVARDI,2))</f>
        <v/>
      </c>
      <c r="BA15" s="66" t="n"/>
      <c r="BB15" s="78">
        <f>IF(OR(INDEX(Undirviðmið!$G$6:$G$105,ROW()-6)&lt;&gt;"Starfsbundinn",BA15="",$E15="",$D15=""),"",ROUND(BA15/$E15*$D15*KVARDI,2))</f>
        <v/>
      </c>
      <c r="BC15" s="66" t="n"/>
      <c r="BD15" s="78">
        <f>IF(OR(INDEX(Undirviðmið!$G$6:$G$105,ROW()-6)&lt;&gt;"Starfsbundinn",BC15="",$E15="",$D15=""),"",ROUND(BC15/$E15*$D15*KVARDI,2))</f>
        <v/>
      </c>
      <c r="BE15" s="66" t="n"/>
      <c r="BF15" s="78">
        <f>IF(OR(INDEX(Undirviðmið!$G$6:$G$105,ROW()-6)&lt;&gt;"Starfsbundinn",BE15="",$E15="",$D15=""),"",ROUND(BE15/$E15*$D15*KVARDI,2))</f>
        <v/>
      </c>
      <c r="BG15" s="66" t="n"/>
      <c r="BH15" s="78">
        <f>IF(OR(INDEX(Undirviðmið!$G$6:$G$105,ROW()-6)&lt;&gt;"Starfsbundinn",BG15="",$E15="",$D15=""),"",ROUND(BG15/$E15*$D15*KVARDI,2))</f>
        <v/>
      </c>
      <c r="BI15" s="66" t="n"/>
      <c r="BJ15" s="78">
        <f>IF(OR(INDEX(Undirviðmið!$G$6:$G$105,ROW()-6)&lt;&gt;"Starfsbundinn",BI15="",$E15="",$D15=""),"",ROUND(BI15/$E15*$D15*KVARDI,2))</f>
        <v/>
      </c>
      <c r="BK15" s="66" t="n"/>
      <c r="BL15" s="78">
        <f>IF(OR(INDEX(Undirviðmið!$G$6:$G$105,ROW()-6)&lt;&gt;"Starfsbundinn",BK15="",$E15="",$D15=""),"",ROUND(BK15/$E15*$D15*KVARDI,2))</f>
        <v/>
      </c>
      <c r="BM15" s="66" t="n"/>
      <c r="BN15" s="78">
        <f>IF(OR(INDEX(Undirviðmið!$G$6:$G$105,ROW()-6)&lt;&gt;"Starfsbundinn",BM15="",$E15="",$D15=""),"",ROUND(BM15/$E15*$D15*KVARDI,2))</f>
        <v/>
      </c>
      <c r="BO15" s="66" t="n"/>
      <c r="BP15" s="78">
        <f>IF(OR(INDEX(Undirviðmið!$G$6:$G$105,ROW()-6)&lt;&gt;"Starfsbundinn",BO15="",$E15="",$D15=""),"",ROUND(BO15/$E15*$D15*KVARDI,2))</f>
        <v/>
      </c>
      <c r="BQ15" s="66" t="n"/>
      <c r="BR15" s="78">
        <f>IF(OR(INDEX(Undirviðmið!$G$6:$G$105,ROW()-6)&lt;&gt;"Starfsbundinn",BQ15="",$E15="",$D15=""),"",ROUND(BQ15/$E15*$D15*KVARDI,2))</f>
        <v/>
      </c>
      <c r="BS15" s="66" t="n"/>
      <c r="BT15" s="78">
        <f>IF(OR(INDEX(Undirviðmið!$G$6:$G$105,ROW()-6)&lt;&gt;"Starfsbundinn",BS15="",$E15="",$D15=""),"",ROUND(BS15/$E15*$D15*KVARDI,2))</f>
        <v/>
      </c>
      <c r="BU15" s="66" t="n"/>
      <c r="BV15" s="78">
        <f>IF(OR(INDEX(Undirviðmið!$G$6:$G$105,ROW()-6)&lt;&gt;"Starfsbundinn",BU15="",$E15="",$D15=""),"",ROUND(BU15/$E15*$D15*KVARDI,2))</f>
        <v/>
      </c>
      <c r="BW15" s="66" t="n"/>
      <c r="BX15" s="78">
        <f>IF(OR(INDEX(Undirviðmið!$G$6:$G$105,ROW()-6)&lt;&gt;"Starfsbundinn",BW15="",$E15="",$D15=""),"",ROUND(BW15/$E15*$D15*KVARDI,2))</f>
        <v/>
      </c>
      <c r="BY15" s="66" t="n"/>
      <c r="BZ15" s="78">
        <f>IF(OR(INDEX(Undirviðmið!$G$6:$G$105,ROW()-6)&lt;&gt;"Starfsbundinn",BY15="",$E15="",$D15=""),"",ROUND(BY15/$E15*$D15*KVARDI,2))</f>
        <v/>
      </c>
      <c r="CA15" s="66" t="n"/>
      <c r="CB15" s="78">
        <f>IF(OR(INDEX(Undirviðmið!$G$6:$G$105,ROW()-6)&lt;&gt;"Starfsbundinn",CA15="",$E15="",$D15=""),"",ROUND(CA15/$E15*$D15*KVARDI,2))</f>
        <v/>
      </c>
      <c r="CC15" s="66" t="n"/>
      <c r="CD15" s="78">
        <f>IF(OR(INDEX(Undirviðmið!$G$6:$G$105,ROW()-6)&lt;&gt;"Starfsbundinn",CC15="",$E15="",$D15=""),"",ROUND(CC15/$E15*$D15*KVARDI,2))</f>
        <v/>
      </c>
      <c r="CE15" s="66" t="n"/>
      <c r="CF15" s="78">
        <f>IF(OR(INDEX(Undirviðmið!$G$6:$G$105,ROW()-6)&lt;&gt;"Starfsbundinn",CE15="",$E15="",$D15=""),"",ROUND(CE15/$E15*$D15*KVARDI,2))</f>
        <v/>
      </c>
      <c r="CG15" s="66" t="n"/>
      <c r="CH15" s="78">
        <f>IF(OR(INDEX(Undirviðmið!$G$6:$G$105,ROW()-6)&lt;&gt;"Starfsbundinn",CG15="",$E15="",$D15=""),"",ROUND(CG15/$E15*$D15*KVARDI,2))</f>
        <v/>
      </c>
      <c r="CI15" s="66" t="n"/>
      <c r="CJ15" s="78">
        <f>IF(OR(INDEX(Undirviðmið!$G$6:$G$105,ROW()-6)&lt;&gt;"Starfsbundinn",CI15="",$E15="",$D15=""),"",ROUND(CI15/$E15*$D15*KVARDI,2))</f>
        <v/>
      </c>
      <c r="CK15" s="66" t="n"/>
      <c r="CL15" s="78">
        <f>IF(OR(INDEX(Undirviðmið!$G$6:$G$105,ROW()-6)&lt;&gt;"Starfsbundinn",CK15="",$E15="",$D15=""),"",ROUND(CK15/$E15*$D15*KVARDI,2))</f>
        <v/>
      </c>
      <c r="CM15" s="66" t="n"/>
      <c r="CN15" s="78">
        <f>IF(OR(INDEX(Undirviðmið!$G$6:$G$105,ROW()-6)&lt;&gt;"Starfsbundinn",CM15="",$E15="",$D15=""),"",ROUND(CM15/$E15*$D15*KVARDI,2))</f>
        <v/>
      </c>
      <c r="CO15" s="66" t="n"/>
      <c r="CP15" s="78">
        <f>IF(OR(INDEX(Undirviðmið!$G$6:$G$105,ROW()-6)&lt;&gt;"Starfsbundinn",CO15="",$E15="",$D15=""),"",ROUND(CO15/$E15*$D15*KVARDI,2))</f>
        <v/>
      </c>
      <c r="CQ15" s="66" t="n"/>
      <c r="CR15" s="78">
        <f>IF(OR(INDEX(Undirviðmið!$G$6:$G$105,ROW()-6)&lt;&gt;"Starfsbundinn",CQ15="",$E15="",$D15=""),"",ROUND(CQ15/$E15*$D15*KVARDI,2))</f>
        <v/>
      </c>
      <c r="CS15" s="66" t="n"/>
      <c r="CT15" s="78">
        <f>IF(OR(INDEX(Undirviðmið!$G$6:$G$105,ROW()-6)&lt;&gt;"Starfsbundinn",CS15="",$E15="",$D15=""),"",ROUND(CS15/$E15*$D15*KVARDI,2))</f>
        <v/>
      </c>
      <c r="CU15" s="66" t="n"/>
      <c r="CV15" s="78">
        <f>IF(OR(INDEX(Undirviðmið!$G$6:$G$105,ROW()-6)&lt;&gt;"Starfsbundinn",CU15="",$E15="",$D15=""),"",ROUND(CU15/$E15*$D15*KVARDI,2))</f>
        <v/>
      </c>
      <c r="CW15" s="66" t="n"/>
      <c r="CX15" s="78">
        <f>IF(OR(INDEX(Undirviðmið!$G$6:$G$105,ROW()-6)&lt;&gt;"Starfsbundinn",CW15="",$E15="",$D15=""),"",ROUND(CW15/$E15*$D15*KVARDI,2))</f>
        <v/>
      </c>
      <c r="CY15" s="66" t="n"/>
      <c r="CZ15" s="78">
        <f>IF(OR(INDEX(Undirviðmið!$G$6:$G$105,ROW()-6)&lt;&gt;"Starfsbundinn",CY15="",$E15="",$D15=""),"",ROUND(CY15/$E15*$D15*KVARDI,2))</f>
        <v/>
      </c>
      <c r="DA15" s="66" t="n"/>
      <c r="DB15" s="78">
        <f>IF(OR(INDEX(Undirviðmið!$G$6:$G$105,ROW()-6)&lt;&gt;"Starfsbundinn",DA15="",$E15="",$D15=""),"",ROUND(DA15/$E15*$D15*KVARDI,2))</f>
        <v/>
      </c>
      <c r="DC15" s="66" t="n"/>
      <c r="DD15" s="78">
        <f>IF(OR(INDEX(Undirviðmið!$G$6:$G$105,ROW()-6)&lt;&gt;"Starfsbundinn",DC15="",$E15="",$D15=""),"",ROUND(DC15/$E15*$D15*KVARDI,2))</f>
        <v/>
      </c>
      <c r="DE15" s="66" t="n"/>
      <c r="DF15" s="78">
        <f>IF(OR(INDEX(Undirviðmið!$G$6:$G$105,ROW()-6)&lt;&gt;"Starfsbundinn",DE15="",$E15="",$D15=""),"",ROUND(DE15/$E15*$D15*KVARDI,2))</f>
        <v/>
      </c>
      <c r="DG15" s="66" t="n"/>
      <c r="DH15" s="78">
        <f>IF(OR(INDEX(Undirviðmið!$G$6:$G$105,ROW()-6)&lt;&gt;"Starfsbundinn",DG15="",$E15="",$D15=""),"",ROUND(DG15/$E15*$D15*KVARDI,2))</f>
        <v/>
      </c>
      <c r="DI15" s="66" t="n"/>
      <c r="DJ15" s="78">
        <f>IF(OR(INDEX(Undirviðmið!$G$6:$G$105,ROW()-6)&lt;&gt;"Starfsbundinn",DI15="",$E15="",$D15=""),"",ROUND(DI15/$E15*$D15*KVARDI,2))</f>
        <v/>
      </c>
      <c r="DK15" s="66" t="n"/>
      <c r="DL15" s="78">
        <f>IF(OR(INDEX(Undirviðmið!$G$6:$G$105,ROW()-6)&lt;&gt;"Starfsbundinn",DK15="",$E15="",$D15=""),"",ROUND(DK15/$E15*$D15*KVARDI,2))</f>
        <v/>
      </c>
      <c r="DM15" s="66" t="n"/>
      <c r="DN15" s="78">
        <f>IF(OR(INDEX(Undirviðmið!$G$6:$G$105,ROW()-6)&lt;&gt;"Starfsbundinn",DM15="",$E15="",$D15=""),"",ROUND(DM15/$E15*$D15*KVARDI,2))</f>
        <v/>
      </c>
      <c r="DO15" s="66" t="n"/>
      <c r="DP15" s="78">
        <f>IF(OR(INDEX(Undirviðmið!$G$6:$G$105,ROW()-6)&lt;&gt;"Starfsbundinn",DO15="",$E15="",$D15=""),"",ROUND(DO15/$E15*$D15*KVARDI,2))</f>
        <v/>
      </c>
      <c r="DQ15" s="66" t="n"/>
      <c r="DR15" s="78">
        <f>IF(OR(INDEX(Undirviðmið!$G$6:$G$105,ROW()-6)&lt;&gt;"Starfsbundinn",DQ15="",$E15="",$D15=""),"",ROUND(DQ15/$E15*$D15*KVARDI,2))</f>
        <v/>
      </c>
      <c r="DS15" s="66" t="n"/>
      <c r="DT15" s="78">
        <f>IF(OR(INDEX(Undirviðmið!$G$6:$G$105,ROW()-6)&lt;&gt;"Starfsbundinn",DS15="",$E15="",$D15=""),"",ROUND(DS15/$E15*$D15*KVARDI,2))</f>
        <v/>
      </c>
      <c r="DU15" s="66" t="n"/>
      <c r="DV15" s="78">
        <f>IF(OR(INDEX(Undirviðmið!$G$6:$G$105,ROW()-6)&lt;&gt;"Starfsbundinn",DU15="",$E15="",$D15=""),"",ROUND(DU15/$E15*$D15*KVARDI,2))</f>
        <v/>
      </c>
      <c r="DW15" s="66" t="n"/>
      <c r="DX15" s="78">
        <f>IF(OR(INDEX(Undirviðmið!$G$6:$G$105,ROW()-6)&lt;&gt;"Starfsbundinn",DW15="",$E15="",$D15=""),"",ROUND(DW15/$E15*$D15*KVARDI,2))</f>
        <v/>
      </c>
      <c r="DY15" s="66" t="n"/>
      <c r="DZ15" s="78">
        <f>IF(OR(INDEX(Undirviðmið!$G$6:$G$105,ROW()-6)&lt;&gt;"Starfsbundinn",DY15="",$E15="",$D15=""),"",ROUND(DY15/$E15*$D15*KVARDI,2))</f>
        <v/>
      </c>
      <c r="EA15" s="66" t="n"/>
      <c r="EB15" s="78">
        <f>IF(OR(INDEX(Undirviðmið!$G$6:$G$105,ROW()-6)&lt;&gt;"Starfsbundinn",EA15="",$E15="",$D15=""),"",ROUND(EA15/$E15*$D15*KVARDI,2))</f>
        <v/>
      </c>
      <c r="EC15" s="66" t="n"/>
      <c r="ED15" s="78">
        <f>IF(OR(INDEX(Undirviðmið!$G$6:$G$105,ROW()-6)&lt;&gt;"Starfsbundinn",EC15="",$E15="",$D15=""),"",ROUND(EC15/$E15*$D15*KVARDI,2))</f>
        <v/>
      </c>
      <c r="EE15" s="66" t="n"/>
      <c r="EF15" s="78">
        <f>IF(OR(INDEX(Undirviðmið!$G$6:$G$105,ROW()-6)&lt;&gt;"Starfsbundinn",EE15="",$E15="",$D15=""),"",ROUND(EE15/$E15*$D15*KVARDI,2))</f>
        <v/>
      </c>
      <c r="EG15" s="66" t="n"/>
      <c r="EH15" s="78">
        <f>IF(OR(INDEX(Undirviðmið!$G$6:$G$105,ROW()-6)&lt;&gt;"Starfsbundinn",EG15="",$E15="",$D15=""),"",ROUND(EG15/$E15*$D15*KVARDI,2))</f>
        <v/>
      </c>
      <c r="EI15" s="66" t="n"/>
      <c r="EJ15" s="78">
        <f>IF(OR(INDEX(Undirviðmið!$G$6:$G$105,ROW()-6)&lt;&gt;"Starfsbundinn",EI15="",$E15="",$D15=""),"",ROUND(EI15/$E15*$D15*KVARDI,2))</f>
        <v/>
      </c>
      <c r="EK15" s="66" t="n"/>
      <c r="EL15" s="78">
        <f>IF(OR(INDEX(Undirviðmið!$G$6:$G$105,ROW()-6)&lt;&gt;"Starfsbundinn",EK15="",$E15="",$D15=""),"",ROUND(EK15/$E15*$D15*KVARDI,2))</f>
        <v/>
      </c>
      <c r="EM15" s="66" t="n"/>
      <c r="EN15" s="78">
        <f>IF(OR(INDEX(Undirviðmið!$G$6:$G$105,ROW()-6)&lt;&gt;"Starfsbundinn",EM15="",$E15="",$D15=""),"",ROUND(EM15/$E15*$D15*KVARDI,2))</f>
        <v/>
      </c>
      <c r="EO15" s="66" t="n"/>
      <c r="EP15" s="78">
        <f>IF(OR(INDEX(Undirviðmið!$G$6:$G$105,ROW()-6)&lt;&gt;"Starfsbundinn",EO15="",$E15="",$D15=""),"",ROUND(EO15/$E15*$D15*KVARDI,2))</f>
        <v/>
      </c>
      <c r="EQ15" s="66" t="n"/>
      <c r="ER15" s="78">
        <f>IF(OR(INDEX(Undirviðmið!$G$6:$G$105,ROW()-6)&lt;&gt;"Starfsbundinn",EQ15="",$E15="",$D15=""),"",ROUND(EQ15/$E15*$D15*KVARDI,2))</f>
        <v/>
      </c>
      <c r="ES15" s="66" t="n"/>
      <c r="ET15" s="78">
        <f>IF(OR(INDEX(Undirviðmið!$G$6:$G$105,ROW()-6)&lt;&gt;"Starfsbundinn",ES15="",$E15="",$D15=""),"",ROUND(ES15/$E15*$D15*KVARDI,2))</f>
        <v/>
      </c>
      <c r="EU15" s="66" t="n"/>
      <c r="EV15" s="78">
        <f>IF(OR(INDEX(Undirviðmið!$G$6:$G$105,ROW()-6)&lt;&gt;"Starfsbundinn",EU15="",$E15="",$D15=""),"",ROUND(EU15/$E15*$D15*KVARDI,2))</f>
        <v/>
      </c>
      <c r="EW15" s="66" t="n"/>
      <c r="EX15" s="78">
        <f>IF(OR(INDEX(Undirviðmið!$G$6:$G$105,ROW()-6)&lt;&gt;"Starfsbundinn",EW15="",$E15="",$D15=""),"",ROUND(EW15/$E15*$D15*KVARDI,2))</f>
        <v/>
      </c>
      <c r="EY15" s="66" t="n"/>
      <c r="EZ15" s="78">
        <f>IF(OR(INDEX(Undirviðmið!$G$6:$G$105,ROW()-6)&lt;&gt;"Starfsbundinn",EY15="",$E15="",$D15=""),"",ROUND(EY15/$E15*$D15*KVARDI,2))</f>
        <v/>
      </c>
      <c r="FA15" s="66" t="n"/>
      <c r="FB15" s="78">
        <f>IF(OR(INDEX(Undirviðmið!$G$6:$G$105,ROW()-6)&lt;&gt;"Starfsbundinn",FA15="",$E15="",$D15=""),"",ROUND(FA15/$E15*$D15*KVARDI,2))</f>
        <v/>
      </c>
      <c r="FC15" s="66" t="n"/>
      <c r="FD15" s="78">
        <f>IF(OR(INDEX(Undirviðmið!$G$6:$G$105,ROW()-6)&lt;&gt;"Starfsbundinn",FC15="",$E15="",$D15=""),"",ROUND(FC15/$E15*$D15*KVARDI,2))</f>
        <v/>
      </c>
      <c r="FE15" s="66" t="n"/>
      <c r="FF15" s="78">
        <f>IF(OR(INDEX(Undirviðmið!$G$6:$G$105,ROW()-6)&lt;&gt;"Starfsbundinn",FE15="",$E15="",$D15=""),"",ROUND(FE15/$E15*$D15*KVARDI,2))</f>
        <v/>
      </c>
      <c r="FG15" s="66" t="n"/>
      <c r="FH15" s="78">
        <f>IF(OR(INDEX(Undirviðmið!$G$6:$G$105,ROW()-6)&lt;&gt;"Starfsbundinn",FG15="",$E15="",$D15=""),"",ROUND(FG15/$E15*$D15*KVARDI,2))</f>
        <v/>
      </c>
      <c r="FI15" s="66" t="n"/>
      <c r="FJ15" s="78">
        <f>IF(OR(INDEX(Undirviðmið!$G$6:$G$105,ROW()-6)&lt;&gt;"Starfsbundinn",FI15="",$E15="",$D15=""),"",ROUND(FI15/$E15*$D15*KVARDI,2))</f>
        <v/>
      </c>
      <c r="FK15" s="66" t="n"/>
      <c r="FL15" s="78">
        <f>IF(OR(INDEX(Undirviðmið!$G$6:$G$105,ROW()-6)&lt;&gt;"Starfsbundinn",FK15="",$E15="",$D15=""),"",ROUND(FK15/$E15*$D15*KVARDI,2))</f>
        <v/>
      </c>
      <c r="FM15" s="66" t="n"/>
      <c r="FN15" s="78">
        <f>IF(OR(INDEX(Undirviðmið!$G$6:$G$105,ROW()-6)&lt;&gt;"Starfsbundinn",FM15="",$E15="",$D15=""),"",ROUND(FM15/$E15*$D15*KVARDI,2))</f>
        <v/>
      </c>
      <c r="FO15" s="66" t="n"/>
      <c r="FP15" s="78">
        <f>IF(OR(INDEX(Undirviðmið!$G$6:$G$105,ROW()-6)&lt;&gt;"Starfsbundinn",FO15="",$E15="",$D15=""),"",ROUND(FO15/$E15*$D15*KVARDI,2))</f>
        <v/>
      </c>
      <c r="FQ15" s="66" t="n"/>
      <c r="FR15" s="78">
        <f>IF(OR(INDEX(Undirviðmið!$G$6:$G$105,ROW()-6)&lt;&gt;"Starfsbundinn",FQ15="",$E15="",$D15=""),"",ROUND(FQ15/$E15*$D15*KVARDI,2))</f>
        <v/>
      </c>
      <c r="FS15" s="66" t="n"/>
      <c r="FT15" s="78">
        <f>IF(OR(INDEX(Undirviðmið!$G$6:$G$105,ROW()-6)&lt;&gt;"Starfsbundinn",FS15="",$E15="",$D15=""),"",ROUND(FS15/$E15*$D15*KVARDI,2))</f>
        <v/>
      </c>
      <c r="FU15" s="66" t="n"/>
      <c r="FV15" s="78">
        <f>IF(OR(INDEX(Undirviðmið!$G$6:$G$105,ROW()-6)&lt;&gt;"Starfsbundinn",FU15="",$E15="",$D15=""),"",ROUND(FU15/$E15*$D15*KVARDI,2))</f>
        <v/>
      </c>
      <c r="FW15" s="66" t="n"/>
      <c r="FX15" s="78">
        <f>IF(OR(INDEX(Undirviðmið!$G$6:$G$105,ROW()-6)&lt;&gt;"Starfsbundinn",FW15="",$E15="",$D15=""),"",ROUND(FW15/$E15*$D15*KVARDI,2))</f>
        <v/>
      </c>
      <c r="FY15" s="66" t="n"/>
      <c r="FZ15" s="78">
        <f>IF(OR(INDEX(Undirviðmið!$G$6:$G$105,ROW()-6)&lt;&gt;"Starfsbundinn",FY15="",$E15="",$D15=""),"",ROUND(FY15/$E15*$D15*KVARDI,2))</f>
        <v/>
      </c>
      <c r="GA15" s="66" t="n"/>
      <c r="GB15" s="78">
        <f>IF(OR(INDEX(Undirviðmið!$G$6:$G$105,ROW()-6)&lt;&gt;"Starfsbundinn",GA15="",$E15="",$D15=""),"",ROUND(GA15/$E15*$D15*KVARDI,2))</f>
        <v/>
      </c>
      <c r="GC15" s="66" t="n"/>
      <c r="GD15" s="78">
        <f>IF(OR(INDEX(Undirviðmið!$G$6:$G$105,ROW()-6)&lt;&gt;"Starfsbundinn",GC15="",$E15="",$D15=""),"",ROUND(GC15/$E15*$D15*KVARDI,2))</f>
        <v/>
      </c>
      <c r="GE15" s="66" t="n"/>
      <c r="GF15" s="78">
        <f>IF(OR(INDEX(Undirviðmið!$G$6:$G$105,ROW()-6)&lt;&gt;"Starfsbundinn",GE15="",$E15="",$D15=""),"",ROUND(GE15/$E15*$D15*KVARDI,2))</f>
        <v/>
      </c>
      <c r="GG15" s="66" t="n"/>
      <c r="GH15" s="78">
        <f>IF(OR(INDEX(Undirviðmið!$G$6:$G$105,ROW()-6)&lt;&gt;"Starfsbundinn",GG15="",$E15="",$D15=""),"",ROUND(GG15/$E15*$D15*KVARDI,2))</f>
        <v/>
      </c>
      <c r="GI15" s="66" t="n"/>
      <c r="GJ15" s="78">
        <f>IF(OR(INDEX(Undirviðmið!$G$6:$G$105,ROW()-6)&lt;&gt;"Starfsbundinn",GI15="",$E15="",$D15=""),"",ROUND(GI15/$E15*$D15*KVARDI,2))</f>
        <v/>
      </c>
      <c r="GK15" s="66" t="n"/>
      <c r="GL15" s="78">
        <f>IF(OR(INDEX(Undirviðmið!$G$6:$G$105,ROW()-6)&lt;&gt;"Starfsbundinn",GK15="",$E15="",$D15=""),"",ROUND(GK15/$E15*$D15*KVARDI,2))</f>
        <v/>
      </c>
      <c r="GM15" s="66" t="n"/>
      <c r="GN15" s="78">
        <f>IF(OR(INDEX(Undirviðmið!$G$6:$G$105,ROW()-6)&lt;&gt;"Starfsbundinn",GM15="",$E15="",$D15=""),"",ROUND(GM15/$E15*$D15*KVARDI,2))</f>
        <v/>
      </c>
      <c r="GO15" s="66" t="n"/>
      <c r="GP15" s="78">
        <f>IF(OR(INDEX(Undirviðmið!$G$6:$G$105,ROW()-6)&lt;&gt;"Starfsbundinn",GO15="",$E15="",$D15=""),"",ROUND(GO15/$E15*$D15*KVARDI,2))</f>
        <v/>
      </c>
      <c r="GQ15" s="66" t="n"/>
      <c r="GR15" s="78">
        <f>IF(OR(INDEX(Undirviðmið!$G$6:$G$105,ROW()-6)&lt;&gt;"Starfsbundinn",GQ15="",$E15="",$D15=""),"",ROUND(GQ15/$E15*$D15*KVARDI,2))</f>
        <v/>
      </c>
      <c r="GS15" s="66" t="n"/>
      <c r="GT15" s="78">
        <f>IF(OR(INDEX(Undirviðmið!$G$6:$G$105,ROW()-6)&lt;&gt;"Starfsbundinn",GS15="",$E15="",$D15=""),"",ROUND(GS15/$E15*$D15*KVARDI,2))</f>
        <v/>
      </c>
      <c r="GU15" s="66" t="n"/>
      <c r="GV15" s="78">
        <f>IF(OR(INDEX(Undirviðmið!$G$6:$G$105,ROW()-6)&lt;&gt;"Starfsbundinn",GU15="",$E15="",$D15=""),"",ROUND(GU15/$E15*$D15*KVARDI,2))</f>
        <v/>
      </c>
      <c r="GW15" s="66" t="n"/>
      <c r="GX15" s="78">
        <f>IF(OR(INDEX(Undirviðmið!$G$6:$G$105,ROW()-6)&lt;&gt;"Starfsbundinn",GW15="",$E15="",$D15=""),"",ROUND(GW15/$E15*$D15*KVARDI,2))</f>
        <v/>
      </c>
    </row>
    <row r="16" ht="15" customHeight="1" s="47">
      <c r="B16" s="67">
        <f>IF(INDEX(Undirviðmið!$G$6:$G$105,ROW()-6)="Starfsbundinn",INDEX(Undirviðmið!$B$6:$B$105,ROW()-6),"")</f>
        <v/>
      </c>
      <c r="C16" s="67">
        <f>IF(INDEX(Undirviðmið!$G$6:$G$105,ROW()-6)="Starfsbundinn",INDEX(Undirviðmið!$C$6:$C$105,ROW()-6),"")</f>
        <v/>
      </c>
      <c r="D16" s="77">
        <f>IF(INDEX(Undirviðmið!$G$6:$G$105,ROW()-6)="Starfsbundinn",INDEX(Undirviðmið!$E$6:$E$105,ROW()-6),"")</f>
        <v/>
      </c>
      <c r="E16" s="77">
        <f>IF(INDEX(Undirviðmið!$G$6:$G$105,ROW()-6)="Starfsbundinn",INDEX(Undirviðmið!$F$6:$F$105,ROW()-6),"")</f>
        <v/>
      </c>
      <c r="F16" s="77">
        <f>IF(INDEX(Undirviðmið!$G$6:$G$105,ROW()-6)="Starfsbundinn",IFERROR(INDEX(Undirviðmið!$E$6:$E$105,ROW()-6)*KVARDI,""),"")</f>
        <v/>
      </c>
      <c r="G16" s="66" t="n"/>
      <c r="H16" s="78">
        <f>IF(OR(INDEX(Undirviðmið!$G$6:$G$105,ROW()-6)&lt;&gt;"Starfsbundinn",G16="",$E16="",$D16=""),"",ROUND(G16/$E16*$D16*KVARDI,2))</f>
        <v/>
      </c>
      <c r="I16" s="66" t="n"/>
      <c r="J16" s="78">
        <f>IF(OR(INDEX(Undirviðmið!$G$6:$G$105,ROW()-6)&lt;&gt;"Starfsbundinn",I16="",$E16="",$D16=""),"",ROUND(I16/$E16*$D16*KVARDI,2))</f>
        <v/>
      </c>
      <c r="K16" s="66" t="n"/>
      <c r="L16" s="78">
        <f>IF(OR(INDEX(Undirviðmið!$G$6:$G$105,ROW()-6)&lt;&gt;"Starfsbundinn",K16="",$E16="",$D16=""),"",ROUND(K16/$E16*$D16*KVARDI,2))</f>
        <v/>
      </c>
      <c r="M16" s="66" t="n"/>
      <c r="N16" s="78">
        <f>IF(OR(INDEX(Undirviðmið!$G$6:$G$105,ROW()-6)&lt;&gt;"Starfsbundinn",M16="",$E16="",$D16=""),"",ROUND(M16/$E16*$D16*KVARDI,2))</f>
        <v/>
      </c>
      <c r="O16" s="66" t="n"/>
      <c r="P16" s="78">
        <f>IF(OR(INDEX(Undirviðmið!$G$6:$G$105,ROW()-6)&lt;&gt;"Starfsbundinn",O16="",$E16="",$D16=""),"",ROUND(O16/$E16*$D16*KVARDI,2))</f>
        <v/>
      </c>
      <c r="Q16" s="66" t="n"/>
      <c r="R16" s="78">
        <f>IF(OR(INDEX(Undirviðmið!$G$6:$G$105,ROW()-6)&lt;&gt;"Starfsbundinn",Q16="",$E16="",$D16=""),"",ROUND(Q16/$E16*$D16*KVARDI,2))</f>
        <v/>
      </c>
      <c r="S16" s="66" t="n"/>
      <c r="T16" s="78">
        <f>IF(OR(INDEX(Undirviðmið!$G$6:$G$105,ROW()-6)&lt;&gt;"Starfsbundinn",S16="",$E16="",$D16=""),"",ROUND(S16/$E16*$D16*KVARDI,2))</f>
        <v/>
      </c>
      <c r="U16" s="66" t="n"/>
      <c r="V16" s="78">
        <f>IF(OR(INDEX(Undirviðmið!$G$6:$G$105,ROW()-6)&lt;&gt;"Starfsbundinn",U16="",$E16="",$D16=""),"",ROUND(U16/$E16*$D16*KVARDI,2))</f>
        <v/>
      </c>
      <c r="W16" s="66" t="n"/>
      <c r="X16" s="78">
        <f>IF(OR(INDEX(Undirviðmið!$G$6:$G$105,ROW()-6)&lt;&gt;"Starfsbundinn",W16="",$E16="",$D16=""),"",ROUND(W16/$E16*$D16*KVARDI,2))</f>
        <v/>
      </c>
      <c r="Y16" s="66" t="n"/>
      <c r="Z16" s="78">
        <f>IF(OR(INDEX(Undirviðmið!$G$6:$G$105,ROW()-6)&lt;&gt;"Starfsbundinn",Y16="",$E16="",$D16=""),"",ROUND(Y16/$E16*$D16*KVARDI,2))</f>
        <v/>
      </c>
      <c r="AA16" s="66" t="n"/>
      <c r="AB16" s="78">
        <f>IF(OR(INDEX(Undirviðmið!$G$6:$G$105,ROW()-6)&lt;&gt;"Starfsbundinn",AA16="",$E16="",$D16=""),"",ROUND(AA16/$E16*$D16*KVARDI,2))</f>
        <v/>
      </c>
      <c r="AC16" s="66" t="n"/>
      <c r="AD16" s="78">
        <f>IF(OR(INDEX(Undirviðmið!$G$6:$G$105,ROW()-6)&lt;&gt;"Starfsbundinn",AC16="",$E16="",$D16=""),"",ROUND(AC16/$E16*$D16*KVARDI,2))</f>
        <v/>
      </c>
      <c r="AE16" s="66" t="n"/>
      <c r="AF16" s="78">
        <f>IF(OR(INDEX(Undirviðmið!$G$6:$G$105,ROW()-6)&lt;&gt;"Starfsbundinn",AE16="",$E16="",$D16=""),"",ROUND(AE16/$E16*$D16*KVARDI,2))</f>
        <v/>
      </c>
      <c r="AG16" s="66" t="n"/>
      <c r="AH16" s="78">
        <f>IF(OR(INDEX(Undirviðmið!$G$6:$G$105,ROW()-6)&lt;&gt;"Starfsbundinn",AG16="",$E16="",$D16=""),"",ROUND(AG16/$E16*$D16*KVARDI,2))</f>
        <v/>
      </c>
      <c r="AI16" s="66" t="n"/>
      <c r="AJ16" s="78">
        <f>IF(OR(INDEX(Undirviðmið!$G$6:$G$105,ROW()-6)&lt;&gt;"Starfsbundinn",AI16="",$E16="",$D16=""),"",ROUND(AI16/$E16*$D16*KVARDI,2))</f>
        <v/>
      </c>
      <c r="AK16" s="66" t="n"/>
      <c r="AL16" s="78">
        <f>IF(OR(INDEX(Undirviðmið!$G$6:$G$105,ROW()-6)&lt;&gt;"Starfsbundinn",AK16="",$E16="",$D16=""),"",ROUND(AK16/$E16*$D16*KVARDI,2))</f>
        <v/>
      </c>
      <c r="AM16" s="66" t="n"/>
      <c r="AN16" s="78">
        <f>IF(OR(INDEX(Undirviðmið!$G$6:$G$105,ROW()-6)&lt;&gt;"Starfsbundinn",AM16="",$E16="",$D16=""),"",ROUND(AM16/$E16*$D16*KVARDI,2))</f>
        <v/>
      </c>
      <c r="AO16" s="66" t="n"/>
      <c r="AP16" s="78">
        <f>IF(OR(INDEX(Undirviðmið!$G$6:$G$105,ROW()-6)&lt;&gt;"Starfsbundinn",AO16="",$E16="",$D16=""),"",ROUND(AO16/$E16*$D16*KVARDI,2))</f>
        <v/>
      </c>
      <c r="AQ16" s="66" t="n"/>
      <c r="AR16" s="78">
        <f>IF(OR(INDEX(Undirviðmið!$G$6:$G$105,ROW()-6)&lt;&gt;"Starfsbundinn",AQ16="",$E16="",$D16=""),"",ROUND(AQ16/$E16*$D16*KVARDI,2))</f>
        <v/>
      </c>
      <c r="AS16" s="66" t="n"/>
      <c r="AT16" s="78">
        <f>IF(OR(INDEX(Undirviðmið!$G$6:$G$105,ROW()-6)&lt;&gt;"Starfsbundinn",AS16="",$E16="",$D16=""),"",ROUND(AS16/$E16*$D16*KVARDI,2))</f>
        <v/>
      </c>
      <c r="AU16" s="66" t="n"/>
      <c r="AV16" s="78">
        <f>IF(OR(INDEX(Undirviðmið!$G$6:$G$105,ROW()-6)&lt;&gt;"Starfsbundinn",AU16="",$E16="",$D16=""),"",ROUND(AU16/$E16*$D16*KVARDI,2))</f>
        <v/>
      </c>
      <c r="AW16" s="66" t="n"/>
      <c r="AX16" s="78">
        <f>IF(OR(INDEX(Undirviðmið!$G$6:$G$105,ROW()-6)&lt;&gt;"Starfsbundinn",AW16="",$E16="",$D16=""),"",ROUND(AW16/$E16*$D16*KVARDI,2))</f>
        <v/>
      </c>
      <c r="AY16" s="66" t="n"/>
      <c r="AZ16" s="78">
        <f>IF(OR(INDEX(Undirviðmið!$G$6:$G$105,ROW()-6)&lt;&gt;"Starfsbundinn",AY16="",$E16="",$D16=""),"",ROUND(AY16/$E16*$D16*KVARDI,2))</f>
        <v/>
      </c>
      <c r="BA16" s="66" t="n"/>
      <c r="BB16" s="78">
        <f>IF(OR(INDEX(Undirviðmið!$G$6:$G$105,ROW()-6)&lt;&gt;"Starfsbundinn",BA16="",$E16="",$D16=""),"",ROUND(BA16/$E16*$D16*KVARDI,2))</f>
        <v/>
      </c>
      <c r="BC16" s="66" t="n"/>
      <c r="BD16" s="78">
        <f>IF(OR(INDEX(Undirviðmið!$G$6:$G$105,ROW()-6)&lt;&gt;"Starfsbundinn",BC16="",$E16="",$D16=""),"",ROUND(BC16/$E16*$D16*KVARDI,2))</f>
        <v/>
      </c>
      <c r="BE16" s="66" t="n"/>
      <c r="BF16" s="78">
        <f>IF(OR(INDEX(Undirviðmið!$G$6:$G$105,ROW()-6)&lt;&gt;"Starfsbundinn",BE16="",$E16="",$D16=""),"",ROUND(BE16/$E16*$D16*KVARDI,2))</f>
        <v/>
      </c>
      <c r="BG16" s="66" t="n"/>
      <c r="BH16" s="78">
        <f>IF(OR(INDEX(Undirviðmið!$G$6:$G$105,ROW()-6)&lt;&gt;"Starfsbundinn",BG16="",$E16="",$D16=""),"",ROUND(BG16/$E16*$D16*KVARDI,2))</f>
        <v/>
      </c>
      <c r="BI16" s="66" t="n"/>
      <c r="BJ16" s="78">
        <f>IF(OR(INDEX(Undirviðmið!$G$6:$G$105,ROW()-6)&lt;&gt;"Starfsbundinn",BI16="",$E16="",$D16=""),"",ROUND(BI16/$E16*$D16*KVARDI,2))</f>
        <v/>
      </c>
      <c r="BK16" s="66" t="n"/>
      <c r="BL16" s="78">
        <f>IF(OR(INDEX(Undirviðmið!$G$6:$G$105,ROW()-6)&lt;&gt;"Starfsbundinn",BK16="",$E16="",$D16=""),"",ROUND(BK16/$E16*$D16*KVARDI,2))</f>
        <v/>
      </c>
      <c r="BM16" s="66" t="n"/>
      <c r="BN16" s="78">
        <f>IF(OR(INDEX(Undirviðmið!$G$6:$G$105,ROW()-6)&lt;&gt;"Starfsbundinn",BM16="",$E16="",$D16=""),"",ROUND(BM16/$E16*$D16*KVARDI,2))</f>
        <v/>
      </c>
      <c r="BO16" s="66" t="n"/>
      <c r="BP16" s="78">
        <f>IF(OR(INDEX(Undirviðmið!$G$6:$G$105,ROW()-6)&lt;&gt;"Starfsbundinn",BO16="",$E16="",$D16=""),"",ROUND(BO16/$E16*$D16*KVARDI,2))</f>
        <v/>
      </c>
      <c r="BQ16" s="66" t="n"/>
      <c r="BR16" s="78">
        <f>IF(OR(INDEX(Undirviðmið!$G$6:$G$105,ROW()-6)&lt;&gt;"Starfsbundinn",BQ16="",$E16="",$D16=""),"",ROUND(BQ16/$E16*$D16*KVARDI,2))</f>
        <v/>
      </c>
      <c r="BS16" s="66" t="n"/>
      <c r="BT16" s="78">
        <f>IF(OR(INDEX(Undirviðmið!$G$6:$G$105,ROW()-6)&lt;&gt;"Starfsbundinn",BS16="",$E16="",$D16=""),"",ROUND(BS16/$E16*$D16*KVARDI,2))</f>
        <v/>
      </c>
      <c r="BU16" s="66" t="n"/>
      <c r="BV16" s="78">
        <f>IF(OR(INDEX(Undirviðmið!$G$6:$G$105,ROW()-6)&lt;&gt;"Starfsbundinn",BU16="",$E16="",$D16=""),"",ROUND(BU16/$E16*$D16*KVARDI,2))</f>
        <v/>
      </c>
      <c r="BW16" s="66" t="n"/>
      <c r="BX16" s="78">
        <f>IF(OR(INDEX(Undirviðmið!$G$6:$G$105,ROW()-6)&lt;&gt;"Starfsbundinn",BW16="",$E16="",$D16=""),"",ROUND(BW16/$E16*$D16*KVARDI,2))</f>
        <v/>
      </c>
      <c r="BY16" s="66" t="n"/>
      <c r="BZ16" s="78">
        <f>IF(OR(INDEX(Undirviðmið!$G$6:$G$105,ROW()-6)&lt;&gt;"Starfsbundinn",BY16="",$E16="",$D16=""),"",ROUND(BY16/$E16*$D16*KVARDI,2))</f>
        <v/>
      </c>
      <c r="CA16" s="66" t="n"/>
      <c r="CB16" s="78">
        <f>IF(OR(INDEX(Undirviðmið!$G$6:$G$105,ROW()-6)&lt;&gt;"Starfsbundinn",CA16="",$E16="",$D16=""),"",ROUND(CA16/$E16*$D16*KVARDI,2))</f>
        <v/>
      </c>
      <c r="CC16" s="66" t="n"/>
      <c r="CD16" s="78">
        <f>IF(OR(INDEX(Undirviðmið!$G$6:$G$105,ROW()-6)&lt;&gt;"Starfsbundinn",CC16="",$E16="",$D16=""),"",ROUND(CC16/$E16*$D16*KVARDI,2))</f>
        <v/>
      </c>
      <c r="CE16" s="66" t="n"/>
      <c r="CF16" s="78">
        <f>IF(OR(INDEX(Undirviðmið!$G$6:$G$105,ROW()-6)&lt;&gt;"Starfsbundinn",CE16="",$E16="",$D16=""),"",ROUND(CE16/$E16*$D16*KVARDI,2))</f>
        <v/>
      </c>
      <c r="CG16" s="66" t="n"/>
      <c r="CH16" s="78">
        <f>IF(OR(INDEX(Undirviðmið!$G$6:$G$105,ROW()-6)&lt;&gt;"Starfsbundinn",CG16="",$E16="",$D16=""),"",ROUND(CG16/$E16*$D16*KVARDI,2))</f>
        <v/>
      </c>
      <c r="CI16" s="66" t="n"/>
      <c r="CJ16" s="78">
        <f>IF(OR(INDEX(Undirviðmið!$G$6:$G$105,ROW()-6)&lt;&gt;"Starfsbundinn",CI16="",$E16="",$D16=""),"",ROUND(CI16/$E16*$D16*KVARDI,2))</f>
        <v/>
      </c>
      <c r="CK16" s="66" t="n"/>
      <c r="CL16" s="78">
        <f>IF(OR(INDEX(Undirviðmið!$G$6:$G$105,ROW()-6)&lt;&gt;"Starfsbundinn",CK16="",$E16="",$D16=""),"",ROUND(CK16/$E16*$D16*KVARDI,2))</f>
        <v/>
      </c>
      <c r="CM16" s="66" t="n"/>
      <c r="CN16" s="78">
        <f>IF(OR(INDEX(Undirviðmið!$G$6:$G$105,ROW()-6)&lt;&gt;"Starfsbundinn",CM16="",$E16="",$D16=""),"",ROUND(CM16/$E16*$D16*KVARDI,2))</f>
        <v/>
      </c>
      <c r="CO16" s="66" t="n"/>
      <c r="CP16" s="78">
        <f>IF(OR(INDEX(Undirviðmið!$G$6:$G$105,ROW()-6)&lt;&gt;"Starfsbundinn",CO16="",$E16="",$D16=""),"",ROUND(CO16/$E16*$D16*KVARDI,2))</f>
        <v/>
      </c>
      <c r="CQ16" s="66" t="n"/>
      <c r="CR16" s="78">
        <f>IF(OR(INDEX(Undirviðmið!$G$6:$G$105,ROW()-6)&lt;&gt;"Starfsbundinn",CQ16="",$E16="",$D16=""),"",ROUND(CQ16/$E16*$D16*KVARDI,2))</f>
        <v/>
      </c>
      <c r="CS16" s="66" t="n"/>
      <c r="CT16" s="78">
        <f>IF(OR(INDEX(Undirviðmið!$G$6:$G$105,ROW()-6)&lt;&gt;"Starfsbundinn",CS16="",$E16="",$D16=""),"",ROUND(CS16/$E16*$D16*KVARDI,2))</f>
        <v/>
      </c>
      <c r="CU16" s="66" t="n"/>
      <c r="CV16" s="78">
        <f>IF(OR(INDEX(Undirviðmið!$G$6:$G$105,ROW()-6)&lt;&gt;"Starfsbundinn",CU16="",$E16="",$D16=""),"",ROUND(CU16/$E16*$D16*KVARDI,2))</f>
        <v/>
      </c>
      <c r="CW16" s="66" t="n"/>
      <c r="CX16" s="78">
        <f>IF(OR(INDEX(Undirviðmið!$G$6:$G$105,ROW()-6)&lt;&gt;"Starfsbundinn",CW16="",$E16="",$D16=""),"",ROUND(CW16/$E16*$D16*KVARDI,2))</f>
        <v/>
      </c>
      <c r="CY16" s="66" t="n"/>
      <c r="CZ16" s="78">
        <f>IF(OR(INDEX(Undirviðmið!$G$6:$G$105,ROW()-6)&lt;&gt;"Starfsbundinn",CY16="",$E16="",$D16=""),"",ROUND(CY16/$E16*$D16*KVARDI,2))</f>
        <v/>
      </c>
      <c r="DA16" s="66" t="n"/>
      <c r="DB16" s="78">
        <f>IF(OR(INDEX(Undirviðmið!$G$6:$G$105,ROW()-6)&lt;&gt;"Starfsbundinn",DA16="",$E16="",$D16=""),"",ROUND(DA16/$E16*$D16*KVARDI,2))</f>
        <v/>
      </c>
      <c r="DC16" s="66" t="n"/>
      <c r="DD16" s="78">
        <f>IF(OR(INDEX(Undirviðmið!$G$6:$G$105,ROW()-6)&lt;&gt;"Starfsbundinn",DC16="",$E16="",$D16=""),"",ROUND(DC16/$E16*$D16*KVARDI,2))</f>
        <v/>
      </c>
      <c r="DE16" s="66" t="n"/>
      <c r="DF16" s="78">
        <f>IF(OR(INDEX(Undirviðmið!$G$6:$G$105,ROW()-6)&lt;&gt;"Starfsbundinn",DE16="",$E16="",$D16=""),"",ROUND(DE16/$E16*$D16*KVARDI,2))</f>
        <v/>
      </c>
      <c r="DG16" s="66" t="n"/>
      <c r="DH16" s="78">
        <f>IF(OR(INDEX(Undirviðmið!$G$6:$G$105,ROW()-6)&lt;&gt;"Starfsbundinn",DG16="",$E16="",$D16=""),"",ROUND(DG16/$E16*$D16*KVARDI,2))</f>
        <v/>
      </c>
      <c r="DI16" s="66" t="n"/>
      <c r="DJ16" s="78">
        <f>IF(OR(INDEX(Undirviðmið!$G$6:$G$105,ROW()-6)&lt;&gt;"Starfsbundinn",DI16="",$E16="",$D16=""),"",ROUND(DI16/$E16*$D16*KVARDI,2))</f>
        <v/>
      </c>
      <c r="DK16" s="66" t="n"/>
      <c r="DL16" s="78">
        <f>IF(OR(INDEX(Undirviðmið!$G$6:$G$105,ROW()-6)&lt;&gt;"Starfsbundinn",DK16="",$E16="",$D16=""),"",ROUND(DK16/$E16*$D16*KVARDI,2))</f>
        <v/>
      </c>
      <c r="DM16" s="66" t="n"/>
      <c r="DN16" s="78">
        <f>IF(OR(INDEX(Undirviðmið!$G$6:$G$105,ROW()-6)&lt;&gt;"Starfsbundinn",DM16="",$E16="",$D16=""),"",ROUND(DM16/$E16*$D16*KVARDI,2))</f>
        <v/>
      </c>
      <c r="DO16" s="66" t="n"/>
      <c r="DP16" s="78">
        <f>IF(OR(INDEX(Undirviðmið!$G$6:$G$105,ROW()-6)&lt;&gt;"Starfsbundinn",DO16="",$E16="",$D16=""),"",ROUND(DO16/$E16*$D16*KVARDI,2))</f>
        <v/>
      </c>
      <c r="DQ16" s="66" t="n"/>
      <c r="DR16" s="78">
        <f>IF(OR(INDEX(Undirviðmið!$G$6:$G$105,ROW()-6)&lt;&gt;"Starfsbundinn",DQ16="",$E16="",$D16=""),"",ROUND(DQ16/$E16*$D16*KVARDI,2))</f>
        <v/>
      </c>
      <c r="DS16" s="66" t="n"/>
      <c r="DT16" s="78">
        <f>IF(OR(INDEX(Undirviðmið!$G$6:$G$105,ROW()-6)&lt;&gt;"Starfsbundinn",DS16="",$E16="",$D16=""),"",ROUND(DS16/$E16*$D16*KVARDI,2))</f>
        <v/>
      </c>
      <c r="DU16" s="66" t="n"/>
      <c r="DV16" s="78">
        <f>IF(OR(INDEX(Undirviðmið!$G$6:$G$105,ROW()-6)&lt;&gt;"Starfsbundinn",DU16="",$E16="",$D16=""),"",ROUND(DU16/$E16*$D16*KVARDI,2))</f>
        <v/>
      </c>
      <c r="DW16" s="66" t="n"/>
      <c r="DX16" s="78">
        <f>IF(OR(INDEX(Undirviðmið!$G$6:$G$105,ROW()-6)&lt;&gt;"Starfsbundinn",DW16="",$E16="",$D16=""),"",ROUND(DW16/$E16*$D16*KVARDI,2))</f>
        <v/>
      </c>
      <c r="DY16" s="66" t="n"/>
      <c r="DZ16" s="78">
        <f>IF(OR(INDEX(Undirviðmið!$G$6:$G$105,ROW()-6)&lt;&gt;"Starfsbundinn",DY16="",$E16="",$D16=""),"",ROUND(DY16/$E16*$D16*KVARDI,2))</f>
        <v/>
      </c>
      <c r="EA16" s="66" t="n"/>
      <c r="EB16" s="78">
        <f>IF(OR(INDEX(Undirviðmið!$G$6:$G$105,ROW()-6)&lt;&gt;"Starfsbundinn",EA16="",$E16="",$D16=""),"",ROUND(EA16/$E16*$D16*KVARDI,2))</f>
        <v/>
      </c>
      <c r="EC16" s="66" t="n"/>
      <c r="ED16" s="78">
        <f>IF(OR(INDEX(Undirviðmið!$G$6:$G$105,ROW()-6)&lt;&gt;"Starfsbundinn",EC16="",$E16="",$D16=""),"",ROUND(EC16/$E16*$D16*KVARDI,2))</f>
        <v/>
      </c>
      <c r="EE16" s="66" t="n"/>
      <c r="EF16" s="78">
        <f>IF(OR(INDEX(Undirviðmið!$G$6:$G$105,ROW()-6)&lt;&gt;"Starfsbundinn",EE16="",$E16="",$D16=""),"",ROUND(EE16/$E16*$D16*KVARDI,2))</f>
        <v/>
      </c>
      <c r="EG16" s="66" t="n"/>
      <c r="EH16" s="78">
        <f>IF(OR(INDEX(Undirviðmið!$G$6:$G$105,ROW()-6)&lt;&gt;"Starfsbundinn",EG16="",$E16="",$D16=""),"",ROUND(EG16/$E16*$D16*KVARDI,2))</f>
        <v/>
      </c>
      <c r="EI16" s="66" t="n"/>
      <c r="EJ16" s="78">
        <f>IF(OR(INDEX(Undirviðmið!$G$6:$G$105,ROW()-6)&lt;&gt;"Starfsbundinn",EI16="",$E16="",$D16=""),"",ROUND(EI16/$E16*$D16*KVARDI,2))</f>
        <v/>
      </c>
      <c r="EK16" s="66" t="n"/>
      <c r="EL16" s="78">
        <f>IF(OR(INDEX(Undirviðmið!$G$6:$G$105,ROW()-6)&lt;&gt;"Starfsbundinn",EK16="",$E16="",$D16=""),"",ROUND(EK16/$E16*$D16*KVARDI,2))</f>
        <v/>
      </c>
      <c r="EM16" s="66" t="n"/>
      <c r="EN16" s="78">
        <f>IF(OR(INDEX(Undirviðmið!$G$6:$G$105,ROW()-6)&lt;&gt;"Starfsbundinn",EM16="",$E16="",$D16=""),"",ROUND(EM16/$E16*$D16*KVARDI,2))</f>
        <v/>
      </c>
      <c r="EO16" s="66" t="n"/>
      <c r="EP16" s="78">
        <f>IF(OR(INDEX(Undirviðmið!$G$6:$G$105,ROW()-6)&lt;&gt;"Starfsbundinn",EO16="",$E16="",$D16=""),"",ROUND(EO16/$E16*$D16*KVARDI,2))</f>
        <v/>
      </c>
      <c r="EQ16" s="66" t="n"/>
      <c r="ER16" s="78">
        <f>IF(OR(INDEX(Undirviðmið!$G$6:$G$105,ROW()-6)&lt;&gt;"Starfsbundinn",EQ16="",$E16="",$D16=""),"",ROUND(EQ16/$E16*$D16*KVARDI,2))</f>
        <v/>
      </c>
      <c r="ES16" s="66" t="n"/>
      <c r="ET16" s="78">
        <f>IF(OR(INDEX(Undirviðmið!$G$6:$G$105,ROW()-6)&lt;&gt;"Starfsbundinn",ES16="",$E16="",$D16=""),"",ROUND(ES16/$E16*$D16*KVARDI,2))</f>
        <v/>
      </c>
      <c r="EU16" s="66" t="n"/>
      <c r="EV16" s="78">
        <f>IF(OR(INDEX(Undirviðmið!$G$6:$G$105,ROW()-6)&lt;&gt;"Starfsbundinn",EU16="",$E16="",$D16=""),"",ROUND(EU16/$E16*$D16*KVARDI,2))</f>
        <v/>
      </c>
      <c r="EW16" s="66" t="n"/>
      <c r="EX16" s="78">
        <f>IF(OR(INDEX(Undirviðmið!$G$6:$G$105,ROW()-6)&lt;&gt;"Starfsbundinn",EW16="",$E16="",$D16=""),"",ROUND(EW16/$E16*$D16*KVARDI,2))</f>
        <v/>
      </c>
      <c r="EY16" s="66" t="n"/>
      <c r="EZ16" s="78">
        <f>IF(OR(INDEX(Undirviðmið!$G$6:$G$105,ROW()-6)&lt;&gt;"Starfsbundinn",EY16="",$E16="",$D16=""),"",ROUND(EY16/$E16*$D16*KVARDI,2))</f>
        <v/>
      </c>
      <c r="FA16" s="66" t="n"/>
      <c r="FB16" s="78">
        <f>IF(OR(INDEX(Undirviðmið!$G$6:$G$105,ROW()-6)&lt;&gt;"Starfsbundinn",FA16="",$E16="",$D16=""),"",ROUND(FA16/$E16*$D16*KVARDI,2))</f>
        <v/>
      </c>
      <c r="FC16" s="66" t="n"/>
      <c r="FD16" s="78">
        <f>IF(OR(INDEX(Undirviðmið!$G$6:$G$105,ROW()-6)&lt;&gt;"Starfsbundinn",FC16="",$E16="",$D16=""),"",ROUND(FC16/$E16*$D16*KVARDI,2))</f>
        <v/>
      </c>
      <c r="FE16" s="66" t="n"/>
      <c r="FF16" s="78">
        <f>IF(OR(INDEX(Undirviðmið!$G$6:$G$105,ROW()-6)&lt;&gt;"Starfsbundinn",FE16="",$E16="",$D16=""),"",ROUND(FE16/$E16*$D16*KVARDI,2))</f>
        <v/>
      </c>
      <c r="FG16" s="66" t="n"/>
      <c r="FH16" s="78">
        <f>IF(OR(INDEX(Undirviðmið!$G$6:$G$105,ROW()-6)&lt;&gt;"Starfsbundinn",FG16="",$E16="",$D16=""),"",ROUND(FG16/$E16*$D16*KVARDI,2))</f>
        <v/>
      </c>
      <c r="FI16" s="66" t="n"/>
      <c r="FJ16" s="78">
        <f>IF(OR(INDEX(Undirviðmið!$G$6:$G$105,ROW()-6)&lt;&gt;"Starfsbundinn",FI16="",$E16="",$D16=""),"",ROUND(FI16/$E16*$D16*KVARDI,2))</f>
        <v/>
      </c>
      <c r="FK16" s="66" t="n"/>
      <c r="FL16" s="78">
        <f>IF(OR(INDEX(Undirviðmið!$G$6:$G$105,ROW()-6)&lt;&gt;"Starfsbundinn",FK16="",$E16="",$D16=""),"",ROUND(FK16/$E16*$D16*KVARDI,2))</f>
        <v/>
      </c>
      <c r="FM16" s="66" t="n"/>
      <c r="FN16" s="78">
        <f>IF(OR(INDEX(Undirviðmið!$G$6:$G$105,ROW()-6)&lt;&gt;"Starfsbundinn",FM16="",$E16="",$D16=""),"",ROUND(FM16/$E16*$D16*KVARDI,2))</f>
        <v/>
      </c>
      <c r="FO16" s="66" t="n"/>
      <c r="FP16" s="78">
        <f>IF(OR(INDEX(Undirviðmið!$G$6:$G$105,ROW()-6)&lt;&gt;"Starfsbundinn",FO16="",$E16="",$D16=""),"",ROUND(FO16/$E16*$D16*KVARDI,2))</f>
        <v/>
      </c>
      <c r="FQ16" s="66" t="n"/>
      <c r="FR16" s="78">
        <f>IF(OR(INDEX(Undirviðmið!$G$6:$G$105,ROW()-6)&lt;&gt;"Starfsbundinn",FQ16="",$E16="",$D16=""),"",ROUND(FQ16/$E16*$D16*KVARDI,2))</f>
        <v/>
      </c>
      <c r="FS16" s="66" t="n"/>
      <c r="FT16" s="78">
        <f>IF(OR(INDEX(Undirviðmið!$G$6:$G$105,ROW()-6)&lt;&gt;"Starfsbundinn",FS16="",$E16="",$D16=""),"",ROUND(FS16/$E16*$D16*KVARDI,2))</f>
        <v/>
      </c>
      <c r="FU16" s="66" t="n"/>
      <c r="FV16" s="78">
        <f>IF(OR(INDEX(Undirviðmið!$G$6:$G$105,ROW()-6)&lt;&gt;"Starfsbundinn",FU16="",$E16="",$D16=""),"",ROUND(FU16/$E16*$D16*KVARDI,2))</f>
        <v/>
      </c>
      <c r="FW16" s="66" t="n"/>
      <c r="FX16" s="78">
        <f>IF(OR(INDEX(Undirviðmið!$G$6:$G$105,ROW()-6)&lt;&gt;"Starfsbundinn",FW16="",$E16="",$D16=""),"",ROUND(FW16/$E16*$D16*KVARDI,2))</f>
        <v/>
      </c>
      <c r="FY16" s="66" t="n"/>
      <c r="FZ16" s="78">
        <f>IF(OR(INDEX(Undirviðmið!$G$6:$G$105,ROW()-6)&lt;&gt;"Starfsbundinn",FY16="",$E16="",$D16=""),"",ROUND(FY16/$E16*$D16*KVARDI,2))</f>
        <v/>
      </c>
      <c r="GA16" s="66" t="n"/>
      <c r="GB16" s="78">
        <f>IF(OR(INDEX(Undirviðmið!$G$6:$G$105,ROW()-6)&lt;&gt;"Starfsbundinn",GA16="",$E16="",$D16=""),"",ROUND(GA16/$E16*$D16*KVARDI,2))</f>
        <v/>
      </c>
      <c r="GC16" s="66" t="n"/>
      <c r="GD16" s="78">
        <f>IF(OR(INDEX(Undirviðmið!$G$6:$G$105,ROW()-6)&lt;&gt;"Starfsbundinn",GC16="",$E16="",$D16=""),"",ROUND(GC16/$E16*$D16*KVARDI,2))</f>
        <v/>
      </c>
      <c r="GE16" s="66" t="n"/>
      <c r="GF16" s="78">
        <f>IF(OR(INDEX(Undirviðmið!$G$6:$G$105,ROW()-6)&lt;&gt;"Starfsbundinn",GE16="",$E16="",$D16=""),"",ROUND(GE16/$E16*$D16*KVARDI,2))</f>
        <v/>
      </c>
      <c r="GG16" s="66" t="n"/>
      <c r="GH16" s="78">
        <f>IF(OR(INDEX(Undirviðmið!$G$6:$G$105,ROW()-6)&lt;&gt;"Starfsbundinn",GG16="",$E16="",$D16=""),"",ROUND(GG16/$E16*$D16*KVARDI,2))</f>
        <v/>
      </c>
      <c r="GI16" s="66" t="n"/>
      <c r="GJ16" s="78">
        <f>IF(OR(INDEX(Undirviðmið!$G$6:$G$105,ROW()-6)&lt;&gt;"Starfsbundinn",GI16="",$E16="",$D16=""),"",ROUND(GI16/$E16*$D16*KVARDI,2))</f>
        <v/>
      </c>
      <c r="GK16" s="66" t="n"/>
      <c r="GL16" s="78">
        <f>IF(OR(INDEX(Undirviðmið!$G$6:$G$105,ROW()-6)&lt;&gt;"Starfsbundinn",GK16="",$E16="",$D16=""),"",ROUND(GK16/$E16*$D16*KVARDI,2))</f>
        <v/>
      </c>
      <c r="GM16" s="66" t="n"/>
      <c r="GN16" s="78">
        <f>IF(OR(INDEX(Undirviðmið!$G$6:$G$105,ROW()-6)&lt;&gt;"Starfsbundinn",GM16="",$E16="",$D16=""),"",ROUND(GM16/$E16*$D16*KVARDI,2))</f>
        <v/>
      </c>
      <c r="GO16" s="66" t="n"/>
      <c r="GP16" s="78">
        <f>IF(OR(INDEX(Undirviðmið!$G$6:$G$105,ROW()-6)&lt;&gt;"Starfsbundinn",GO16="",$E16="",$D16=""),"",ROUND(GO16/$E16*$D16*KVARDI,2))</f>
        <v/>
      </c>
      <c r="GQ16" s="66" t="n"/>
      <c r="GR16" s="78">
        <f>IF(OR(INDEX(Undirviðmið!$G$6:$G$105,ROW()-6)&lt;&gt;"Starfsbundinn",GQ16="",$E16="",$D16=""),"",ROUND(GQ16/$E16*$D16*KVARDI,2))</f>
        <v/>
      </c>
      <c r="GS16" s="66" t="n"/>
      <c r="GT16" s="78">
        <f>IF(OR(INDEX(Undirviðmið!$G$6:$G$105,ROW()-6)&lt;&gt;"Starfsbundinn",GS16="",$E16="",$D16=""),"",ROUND(GS16/$E16*$D16*KVARDI,2))</f>
        <v/>
      </c>
      <c r="GU16" s="66" t="n"/>
      <c r="GV16" s="78">
        <f>IF(OR(INDEX(Undirviðmið!$G$6:$G$105,ROW()-6)&lt;&gt;"Starfsbundinn",GU16="",$E16="",$D16=""),"",ROUND(GU16/$E16*$D16*KVARDI,2))</f>
        <v/>
      </c>
      <c r="GW16" s="66" t="n"/>
      <c r="GX16" s="78">
        <f>IF(OR(INDEX(Undirviðmið!$G$6:$G$105,ROW()-6)&lt;&gt;"Starfsbundinn",GW16="",$E16="",$D16=""),"",ROUND(GW16/$E16*$D16*KVARDI,2))</f>
        <v/>
      </c>
    </row>
    <row r="17" ht="15" customHeight="1" s="47">
      <c r="B17" s="67">
        <f>IF(INDEX(Undirviðmið!$G$6:$G$105,ROW()-6)="Starfsbundinn",INDEX(Undirviðmið!$B$6:$B$105,ROW()-6),"")</f>
        <v/>
      </c>
      <c r="C17" s="67">
        <f>IF(INDEX(Undirviðmið!$G$6:$G$105,ROW()-6)="Starfsbundinn",INDEX(Undirviðmið!$C$6:$C$105,ROW()-6),"")</f>
        <v/>
      </c>
      <c r="D17" s="77">
        <f>IF(INDEX(Undirviðmið!$G$6:$G$105,ROW()-6)="Starfsbundinn",INDEX(Undirviðmið!$E$6:$E$105,ROW()-6),"")</f>
        <v/>
      </c>
      <c r="E17" s="77">
        <f>IF(INDEX(Undirviðmið!$G$6:$G$105,ROW()-6)="Starfsbundinn",INDEX(Undirviðmið!$F$6:$F$105,ROW()-6),"")</f>
        <v/>
      </c>
      <c r="F17" s="77">
        <f>IF(INDEX(Undirviðmið!$G$6:$G$105,ROW()-6)="Starfsbundinn",IFERROR(INDEX(Undirviðmið!$E$6:$E$105,ROW()-6)*KVARDI,""),"")</f>
        <v/>
      </c>
      <c r="G17" s="66" t="n"/>
      <c r="H17" s="78">
        <f>IF(OR(INDEX(Undirviðmið!$G$6:$G$105,ROW()-6)&lt;&gt;"Starfsbundinn",G17="",$E17="",$D17=""),"",ROUND(G17/$E17*$D17*KVARDI,2))</f>
        <v/>
      </c>
      <c r="I17" s="66" t="n"/>
      <c r="J17" s="78">
        <f>IF(OR(INDEX(Undirviðmið!$G$6:$G$105,ROW()-6)&lt;&gt;"Starfsbundinn",I17="",$E17="",$D17=""),"",ROUND(I17/$E17*$D17*KVARDI,2))</f>
        <v/>
      </c>
      <c r="K17" s="66" t="n"/>
      <c r="L17" s="78">
        <f>IF(OR(INDEX(Undirviðmið!$G$6:$G$105,ROW()-6)&lt;&gt;"Starfsbundinn",K17="",$E17="",$D17=""),"",ROUND(K17/$E17*$D17*KVARDI,2))</f>
        <v/>
      </c>
      <c r="M17" s="66" t="n"/>
      <c r="N17" s="78">
        <f>IF(OR(INDEX(Undirviðmið!$G$6:$G$105,ROW()-6)&lt;&gt;"Starfsbundinn",M17="",$E17="",$D17=""),"",ROUND(M17/$E17*$D17*KVARDI,2))</f>
        <v/>
      </c>
      <c r="O17" s="66" t="n"/>
      <c r="P17" s="78">
        <f>IF(OR(INDEX(Undirviðmið!$G$6:$G$105,ROW()-6)&lt;&gt;"Starfsbundinn",O17="",$E17="",$D17=""),"",ROUND(O17/$E17*$D17*KVARDI,2))</f>
        <v/>
      </c>
      <c r="Q17" s="66" t="n"/>
      <c r="R17" s="78">
        <f>IF(OR(INDEX(Undirviðmið!$G$6:$G$105,ROW()-6)&lt;&gt;"Starfsbundinn",Q17="",$E17="",$D17=""),"",ROUND(Q17/$E17*$D17*KVARDI,2))</f>
        <v/>
      </c>
      <c r="S17" s="66" t="n"/>
      <c r="T17" s="78">
        <f>IF(OR(INDEX(Undirviðmið!$G$6:$G$105,ROW()-6)&lt;&gt;"Starfsbundinn",S17="",$E17="",$D17=""),"",ROUND(S17/$E17*$D17*KVARDI,2))</f>
        <v/>
      </c>
      <c r="U17" s="66" t="n"/>
      <c r="V17" s="78">
        <f>IF(OR(INDEX(Undirviðmið!$G$6:$G$105,ROW()-6)&lt;&gt;"Starfsbundinn",U17="",$E17="",$D17=""),"",ROUND(U17/$E17*$D17*KVARDI,2))</f>
        <v/>
      </c>
      <c r="W17" s="66" t="n"/>
      <c r="X17" s="78">
        <f>IF(OR(INDEX(Undirviðmið!$G$6:$G$105,ROW()-6)&lt;&gt;"Starfsbundinn",W17="",$E17="",$D17=""),"",ROUND(W17/$E17*$D17*KVARDI,2))</f>
        <v/>
      </c>
      <c r="Y17" s="66" t="n"/>
      <c r="Z17" s="78">
        <f>IF(OR(INDEX(Undirviðmið!$G$6:$G$105,ROW()-6)&lt;&gt;"Starfsbundinn",Y17="",$E17="",$D17=""),"",ROUND(Y17/$E17*$D17*KVARDI,2))</f>
        <v/>
      </c>
      <c r="AA17" s="66" t="n"/>
      <c r="AB17" s="78">
        <f>IF(OR(INDEX(Undirviðmið!$G$6:$G$105,ROW()-6)&lt;&gt;"Starfsbundinn",AA17="",$E17="",$D17=""),"",ROUND(AA17/$E17*$D17*KVARDI,2))</f>
        <v/>
      </c>
      <c r="AC17" s="66" t="n"/>
      <c r="AD17" s="78">
        <f>IF(OR(INDEX(Undirviðmið!$G$6:$G$105,ROW()-6)&lt;&gt;"Starfsbundinn",AC17="",$E17="",$D17=""),"",ROUND(AC17/$E17*$D17*KVARDI,2))</f>
        <v/>
      </c>
      <c r="AE17" s="66" t="n"/>
      <c r="AF17" s="78">
        <f>IF(OR(INDEX(Undirviðmið!$G$6:$G$105,ROW()-6)&lt;&gt;"Starfsbundinn",AE17="",$E17="",$D17=""),"",ROUND(AE17/$E17*$D17*KVARDI,2))</f>
        <v/>
      </c>
      <c r="AG17" s="66" t="n"/>
      <c r="AH17" s="78">
        <f>IF(OR(INDEX(Undirviðmið!$G$6:$G$105,ROW()-6)&lt;&gt;"Starfsbundinn",AG17="",$E17="",$D17=""),"",ROUND(AG17/$E17*$D17*KVARDI,2))</f>
        <v/>
      </c>
      <c r="AI17" s="66" t="n"/>
      <c r="AJ17" s="78">
        <f>IF(OR(INDEX(Undirviðmið!$G$6:$G$105,ROW()-6)&lt;&gt;"Starfsbundinn",AI17="",$E17="",$D17=""),"",ROUND(AI17/$E17*$D17*KVARDI,2))</f>
        <v/>
      </c>
      <c r="AK17" s="66" t="n"/>
      <c r="AL17" s="78">
        <f>IF(OR(INDEX(Undirviðmið!$G$6:$G$105,ROW()-6)&lt;&gt;"Starfsbundinn",AK17="",$E17="",$D17=""),"",ROUND(AK17/$E17*$D17*KVARDI,2))</f>
        <v/>
      </c>
      <c r="AM17" s="66" t="n"/>
      <c r="AN17" s="78">
        <f>IF(OR(INDEX(Undirviðmið!$G$6:$G$105,ROW()-6)&lt;&gt;"Starfsbundinn",AM17="",$E17="",$D17=""),"",ROUND(AM17/$E17*$D17*KVARDI,2))</f>
        <v/>
      </c>
      <c r="AO17" s="66" t="n"/>
      <c r="AP17" s="78">
        <f>IF(OR(INDEX(Undirviðmið!$G$6:$G$105,ROW()-6)&lt;&gt;"Starfsbundinn",AO17="",$E17="",$D17=""),"",ROUND(AO17/$E17*$D17*KVARDI,2))</f>
        <v/>
      </c>
      <c r="AQ17" s="66" t="n"/>
      <c r="AR17" s="78">
        <f>IF(OR(INDEX(Undirviðmið!$G$6:$G$105,ROW()-6)&lt;&gt;"Starfsbundinn",AQ17="",$E17="",$D17=""),"",ROUND(AQ17/$E17*$D17*KVARDI,2))</f>
        <v/>
      </c>
      <c r="AS17" s="66" t="n"/>
      <c r="AT17" s="78">
        <f>IF(OR(INDEX(Undirviðmið!$G$6:$G$105,ROW()-6)&lt;&gt;"Starfsbundinn",AS17="",$E17="",$D17=""),"",ROUND(AS17/$E17*$D17*KVARDI,2))</f>
        <v/>
      </c>
      <c r="AU17" s="66" t="n"/>
      <c r="AV17" s="78">
        <f>IF(OR(INDEX(Undirviðmið!$G$6:$G$105,ROW()-6)&lt;&gt;"Starfsbundinn",AU17="",$E17="",$D17=""),"",ROUND(AU17/$E17*$D17*KVARDI,2))</f>
        <v/>
      </c>
      <c r="AW17" s="66" t="n"/>
      <c r="AX17" s="78">
        <f>IF(OR(INDEX(Undirviðmið!$G$6:$G$105,ROW()-6)&lt;&gt;"Starfsbundinn",AW17="",$E17="",$D17=""),"",ROUND(AW17/$E17*$D17*KVARDI,2))</f>
        <v/>
      </c>
      <c r="AY17" s="66" t="n"/>
      <c r="AZ17" s="78">
        <f>IF(OR(INDEX(Undirviðmið!$G$6:$G$105,ROW()-6)&lt;&gt;"Starfsbundinn",AY17="",$E17="",$D17=""),"",ROUND(AY17/$E17*$D17*KVARDI,2))</f>
        <v/>
      </c>
      <c r="BA17" s="66" t="n"/>
      <c r="BB17" s="78">
        <f>IF(OR(INDEX(Undirviðmið!$G$6:$G$105,ROW()-6)&lt;&gt;"Starfsbundinn",BA17="",$E17="",$D17=""),"",ROUND(BA17/$E17*$D17*KVARDI,2))</f>
        <v/>
      </c>
      <c r="BC17" s="66" t="n"/>
      <c r="BD17" s="78">
        <f>IF(OR(INDEX(Undirviðmið!$G$6:$G$105,ROW()-6)&lt;&gt;"Starfsbundinn",BC17="",$E17="",$D17=""),"",ROUND(BC17/$E17*$D17*KVARDI,2))</f>
        <v/>
      </c>
      <c r="BE17" s="66" t="n"/>
      <c r="BF17" s="78">
        <f>IF(OR(INDEX(Undirviðmið!$G$6:$G$105,ROW()-6)&lt;&gt;"Starfsbundinn",BE17="",$E17="",$D17=""),"",ROUND(BE17/$E17*$D17*KVARDI,2))</f>
        <v/>
      </c>
      <c r="BG17" s="66" t="n"/>
      <c r="BH17" s="78">
        <f>IF(OR(INDEX(Undirviðmið!$G$6:$G$105,ROW()-6)&lt;&gt;"Starfsbundinn",BG17="",$E17="",$D17=""),"",ROUND(BG17/$E17*$D17*KVARDI,2))</f>
        <v/>
      </c>
      <c r="BI17" s="66" t="n"/>
      <c r="BJ17" s="78">
        <f>IF(OR(INDEX(Undirviðmið!$G$6:$G$105,ROW()-6)&lt;&gt;"Starfsbundinn",BI17="",$E17="",$D17=""),"",ROUND(BI17/$E17*$D17*KVARDI,2))</f>
        <v/>
      </c>
      <c r="BK17" s="66" t="n"/>
      <c r="BL17" s="78">
        <f>IF(OR(INDEX(Undirviðmið!$G$6:$G$105,ROW()-6)&lt;&gt;"Starfsbundinn",BK17="",$E17="",$D17=""),"",ROUND(BK17/$E17*$D17*KVARDI,2))</f>
        <v/>
      </c>
      <c r="BM17" s="66" t="n"/>
      <c r="BN17" s="78">
        <f>IF(OR(INDEX(Undirviðmið!$G$6:$G$105,ROW()-6)&lt;&gt;"Starfsbundinn",BM17="",$E17="",$D17=""),"",ROUND(BM17/$E17*$D17*KVARDI,2))</f>
        <v/>
      </c>
      <c r="BO17" s="66" t="n"/>
      <c r="BP17" s="78">
        <f>IF(OR(INDEX(Undirviðmið!$G$6:$G$105,ROW()-6)&lt;&gt;"Starfsbundinn",BO17="",$E17="",$D17=""),"",ROUND(BO17/$E17*$D17*KVARDI,2))</f>
        <v/>
      </c>
      <c r="BQ17" s="66" t="n"/>
      <c r="BR17" s="78">
        <f>IF(OR(INDEX(Undirviðmið!$G$6:$G$105,ROW()-6)&lt;&gt;"Starfsbundinn",BQ17="",$E17="",$D17=""),"",ROUND(BQ17/$E17*$D17*KVARDI,2))</f>
        <v/>
      </c>
      <c r="BS17" s="66" t="n"/>
      <c r="BT17" s="78">
        <f>IF(OR(INDEX(Undirviðmið!$G$6:$G$105,ROW()-6)&lt;&gt;"Starfsbundinn",BS17="",$E17="",$D17=""),"",ROUND(BS17/$E17*$D17*KVARDI,2))</f>
        <v/>
      </c>
      <c r="BU17" s="66" t="n"/>
      <c r="BV17" s="78">
        <f>IF(OR(INDEX(Undirviðmið!$G$6:$G$105,ROW()-6)&lt;&gt;"Starfsbundinn",BU17="",$E17="",$D17=""),"",ROUND(BU17/$E17*$D17*KVARDI,2))</f>
        <v/>
      </c>
      <c r="BW17" s="66" t="n"/>
      <c r="BX17" s="78">
        <f>IF(OR(INDEX(Undirviðmið!$G$6:$G$105,ROW()-6)&lt;&gt;"Starfsbundinn",BW17="",$E17="",$D17=""),"",ROUND(BW17/$E17*$D17*KVARDI,2))</f>
        <v/>
      </c>
      <c r="BY17" s="66" t="n"/>
      <c r="BZ17" s="78">
        <f>IF(OR(INDEX(Undirviðmið!$G$6:$G$105,ROW()-6)&lt;&gt;"Starfsbundinn",BY17="",$E17="",$D17=""),"",ROUND(BY17/$E17*$D17*KVARDI,2))</f>
        <v/>
      </c>
      <c r="CA17" s="66" t="n"/>
      <c r="CB17" s="78">
        <f>IF(OR(INDEX(Undirviðmið!$G$6:$G$105,ROW()-6)&lt;&gt;"Starfsbundinn",CA17="",$E17="",$D17=""),"",ROUND(CA17/$E17*$D17*KVARDI,2))</f>
        <v/>
      </c>
      <c r="CC17" s="66" t="n"/>
      <c r="CD17" s="78">
        <f>IF(OR(INDEX(Undirviðmið!$G$6:$G$105,ROW()-6)&lt;&gt;"Starfsbundinn",CC17="",$E17="",$D17=""),"",ROUND(CC17/$E17*$D17*KVARDI,2))</f>
        <v/>
      </c>
      <c r="CE17" s="66" t="n"/>
      <c r="CF17" s="78">
        <f>IF(OR(INDEX(Undirviðmið!$G$6:$G$105,ROW()-6)&lt;&gt;"Starfsbundinn",CE17="",$E17="",$D17=""),"",ROUND(CE17/$E17*$D17*KVARDI,2))</f>
        <v/>
      </c>
      <c r="CG17" s="66" t="n"/>
      <c r="CH17" s="78">
        <f>IF(OR(INDEX(Undirviðmið!$G$6:$G$105,ROW()-6)&lt;&gt;"Starfsbundinn",CG17="",$E17="",$D17=""),"",ROUND(CG17/$E17*$D17*KVARDI,2))</f>
        <v/>
      </c>
      <c r="CI17" s="66" t="n"/>
      <c r="CJ17" s="78">
        <f>IF(OR(INDEX(Undirviðmið!$G$6:$G$105,ROW()-6)&lt;&gt;"Starfsbundinn",CI17="",$E17="",$D17=""),"",ROUND(CI17/$E17*$D17*KVARDI,2))</f>
        <v/>
      </c>
      <c r="CK17" s="66" t="n"/>
      <c r="CL17" s="78">
        <f>IF(OR(INDEX(Undirviðmið!$G$6:$G$105,ROW()-6)&lt;&gt;"Starfsbundinn",CK17="",$E17="",$D17=""),"",ROUND(CK17/$E17*$D17*KVARDI,2))</f>
        <v/>
      </c>
      <c r="CM17" s="66" t="n"/>
      <c r="CN17" s="78">
        <f>IF(OR(INDEX(Undirviðmið!$G$6:$G$105,ROW()-6)&lt;&gt;"Starfsbundinn",CM17="",$E17="",$D17=""),"",ROUND(CM17/$E17*$D17*KVARDI,2))</f>
        <v/>
      </c>
      <c r="CO17" s="66" t="n"/>
      <c r="CP17" s="78">
        <f>IF(OR(INDEX(Undirviðmið!$G$6:$G$105,ROW()-6)&lt;&gt;"Starfsbundinn",CO17="",$E17="",$D17=""),"",ROUND(CO17/$E17*$D17*KVARDI,2))</f>
        <v/>
      </c>
      <c r="CQ17" s="66" t="n"/>
      <c r="CR17" s="78">
        <f>IF(OR(INDEX(Undirviðmið!$G$6:$G$105,ROW()-6)&lt;&gt;"Starfsbundinn",CQ17="",$E17="",$D17=""),"",ROUND(CQ17/$E17*$D17*KVARDI,2))</f>
        <v/>
      </c>
      <c r="CS17" s="66" t="n"/>
      <c r="CT17" s="78">
        <f>IF(OR(INDEX(Undirviðmið!$G$6:$G$105,ROW()-6)&lt;&gt;"Starfsbundinn",CS17="",$E17="",$D17=""),"",ROUND(CS17/$E17*$D17*KVARDI,2))</f>
        <v/>
      </c>
      <c r="CU17" s="66" t="n"/>
      <c r="CV17" s="78">
        <f>IF(OR(INDEX(Undirviðmið!$G$6:$G$105,ROW()-6)&lt;&gt;"Starfsbundinn",CU17="",$E17="",$D17=""),"",ROUND(CU17/$E17*$D17*KVARDI,2))</f>
        <v/>
      </c>
      <c r="CW17" s="66" t="n"/>
      <c r="CX17" s="78">
        <f>IF(OR(INDEX(Undirviðmið!$G$6:$G$105,ROW()-6)&lt;&gt;"Starfsbundinn",CW17="",$E17="",$D17=""),"",ROUND(CW17/$E17*$D17*KVARDI,2))</f>
        <v/>
      </c>
      <c r="CY17" s="66" t="n"/>
      <c r="CZ17" s="78">
        <f>IF(OR(INDEX(Undirviðmið!$G$6:$G$105,ROW()-6)&lt;&gt;"Starfsbundinn",CY17="",$E17="",$D17=""),"",ROUND(CY17/$E17*$D17*KVARDI,2))</f>
        <v/>
      </c>
      <c r="DA17" s="66" t="n"/>
      <c r="DB17" s="78">
        <f>IF(OR(INDEX(Undirviðmið!$G$6:$G$105,ROW()-6)&lt;&gt;"Starfsbundinn",DA17="",$E17="",$D17=""),"",ROUND(DA17/$E17*$D17*KVARDI,2))</f>
        <v/>
      </c>
      <c r="DC17" s="66" t="n"/>
      <c r="DD17" s="78">
        <f>IF(OR(INDEX(Undirviðmið!$G$6:$G$105,ROW()-6)&lt;&gt;"Starfsbundinn",DC17="",$E17="",$D17=""),"",ROUND(DC17/$E17*$D17*KVARDI,2))</f>
        <v/>
      </c>
      <c r="DE17" s="66" t="n"/>
      <c r="DF17" s="78">
        <f>IF(OR(INDEX(Undirviðmið!$G$6:$G$105,ROW()-6)&lt;&gt;"Starfsbundinn",DE17="",$E17="",$D17=""),"",ROUND(DE17/$E17*$D17*KVARDI,2))</f>
        <v/>
      </c>
      <c r="DG17" s="66" t="n"/>
      <c r="DH17" s="78">
        <f>IF(OR(INDEX(Undirviðmið!$G$6:$G$105,ROW()-6)&lt;&gt;"Starfsbundinn",DG17="",$E17="",$D17=""),"",ROUND(DG17/$E17*$D17*KVARDI,2))</f>
        <v/>
      </c>
      <c r="DI17" s="66" t="n"/>
      <c r="DJ17" s="78">
        <f>IF(OR(INDEX(Undirviðmið!$G$6:$G$105,ROW()-6)&lt;&gt;"Starfsbundinn",DI17="",$E17="",$D17=""),"",ROUND(DI17/$E17*$D17*KVARDI,2))</f>
        <v/>
      </c>
      <c r="DK17" s="66" t="n"/>
      <c r="DL17" s="78">
        <f>IF(OR(INDEX(Undirviðmið!$G$6:$G$105,ROW()-6)&lt;&gt;"Starfsbundinn",DK17="",$E17="",$D17=""),"",ROUND(DK17/$E17*$D17*KVARDI,2))</f>
        <v/>
      </c>
      <c r="DM17" s="66" t="n"/>
      <c r="DN17" s="78">
        <f>IF(OR(INDEX(Undirviðmið!$G$6:$G$105,ROW()-6)&lt;&gt;"Starfsbundinn",DM17="",$E17="",$D17=""),"",ROUND(DM17/$E17*$D17*KVARDI,2))</f>
        <v/>
      </c>
      <c r="DO17" s="66" t="n"/>
      <c r="DP17" s="78">
        <f>IF(OR(INDEX(Undirviðmið!$G$6:$G$105,ROW()-6)&lt;&gt;"Starfsbundinn",DO17="",$E17="",$D17=""),"",ROUND(DO17/$E17*$D17*KVARDI,2))</f>
        <v/>
      </c>
      <c r="DQ17" s="66" t="n"/>
      <c r="DR17" s="78">
        <f>IF(OR(INDEX(Undirviðmið!$G$6:$G$105,ROW()-6)&lt;&gt;"Starfsbundinn",DQ17="",$E17="",$D17=""),"",ROUND(DQ17/$E17*$D17*KVARDI,2))</f>
        <v/>
      </c>
      <c r="DS17" s="66" t="n"/>
      <c r="DT17" s="78">
        <f>IF(OR(INDEX(Undirviðmið!$G$6:$G$105,ROW()-6)&lt;&gt;"Starfsbundinn",DS17="",$E17="",$D17=""),"",ROUND(DS17/$E17*$D17*KVARDI,2))</f>
        <v/>
      </c>
      <c r="DU17" s="66" t="n"/>
      <c r="DV17" s="78">
        <f>IF(OR(INDEX(Undirviðmið!$G$6:$G$105,ROW()-6)&lt;&gt;"Starfsbundinn",DU17="",$E17="",$D17=""),"",ROUND(DU17/$E17*$D17*KVARDI,2))</f>
        <v/>
      </c>
      <c r="DW17" s="66" t="n"/>
      <c r="DX17" s="78">
        <f>IF(OR(INDEX(Undirviðmið!$G$6:$G$105,ROW()-6)&lt;&gt;"Starfsbundinn",DW17="",$E17="",$D17=""),"",ROUND(DW17/$E17*$D17*KVARDI,2))</f>
        <v/>
      </c>
      <c r="DY17" s="66" t="n"/>
      <c r="DZ17" s="78">
        <f>IF(OR(INDEX(Undirviðmið!$G$6:$G$105,ROW()-6)&lt;&gt;"Starfsbundinn",DY17="",$E17="",$D17=""),"",ROUND(DY17/$E17*$D17*KVARDI,2))</f>
        <v/>
      </c>
      <c r="EA17" s="66" t="n"/>
      <c r="EB17" s="78">
        <f>IF(OR(INDEX(Undirviðmið!$G$6:$G$105,ROW()-6)&lt;&gt;"Starfsbundinn",EA17="",$E17="",$D17=""),"",ROUND(EA17/$E17*$D17*KVARDI,2))</f>
        <v/>
      </c>
      <c r="EC17" s="66" t="n"/>
      <c r="ED17" s="78">
        <f>IF(OR(INDEX(Undirviðmið!$G$6:$G$105,ROW()-6)&lt;&gt;"Starfsbundinn",EC17="",$E17="",$D17=""),"",ROUND(EC17/$E17*$D17*KVARDI,2))</f>
        <v/>
      </c>
      <c r="EE17" s="66" t="n"/>
      <c r="EF17" s="78">
        <f>IF(OR(INDEX(Undirviðmið!$G$6:$G$105,ROW()-6)&lt;&gt;"Starfsbundinn",EE17="",$E17="",$D17=""),"",ROUND(EE17/$E17*$D17*KVARDI,2))</f>
        <v/>
      </c>
      <c r="EG17" s="66" t="n"/>
      <c r="EH17" s="78">
        <f>IF(OR(INDEX(Undirviðmið!$G$6:$G$105,ROW()-6)&lt;&gt;"Starfsbundinn",EG17="",$E17="",$D17=""),"",ROUND(EG17/$E17*$D17*KVARDI,2))</f>
        <v/>
      </c>
      <c r="EI17" s="66" t="n"/>
      <c r="EJ17" s="78">
        <f>IF(OR(INDEX(Undirviðmið!$G$6:$G$105,ROW()-6)&lt;&gt;"Starfsbundinn",EI17="",$E17="",$D17=""),"",ROUND(EI17/$E17*$D17*KVARDI,2))</f>
        <v/>
      </c>
      <c r="EK17" s="66" t="n"/>
      <c r="EL17" s="78">
        <f>IF(OR(INDEX(Undirviðmið!$G$6:$G$105,ROW()-6)&lt;&gt;"Starfsbundinn",EK17="",$E17="",$D17=""),"",ROUND(EK17/$E17*$D17*KVARDI,2))</f>
        <v/>
      </c>
      <c r="EM17" s="66" t="n"/>
      <c r="EN17" s="78">
        <f>IF(OR(INDEX(Undirviðmið!$G$6:$G$105,ROW()-6)&lt;&gt;"Starfsbundinn",EM17="",$E17="",$D17=""),"",ROUND(EM17/$E17*$D17*KVARDI,2))</f>
        <v/>
      </c>
      <c r="EO17" s="66" t="n"/>
      <c r="EP17" s="78">
        <f>IF(OR(INDEX(Undirviðmið!$G$6:$G$105,ROW()-6)&lt;&gt;"Starfsbundinn",EO17="",$E17="",$D17=""),"",ROUND(EO17/$E17*$D17*KVARDI,2))</f>
        <v/>
      </c>
      <c r="EQ17" s="66" t="n"/>
      <c r="ER17" s="78">
        <f>IF(OR(INDEX(Undirviðmið!$G$6:$G$105,ROW()-6)&lt;&gt;"Starfsbundinn",EQ17="",$E17="",$D17=""),"",ROUND(EQ17/$E17*$D17*KVARDI,2))</f>
        <v/>
      </c>
      <c r="ES17" s="66" t="n"/>
      <c r="ET17" s="78">
        <f>IF(OR(INDEX(Undirviðmið!$G$6:$G$105,ROW()-6)&lt;&gt;"Starfsbundinn",ES17="",$E17="",$D17=""),"",ROUND(ES17/$E17*$D17*KVARDI,2))</f>
        <v/>
      </c>
      <c r="EU17" s="66" t="n"/>
      <c r="EV17" s="78">
        <f>IF(OR(INDEX(Undirviðmið!$G$6:$G$105,ROW()-6)&lt;&gt;"Starfsbundinn",EU17="",$E17="",$D17=""),"",ROUND(EU17/$E17*$D17*KVARDI,2))</f>
        <v/>
      </c>
      <c r="EW17" s="66" t="n"/>
      <c r="EX17" s="78">
        <f>IF(OR(INDEX(Undirviðmið!$G$6:$G$105,ROW()-6)&lt;&gt;"Starfsbundinn",EW17="",$E17="",$D17=""),"",ROUND(EW17/$E17*$D17*KVARDI,2))</f>
        <v/>
      </c>
      <c r="EY17" s="66" t="n"/>
      <c r="EZ17" s="78">
        <f>IF(OR(INDEX(Undirviðmið!$G$6:$G$105,ROW()-6)&lt;&gt;"Starfsbundinn",EY17="",$E17="",$D17=""),"",ROUND(EY17/$E17*$D17*KVARDI,2))</f>
        <v/>
      </c>
      <c r="FA17" s="66" t="n"/>
      <c r="FB17" s="78">
        <f>IF(OR(INDEX(Undirviðmið!$G$6:$G$105,ROW()-6)&lt;&gt;"Starfsbundinn",FA17="",$E17="",$D17=""),"",ROUND(FA17/$E17*$D17*KVARDI,2))</f>
        <v/>
      </c>
      <c r="FC17" s="66" t="n"/>
      <c r="FD17" s="78">
        <f>IF(OR(INDEX(Undirviðmið!$G$6:$G$105,ROW()-6)&lt;&gt;"Starfsbundinn",FC17="",$E17="",$D17=""),"",ROUND(FC17/$E17*$D17*KVARDI,2))</f>
        <v/>
      </c>
      <c r="FE17" s="66" t="n"/>
      <c r="FF17" s="78">
        <f>IF(OR(INDEX(Undirviðmið!$G$6:$G$105,ROW()-6)&lt;&gt;"Starfsbundinn",FE17="",$E17="",$D17=""),"",ROUND(FE17/$E17*$D17*KVARDI,2))</f>
        <v/>
      </c>
      <c r="FG17" s="66" t="n"/>
      <c r="FH17" s="78">
        <f>IF(OR(INDEX(Undirviðmið!$G$6:$G$105,ROW()-6)&lt;&gt;"Starfsbundinn",FG17="",$E17="",$D17=""),"",ROUND(FG17/$E17*$D17*KVARDI,2))</f>
        <v/>
      </c>
      <c r="FI17" s="66" t="n"/>
      <c r="FJ17" s="78">
        <f>IF(OR(INDEX(Undirviðmið!$G$6:$G$105,ROW()-6)&lt;&gt;"Starfsbundinn",FI17="",$E17="",$D17=""),"",ROUND(FI17/$E17*$D17*KVARDI,2))</f>
        <v/>
      </c>
      <c r="FK17" s="66" t="n"/>
      <c r="FL17" s="78">
        <f>IF(OR(INDEX(Undirviðmið!$G$6:$G$105,ROW()-6)&lt;&gt;"Starfsbundinn",FK17="",$E17="",$D17=""),"",ROUND(FK17/$E17*$D17*KVARDI,2))</f>
        <v/>
      </c>
      <c r="FM17" s="66" t="n"/>
      <c r="FN17" s="78">
        <f>IF(OR(INDEX(Undirviðmið!$G$6:$G$105,ROW()-6)&lt;&gt;"Starfsbundinn",FM17="",$E17="",$D17=""),"",ROUND(FM17/$E17*$D17*KVARDI,2))</f>
        <v/>
      </c>
      <c r="FO17" s="66" t="n"/>
      <c r="FP17" s="78">
        <f>IF(OR(INDEX(Undirviðmið!$G$6:$G$105,ROW()-6)&lt;&gt;"Starfsbundinn",FO17="",$E17="",$D17=""),"",ROUND(FO17/$E17*$D17*KVARDI,2))</f>
        <v/>
      </c>
      <c r="FQ17" s="66" t="n"/>
      <c r="FR17" s="78">
        <f>IF(OR(INDEX(Undirviðmið!$G$6:$G$105,ROW()-6)&lt;&gt;"Starfsbundinn",FQ17="",$E17="",$D17=""),"",ROUND(FQ17/$E17*$D17*KVARDI,2))</f>
        <v/>
      </c>
      <c r="FS17" s="66" t="n"/>
      <c r="FT17" s="78">
        <f>IF(OR(INDEX(Undirviðmið!$G$6:$G$105,ROW()-6)&lt;&gt;"Starfsbundinn",FS17="",$E17="",$D17=""),"",ROUND(FS17/$E17*$D17*KVARDI,2))</f>
        <v/>
      </c>
      <c r="FU17" s="66" t="n"/>
      <c r="FV17" s="78">
        <f>IF(OR(INDEX(Undirviðmið!$G$6:$G$105,ROW()-6)&lt;&gt;"Starfsbundinn",FU17="",$E17="",$D17=""),"",ROUND(FU17/$E17*$D17*KVARDI,2))</f>
        <v/>
      </c>
      <c r="FW17" s="66" t="n"/>
      <c r="FX17" s="78">
        <f>IF(OR(INDEX(Undirviðmið!$G$6:$G$105,ROW()-6)&lt;&gt;"Starfsbundinn",FW17="",$E17="",$D17=""),"",ROUND(FW17/$E17*$D17*KVARDI,2))</f>
        <v/>
      </c>
      <c r="FY17" s="66" t="n"/>
      <c r="FZ17" s="78">
        <f>IF(OR(INDEX(Undirviðmið!$G$6:$G$105,ROW()-6)&lt;&gt;"Starfsbundinn",FY17="",$E17="",$D17=""),"",ROUND(FY17/$E17*$D17*KVARDI,2))</f>
        <v/>
      </c>
      <c r="GA17" s="66" t="n"/>
      <c r="GB17" s="78">
        <f>IF(OR(INDEX(Undirviðmið!$G$6:$G$105,ROW()-6)&lt;&gt;"Starfsbundinn",GA17="",$E17="",$D17=""),"",ROUND(GA17/$E17*$D17*KVARDI,2))</f>
        <v/>
      </c>
      <c r="GC17" s="66" t="n"/>
      <c r="GD17" s="78">
        <f>IF(OR(INDEX(Undirviðmið!$G$6:$G$105,ROW()-6)&lt;&gt;"Starfsbundinn",GC17="",$E17="",$D17=""),"",ROUND(GC17/$E17*$D17*KVARDI,2))</f>
        <v/>
      </c>
      <c r="GE17" s="66" t="n"/>
      <c r="GF17" s="78">
        <f>IF(OR(INDEX(Undirviðmið!$G$6:$G$105,ROW()-6)&lt;&gt;"Starfsbundinn",GE17="",$E17="",$D17=""),"",ROUND(GE17/$E17*$D17*KVARDI,2))</f>
        <v/>
      </c>
      <c r="GG17" s="66" t="n"/>
      <c r="GH17" s="78">
        <f>IF(OR(INDEX(Undirviðmið!$G$6:$G$105,ROW()-6)&lt;&gt;"Starfsbundinn",GG17="",$E17="",$D17=""),"",ROUND(GG17/$E17*$D17*KVARDI,2))</f>
        <v/>
      </c>
      <c r="GI17" s="66" t="n"/>
      <c r="GJ17" s="78">
        <f>IF(OR(INDEX(Undirviðmið!$G$6:$G$105,ROW()-6)&lt;&gt;"Starfsbundinn",GI17="",$E17="",$D17=""),"",ROUND(GI17/$E17*$D17*KVARDI,2))</f>
        <v/>
      </c>
      <c r="GK17" s="66" t="n"/>
      <c r="GL17" s="78">
        <f>IF(OR(INDEX(Undirviðmið!$G$6:$G$105,ROW()-6)&lt;&gt;"Starfsbundinn",GK17="",$E17="",$D17=""),"",ROUND(GK17/$E17*$D17*KVARDI,2))</f>
        <v/>
      </c>
      <c r="GM17" s="66" t="n"/>
      <c r="GN17" s="78">
        <f>IF(OR(INDEX(Undirviðmið!$G$6:$G$105,ROW()-6)&lt;&gt;"Starfsbundinn",GM17="",$E17="",$D17=""),"",ROUND(GM17/$E17*$D17*KVARDI,2))</f>
        <v/>
      </c>
      <c r="GO17" s="66" t="n"/>
      <c r="GP17" s="78">
        <f>IF(OR(INDEX(Undirviðmið!$G$6:$G$105,ROW()-6)&lt;&gt;"Starfsbundinn",GO17="",$E17="",$D17=""),"",ROUND(GO17/$E17*$D17*KVARDI,2))</f>
        <v/>
      </c>
      <c r="GQ17" s="66" t="n"/>
      <c r="GR17" s="78">
        <f>IF(OR(INDEX(Undirviðmið!$G$6:$G$105,ROW()-6)&lt;&gt;"Starfsbundinn",GQ17="",$E17="",$D17=""),"",ROUND(GQ17/$E17*$D17*KVARDI,2))</f>
        <v/>
      </c>
      <c r="GS17" s="66" t="n"/>
      <c r="GT17" s="78">
        <f>IF(OR(INDEX(Undirviðmið!$G$6:$G$105,ROW()-6)&lt;&gt;"Starfsbundinn",GS17="",$E17="",$D17=""),"",ROUND(GS17/$E17*$D17*KVARDI,2))</f>
        <v/>
      </c>
      <c r="GU17" s="66" t="n"/>
      <c r="GV17" s="78">
        <f>IF(OR(INDEX(Undirviðmið!$G$6:$G$105,ROW()-6)&lt;&gt;"Starfsbundinn",GU17="",$E17="",$D17=""),"",ROUND(GU17/$E17*$D17*KVARDI,2))</f>
        <v/>
      </c>
      <c r="GW17" s="66" t="n"/>
      <c r="GX17" s="78">
        <f>IF(OR(INDEX(Undirviðmið!$G$6:$G$105,ROW()-6)&lt;&gt;"Starfsbundinn",GW17="",$E17="",$D17=""),"",ROUND(GW17/$E17*$D17*KVARDI,2))</f>
        <v/>
      </c>
    </row>
    <row r="18" ht="15" customHeight="1" s="47">
      <c r="B18" s="67">
        <f>IF(INDEX(Undirviðmið!$G$6:$G$105,ROW()-6)="Starfsbundinn",INDEX(Undirviðmið!$B$6:$B$105,ROW()-6),"")</f>
        <v/>
      </c>
      <c r="C18" s="67">
        <f>IF(INDEX(Undirviðmið!$G$6:$G$105,ROW()-6)="Starfsbundinn",INDEX(Undirviðmið!$C$6:$C$105,ROW()-6),"")</f>
        <v/>
      </c>
      <c r="D18" s="77">
        <f>IF(INDEX(Undirviðmið!$G$6:$G$105,ROW()-6)="Starfsbundinn",INDEX(Undirviðmið!$E$6:$E$105,ROW()-6),"")</f>
        <v/>
      </c>
      <c r="E18" s="77">
        <f>IF(INDEX(Undirviðmið!$G$6:$G$105,ROW()-6)="Starfsbundinn",INDEX(Undirviðmið!$F$6:$F$105,ROW()-6),"")</f>
        <v/>
      </c>
      <c r="F18" s="77">
        <f>IF(INDEX(Undirviðmið!$G$6:$G$105,ROW()-6)="Starfsbundinn",IFERROR(INDEX(Undirviðmið!$E$6:$E$105,ROW()-6)*KVARDI,""),"")</f>
        <v/>
      </c>
      <c r="G18" s="66" t="n"/>
      <c r="H18" s="78">
        <f>IF(OR(INDEX(Undirviðmið!$G$6:$G$105,ROW()-6)&lt;&gt;"Starfsbundinn",G18="",$E18="",$D18=""),"",ROUND(G18/$E18*$D18*KVARDI,2))</f>
        <v/>
      </c>
      <c r="I18" s="66" t="n"/>
      <c r="J18" s="78">
        <f>IF(OR(INDEX(Undirviðmið!$G$6:$G$105,ROW()-6)&lt;&gt;"Starfsbundinn",I18="",$E18="",$D18=""),"",ROUND(I18/$E18*$D18*KVARDI,2))</f>
        <v/>
      </c>
      <c r="K18" s="66" t="n"/>
      <c r="L18" s="78">
        <f>IF(OR(INDEX(Undirviðmið!$G$6:$G$105,ROW()-6)&lt;&gt;"Starfsbundinn",K18="",$E18="",$D18=""),"",ROUND(K18/$E18*$D18*KVARDI,2))</f>
        <v/>
      </c>
      <c r="M18" s="66" t="n"/>
      <c r="N18" s="78">
        <f>IF(OR(INDEX(Undirviðmið!$G$6:$G$105,ROW()-6)&lt;&gt;"Starfsbundinn",M18="",$E18="",$D18=""),"",ROUND(M18/$E18*$D18*KVARDI,2))</f>
        <v/>
      </c>
      <c r="O18" s="66" t="n"/>
      <c r="P18" s="78">
        <f>IF(OR(INDEX(Undirviðmið!$G$6:$G$105,ROW()-6)&lt;&gt;"Starfsbundinn",O18="",$E18="",$D18=""),"",ROUND(O18/$E18*$D18*KVARDI,2))</f>
        <v/>
      </c>
      <c r="Q18" s="66" t="n"/>
      <c r="R18" s="78">
        <f>IF(OR(INDEX(Undirviðmið!$G$6:$G$105,ROW()-6)&lt;&gt;"Starfsbundinn",Q18="",$E18="",$D18=""),"",ROUND(Q18/$E18*$D18*KVARDI,2))</f>
        <v/>
      </c>
      <c r="S18" s="66" t="n"/>
      <c r="T18" s="78">
        <f>IF(OR(INDEX(Undirviðmið!$G$6:$G$105,ROW()-6)&lt;&gt;"Starfsbundinn",S18="",$E18="",$D18=""),"",ROUND(S18/$E18*$D18*KVARDI,2))</f>
        <v/>
      </c>
      <c r="U18" s="66" t="n"/>
      <c r="V18" s="78">
        <f>IF(OR(INDEX(Undirviðmið!$G$6:$G$105,ROW()-6)&lt;&gt;"Starfsbundinn",U18="",$E18="",$D18=""),"",ROUND(U18/$E18*$D18*KVARDI,2))</f>
        <v/>
      </c>
      <c r="W18" s="66" t="n"/>
      <c r="X18" s="78">
        <f>IF(OR(INDEX(Undirviðmið!$G$6:$G$105,ROW()-6)&lt;&gt;"Starfsbundinn",W18="",$E18="",$D18=""),"",ROUND(W18/$E18*$D18*KVARDI,2))</f>
        <v/>
      </c>
      <c r="Y18" s="66" t="n"/>
      <c r="Z18" s="78">
        <f>IF(OR(INDEX(Undirviðmið!$G$6:$G$105,ROW()-6)&lt;&gt;"Starfsbundinn",Y18="",$E18="",$D18=""),"",ROUND(Y18/$E18*$D18*KVARDI,2))</f>
        <v/>
      </c>
      <c r="AA18" s="66" t="n"/>
      <c r="AB18" s="78">
        <f>IF(OR(INDEX(Undirviðmið!$G$6:$G$105,ROW()-6)&lt;&gt;"Starfsbundinn",AA18="",$E18="",$D18=""),"",ROUND(AA18/$E18*$D18*KVARDI,2))</f>
        <v/>
      </c>
      <c r="AC18" s="66" t="n"/>
      <c r="AD18" s="78">
        <f>IF(OR(INDEX(Undirviðmið!$G$6:$G$105,ROW()-6)&lt;&gt;"Starfsbundinn",AC18="",$E18="",$D18=""),"",ROUND(AC18/$E18*$D18*KVARDI,2))</f>
        <v/>
      </c>
      <c r="AE18" s="66" t="n"/>
      <c r="AF18" s="78">
        <f>IF(OR(INDEX(Undirviðmið!$G$6:$G$105,ROW()-6)&lt;&gt;"Starfsbundinn",AE18="",$E18="",$D18=""),"",ROUND(AE18/$E18*$D18*KVARDI,2))</f>
        <v/>
      </c>
      <c r="AG18" s="66" t="n"/>
      <c r="AH18" s="78">
        <f>IF(OR(INDEX(Undirviðmið!$G$6:$G$105,ROW()-6)&lt;&gt;"Starfsbundinn",AG18="",$E18="",$D18=""),"",ROUND(AG18/$E18*$D18*KVARDI,2))</f>
        <v/>
      </c>
      <c r="AI18" s="66" t="n"/>
      <c r="AJ18" s="78">
        <f>IF(OR(INDEX(Undirviðmið!$G$6:$G$105,ROW()-6)&lt;&gt;"Starfsbundinn",AI18="",$E18="",$D18=""),"",ROUND(AI18/$E18*$D18*KVARDI,2))</f>
        <v/>
      </c>
      <c r="AK18" s="66" t="n"/>
      <c r="AL18" s="78">
        <f>IF(OR(INDEX(Undirviðmið!$G$6:$G$105,ROW()-6)&lt;&gt;"Starfsbundinn",AK18="",$E18="",$D18=""),"",ROUND(AK18/$E18*$D18*KVARDI,2))</f>
        <v/>
      </c>
      <c r="AM18" s="66" t="n"/>
      <c r="AN18" s="78">
        <f>IF(OR(INDEX(Undirviðmið!$G$6:$G$105,ROW()-6)&lt;&gt;"Starfsbundinn",AM18="",$E18="",$D18=""),"",ROUND(AM18/$E18*$D18*KVARDI,2))</f>
        <v/>
      </c>
      <c r="AO18" s="66" t="n"/>
      <c r="AP18" s="78">
        <f>IF(OR(INDEX(Undirviðmið!$G$6:$G$105,ROW()-6)&lt;&gt;"Starfsbundinn",AO18="",$E18="",$D18=""),"",ROUND(AO18/$E18*$D18*KVARDI,2))</f>
        <v/>
      </c>
      <c r="AQ18" s="66" t="n"/>
      <c r="AR18" s="78">
        <f>IF(OR(INDEX(Undirviðmið!$G$6:$G$105,ROW()-6)&lt;&gt;"Starfsbundinn",AQ18="",$E18="",$D18=""),"",ROUND(AQ18/$E18*$D18*KVARDI,2))</f>
        <v/>
      </c>
      <c r="AS18" s="66" t="n"/>
      <c r="AT18" s="78">
        <f>IF(OR(INDEX(Undirviðmið!$G$6:$G$105,ROW()-6)&lt;&gt;"Starfsbundinn",AS18="",$E18="",$D18=""),"",ROUND(AS18/$E18*$D18*KVARDI,2))</f>
        <v/>
      </c>
      <c r="AU18" s="66" t="n"/>
      <c r="AV18" s="78">
        <f>IF(OR(INDEX(Undirviðmið!$G$6:$G$105,ROW()-6)&lt;&gt;"Starfsbundinn",AU18="",$E18="",$D18=""),"",ROUND(AU18/$E18*$D18*KVARDI,2))</f>
        <v/>
      </c>
      <c r="AW18" s="66" t="n"/>
      <c r="AX18" s="78">
        <f>IF(OR(INDEX(Undirviðmið!$G$6:$G$105,ROW()-6)&lt;&gt;"Starfsbundinn",AW18="",$E18="",$D18=""),"",ROUND(AW18/$E18*$D18*KVARDI,2))</f>
        <v/>
      </c>
      <c r="AY18" s="66" t="n"/>
      <c r="AZ18" s="78">
        <f>IF(OR(INDEX(Undirviðmið!$G$6:$G$105,ROW()-6)&lt;&gt;"Starfsbundinn",AY18="",$E18="",$D18=""),"",ROUND(AY18/$E18*$D18*KVARDI,2))</f>
        <v/>
      </c>
      <c r="BA18" s="66" t="n"/>
      <c r="BB18" s="78">
        <f>IF(OR(INDEX(Undirviðmið!$G$6:$G$105,ROW()-6)&lt;&gt;"Starfsbundinn",BA18="",$E18="",$D18=""),"",ROUND(BA18/$E18*$D18*KVARDI,2))</f>
        <v/>
      </c>
      <c r="BC18" s="66" t="n"/>
      <c r="BD18" s="78">
        <f>IF(OR(INDEX(Undirviðmið!$G$6:$G$105,ROW()-6)&lt;&gt;"Starfsbundinn",BC18="",$E18="",$D18=""),"",ROUND(BC18/$E18*$D18*KVARDI,2))</f>
        <v/>
      </c>
      <c r="BE18" s="66" t="n"/>
      <c r="BF18" s="78">
        <f>IF(OR(INDEX(Undirviðmið!$G$6:$G$105,ROW()-6)&lt;&gt;"Starfsbundinn",BE18="",$E18="",$D18=""),"",ROUND(BE18/$E18*$D18*KVARDI,2))</f>
        <v/>
      </c>
      <c r="BG18" s="66" t="n"/>
      <c r="BH18" s="78">
        <f>IF(OR(INDEX(Undirviðmið!$G$6:$G$105,ROW()-6)&lt;&gt;"Starfsbundinn",BG18="",$E18="",$D18=""),"",ROUND(BG18/$E18*$D18*KVARDI,2))</f>
        <v/>
      </c>
      <c r="BI18" s="66" t="n"/>
      <c r="BJ18" s="78">
        <f>IF(OR(INDEX(Undirviðmið!$G$6:$G$105,ROW()-6)&lt;&gt;"Starfsbundinn",BI18="",$E18="",$D18=""),"",ROUND(BI18/$E18*$D18*KVARDI,2))</f>
        <v/>
      </c>
      <c r="BK18" s="66" t="n"/>
      <c r="BL18" s="78">
        <f>IF(OR(INDEX(Undirviðmið!$G$6:$G$105,ROW()-6)&lt;&gt;"Starfsbundinn",BK18="",$E18="",$D18=""),"",ROUND(BK18/$E18*$D18*KVARDI,2))</f>
        <v/>
      </c>
      <c r="BM18" s="66" t="n"/>
      <c r="BN18" s="78">
        <f>IF(OR(INDEX(Undirviðmið!$G$6:$G$105,ROW()-6)&lt;&gt;"Starfsbundinn",BM18="",$E18="",$D18=""),"",ROUND(BM18/$E18*$D18*KVARDI,2))</f>
        <v/>
      </c>
      <c r="BO18" s="66" t="n"/>
      <c r="BP18" s="78">
        <f>IF(OR(INDEX(Undirviðmið!$G$6:$G$105,ROW()-6)&lt;&gt;"Starfsbundinn",BO18="",$E18="",$D18=""),"",ROUND(BO18/$E18*$D18*KVARDI,2))</f>
        <v/>
      </c>
      <c r="BQ18" s="66" t="n"/>
      <c r="BR18" s="78">
        <f>IF(OR(INDEX(Undirviðmið!$G$6:$G$105,ROW()-6)&lt;&gt;"Starfsbundinn",BQ18="",$E18="",$D18=""),"",ROUND(BQ18/$E18*$D18*KVARDI,2))</f>
        <v/>
      </c>
      <c r="BS18" s="66" t="n"/>
      <c r="BT18" s="78">
        <f>IF(OR(INDEX(Undirviðmið!$G$6:$G$105,ROW()-6)&lt;&gt;"Starfsbundinn",BS18="",$E18="",$D18=""),"",ROUND(BS18/$E18*$D18*KVARDI,2))</f>
        <v/>
      </c>
      <c r="BU18" s="66" t="n"/>
      <c r="BV18" s="78">
        <f>IF(OR(INDEX(Undirviðmið!$G$6:$G$105,ROW()-6)&lt;&gt;"Starfsbundinn",BU18="",$E18="",$D18=""),"",ROUND(BU18/$E18*$D18*KVARDI,2))</f>
        <v/>
      </c>
      <c r="BW18" s="66" t="n"/>
      <c r="BX18" s="78">
        <f>IF(OR(INDEX(Undirviðmið!$G$6:$G$105,ROW()-6)&lt;&gt;"Starfsbundinn",BW18="",$E18="",$D18=""),"",ROUND(BW18/$E18*$D18*KVARDI,2))</f>
        <v/>
      </c>
      <c r="BY18" s="66" t="n"/>
      <c r="BZ18" s="78">
        <f>IF(OR(INDEX(Undirviðmið!$G$6:$G$105,ROW()-6)&lt;&gt;"Starfsbundinn",BY18="",$E18="",$D18=""),"",ROUND(BY18/$E18*$D18*KVARDI,2))</f>
        <v/>
      </c>
      <c r="CA18" s="66" t="n"/>
      <c r="CB18" s="78">
        <f>IF(OR(INDEX(Undirviðmið!$G$6:$G$105,ROW()-6)&lt;&gt;"Starfsbundinn",CA18="",$E18="",$D18=""),"",ROUND(CA18/$E18*$D18*KVARDI,2))</f>
        <v/>
      </c>
      <c r="CC18" s="66" t="n"/>
      <c r="CD18" s="78">
        <f>IF(OR(INDEX(Undirviðmið!$G$6:$G$105,ROW()-6)&lt;&gt;"Starfsbundinn",CC18="",$E18="",$D18=""),"",ROUND(CC18/$E18*$D18*KVARDI,2))</f>
        <v/>
      </c>
      <c r="CE18" s="66" t="n"/>
      <c r="CF18" s="78">
        <f>IF(OR(INDEX(Undirviðmið!$G$6:$G$105,ROW()-6)&lt;&gt;"Starfsbundinn",CE18="",$E18="",$D18=""),"",ROUND(CE18/$E18*$D18*KVARDI,2))</f>
        <v/>
      </c>
      <c r="CG18" s="66" t="n"/>
      <c r="CH18" s="78">
        <f>IF(OR(INDEX(Undirviðmið!$G$6:$G$105,ROW()-6)&lt;&gt;"Starfsbundinn",CG18="",$E18="",$D18=""),"",ROUND(CG18/$E18*$D18*KVARDI,2))</f>
        <v/>
      </c>
      <c r="CI18" s="66" t="n"/>
      <c r="CJ18" s="78">
        <f>IF(OR(INDEX(Undirviðmið!$G$6:$G$105,ROW()-6)&lt;&gt;"Starfsbundinn",CI18="",$E18="",$D18=""),"",ROUND(CI18/$E18*$D18*KVARDI,2))</f>
        <v/>
      </c>
      <c r="CK18" s="66" t="n"/>
      <c r="CL18" s="78">
        <f>IF(OR(INDEX(Undirviðmið!$G$6:$G$105,ROW()-6)&lt;&gt;"Starfsbundinn",CK18="",$E18="",$D18=""),"",ROUND(CK18/$E18*$D18*KVARDI,2))</f>
        <v/>
      </c>
      <c r="CM18" s="66" t="n"/>
      <c r="CN18" s="78">
        <f>IF(OR(INDEX(Undirviðmið!$G$6:$G$105,ROW()-6)&lt;&gt;"Starfsbundinn",CM18="",$E18="",$D18=""),"",ROUND(CM18/$E18*$D18*KVARDI,2))</f>
        <v/>
      </c>
      <c r="CO18" s="66" t="n"/>
      <c r="CP18" s="78">
        <f>IF(OR(INDEX(Undirviðmið!$G$6:$G$105,ROW()-6)&lt;&gt;"Starfsbundinn",CO18="",$E18="",$D18=""),"",ROUND(CO18/$E18*$D18*KVARDI,2))</f>
        <v/>
      </c>
      <c r="CQ18" s="66" t="n"/>
      <c r="CR18" s="78">
        <f>IF(OR(INDEX(Undirviðmið!$G$6:$G$105,ROW()-6)&lt;&gt;"Starfsbundinn",CQ18="",$E18="",$D18=""),"",ROUND(CQ18/$E18*$D18*KVARDI,2))</f>
        <v/>
      </c>
      <c r="CS18" s="66" t="n"/>
      <c r="CT18" s="78">
        <f>IF(OR(INDEX(Undirviðmið!$G$6:$G$105,ROW()-6)&lt;&gt;"Starfsbundinn",CS18="",$E18="",$D18=""),"",ROUND(CS18/$E18*$D18*KVARDI,2))</f>
        <v/>
      </c>
      <c r="CU18" s="66" t="n"/>
      <c r="CV18" s="78">
        <f>IF(OR(INDEX(Undirviðmið!$G$6:$G$105,ROW()-6)&lt;&gt;"Starfsbundinn",CU18="",$E18="",$D18=""),"",ROUND(CU18/$E18*$D18*KVARDI,2))</f>
        <v/>
      </c>
      <c r="CW18" s="66" t="n"/>
      <c r="CX18" s="78">
        <f>IF(OR(INDEX(Undirviðmið!$G$6:$G$105,ROW()-6)&lt;&gt;"Starfsbundinn",CW18="",$E18="",$D18=""),"",ROUND(CW18/$E18*$D18*KVARDI,2))</f>
        <v/>
      </c>
      <c r="CY18" s="66" t="n"/>
      <c r="CZ18" s="78">
        <f>IF(OR(INDEX(Undirviðmið!$G$6:$G$105,ROW()-6)&lt;&gt;"Starfsbundinn",CY18="",$E18="",$D18=""),"",ROUND(CY18/$E18*$D18*KVARDI,2))</f>
        <v/>
      </c>
      <c r="DA18" s="66" t="n"/>
      <c r="DB18" s="78">
        <f>IF(OR(INDEX(Undirviðmið!$G$6:$G$105,ROW()-6)&lt;&gt;"Starfsbundinn",DA18="",$E18="",$D18=""),"",ROUND(DA18/$E18*$D18*KVARDI,2))</f>
        <v/>
      </c>
      <c r="DC18" s="66" t="n"/>
      <c r="DD18" s="78">
        <f>IF(OR(INDEX(Undirviðmið!$G$6:$G$105,ROW()-6)&lt;&gt;"Starfsbundinn",DC18="",$E18="",$D18=""),"",ROUND(DC18/$E18*$D18*KVARDI,2))</f>
        <v/>
      </c>
      <c r="DE18" s="66" t="n"/>
      <c r="DF18" s="78">
        <f>IF(OR(INDEX(Undirviðmið!$G$6:$G$105,ROW()-6)&lt;&gt;"Starfsbundinn",DE18="",$E18="",$D18=""),"",ROUND(DE18/$E18*$D18*KVARDI,2))</f>
        <v/>
      </c>
      <c r="DG18" s="66" t="n"/>
      <c r="DH18" s="78">
        <f>IF(OR(INDEX(Undirviðmið!$G$6:$G$105,ROW()-6)&lt;&gt;"Starfsbundinn",DG18="",$E18="",$D18=""),"",ROUND(DG18/$E18*$D18*KVARDI,2))</f>
        <v/>
      </c>
      <c r="DI18" s="66" t="n"/>
      <c r="DJ18" s="78">
        <f>IF(OR(INDEX(Undirviðmið!$G$6:$G$105,ROW()-6)&lt;&gt;"Starfsbundinn",DI18="",$E18="",$D18=""),"",ROUND(DI18/$E18*$D18*KVARDI,2))</f>
        <v/>
      </c>
      <c r="DK18" s="66" t="n"/>
      <c r="DL18" s="78">
        <f>IF(OR(INDEX(Undirviðmið!$G$6:$G$105,ROW()-6)&lt;&gt;"Starfsbundinn",DK18="",$E18="",$D18=""),"",ROUND(DK18/$E18*$D18*KVARDI,2))</f>
        <v/>
      </c>
      <c r="DM18" s="66" t="n"/>
      <c r="DN18" s="78">
        <f>IF(OR(INDEX(Undirviðmið!$G$6:$G$105,ROW()-6)&lt;&gt;"Starfsbundinn",DM18="",$E18="",$D18=""),"",ROUND(DM18/$E18*$D18*KVARDI,2))</f>
        <v/>
      </c>
      <c r="DO18" s="66" t="n"/>
      <c r="DP18" s="78">
        <f>IF(OR(INDEX(Undirviðmið!$G$6:$G$105,ROW()-6)&lt;&gt;"Starfsbundinn",DO18="",$E18="",$D18=""),"",ROUND(DO18/$E18*$D18*KVARDI,2))</f>
        <v/>
      </c>
      <c r="DQ18" s="66" t="n"/>
      <c r="DR18" s="78">
        <f>IF(OR(INDEX(Undirviðmið!$G$6:$G$105,ROW()-6)&lt;&gt;"Starfsbundinn",DQ18="",$E18="",$D18=""),"",ROUND(DQ18/$E18*$D18*KVARDI,2))</f>
        <v/>
      </c>
      <c r="DS18" s="66" t="n"/>
      <c r="DT18" s="78">
        <f>IF(OR(INDEX(Undirviðmið!$G$6:$G$105,ROW()-6)&lt;&gt;"Starfsbundinn",DS18="",$E18="",$D18=""),"",ROUND(DS18/$E18*$D18*KVARDI,2))</f>
        <v/>
      </c>
      <c r="DU18" s="66" t="n"/>
      <c r="DV18" s="78">
        <f>IF(OR(INDEX(Undirviðmið!$G$6:$G$105,ROW()-6)&lt;&gt;"Starfsbundinn",DU18="",$E18="",$D18=""),"",ROUND(DU18/$E18*$D18*KVARDI,2))</f>
        <v/>
      </c>
      <c r="DW18" s="66" t="n"/>
      <c r="DX18" s="78">
        <f>IF(OR(INDEX(Undirviðmið!$G$6:$G$105,ROW()-6)&lt;&gt;"Starfsbundinn",DW18="",$E18="",$D18=""),"",ROUND(DW18/$E18*$D18*KVARDI,2))</f>
        <v/>
      </c>
      <c r="DY18" s="66" t="n"/>
      <c r="DZ18" s="78">
        <f>IF(OR(INDEX(Undirviðmið!$G$6:$G$105,ROW()-6)&lt;&gt;"Starfsbundinn",DY18="",$E18="",$D18=""),"",ROUND(DY18/$E18*$D18*KVARDI,2))</f>
        <v/>
      </c>
      <c r="EA18" s="66" t="n"/>
      <c r="EB18" s="78">
        <f>IF(OR(INDEX(Undirviðmið!$G$6:$G$105,ROW()-6)&lt;&gt;"Starfsbundinn",EA18="",$E18="",$D18=""),"",ROUND(EA18/$E18*$D18*KVARDI,2))</f>
        <v/>
      </c>
      <c r="EC18" s="66" t="n"/>
      <c r="ED18" s="78">
        <f>IF(OR(INDEX(Undirviðmið!$G$6:$G$105,ROW()-6)&lt;&gt;"Starfsbundinn",EC18="",$E18="",$D18=""),"",ROUND(EC18/$E18*$D18*KVARDI,2))</f>
        <v/>
      </c>
      <c r="EE18" s="66" t="n"/>
      <c r="EF18" s="78">
        <f>IF(OR(INDEX(Undirviðmið!$G$6:$G$105,ROW()-6)&lt;&gt;"Starfsbundinn",EE18="",$E18="",$D18=""),"",ROUND(EE18/$E18*$D18*KVARDI,2))</f>
        <v/>
      </c>
      <c r="EG18" s="66" t="n"/>
      <c r="EH18" s="78">
        <f>IF(OR(INDEX(Undirviðmið!$G$6:$G$105,ROW()-6)&lt;&gt;"Starfsbundinn",EG18="",$E18="",$D18=""),"",ROUND(EG18/$E18*$D18*KVARDI,2))</f>
        <v/>
      </c>
      <c r="EI18" s="66" t="n"/>
      <c r="EJ18" s="78">
        <f>IF(OR(INDEX(Undirviðmið!$G$6:$G$105,ROW()-6)&lt;&gt;"Starfsbundinn",EI18="",$E18="",$D18=""),"",ROUND(EI18/$E18*$D18*KVARDI,2))</f>
        <v/>
      </c>
      <c r="EK18" s="66" t="n"/>
      <c r="EL18" s="78">
        <f>IF(OR(INDEX(Undirviðmið!$G$6:$G$105,ROW()-6)&lt;&gt;"Starfsbundinn",EK18="",$E18="",$D18=""),"",ROUND(EK18/$E18*$D18*KVARDI,2))</f>
        <v/>
      </c>
      <c r="EM18" s="66" t="n"/>
      <c r="EN18" s="78">
        <f>IF(OR(INDEX(Undirviðmið!$G$6:$G$105,ROW()-6)&lt;&gt;"Starfsbundinn",EM18="",$E18="",$D18=""),"",ROUND(EM18/$E18*$D18*KVARDI,2))</f>
        <v/>
      </c>
      <c r="EO18" s="66" t="n"/>
      <c r="EP18" s="78">
        <f>IF(OR(INDEX(Undirviðmið!$G$6:$G$105,ROW()-6)&lt;&gt;"Starfsbundinn",EO18="",$E18="",$D18=""),"",ROUND(EO18/$E18*$D18*KVARDI,2))</f>
        <v/>
      </c>
      <c r="EQ18" s="66" t="n"/>
      <c r="ER18" s="78">
        <f>IF(OR(INDEX(Undirviðmið!$G$6:$G$105,ROW()-6)&lt;&gt;"Starfsbundinn",EQ18="",$E18="",$D18=""),"",ROUND(EQ18/$E18*$D18*KVARDI,2))</f>
        <v/>
      </c>
      <c r="ES18" s="66" t="n"/>
      <c r="ET18" s="78">
        <f>IF(OR(INDEX(Undirviðmið!$G$6:$G$105,ROW()-6)&lt;&gt;"Starfsbundinn",ES18="",$E18="",$D18=""),"",ROUND(ES18/$E18*$D18*KVARDI,2))</f>
        <v/>
      </c>
      <c r="EU18" s="66" t="n"/>
      <c r="EV18" s="78">
        <f>IF(OR(INDEX(Undirviðmið!$G$6:$G$105,ROW()-6)&lt;&gt;"Starfsbundinn",EU18="",$E18="",$D18=""),"",ROUND(EU18/$E18*$D18*KVARDI,2))</f>
        <v/>
      </c>
      <c r="EW18" s="66" t="n"/>
      <c r="EX18" s="78">
        <f>IF(OR(INDEX(Undirviðmið!$G$6:$G$105,ROW()-6)&lt;&gt;"Starfsbundinn",EW18="",$E18="",$D18=""),"",ROUND(EW18/$E18*$D18*KVARDI,2))</f>
        <v/>
      </c>
      <c r="EY18" s="66" t="n"/>
      <c r="EZ18" s="78">
        <f>IF(OR(INDEX(Undirviðmið!$G$6:$G$105,ROW()-6)&lt;&gt;"Starfsbundinn",EY18="",$E18="",$D18=""),"",ROUND(EY18/$E18*$D18*KVARDI,2))</f>
        <v/>
      </c>
      <c r="FA18" s="66" t="n"/>
      <c r="FB18" s="78">
        <f>IF(OR(INDEX(Undirviðmið!$G$6:$G$105,ROW()-6)&lt;&gt;"Starfsbundinn",FA18="",$E18="",$D18=""),"",ROUND(FA18/$E18*$D18*KVARDI,2))</f>
        <v/>
      </c>
      <c r="FC18" s="66" t="n"/>
      <c r="FD18" s="78">
        <f>IF(OR(INDEX(Undirviðmið!$G$6:$G$105,ROW()-6)&lt;&gt;"Starfsbundinn",FC18="",$E18="",$D18=""),"",ROUND(FC18/$E18*$D18*KVARDI,2))</f>
        <v/>
      </c>
      <c r="FE18" s="66" t="n"/>
      <c r="FF18" s="78">
        <f>IF(OR(INDEX(Undirviðmið!$G$6:$G$105,ROW()-6)&lt;&gt;"Starfsbundinn",FE18="",$E18="",$D18=""),"",ROUND(FE18/$E18*$D18*KVARDI,2))</f>
        <v/>
      </c>
      <c r="FG18" s="66" t="n"/>
      <c r="FH18" s="78">
        <f>IF(OR(INDEX(Undirviðmið!$G$6:$G$105,ROW()-6)&lt;&gt;"Starfsbundinn",FG18="",$E18="",$D18=""),"",ROUND(FG18/$E18*$D18*KVARDI,2))</f>
        <v/>
      </c>
      <c r="FI18" s="66" t="n"/>
      <c r="FJ18" s="78">
        <f>IF(OR(INDEX(Undirviðmið!$G$6:$G$105,ROW()-6)&lt;&gt;"Starfsbundinn",FI18="",$E18="",$D18=""),"",ROUND(FI18/$E18*$D18*KVARDI,2))</f>
        <v/>
      </c>
      <c r="FK18" s="66" t="n"/>
      <c r="FL18" s="78">
        <f>IF(OR(INDEX(Undirviðmið!$G$6:$G$105,ROW()-6)&lt;&gt;"Starfsbundinn",FK18="",$E18="",$D18=""),"",ROUND(FK18/$E18*$D18*KVARDI,2))</f>
        <v/>
      </c>
      <c r="FM18" s="66" t="n"/>
      <c r="FN18" s="78">
        <f>IF(OR(INDEX(Undirviðmið!$G$6:$G$105,ROW()-6)&lt;&gt;"Starfsbundinn",FM18="",$E18="",$D18=""),"",ROUND(FM18/$E18*$D18*KVARDI,2))</f>
        <v/>
      </c>
      <c r="FO18" s="66" t="n"/>
      <c r="FP18" s="78">
        <f>IF(OR(INDEX(Undirviðmið!$G$6:$G$105,ROW()-6)&lt;&gt;"Starfsbundinn",FO18="",$E18="",$D18=""),"",ROUND(FO18/$E18*$D18*KVARDI,2))</f>
        <v/>
      </c>
      <c r="FQ18" s="66" t="n"/>
      <c r="FR18" s="78">
        <f>IF(OR(INDEX(Undirviðmið!$G$6:$G$105,ROW()-6)&lt;&gt;"Starfsbundinn",FQ18="",$E18="",$D18=""),"",ROUND(FQ18/$E18*$D18*KVARDI,2))</f>
        <v/>
      </c>
      <c r="FS18" s="66" t="n"/>
      <c r="FT18" s="78">
        <f>IF(OR(INDEX(Undirviðmið!$G$6:$G$105,ROW()-6)&lt;&gt;"Starfsbundinn",FS18="",$E18="",$D18=""),"",ROUND(FS18/$E18*$D18*KVARDI,2))</f>
        <v/>
      </c>
      <c r="FU18" s="66" t="n"/>
      <c r="FV18" s="78">
        <f>IF(OR(INDEX(Undirviðmið!$G$6:$G$105,ROW()-6)&lt;&gt;"Starfsbundinn",FU18="",$E18="",$D18=""),"",ROUND(FU18/$E18*$D18*KVARDI,2))</f>
        <v/>
      </c>
      <c r="FW18" s="66" t="n"/>
      <c r="FX18" s="78">
        <f>IF(OR(INDEX(Undirviðmið!$G$6:$G$105,ROW()-6)&lt;&gt;"Starfsbundinn",FW18="",$E18="",$D18=""),"",ROUND(FW18/$E18*$D18*KVARDI,2))</f>
        <v/>
      </c>
      <c r="FY18" s="66" t="n"/>
      <c r="FZ18" s="78">
        <f>IF(OR(INDEX(Undirviðmið!$G$6:$G$105,ROW()-6)&lt;&gt;"Starfsbundinn",FY18="",$E18="",$D18=""),"",ROUND(FY18/$E18*$D18*KVARDI,2))</f>
        <v/>
      </c>
      <c r="GA18" s="66" t="n"/>
      <c r="GB18" s="78">
        <f>IF(OR(INDEX(Undirviðmið!$G$6:$G$105,ROW()-6)&lt;&gt;"Starfsbundinn",GA18="",$E18="",$D18=""),"",ROUND(GA18/$E18*$D18*KVARDI,2))</f>
        <v/>
      </c>
      <c r="GC18" s="66" t="n"/>
      <c r="GD18" s="78">
        <f>IF(OR(INDEX(Undirviðmið!$G$6:$G$105,ROW()-6)&lt;&gt;"Starfsbundinn",GC18="",$E18="",$D18=""),"",ROUND(GC18/$E18*$D18*KVARDI,2))</f>
        <v/>
      </c>
      <c r="GE18" s="66" t="n"/>
      <c r="GF18" s="78">
        <f>IF(OR(INDEX(Undirviðmið!$G$6:$G$105,ROW()-6)&lt;&gt;"Starfsbundinn",GE18="",$E18="",$D18=""),"",ROUND(GE18/$E18*$D18*KVARDI,2))</f>
        <v/>
      </c>
      <c r="GG18" s="66" t="n"/>
      <c r="GH18" s="78">
        <f>IF(OR(INDEX(Undirviðmið!$G$6:$G$105,ROW()-6)&lt;&gt;"Starfsbundinn",GG18="",$E18="",$D18=""),"",ROUND(GG18/$E18*$D18*KVARDI,2))</f>
        <v/>
      </c>
      <c r="GI18" s="66" t="n"/>
      <c r="GJ18" s="78">
        <f>IF(OR(INDEX(Undirviðmið!$G$6:$G$105,ROW()-6)&lt;&gt;"Starfsbundinn",GI18="",$E18="",$D18=""),"",ROUND(GI18/$E18*$D18*KVARDI,2))</f>
        <v/>
      </c>
      <c r="GK18" s="66" t="n"/>
      <c r="GL18" s="78">
        <f>IF(OR(INDEX(Undirviðmið!$G$6:$G$105,ROW()-6)&lt;&gt;"Starfsbundinn",GK18="",$E18="",$D18=""),"",ROUND(GK18/$E18*$D18*KVARDI,2))</f>
        <v/>
      </c>
      <c r="GM18" s="66" t="n"/>
      <c r="GN18" s="78">
        <f>IF(OR(INDEX(Undirviðmið!$G$6:$G$105,ROW()-6)&lt;&gt;"Starfsbundinn",GM18="",$E18="",$D18=""),"",ROUND(GM18/$E18*$D18*KVARDI,2))</f>
        <v/>
      </c>
      <c r="GO18" s="66" t="n"/>
      <c r="GP18" s="78">
        <f>IF(OR(INDEX(Undirviðmið!$G$6:$G$105,ROW()-6)&lt;&gt;"Starfsbundinn",GO18="",$E18="",$D18=""),"",ROUND(GO18/$E18*$D18*KVARDI,2))</f>
        <v/>
      </c>
      <c r="GQ18" s="66" t="n"/>
      <c r="GR18" s="78">
        <f>IF(OR(INDEX(Undirviðmið!$G$6:$G$105,ROW()-6)&lt;&gt;"Starfsbundinn",GQ18="",$E18="",$D18=""),"",ROUND(GQ18/$E18*$D18*KVARDI,2))</f>
        <v/>
      </c>
      <c r="GS18" s="66" t="n"/>
      <c r="GT18" s="78">
        <f>IF(OR(INDEX(Undirviðmið!$G$6:$G$105,ROW()-6)&lt;&gt;"Starfsbundinn",GS18="",$E18="",$D18=""),"",ROUND(GS18/$E18*$D18*KVARDI,2))</f>
        <v/>
      </c>
      <c r="GU18" s="66" t="n"/>
      <c r="GV18" s="78">
        <f>IF(OR(INDEX(Undirviðmið!$G$6:$G$105,ROW()-6)&lt;&gt;"Starfsbundinn",GU18="",$E18="",$D18=""),"",ROUND(GU18/$E18*$D18*KVARDI,2))</f>
        <v/>
      </c>
      <c r="GW18" s="66" t="n"/>
      <c r="GX18" s="78">
        <f>IF(OR(INDEX(Undirviðmið!$G$6:$G$105,ROW()-6)&lt;&gt;"Starfsbundinn",GW18="",$E18="",$D18=""),"",ROUND(GW18/$E18*$D18*KVARDI,2))</f>
        <v/>
      </c>
    </row>
    <row r="19" ht="15" customHeight="1" s="47">
      <c r="B19" s="67">
        <f>IF(INDEX(Undirviðmið!$G$6:$G$105,ROW()-6)="Starfsbundinn",INDEX(Undirviðmið!$B$6:$B$105,ROW()-6),"")</f>
        <v/>
      </c>
      <c r="C19" s="67">
        <f>IF(INDEX(Undirviðmið!$G$6:$G$105,ROW()-6)="Starfsbundinn",INDEX(Undirviðmið!$C$6:$C$105,ROW()-6),"")</f>
        <v/>
      </c>
      <c r="D19" s="77">
        <f>IF(INDEX(Undirviðmið!$G$6:$G$105,ROW()-6)="Starfsbundinn",INDEX(Undirviðmið!$E$6:$E$105,ROW()-6),"")</f>
        <v/>
      </c>
      <c r="E19" s="77">
        <f>IF(INDEX(Undirviðmið!$G$6:$G$105,ROW()-6)="Starfsbundinn",INDEX(Undirviðmið!$F$6:$F$105,ROW()-6),"")</f>
        <v/>
      </c>
      <c r="F19" s="77">
        <f>IF(INDEX(Undirviðmið!$G$6:$G$105,ROW()-6)="Starfsbundinn",IFERROR(INDEX(Undirviðmið!$E$6:$E$105,ROW()-6)*KVARDI,""),"")</f>
        <v/>
      </c>
      <c r="G19" s="66" t="n"/>
      <c r="H19" s="78">
        <f>IF(OR(INDEX(Undirviðmið!$G$6:$G$105,ROW()-6)&lt;&gt;"Starfsbundinn",G19="",$E19="",$D19=""),"",ROUND(G19/$E19*$D19*KVARDI,2))</f>
        <v/>
      </c>
      <c r="I19" s="66" t="n"/>
      <c r="J19" s="78">
        <f>IF(OR(INDEX(Undirviðmið!$G$6:$G$105,ROW()-6)&lt;&gt;"Starfsbundinn",I19="",$E19="",$D19=""),"",ROUND(I19/$E19*$D19*KVARDI,2))</f>
        <v/>
      </c>
      <c r="K19" s="66" t="n"/>
      <c r="L19" s="78">
        <f>IF(OR(INDEX(Undirviðmið!$G$6:$G$105,ROW()-6)&lt;&gt;"Starfsbundinn",K19="",$E19="",$D19=""),"",ROUND(K19/$E19*$D19*KVARDI,2))</f>
        <v/>
      </c>
      <c r="M19" s="66" t="n"/>
      <c r="N19" s="78">
        <f>IF(OR(INDEX(Undirviðmið!$G$6:$G$105,ROW()-6)&lt;&gt;"Starfsbundinn",M19="",$E19="",$D19=""),"",ROUND(M19/$E19*$D19*KVARDI,2))</f>
        <v/>
      </c>
      <c r="O19" s="66" t="n"/>
      <c r="P19" s="78">
        <f>IF(OR(INDEX(Undirviðmið!$G$6:$G$105,ROW()-6)&lt;&gt;"Starfsbundinn",O19="",$E19="",$D19=""),"",ROUND(O19/$E19*$D19*KVARDI,2))</f>
        <v/>
      </c>
      <c r="Q19" s="66" t="n"/>
      <c r="R19" s="78">
        <f>IF(OR(INDEX(Undirviðmið!$G$6:$G$105,ROW()-6)&lt;&gt;"Starfsbundinn",Q19="",$E19="",$D19=""),"",ROUND(Q19/$E19*$D19*KVARDI,2))</f>
        <v/>
      </c>
      <c r="S19" s="66" t="n"/>
      <c r="T19" s="78">
        <f>IF(OR(INDEX(Undirviðmið!$G$6:$G$105,ROW()-6)&lt;&gt;"Starfsbundinn",S19="",$E19="",$D19=""),"",ROUND(S19/$E19*$D19*KVARDI,2))</f>
        <v/>
      </c>
      <c r="U19" s="66" t="n"/>
      <c r="V19" s="78">
        <f>IF(OR(INDEX(Undirviðmið!$G$6:$G$105,ROW()-6)&lt;&gt;"Starfsbundinn",U19="",$E19="",$D19=""),"",ROUND(U19/$E19*$D19*KVARDI,2))</f>
        <v/>
      </c>
      <c r="W19" s="66" t="n"/>
      <c r="X19" s="78">
        <f>IF(OR(INDEX(Undirviðmið!$G$6:$G$105,ROW()-6)&lt;&gt;"Starfsbundinn",W19="",$E19="",$D19=""),"",ROUND(W19/$E19*$D19*KVARDI,2))</f>
        <v/>
      </c>
      <c r="Y19" s="66" t="n"/>
      <c r="Z19" s="78">
        <f>IF(OR(INDEX(Undirviðmið!$G$6:$G$105,ROW()-6)&lt;&gt;"Starfsbundinn",Y19="",$E19="",$D19=""),"",ROUND(Y19/$E19*$D19*KVARDI,2))</f>
        <v/>
      </c>
      <c r="AA19" s="66" t="n"/>
      <c r="AB19" s="78">
        <f>IF(OR(INDEX(Undirviðmið!$G$6:$G$105,ROW()-6)&lt;&gt;"Starfsbundinn",AA19="",$E19="",$D19=""),"",ROUND(AA19/$E19*$D19*KVARDI,2))</f>
        <v/>
      </c>
      <c r="AC19" s="66" t="n"/>
      <c r="AD19" s="78">
        <f>IF(OR(INDEX(Undirviðmið!$G$6:$G$105,ROW()-6)&lt;&gt;"Starfsbundinn",AC19="",$E19="",$D19=""),"",ROUND(AC19/$E19*$D19*KVARDI,2))</f>
        <v/>
      </c>
      <c r="AE19" s="66" t="n"/>
      <c r="AF19" s="78">
        <f>IF(OR(INDEX(Undirviðmið!$G$6:$G$105,ROW()-6)&lt;&gt;"Starfsbundinn",AE19="",$E19="",$D19=""),"",ROUND(AE19/$E19*$D19*KVARDI,2))</f>
        <v/>
      </c>
      <c r="AG19" s="66" t="n"/>
      <c r="AH19" s="78">
        <f>IF(OR(INDEX(Undirviðmið!$G$6:$G$105,ROW()-6)&lt;&gt;"Starfsbundinn",AG19="",$E19="",$D19=""),"",ROUND(AG19/$E19*$D19*KVARDI,2))</f>
        <v/>
      </c>
      <c r="AI19" s="66" t="n"/>
      <c r="AJ19" s="78">
        <f>IF(OR(INDEX(Undirviðmið!$G$6:$G$105,ROW()-6)&lt;&gt;"Starfsbundinn",AI19="",$E19="",$D19=""),"",ROUND(AI19/$E19*$D19*KVARDI,2))</f>
        <v/>
      </c>
      <c r="AK19" s="66" t="n"/>
      <c r="AL19" s="78">
        <f>IF(OR(INDEX(Undirviðmið!$G$6:$G$105,ROW()-6)&lt;&gt;"Starfsbundinn",AK19="",$E19="",$D19=""),"",ROUND(AK19/$E19*$D19*KVARDI,2))</f>
        <v/>
      </c>
      <c r="AM19" s="66" t="n"/>
      <c r="AN19" s="78">
        <f>IF(OR(INDEX(Undirviðmið!$G$6:$G$105,ROW()-6)&lt;&gt;"Starfsbundinn",AM19="",$E19="",$D19=""),"",ROUND(AM19/$E19*$D19*KVARDI,2))</f>
        <v/>
      </c>
      <c r="AO19" s="66" t="n"/>
      <c r="AP19" s="78">
        <f>IF(OR(INDEX(Undirviðmið!$G$6:$G$105,ROW()-6)&lt;&gt;"Starfsbundinn",AO19="",$E19="",$D19=""),"",ROUND(AO19/$E19*$D19*KVARDI,2))</f>
        <v/>
      </c>
      <c r="AQ19" s="66" t="n"/>
      <c r="AR19" s="78">
        <f>IF(OR(INDEX(Undirviðmið!$G$6:$G$105,ROW()-6)&lt;&gt;"Starfsbundinn",AQ19="",$E19="",$D19=""),"",ROUND(AQ19/$E19*$D19*KVARDI,2))</f>
        <v/>
      </c>
      <c r="AS19" s="66" t="n"/>
      <c r="AT19" s="78">
        <f>IF(OR(INDEX(Undirviðmið!$G$6:$G$105,ROW()-6)&lt;&gt;"Starfsbundinn",AS19="",$E19="",$D19=""),"",ROUND(AS19/$E19*$D19*KVARDI,2))</f>
        <v/>
      </c>
      <c r="AU19" s="66" t="n"/>
      <c r="AV19" s="78">
        <f>IF(OR(INDEX(Undirviðmið!$G$6:$G$105,ROW()-6)&lt;&gt;"Starfsbundinn",AU19="",$E19="",$D19=""),"",ROUND(AU19/$E19*$D19*KVARDI,2))</f>
        <v/>
      </c>
      <c r="AW19" s="66" t="n"/>
      <c r="AX19" s="78">
        <f>IF(OR(INDEX(Undirviðmið!$G$6:$G$105,ROW()-6)&lt;&gt;"Starfsbundinn",AW19="",$E19="",$D19=""),"",ROUND(AW19/$E19*$D19*KVARDI,2))</f>
        <v/>
      </c>
      <c r="AY19" s="66" t="n"/>
      <c r="AZ19" s="78">
        <f>IF(OR(INDEX(Undirviðmið!$G$6:$G$105,ROW()-6)&lt;&gt;"Starfsbundinn",AY19="",$E19="",$D19=""),"",ROUND(AY19/$E19*$D19*KVARDI,2))</f>
        <v/>
      </c>
      <c r="BA19" s="66" t="n"/>
      <c r="BB19" s="78">
        <f>IF(OR(INDEX(Undirviðmið!$G$6:$G$105,ROW()-6)&lt;&gt;"Starfsbundinn",BA19="",$E19="",$D19=""),"",ROUND(BA19/$E19*$D19*KVARDI,2))</f>
        <v/>
      </c>
      <c r="BC19" s="66" t="n"/>
      <c r="BD19" s="78">
        <f>IF(OR(INDEX(Undirviðmið!$G$6:$G$105,ROW()-6)&lt;&gt;"Starfsbundinn",BC19="",$E19="",$D19=""),"",ROUND(BC19/$E19*$D19*KVARDI,2))</f>
        <v/>
      </c>
      <c r="BE19" s="66" t="n"/>
      <c r="BF19" s="78">
        <f>IF(OR(INDEX(Undirviðmið!$G$6:$G$105,ROW()-6)&lt;&gt;"Starfsbundinn",BE19="",$E19="",$D19=""),"",ROUND(BE19/$E19*$D19*KVARDI,2))</f>
        <v/>
      </c>
      <c r="BG19" s="66" t="n"/>
      <c r="BH19" s="78">
        <f>IF(OR(INDEX(Undirviðmið!$G$6:$G$105,ROW()-6)&lt;&gt;"Starfsbundinn",BG19="",$E19="",$D19=""),"",ROUND(BG19/$E19*$D19*KVARDI,2))</f>
        <v/>
      </c>
      <c r="BI19" s="66" t="n"/>
      <c r="BJ19" s="78">
        <f>IF(OR(INDEX(Undirviðmið!$G$6:$G$105,ROW()-6)&lt;&gt;"Starfsbundinn",BI19="",$E19="",$D19=""),"",ROUND(BI19/$E19*$D19*KVARDI,2))</f>
        <v/>
      </c>
      <c r="BK19" s="66" t="n"/>
      <c r="BL19" s="78">
        <f>IF(OR(INDEX(Undirviðmið!$G$6:$G$105,ROW()-6)&lt;&gt;"Starfsbundinn",BK19="",$E19="",$D19=""),"",ROUND(BK19/$E19*$D19*KVARDI,2))</f>
        <v/>
      </c>
      <c r="BM19" s="66" t="n"/>
      <c r="BN19" s="78">
        <f>IF(OR(INDEX(Undirviðmið!$G$6:$G$105,ROW()-6)&lt;&gt;"Starfsbundinn",BM19="",$E19="",$D19=""),"",ROUND(BM19/$E19*$D19*KVARDI,2))</f>
        <v/>
      </c>
      <c r="BO19" s="66" t="n"/>
      <c r="BP19" s="78">
        <f>IF(OR(INDEX(Undirviðmið!$G$6:$G$105,ROW()-6)&lt;&gt;"Starfsbundinn",BO19="",$E19="",$D19=""),"",ROUND(BO19/$E19*$D19*KVARDI,2))</f>
        <v/>
      </c>
      <c r="BQ19" s="66" t="n"/>
      <c r="BR19" s="78">
        <f>IF(OR(INDEX(Undirviðmið!$G$6:$G$105,ROW()-6)&lt;&gt;"Starfsbundinn",BQ19="",$E19="",$D19=""),"",ROUND(BQ19/$E19*$D19*KVARDI,2))</f>
        <v/>
      </c>
      <c r="BS19" s="66" t="n"/>
      <c r="BT19" s="78">
        <f>IF(OR(INDEX(Undirviðmið!$G$6:$G$105,ROW()-6)&lt;&gt;"Starfsbundinn",BS19="",$E19="",$D19=""),"",ROUND(BS19/$E19*$D19*KVARDI,2))</f>
        <v/>
      </c>
      <c r="BU19" s="66" t="n"/>
      <c r="BV19" s="78">
        <f>IF(OR(INDEX(Undirviðmið!$G$6:$G$105,ROW()-6)&lt;&gt;"Starfsbundinn",BU19="",$E19="",$D19=""),"",ROUND(BU19/$E19*$D19*KVARDI,2))</f>
        <v/>
      </c>
      <c r="BW19" s="66" t="n"/>
      <c r="BX19" s="78">
        <f>IF(OR(INDEX(Undirviðmið!$G$6:$G$105,ROW()-6)&lt;&gt;"Starfsbundinn",BW19="",$E19="",$D19=""),"",ROUND(BW19/$E19*$D19*KVARDI,2))</f>
        <v/>
      </c>
      <c r="BY19" s="66" t="n"/>
      <c r="BZ19" s="78">
        <f>IF(OR(INDEX(Undirviðmið!$G$6:$G$105,ROW()-6)&lt;&gt;"Starfsbundinn",BY19="",$E19="",$D19=""),"",ROUND(BY19/$E19*$D19*KVARDI,2))</f>
        <v/>
      </c>
      <c r="CA19" s="66" t="n"/>
      <c r="CB19" s="78">
        <f>IF(OR(INDEX(Undirviðmið!$G$6:$G$105,ROW()-6)&lt;&gt;"Starfsbundinn",CA19="",$E19="",$D19=""),"",ROUND(CA19/$E19*$D19*KVARDI,2))</f>
        <v/>
      </c>
      <c r="CC19" s="66" t="n"/>
      <c r="CD19" s="78">
        <f>IF(OR(INDEX(Undirviðmið!$G$6:$G$105,ROW()-6)&lt;&gt;"Starfsbundinn",CC19="",$E19="",$D19=""),"",ROUND(CC19/$E19*$D19*KVARDI,2))</f>
        <v/>
      </c>
      <c r="CE19" s="66" t="n"/>
      <c r="CF19" s="78">
        <f>IF(OR(INDEX(Undirviðmið!$G$6:$G$105,ROW()-6)&lt;&gt;"Starfsbundinn",CE19="",$E19="",$D19=""),"",ROUND(CE19/$E19*$D19*KVARDI,2))</f>
        <v/>
      </c>
      <c r="CG19" s="66" t="n"/>
      <c r="CH19" s="78">
        <f>IF(OR(INDEX(Undirviðmið!$G$6:$G$105,ROW()-6)&lt;&gt;"Starfsbundinn",CG19="",$E19="",$D19=""),"",ROUND(CG19/$E19*$D19*KVARDI,2))</f>
        <v/>
      </c>
      <c r="CI19" s="66" t="n"/>
      <c r="CJ19" s="78">
        <f>IF(OR(INDEX(Undirviðmið!$G$6:$G$105,ROW()-6)&lt;&gt;"Starfsbundinn",CI19="",$E19="",$D19=""),"",ROUND(CI19/$E19*$D19*KVARDI,2))</f>
        <v/>
      </c>
      <c r="CK19" s="66" t="n"/>
      <c r="CL19" s="78">
        <f>IF(OR(INDEX(Undirviðmið!$G$6:$G$105,ROW()-6)&lt;&gt;"Starfsbundinn",CK19="",$E19="",$D19=""),"",ROUND(CK19/$E19*$D19*KVARDI,2))</f>
        <v/>
      </c>
      <c r="CM19" s="66" t="n"/>
      <c r="CN19" s="78">
        <f>IF(OR(INDEX(Undirviðmið!$G$6:$G$105,ROW()-6)&lt;&gt;"Starfsbundinn",CM19="",$E19="",$D19=""),"",ROUND(CM19/$E19*$D19*KVARDI,2))</f>
        <v/>
      </c>
      <c r="CO19" s="66" t="n"/>
      <c r="CP19" s="78">
        <f>IF(OR(INDEX(Undirviðmið!$G$6:$G$105,ROW()-6)&lt;&gt;"Starfsbundinn",CO19="",$E19="",$D19=""),"",ROUND(CO19/$E19*$D19*KVARDI,2))</f>
        <v/>
      </c>
      <c r="CQ19" s="66" t="n"/>
      <c r="CR19" s="78">
        <f>IF(OR(INDEX(Undirviðmið!$G$6:$G$105,ROW()-6)&lt;&gt;"Starfsbundinn",CQ19="",$E19="",$D19=""),"",ROUND(CQ19/$E19*$D19*KVARDI,2))</f>
        <v/>
      </c>
      <c r="CS19" s="66" t="n"/>
      <c r="CT19" s="78">
        <f>IF(OR(INDEX(Undirviðmið!$G$6:$G$105,ROW()-6)&lt;&gt;"Starfsbundinn",CS19="",$E19="",$D19=""),"",ROUND(CS19/$E19*$D19*KVARDI,2))</f>
        <v/>
      </c>
      <c r="CU19" s="66" t="n"/>
      <c r="CV19" s="78">
        <f>IF(OR(INDEX(Undirviðmið!$G$6:$G$105,ROW()-6)&lt;&gt;"Starfsbundinn",CU19="",$E19="",$D19=""),"",ROUND(CU19/$E19*$D19*KVARDI,2))</f>
        <v/>
      </c>
      <c r="CW19" s="66" t="n"/>
      <c r="CX19" s="78">
        <f>IF(OR(INDEX(Undirviðmið!$G$6:$G$105,ROW()-6)&lt;&gt;"Starfsbundinn",CW19="",$E19="",$D19=""),"",ROUND(CW19/$E19*$D19*KVARDI,2))</f>
        <v/>
      </c>
      <c r="CY19" s="66" t="n"/>
      <c r="CZ19" s="78">
        <f>IF(OR(INDEX(Undirviðmið!$G$6:$G$105,ROW()-6)&lt;&gt;"Starfsbundinn",CY19="",$E19="",$D19=""),"",ROUND(CY19/$E19*$D19*KVARDI,2))</f>
        <v/>
      </c>
      <c r="DA19" s="66" t="n"/>
      <c r="DB19" s="78">
        <f>IF(OR(INDEX(Undirviðmið!$G$6:$G$105,ROW()-6)&lt;&gt;"Starfsbundinn",DA19="",$E19="",$D19=""),"",ROUND(DA19/$E19*$D19*KVARDI,2))</f>
        <v/>
      </c>
      <c r="DC19" s="66" t="n"/>
      <c r="DD19" s="78">
        <f>IF(OR(INDEX(Undirviðmið!$G$6:$G$105,ROW()-6)&lt;&gt;"Starfsbundinn",DC19="",$E19="",$D19=""),"",ROUND(DC19/$E19*$D19*KVARDI,2))</f>
        <v/>
      </c>
      <c r="DE19" s="66" t="n"/>
      <c r="DF19" s="78">
        <f>IF(OR(INDEX(Undirviðmið!$G$6:$G$105,ROW()-6)&lt;&gt;"Starfsbundinn",DE19="",$E19="",$D19=""),"",ROUND(DE19/$E19*$D19*KVARDI,2))</f>
        <v/>
      </c>
      <c r="DG19" s="66" t="n"/>
      <c r="DH19" s="78">
        <f>IF(OR(INDEX(Undirviðmið!$G$6:$G$105,ROW()-6)&lt;&gt;"Starfsbundinn",DG19="",$E19="",$D19=""),"",ROUND(DG19/$E19*$D19*KVARDI,2))</f>
        <v/>
      </c>
      <c r="DI19" s="66" t="n"/>
      <c r="DJ19" s="78">
        <f>IF(OR(INDEX(Undirviðmið!$G$6:$G$105,ROW()-6)&lt;&gt;"Starfsbundinn",DI19="",$E19="",$D19=""),"",ROUND(DI19/$E19*$D19*KVARDI,2))</f>
        <v/>
      </c>
      <c r="DK19" s="66" t="n"/>
      <c r="DL19" s="78">
        <f>IF(OR(INDEX(Undirviðmið!$G$6:$G$105,ROW()-6)&lt;&gt;"Starfsbundinn",DK19="",$E19="",$D19=""),"",ROUND(DK19/$E19*$D19*KVARDI,2))</f>
        <v/>
      </c>
      <c r="DM19" s="66" t="n"/>
      <c r="DN19" s="78">
        <f>IF(OR(INDEX(Undirviðmið!$G$6:$G$105,ROW()-6)&lt;&gt;"Starfsbundinn",DM19="",$E19="",$D19=""),"",ROUND(DM19/$E19*$D19*KVARDI,2))</f>
        <v/>
      </c>
      <c r="DO19" s="66" t="n"/>
      <c r="DP19" s="78">
        <f>IF(OR(INDEX(Undirviðmið!$G$6:$G$105,ROW()-6)&lt;&gt;"Starfsbundinn",DO19="",$E19="",$D19=""),"",ROUND(DO19/$E19*$D19*KVARDI,2))</f>
        <v/>
      </c>
      <c r="DQ19" s="66" t="n"/>
      <c r="DR19" s="78">
        <f>IF(OR(INDEX(Undirviðmið!$G$6:$G$105,ROW()-6)&lt;&gt;"Starfsbundinn",DQ19="",$E19="",$D19=""),"",ROUND(DQ19/$E19*$D19*KVARDI,2))</f>
        <v/>
      </c>
      <c r="DS19" s="66" t="n"/>
      <c r="DT19" s="78">
        <f>IF(OR(INDEX(Undirviðmið!$G$6:$G$105,ROW()-6)&lt;&gt;"Starfsbundinn",DS19="",$E19="",$D19=""),"",ROUND(DS19/$E19*$D19*KVARDI,2))</f>
        <v/>
      </c>
      <c r="DU19" s="66" t="n"/>
      <c r="DV19" s="78">
        <f>IF(OR(INDEX(Undirviðmið!$G$6:$G$105,ROW()-6)&lt;&gt;"Starfsbundinn",DU19="",$E19="",$D19=""),"",ROUND(DU19/$E19*$D19*KVARDI,2))</f>
        <v/>
      </c>
      <c r="DW19" s="66" t="n"/>
      <c r="DX19" s="78">
        <f>IF(OR(INDEX(Undirviðmið!$G$6:$G$105,ROW()-6)&lt;&gt;"Starfsbundinn",DW19="",$E19="",$D19=""),"",ROUND(DW19/$E19*$D19*KVARDI,2))</f>
        <v/>
      </c>
      <c r="DY19" s="66" t="n"/>
      <c r="DZ19" s="78">
        <f>IF(OR(INDEX(Undirviðmið!$G$6:$G$105,ROW()-6)&lt;&gt;"Starfsbundinn",DY19="",$E19="",$D19=""),"",ROUND(DY19/$E19*$D19*KVARDI,2))</f>
        <v/>
      </c>
      <c r="EA19" s="66" t="n"/>
      <c r="EB19" s="78">
        <f>IF(OR(INDEX(Undirviðmið!$G$6:$G$105,ROW()-6)&lt;&gt;"Starfsbundinn",EA19="",$E19="",$D19=""),"",ROUND(EA19/$E19*$D19*KVARDI,2))</f>
        <v/>
      </c>
      <c r="EC19" s="66" t="n"/>
      <c r="ED19" s="78">
        <f>IF(OR(INDEX(Undirviðmið!$G$6:$G$105,ROW()-6)&lt;&gt;"Starfsbundinn",EC19="",$E19="",$D19=""),"",ROUND(EC19/$E19*$D19*KVARDI,2))</f>
        <v/>
      </c>
      <c r="EE19" s="66" t="n"/>
      <c r="EF19" s="78">
        <f>IF(OR(INDEX(Undirviðmið!$G$6:$G$105,ROW()-6)&lt;&gt;"Starfsbundinn",EE19="",$E19="",$D19=""),"",ROUND(EE19/$E19*$D19*KVARDI,2))</f>
        <v/>
      </c>
      <c r="EG19" s="66" t="n"/>
      <c r="EH19" s="78">
        <f>IF(OR(INDEX(Undirviðmið!$G$6:$G$105,ROW()-6)&lt;&gt;"Starfsbundinn",EG19="",$E19="",$D19=""),"",ROUND(EG19/$E19*$D19*KVARDI,2))</f>
        <v/>
      </c>
      <c r="EI19" s="66" t="n"/>
      <c r="EJ19" s="78">
        <f>IF(OR(INDEX(Undirviðmið!$G$6:$G$105,ROW()-6)&lt;&gt;"Starfsbundinn",EI19="",$E19="",$D19=""),"",ROUND(EI19/$E19*$D19*KVARDI,2))</f>
        <v/>
      </c>
      <c r="EK19" s="66" t="n"/>
      <c r="EL19" s="78">
        <f>IF(OR(INDEX(Undirviðmið!$G$6:$G$105,ROW()-6)&lt;&gt;"Starfsbundinn",EK19="",$E19="",$D19=""),"",ROUND(EK19/$E19*$D19*KVARDI,2))</f>
        <v/>
      </c>
      <c r="EM19" s="66" t="n"/>
      <c r="EN19" s="78">
        <f>IF(OR(INDEX(Undirviðmið!$G$6:$G$105,ROW()-6)&lt;&gt;"Starfsbundinn",EM19="",$E19="",$D19=""),"",ROUND(EM19/$E19*$D19*KVARDI,2))</f>
        <v/>
      </c>
      <c r="EO19" s="66" t="n"/>
      <c r="EP19" s="78">
        <f>IF(OR(INDEX(Undirviðmið!$G$6:$G$105,ROW()-6)&lt;&gt;"Starfsbundinn",EO19="",$E19="",$D19=""),"",ROUND(EO19/$E19*$D19*KVARDI,2))</f>
        <v/>
      </c>
      <c r="EQ19" s="66" t="n"/>
      <c r="ER19" s="78">
        <f>IF(OR(INDEX(Undirviðmið!$G$6:$G$105,ROW()-6)&lt;&gt;"Starfsbundinn",EQ19="",$E19="",$D19=""),"",ROUND(EQ19/$E19*$D19*KVARDI,2))</f>
        <v/>
      </c>
      <c r="ES19" s="66" t="n"/>
      <c r="ET19" s="78">
        <f>IF(OR(INDEX(Undirviðmið!$G$6:$G$105,ROW()-6)&lt;&gt;"Starfsbundinn",ES19="",$E19="",$D19=""),"",ROUND(ES19/$E19*$D19*KVARDI,2))</f>
        <v/>
      </c>
      <c r="EU19" s="66" t="n"/>
      <c r="EV19" s="78">
        <f>IF(OR(INDEX(Undirviðmið!$G$6:$G$105,ROW()-6)&lt;&gt;"Starfsbundinn",EU19="",$E19="",$D19=""),"",ROUND(EU19/$E19*$D19*KVARDI,2))</f>
        <v/>
      </c>
      <c r="EW19" s="66" t="n"/>
      <c r="EX19" s="78">
        <f>IF(OR(INDEX(Undirviðmið!$G$6:$G$105,ROW()-6)&lt;&gt;"Starfsbundinn",EW19="",$E19="",$D19=""),"",ROUND(EW19/$E19*$D19*KVARDI,2))</f>
        <v/>
      </c>
      <c r="EY19" s="66" t="n"/>
      <c r="EZ19" s="78">
        <f>IF(OR(INDEX(Undirviðmið!$G$6:$G$105,ROW()-6)&lt;&gt;"Starfsbundinn",EY19="",$E19="",$D19=""),"",ROUND(EY19/$E19*$D19*KVARDI,2))</f>
        <v/>
      </c>
      <c r="FA19" s="66" t="n"/>
      <c r="FB19" s="78">
        <f>IF(OR(INDEX(Undirviðmið!$G$6:$G$105,ROW()-6)&lt;&gt;"Starfsbundinn",FA19="",$E19="",$D19=""),"",ROUND(FA19/$E19*$D19*KVARDI,2))</f>
        <v/>
      </c>
      <c r="FC19" s="66" t="n"/>
      <c r="FD19" s="78">
        <f>IF(OR(INDEX(Undirviðmið!$G$6:$G$105,ROW()-6)&lt;&gt;"Starfsbundinn",FC19="",$E19="",$D19=""),"",ROUND(FC19/$E19*$D19*KVARDI,2))</f>
        <v/>
      </c>
      <c r="FE19" s="66" t="n"/>
      <c r="FF19" s="78">
        <f>IF(OR(INDEX(Undirviðmið!$G$6:$G$105,ROW()-6)&lt;&gt;"Starfsbundinn",FE19="",$E19="",$D19=""),"",ROUND(FE19/$E19*$D19*KVARDI,2))</f>
        <v/>
      </c>
      <c r="FG19" s="66" t="n"/>
      <c r="FH19" s="78">
        <f>IF(OR(INDEX(Undirviðmið!$G$6:$G$105,ROW()-6)&lt;&gt;"Starfsbundinn",FG19="",$E19="",$D19=""),"",ROUND(FG19/$E19*$D19*KVARDI,2))</f>
        <v/>
      </c>
      <c r="FI19" s="66" t="n"/>
      <c r="FJ19" s="78">
        <f>IF(OR(INDEX(Undirviðmið!$G$6:$G$105,ROW()-6)&lt;&gt;"Starfsbundinn",FI19="",$E19="",$D19=""),"",ROUND(FI19/$E19*$D19*KVARDI,2))</f>
        <v/>
      </c>
      <c r="FK19" s="66" t="n"/>
      <c r="FL19" s="78">
        <f>IF(OR(INDEX(Undirviðmið!$G$6:$G$105,ROW()-6)&lt;&gt;"Starfsbundinn",FK19="",$E19="",$D19=""),"",ROUND(FK19/$E19*$D19*KVARDI,2))</f>
        <v/>
      </c>
      <c r="FM19" s="66" t="n"/>
      <c r="FN19" s="78">
        <f>IF(OR(INDEX(Undirviðmið!$G$6:$G$105,ROW()-6)&lt;&gt;"Starfsbundinn",FM19="",$E19="",$D19=""),"",ROUND(FM19/$E19*$D19*KVARDI,2))</f>
        <v/>
      </c>
      <c r="FO19" s="66" t="n"/>
      <c r="FP19" s="78">
        <f>IF(OR(INDEX(Undirviðmið!$G$6:$G$105,ROW()-6)&lt;&gt;"Starfsbundinn",FO19="",$E19="",$D19=""),"",ROUND(FO19/$E19*$D19*KVARDI,2))</f>
        <v/>
      </c>
      <c r="FQ19" s="66" t="n"/>
      <c r="FR19" s="78">
        <f>IF(OR(INDEX(Undirviðmið!$G$6:$G$105,ROW()-6)&lt;&gt;"Starfsbundinn",FQ19="",$E19="",$D19=""),"",ROUND(FQ19/$E19*$D19*KVARDI,2))</f>
        <v/>
      </c>
      <c r="FS19" s="66" t="n"/>
      <c r="FT19" s="78">
        <f>IF(OR(INDEX(Undirviðmið!$G$6:$G$105,ROW()-6)&lt;&gt;"Starfsbundinn",FS19="",$E19="",$D19=""),"",ROUND(FS19/$E19*$D19*KVARDI,2))</f>
        <v/>
      </c>
      <c r="FU19" s="66" t="n"/>
      <c r="FV19" s="78">
        <f>IF(OR(INDEX(Undirviðmið!$G$6:$G$105,ROW()-6)&lt;&gt;"Starfsbundinn",FU19="",$E19="",$D19=""),"",ROUND(FU19/$E19*$D19*KVARDI,2))</f>
        <v/>
      </c>
      <c r="FW19" s="66" t="n"/>
      <c r="FX19" s="78">
        <f>IF(OR(INDEX(Undirviðmið!$G$6:$G$105,ROW()-6)&lt;&gt;"Starfsbundinn",FW19="",$E19="",$D19=""),"",ROUND(FW19/$E19*$D19*KVARDI,2))</f>
        <v/>
      </c>
      <c r="FY19" s="66" t="n"/>
      <c r="FZ19" s="78">
        <f>IF(OR(INDEX(Undirviðmið!$G$6:$G$105,ROW()-6)&lt;&gt;"Starfsbundinn",FY19="",$E19="",$D19=""),"",ROUND(FY19/$E19*$D19*KVARDI,2))</f>
        <v/>
      </c>
      <c r="GA19" s="66" t="n"/>
      <c r="GB19" s="78">
        <f>IF(OR(INDEX(Undirviðmið!$G$6:$G$105,ROW()-6)&lt;&gt;"Starfsbundinn",GA19="",$E19="",$D19=""),"",ROUND(GA19/$E19*$D19*KVARDI,2))</f>
        <v/>
      </c>
      <c r="GC19" s="66" t="n"/>
      <c r="GD19" s="78">
        <f>IF(OR(INDEX(Undirviðmið!$G$6:$G$105,ROW()-6)&lt;&gt;"Starfsbundinn",GC19="",$E19="",$D19=""),"",ROUND(GC19/$E19*$D19*KVARDI,2))</f>
        <v/>
      </c>
      <c r="GE19" s="66" t="n"/>
      <c r="GF19" s="78">
        <f>IF(OR(INDEX(Undirviðmið!$G$6:$G$105,ROW()-6)&lt;&gt;"Starfsbundinn",GE19="",$E19="",$D19=""),"",ROUND(GE19/$E19*$D19*KVARDI,2))</f>
        <v/>
      </c>
      <c r="GG19" s="66" t="n"/>
      <c r="GH19" s="78">
        <f>IF(OR(INDEX(Undirviðmið!$G$6:$G$105,ROW()-6)&lt;&gt;"Starfsbundinn",GG19="",$E19="",$D19=""),"",ROUND(GG19/$E19*$D19*KVARDI,2))</f>
        <v/>
      </c>
      <c r="GI19" s="66" t="n"/>
      <c r="GJ19" s="78">
        <f>IF(OR(INDEX(Undirviðmið!$G$6:$G$105,ROW()-6)&lt;&gt;"Starfsbundinn",GI19="",$E19="",$D19=""),"",ROUND(GI19/$E19*$D19*KVARDI,2))</f>
        <v/>
      </c>
      <c r="GK19" s="66" t="n"/>
      <c r="GL19" s="78">
        <f>IF(OR(INDEX(Undirviðmið!$G$6:$G$105,ROW()-6)&lt;&gt;"Starfsbundinn",GK19="",$E19="",$D19=""),"",ROUND(GK19/$E19*$D19*KVARDI,2))</f>
        <v/>
      </c>
      <c r="GM19" s="66" t="n"/>
      <c r="GN19" s="78">
        <f>IF(OR(INDEX(Undirviðmið!$G$6:$G$105,ROW()-6)&lt;&gt;"Starfsbundinn",GM19="",$E19="",$D19=""),"",ROUND(GM19/$E19*$D19*KVARDI,2))</f>
        <v/>
      </c>
      <c r="GO19" s="66" t="n"/>
      <c r="GP19" s="78">
        <f>IF(OR(INDEX(Undirviðmið!$G$6:$G$105,ROW()-6)&lt;&gt;"Starfsbundinn",GO19="",$E19="",$D19=""),"",ROUND(GO19/$E19*$D19*KVARDI,2))</f>
        <v/>
      </c>
      <c r="GQ19" s="66" t="n"/>
      <c r="GR19" s="78">
        <f>IF(OR(INDEX(Undirviðmið!$G$6:$G$105,ROW()-6)&lt;&gt;"Starfsbundinn",GQ19="",$E19="",$D19=""),"",ROUND(GQ19/$E19*$D19*KVARDI,2))</f>
        <v/>
      </c>
      <c r="GS19" s="66" t="n"/>
      <c r="GT19" s="78">
        <f>IF(OR(INDEX(Undirviðmið!$G$6:$G$105,ROW()-6)&lt;&gt;"Starfsbundinn",GS19="",$E19="",$D19=""),"",ROUND(GS19/$E19*$D19*KVARDI,2))</f>
        <v/>
      </c>
      <c r="GU19" s="66" t="n"/>
      <c r="GV19" s="78">
        <f>IF(OR(INDEX(Undirviðmið!$G$6:$G$105,ROW()-6)&lt;&gt;"Starfsbundinn",GU19="",$E19="",$D19=""),"",ROUND(GU19/$E19*$D19*KVARDI,2))</f>
        <v/>
      </c>
      <c r="GW19" s="66" t="n"/>
      <c r="GX19" s="78">
        <f>IF(OR(INDEX(Undirviðmið!$G$6:$G$105,ROW()-6)&lt;&gt;"Starfsbundinn",GW19="",$E19="",$D19=""),"",ROUND(GW19/$E19*$D19*KVARDI,2))</f>
        <v/>
      </c>
    </row>
    <row r="20" ht="15" customHeight="1" s="47">
      <c r="B20" s="67">
        <f>IF(INDEX(Undirviðmið!$G$6:$G$105,ROW()-6)="Starfsbundinn",INDEX(Undirviðmið!$B$6:$B$105,ROW()-6),"")</f>
        <v/>
      </c>
      <c r="C20" s="67">
        <f>IF(INDEX(Undirviðmið!$G$6:$G$105,ROW()-6)="Starfsbundinn",INDEX(Undirviðmið!$C$6:$C$105,ROW()-6),"")</f>
        <v/>
      </c>
      <c r="D20" s="77">
        <f>IF(INDEX(Undirviðmið!$G$6:$G$105,ROW()-6)="Starfsbundinn",INDEX(Undirviðmið!$E$6:$E$105,ROW()-6),"")</f>
        <v/>
      </c>
      <c r="E20" s="77">
        <f>IF(INDEX(Undirviðmið!$G$6:$G$105,ROW()-6)="Starfsbundinn",INDEX(Undirviðmið!$F$6:$F$105,ROW()-6),"")</f>
        <v/>
      </c>
      <c r="F20" s="77">
        <f>IF(INDEX(Undirviðmið!$G$6:$G$105,ROW()-6)="Starfsbundinn",IFERROR(INDEX(Undirviðmið!$E$6:$E$105,ROW()-6)*KVARDI,""),"")</f>
        <v/>
      </c>
      <c r="G20" s="66" t="n"/>
      <c r="H20" s="78">
        <f>IF(OR(INDEX(Undirviðmið!$G$6:$G$105,ROW()-6)&lt;&gt;"Starfsbundinn",G20="",$E20="",$D20=""),"",ROUND(G20/$E20*$D20*KVARDI,2))</f>
        <v/>
      </c>
      <c r="I20" s="66" t="n"/>
      <c r="J20" s="78">
        <f>IF(OR(INDEX(Undirviðmið!$G$6:$G$105,ROW()-6)&lt;&gt;"Starfsbundinn",I20="",$E20="",$D20=""),"",ROUND(I20/$E20*$D20*KVARDI,2))</f>
        <v/>
      </c>
      <c r="K20" s="66" t="n"/>
      <c r="L20" s="78">
        <f>IF(OR(INDEX(Undirviðmið!$G$6:$G$105,ROW()-6)&lt;&gt;"Starfsbundinn",K20="",$E20="",$D20=""),"",ROUND(K20/$E20*$D20*KVARDI,2))</f>
        <v/>
      </c>
      <c r="M20" s="66" t="n"/>
      <c r="N20" s="78">
        <f>IF(OR(INDEX(Undirviðmið!$G$6:$G$105,ROW()-6)&lt;&gt;"Starfsbundinn",M20="",$E20="",$D20=""),"",ROUND(M20/$E20*$D20*KVARDI,2))</f>
        <v/>
      </c>
      <c r="O20" s="66" t="n"/>
      <c r="P20" s="78">
        <f>IF(OR(INDEX(Undirviðmið!$G$6:$G$105,ROW()-6)&lt;&gt;"Starfsbundinn",O20="",$E20="",$D20=""),"",ROUND(O20/$E20*$D20*KVARDI,2))</f>
        <v/>
      </c>
      <c r="Q20" s="66" t="n"/>
      <c r="R20" s="78">
        <f>IF(OR(INDEX(Undirviðmið!$G$6:$G$105,ROW()-6)&lt;&gt;"Starfsbundinn",Q20="",$E20="",$D20=""),"",ROUND(Q20/$E20*$D20*KVARDI,2))</f>
        <v/>
      </c>
      <c r="S20" s="66" t="n"/>
      <c r="T20" s="78">
        <f>IF(OR(INDEX(Undirviðmið!$G$6:$G$105,ROW()-6)&lt;&gt;"Starfsbundinn",S20="",$E20="",$D20=""),"",ROUND(S20/$E20*$D20*KVARDI,2))</f>
        <v/>
      </c>
      <c r="U20" s="66" t="n"/>
      <c r="V20" s="78">
        <f>IF(OR(INDEX(Undirviðmið!$G$6:$G$105,ROW()-6)&lt;&gt;"Starfsbundinn",U20="",$E20="",$D20=""),"",ROUND(U20/$E20*$D20*KVARDI,2))</f>
        <v/>
      </c>
      <c r="W20" s="66" t="n"/>
      <c r="X20" s="78">
        <f>IF(OR(INDEX(Undirviðmið!$G$6:$G$105,ROW()-6)&lt;&gt;"Starfsbundinn",W20="",$E20="",$D20=""),"",ROUND(W20/$E20*$D20*KVARDI,2))</f>
        <v/>
      </c>
      <c r="Y20" s="66" t="n"/>
      <c r="Z20" s="78">
        <f>IF(OR(INDEX(Undirviðmið!$G$6:$G$105,ROW()-6)&lt;&gt;"Starfsbundinn",Y20="",$E20="",$D20=""),"",ROUND(Y20/$E20*$D20*KVARDI,2))</f>
        <v/>
      </c>
      <c r="AA20" s="66" t="n"/>
      <c r="AB20" s="78">
        <f>IF(OR(INDEX(Undirviðmið!$G$6:$G$105,ROW()-6)&lt;&gt;"Starfsbundinn",AA20="",$E20="",$D20=""),"",ROUND(AA20/$E20*$D20*KVARDI,2))</f>
        <v/>
      </c>
      <c r="AC20" s="66" t="n"/>
      <c r="AD20" s="78">
        <f>IF(OR(INDEX(Undirviðmið!$G$6:$G$105,ROW()-6)&lt;&gt;"Starfsbundinn",AC20="",$E20="",$D20=""),"",ROUND(AC20/$E20*$D20*KVARDI,2))</f>
        <v/>
      </c>
      <c r="AE20" s="66" t="n"/>
      <c r="AF20" s="78">
        <f>IF(OR(INDEX(Undirviðmið!$G$6:$G$105,ROW()-6)&lt;&gt;"Starfsbundinn",AE20="",$E20="",$D20=""),"",ROUND(AE20/$E20*$D20*KVARDI,2))</f>
        <v/>
      </c>
      <c r="AG20" s="66" t="n"/>
      <c r="AH20" s="78">
        <f>IF(OR(INDEX(Undirviðmið!$G$6:$G$105,ROW()-6)&lt;&gt;"Starfsbundinn",AG20="",$E20="",$D20=""),"",ROUND(AG20/$E20*$D20*KVARDI,2))</f>
        <v/>
      </c>
      <c r="AI20" s="66" t="n"/>
      <c r="AJ20" s="78">
        <f>IF(OR(INDEX(Undirviðmið!$G$6:$G$105,ROW()-6)&lt;&gt;"Starfsbundinn",AI20="",$E20="",$D20=""),"",ROUND(AI20/$E20*$D20*KVARDI,2))</f>
        <v/>
      </c>
      <c r="AK20" s="66" t="n"/>
      <c r="AL20" s="78">
        <f>IF(OR(INDEX(Undirviðmið!$G$6:$G$105,ROW()-6)&lt;&gt;"Starfsbundinn",AK20="",$E20="",$D20=""),"",ROUND(AK20/$E20*$D20*KVARDI,2))</f>
        <v/>
      </c>
      <c r="AM20" s="66" t="n"/>
      <c r="AN20" s="78">
        <f>IF(OR(INDEX(Undirviðmið!$G$6:$G$105,ROW()-6)&lt;&gt;"Starfsbundinn",AM20="",$E20="",$D20=""),"",ROUND(AM20/$E20*$D20*KVARDI,2))</f>
        <v/>
      </c>
      <c r="AO20" s="66" t="n"/>
      <c r="AP20" s="78">
        <f>IF(OR(INDEX(Undirviðmið!$G$6:$G$105,ROW()-6)&lt;&gt;"Starfsbundinn",AO20="",$E20="",$D20=""),"",ROUND(AO20/$E20*$D20*KVARDI,2))</f>
        <v/>
      </c>
      <c r="AQ20" s="66" t="n"/>
      <c r="AR20" s="78">
        <f>IF(OR(INDEX(Undirviðmið!$G$6:$G$105,ROW()-6)&lt;&gt;"Starfsbundinn",AQ20="",$E20="",$D20=""),"",ROUND(AQ20/$E20*$D20*KVARDI,2))</f>
        <v/>
      </c>
      <c r="AS20" s="66" t="n"/>
      <c r="AT20" s="78">
        <f>IF(OR(INDEX(Undirviðmið!$G$6:$G$105,ROW()-6)&lt;&gt;"Starfsbundinn",AS20="",$E20="",$D20=""),"",ROUND(AS20/$E20*$D20*KVARDI,2))</f>
        <v/>
      </c>
      <c r="AU20" s="66" t="n"/>
      <c r="AV20" s="78">
        <f>IF(OR(INDEX(Undirviðmið!$G$6:$G$105,ROW()-6)&lt;&gt;"Starfsbundinn",AU20="",$E20="",$D20=""),"",ROUND(AU20/$E20*$D20*KVARDI,2))</f>
        <v/>
      </c>
      <c r="AW20" s="66" t="n"/>
      <c r="AX20" s="78">
        <f>IF(OR(INDEX(Undirviðmið!$G$6:$G$105,ROW()-6)&lt;&gt;"Starfsbundinn",AW20="",$E20="",$D20=""),"",ROUND(AW20/$E20*$D20*KVARDI,2))</f>
        <v/>
      </c>
      <c r="AY20" s="66" t="n"/>
      <c r="AZ20" s="78">
        <f>IF(OR(INDEX(Undirviðmið!$G$6:$G$105,ROW()-6)&lt;&gt;"Starfsbundinn",AY20="",$E20="",$D20=""),"",ROUND(AY20/$E20*$D20*KVARDI,2))</f>
        <v/>
      </c>
      <c r="BA20" s="66" t="n"/>
      <c r="BB20" s="78">
        <f>IF(OR(INDEX(Undirviðmið!$G$6:$G$105,ROW()-6)&lt;&gt;"Starfsbundinn",BA20="",$E20="",$D20=""),"",ROUND(BA20/$E20*$D20*KVARDI,2))</f>
        <v/>
      </c>
      <c r="BC20" s="66" t="n"/>
      <c r="BD20" s="78">
        <f>IF(OR(INDEX(Undirviðmið!$G$6:$G$105,ROW()-6)&lt;&gt;"Starfsbundinn",BC20="",$E20="",$D20=""),"",ROUND(BC20/$E20*$D20*KVARDI,2))</f>
        <v/>
      </c>
      <c r="BE20" s="66" t="n"/>
      <c r="BF20" s="78">
        <f>IF(OR(INDEX(Undirviðmið!$G$6:$G$105,ROW()-6)&lt;&gt;"Starfsbundinn",BE20="",$E20="",$D20=""),"",ROUND(BE20/$E20*$D20*KVARDI,2))</f>
        <v/>
      </c>
      <c r="BG20" s="66" t="n"/>
      <c r="BH20" s="78">
        <f>IF(OR(INDEX(Undirviðmið!$G$6:$G$105,ROW()-6)&lt;&gt;"Starfsbundinn",BG20="",$E20="",$D20=""),"",ROUND(BG20/$E20*$D20*KVARDI,2))</f>
        <v/>
      </c>
      <c r="BI20" s="66" t="n"/>
      <c r="BJ20" s="78">
        <f>IF(OR(INDEX(Undirviðmið!$G$6:$G$105,ROW()-6)&lt;&gt;"Starfsbundinn",BI20="",$E20="",$D20=""),"",ROUND(BI20/$E20*$D20*KVARDI,2))</f>
        <v/>
      </c>
      <c r="BK20" s="66" t="n"/>
      <c r="BL20" s="78">
        <f>IF(OR(INDEX(Undirviðmið!$G$6:$G$105,ROW()-6)&lt;&gt;"Starfsbundinn",BK20="",$E20="",$D20=""),"",ROUND(BK20/$E20*$D20*KVARDI,2))</f>
        <v/>
      </c>
      <c r="BM20" s="66" t="n"/>
      <c r="BN20" s="78">
        <f>IF(OR(INDEX(Undirviðmið!$G$6:$G$105,ROW()-6)&lt;&gt;"Starfsbundinn",BM20="",$E20="",$D20=""),"",ROUND(BM20/$E20*$D20*KVARDI,2))</f>
        <v/>
      </c>
      <c r="BO20" s="66" t="n"/>
      <c r="BP20" s="78">
        <f>IF(OR(INDEX(Undirviðmið!$G$6:$G$105,ROW()-6)&lt;&gt;"Starfsbundinn",BO20="",$E20="",$D20=""),"",ROUND(BO20/$E20*$D20*KVARDI,2))</f>
        <v/>
      </c>
      <c r="BQ20" s="66" t="n"/>
      <c r="BR20" s="78">
        <f>IF(OR(INDEX(Undirviðmið!$G$6:$G$105,ROW()-6)&lt;&gt;"Starfsbundinn",BQ20="",$E20="",$D20=""),"",ROUND(BQ20/$E20*$D20*KVARDI,2))</f>
        <v/>
      </c>
      <c r="BS20" s="66" t="n"/>
      <c r="BT20" s="78">
        <f>IF(OR(INDEX(Undirviðmið!$G$6:$G$105,ROW()-6)&lt;&gt;"Starfsbundinn",BS20="",$E20="",$D20=""),"",ROUND(BS20/$E20*$D20*KVARDI,2))</f>
        <v/>
      </c>
      <c r="BU20" s="66" t="n"/>
      <c r="BV20" s="78">
        <f>IF(OR(INDEX(Undirviðmið!$G$6:$G$105,ROW()-6)&lt;&gt;"Starfsbundinn",BU20="",$E20="",$D20=""),"",ROUND(BU20/$E20*$D20*KVARDI,2))</f>
        <v/>
      </c>
      <c r="BW20" s="66" t="n"/>
      <c r="BX20" s="78">
        <f>IF(OR(INDEX(Undirviðmið!$G$6:$G$105,ROW()-6)&lt;&gt;"Starfsbundinn",BW20="",$E20="",$D20=""),"",ROUND(BW20/$E20*$D20*KVARDI,2))</f>
        <v/>
      </c>
      <c r="BY20" s="66" t="n"/>
      <c r="BZ20" s="78">
        <f>IF(OR(INDEX(Undirviðmið!$G$6:$G$105,ROW()-6)&lt;&gt;"Starfsbundinn",BY20="",$E20="",$D20=""),"",ROUND(BY20/$E20*$D20*KVARDI,2))</f>
        <v/>
      </c>
      <c r="CA20" s="66" t="n"/>
      <c r="CB20" s="78">
        <f>IF(OR(INDEX(Undirviðmið!$G$6:$G$105,ROW()-6)&lt;&gt;"Starfsbundinn",CA20="",$E20="",$D20=""),"",ROUND(CA20/$E20*$D20*KVARDI,2))</f>
        <v/>
      </c>
      <c r="CC20" s="66" t="n"/>
      <c r="CD20" s="78">
        <f>IF(OR(INDEX(Undirviðmið!$G$6:$G$105,ROW()-6)&lt;&gt;"Starfsbundinn",CC20="",$E20="",$D20=""),"",ROUND(CC20/$E20*$D20*KVARDI,2))</f>
        <v/>
      </c>
      <c r="CE20" s="66" t="n"/>
      <c r="CF20" s="78">
        <f>IF(OR(INDEX(Undirviðmið!$G$6:$G$105,ROW()-6)&lt;&gt;"Starfsbundinn",CE20="",$E20="",$D20=""),"",ROUND(CE20/$E20*$D20*KVARDI,2))</f>
        <v/>
      </c>
      <c r="CG20" s="66" t="n"/>
      <c r="CH20" s="78">
        <f>IF(OR(INDEX(Undirviðmið!$G$6:$G$105,ROW()-6)&lt;&gt;"Starfsbundinn",CG20="",$E20="",$D20=""),"",ROUND(CG20/$E20*$D20*KVARDI,2))</f>
        <v/>
      </c>
      <c r="CI20" s="66" t="n"/>
      <c r="CJ20" s="78">
        <f>IF(OR(INDEX(Undirviðmið!$G$6:$G$105,ROW()-6)&lt;&gt;"Starfsbundinn",CI20="",$E20="",$D20=""),"",ROUND(CI20/$E20*$D20*KVARDI,2))</f>
        <v/>
      </c>
      <c r="CK20" s="66" t="n"/>
      <c r="CL20" s="78">
        <f>IF(OR(INDEX(Undirviðmið!$G$6:$G$105,ROW()-6)&lt;&gt;"Starfsbundinn",CK20="",$E20="",$D20=""),"",ROUND(CK20/$E20*$D20*KVARDI,2))</f>
        <v/>
      </c>
      <c r="CM20" s="66" t="n"/>
      <c r="CN20" s="78">
        <f>IF(OR(INDEX(Undirviðmið!$G$6:$G$105,ROW()-6)&lt;&gt;"Starfsbundinn",CM20="",$E20="",$D20=""),"",ROUND(CM20/$E20*$D20*KVARDI,2))</f>
        <v/>
      </c>
      <c r="CO20" s="66" t="n"/>
      <c r="CP20" s="78">
        <f>IF(OR(INDEX(Undirviðmið!$G$6:$G$105,ROW()-6)&lt;&gt;"Starfsbundinn",CO20="",$E20="",$D20=""),"",ROUND(CO20/$E20*$D20*KVARDI,2))</f>
        <v/>
      </c>
      <c r="CQ20" s="66" t="n"/>
      <c r="CR20" s="78">
        <f>IF(OR(INDEX(Undirviðmið!$G$6:$G$105,ROW()-6)&lt;&gt;"Starfsbundinn",CQ20="",$E20="",$D20=""),"",ROUND(CQ20/$E20*$D20*KVARDI,2))</f>
        <v/>
      </c>
      <c r="CS20" s="66" t="n"/>
      <c r="CT20" s="78">
        <f>IF(OR(INDEX(Undirviðmið!$G$6:$G$105,ROW()-6)&lt;&gt;"Starfsbundinn",CS20="",$E20="",$D20=""),"",ROUND(CS20/$E20*$D20*KVARDI,2))</f>
        <v/>
      </c>
      <c r="CU20" s="66" t="n"/>
      <c r="CV20" s="78">
        <f>IF(OR(INDEX(Undirviðmið!$G$6:$G$105,ROW()-6)&lt;&gt;"Starfsbundinn",CU20="",$E20="",$D20=""),"",ROUND(CU20/$E20*$D20*KVARDI,2))</f>
        <v/>
      </c>
      <c r="CW20" s="66" t="n"/>
      <c r="CX20" s="78">
        <f>IF(OR(INDEX(Undirviðmið!$G$6:$G$105,ROW()-6)&lt;&gt;"Starfsbundinn",CW20="",$E20="",$D20=""),"",ROUND(CW20/$E20*$D20*KVARDI,2))</f>
        <v/>
      </c>
      <c r="CY20" s="66" t="n"/>
      <c r="CZ20" s="78">
        <f>IF(OR(INDEX(Undirviðmið!$G$6:$G$105,ROW()-6)&lt;&gt;"Starfsbundinn",CY20="",$E20="",$D20=""),"",ROUND(CY20/$E20*$D20*KVARDI,2))</f>
        <v/>
      </c>
      <c r="DA20" s="66" t="n"/>
      <c r="DB20" s="78">
        <f>IF(OR(INDEX(Undirviðmið!$G$6:$G$105,ROW()-6)&lt;&gt;"Starfsbundinn",DA20="",$E20="",$D20=""),"",ROUND(DA20/$E20*$D20*KVARDI,2))</f>
        <v/>
      </c>
      <c r="DC20" s="66" t="n"/>
      <c r="DD20" s="78">
        <f>IF(OR(INDEX(Undirviðmið!$G$6:$G$105,ROW()-6)&lt;&gt;"Starfsbundinn",DC20="",$E20="",$D20=""),"",ROUND(DC20/$E20*$D20*KVARDI,2))</f>
        <v/>
      </c>
      <c r="DE20" s="66" t="n"/>
      <c r="DF20" s="78">
        <f>IF(OR(INDEX(Undirviðmið!$G$6:$G$105,ROW()-6)&lt;&gt;"Starfsbundinn",DE20="",$E20="",$D20=""),"",ROUND(DE20/$E20*$D20*KVARDI,2))</f>
        <v/>
      </c>
      <c r="DG20" s="66" t="n"/>
      <c r="DH20" s="78">
        <f>IF(OR(INDEX(Undirviðmið!$G$6:$G$105,ROW()-6)&lt;&gt;"Starfsbundinn",DG20="",$E20="",$D20=""),"",ROUND(DG20/$E20*$D20*KVARDI,2))</f>
        <v/>
      </c>
      <c r="DI20" s="66" t="n"/>
      <c r="DJ20" s="78">
        <f>IF(OR(INDEX(Undirviðmið!$G$6:$G$105,ROW()-6)&lt;&gt;"Starfsbundinn",DI20="",$E20="",$D20=""),"",ROUND(DI20/$E20*$D20*KVARDI,2))</f>
        <v/>
      </c>
      <c r="DK20" s="66" t="n"/>
      <c r="DL20" s="78">
        <f>IF(OR(INDEX(Undirviðmið!$G$6:$G$105,ROW()-6)&lt;&gt;"Starfsbundinn",DK20="",$E20="",$D20=""),"",ROUND(DK20/$E20*$D20*KVARDI,2))</f>
        <v/>
      </c>
      <c r="DM20" s="66" t="n"/>
      <c r="DN20" s="78">
        <f>IF(OR(INDEX(Undirviðmið!$G$6:$G$105,ROW()-6)&lt;&gt;"Starfsbundinn",DM20="",$E20="",$D20=""),"",ROUND(DM20/$E20*$D20*KVARDI,2))</f>
        <v/>
      </c>
      <c r="DO20" s="66" t="n"/>
      <c r="DP20" s="78">
        <f>IF(OR(INDEX(Undirviðmið!$G$6:$G$105,ROW()-6)&lt;&gt;"Starfsbundinn",DO20="",$E20="",$D20=""),"",ROUND(DO20/$E20*$D20*KVARDI,2))</f>
        <v/>
      </c>
      <c r="DQ20" s="66" t="n"/>
      <c r="DR20" s="78">
        <f>IF(OR(INDEX(Undirviðmið!$G$6:$G$105,ROW()-6)&lt;&gt;"Starfsbundinn",DQ20="",$E20="",$D20=""),"",ROUND(DQ20/$E20*$D20*KVARDI,2))</f>
        <v/>
      </c>
      <c r="DS20" s="66" t="n"/>
      <c r="DT20" s="78">
        <f>IF(OR(INDEX(Undirviðmið!$G$6:$G$105,ROW()-6)&lt;&gt;"Starfsbundinn",DS20="",$E20="",$D20=""),"",ROUND(DS20/$E20*$D20*KVARDI,2))</f>
        <v/>
      </c>
      <c r="DU20" s="66" t="n"/>
      <c r="DV20" s="78">
        <f>IF(OR(INDEX(Undirviðmið!$G$6:$G$105,ROW()-6)&lt;&gt;"Starfsbundinn",DU20="",$E20="",$D20=""),"",ROUND(DU20/$E20*$D20*KVARDI,2))</f>
        <v/>
      </c>
      <c r="DW20" s="66" t="n"/>
      <c r="DX20" s="78">
        <f>IF(OR(INDEX(Undirviðmið!$G$6:$G$105,ROW()-6)&lt;&gt;"Starfsbundinn",DW20="",$E20="",$D20=""),"",ROUND(DW20/$E20*$D20*KVARDI,2))</f>
        <v/>
      </c>
      <c r="DY20" s="66" t="n"/>
      <c r="DZ20" s="78">
        <f>IF(OR(INDEX(Undirviðmið!$G$6:$G$105,ROW()-6)&lt;&gt;"Starfsbundinn",DY20="",$E20="",$D20=""),"",ROUND(DY20/$E20*$D20*KVARDI,2))</f>
        <v/>
      </c>
      <c r="EA20" s="66" t="n"/>
      <c r="EB20" s="78">
        <f>IF(OR(INDEX(Undirviðmið!$G$6:$G$105,ROW()-6)&lt;&gt;"Starfsbundinn",EA20="",$E20="",$D20=""),"",ROUND(EA20/$E20*$D20*KVARDI,2))</f>
        <v/>
      </c>
      <c r="EC20" s="66" t="n"/>
      <c r="ED20" s="78">
        <f>IF(OR(INDEX(Undirviðmið!$G$6:$G$105,ROW()-6)&lt;&gt;"Starfsbundinn",EC20="",$E20="",$D20=""),"",ROUND(EC20/$E20*$D20*KVARDI,2))</f>
        <v/>
      </c>
      <c r="EE20" s="66" t="n"/>
      <c r="EF20" s="78">
        <f>IF(OR(INDEX(Undirviðmið!$G$6:$G$105,ROW()-6)&lt;&gt;"Starfsbundinn",EE20="",$E20="",$D20=""),"",ROUND(EE20/$E20*$D20*KVARDI,2))</f>
        <v/>
      </c>
      <c r="EG20" s="66" t="n"/>
      <c r="EH20" s="78">
        <f>IF(OR(INDEX(Undirviðmið!$G$6:$G$105,ROW()-6)&lt;&gt;"Starfsbundinn",EG20="",$E20="",$D20=""),"",ROUND(EG20/$E20*$D20*KVARDI,2))</f>
        <v/>
      </c>
      <c r="EI20" s="66" t="n"/>
      <c r="EJ20" s="78">
        <f>IF(OR(INDEX(Undirviðmið!$G$6:$G$105,ROW()-6)&lt;&gt;"Starfsbundinn",EI20="",$E20="",$D20=""),"",ROUND(EI20/$E20*$D20*KVARDI,2))</f>
        <v/>
      </c>
      <c r="EK20" s="66" t="n"/>
      <c r="EL20" s="78">
        <f>IF(OR(INDEX(Undirviðmið!$G$6:$G$105,ROW()-6)&lt;&gt;"Starfsbundinn",EK20="",$E20="",$D20=""),"",ROUND(EK20/$E20*$D20*KVARDI,2))</f>
        <v/>
      </c>
      <c r="EM20" s="66" t="n"/>
      <c r="EN20" s="78">
        <f>IF(OR(INDEX(Undirviðmið!$G$6:$G$105,ROW()-6)&lt;&gt;"Starfsbundinn",EM20="",$E20="",$D20=""),"",ROUND(EM20/$E20*$D20*KVARDI,2))</f>
        <v/>
      </c>
      <c r="EO20" s="66" t="n"/>
      <c r="EP20" s="78">
        <f>IF(OR(INDEX(Undirviðmið!$G$6:$G$105,ROW()-6)&lt;&gt;"Starfsbundinn",EO20="",$E20="",$D20=""),"",ROUND(EO20/$E20*$D20*KVARDI,2))</f>
        <v/>
      </c>
      <c r="EQ20" s="66" t="n"/>
      <c r="ER20" s="78">
        <f>IF(OR(INDEX(Undirviðmið!$G$6:$G$105,ROW()-6)&lt;&gt;"Starfsbundinn",EQ20="",$E20="",$D20=""),"",ROUND(EQ20/$E20*$D20*KVARDI,2))</f>
        <v/>
      </c>
      <c r="ES20" s="66" t="n"/>
      <c r="ET20" s="78">
        <f>IF(OR(INDEX(Undirviðmið!$G$6:$G$105,ROW()-6)&lt;&gt;"Starfsbundinn",ES20="",$E20="",$D20=""),"",ROUND(ES20/$E20*$D20*KVARDI,2))</f>
        <v/>
      </c>
      <c r="EU20" s="66" t="n"/>
      <c r="EV20" s="78">
        <f>IF(OR(INDEX(Undirviðmið!$G$6:$G$105,ROW()-6)&lt;&gt;"Starfsbundinn",EU20="",$E20="",$D20=""),"",ROUND(EU20/$E20*$D20*KVARDI,2))</f>
        <v/>
      </c>
      <c r="EW20" s="66" t="n"/>
      <c r="EX20" s="78">
        <f>IF(OR(INDEX(Undirviðmið!$G$6:$G$105,ROW()-6)&lt;&gt;"Starfsbundinn",EW20="",$E20="",$D20=""),"",ROUND(EW20/$E20*$D20*KVARDI,2))</f>
        <v/>
      </c>
      <c r="EY20" s="66" t="n"/>
      <c r="EZ20" s="78">
        <f>IF(OR(INDEX(Undirviðmið!$G$6:$G$105,ROW()-6)&lt;&gt;"Starfsbundinn",EY20="",$E20="",$D20=""),"",ROUND(EY20/$E20*$D20*KVARDI,2))</f>
        <v/>
      </c>
      <c r="FA20" s="66" t="n"/>
      <c r="FB20" s="78">
        <f>IF(OR(INDEX(Undirviðmið!$G$6:$G$105,ROW()-6)&lt;&gt;"Starfsbundinn",FA20="",$E20="",$D20=""),"",ROUND(FA20/$E20*$D20*KVARDI,2))</f>
        <v/>
      </c>
      <c r="FC20" s="66" t="n"/>
      <c r="FD20" s="78">
        <f>IF(OR(INDEX(Undirviðmið!$G$6:$G$105,ROW()-6)&lt;&gt;"Starfsbundinn",FC20="",$E20="",$D20=""),"",ROUND(FC20/$E20*$D20*KVARDI,2))</f>
        <v/>
      </c>
      <c r="FE20" s="66" t="n"/>
      <c r="FF20" s="78">
        <f>IF(OR(INDEX(Undirviðmið!$G$6:$G$105,ROW()-6)&lt;&gt;"Starfsbundinn",FE20="",$E20="",$D20=""),"",ROUND(FE20/$E20*$D20*KVARDI,2))</f>
        <v/>
      </c>
      <c r="FG20" s="66" t="n"/>
      <c r="FH20" s="78">
        <f>IF(OR(INDEX(Undirviðmið!$G$6:$G$105,ROW()-6)&lt;&gt;"Starfsbundinn",FG20="",$E20="",$D20=""),"",ROUND(FG20/$E20*$D20*KVARDI,2))</f>
        <v/>
      </c>
      <c r="FI20" s="66" t="n"/>
      <c r="FJ20" s="78">
        <f>IF(OR(INDEX(Undirviðmið!$G$6:$G$105,ROW()-6)&lt;&gt;"Starfsbundinn",FI20="",$E20="",$D20=""),"",ROUND(FI20/$E20*$D20*KVARDI,2))</f>
        <v/>
      </c>
      <c r="FK20" s="66" t="n"/>
      <c r="FL20" s="78">
        <f>IF(OR(INDEX(Undirviðmið!$G$6:$G$105,ROW()-6)&lt;&gt;"Starfsbundinn",FK20="",$E20="",$D20=""),"",ROUND(FK20/$E20*$D20*KVARDI,2))</f>
        <v/>
      </c>
      <c r="FM20" s="66" t="n"/>
      <c r="FN20" s="78">
        <f>IF(OR(INDEX(Undirviðmið!$G$6:$G$105,ROW()-6)&lt;&gt;"Starfsbundinn",FM20="",$E20="",$D20=""),"",ROUND(FM20/$E20*$D20*KVARDI,2))</f>
        <v/>
      </c>
      <c r="FO20" s="66" t="n"/>
      <c r="FP20" s="78">
        <f>IF(OR(INDEX(Undirviðmið!$G$6:$G$105,ROW()-6)&lt;&gt;"Starfsbundinn",FO20="",$E20="",$D20=""),"",ROUND(FO20/$E20*$D20*KVARDI,2))</f>
        <v/>
      </c>
      <c r="FQ20" s="66" t="n"/>
      <c r="FR20" s="78">
        <f>IF(OR(INDEX(Undirviðmið!$G$6:$G$105,ROW()-6)&lt;&gt;"Starfsbundinn",FQ20="",$E20="",$D20=""),"",ROUND(FQ20/$E20*$D20*KVARDI,2))</f>
        <v/>
      </c>
      <c r="FS20" s="66" t="n"/>
      <c r="FT20" s="78">
        <f>IF(OR(INDEX(Undirviðmið!$G$6:$G$105,ROW()-6)&lt;&gt;"Starfsbundinn",FS20="",$E20="",$D20=""),"",ROUND(FS20/$E20*$D20*KVARDI,2))</f>
        <v/>
      </c>
      <c r="FU20" s="66" t="n"/>
      <c r="FV20" s="78">
        <f>IF(OR(INDEX(Undirviðmið!$G$6:$G$105,ROW()-6)&lt;&gt;"Starfsbundinn",FU20="",$E20="",$D20=""),"",ROUND(FU20/$E20*$D20*KVARDI,2))</f>
        <v/>
      </c>
      <c r="FW20" s="66" t="n"/>
      <c r="FX20" s="78">
        <f>IF(OR(INDEX(Undirviðmið!$G$6:$G$105,ROW()-6)&lt;&gt;"Starfsbundinn",FW20="",$E20="",$D20=""),"",ROUND(FW20/$E20*$D20*KVARDI,2))</f>
        <v/>
      </c>
      <c r="FY20" s="66" t="n"/>
      <c r="FZ20" s="78">
        <f>IF(OR(INDEX(Undirviðmið!$G$6:$G$105,ROW()-6)&lt;&gt;"Starfsbundinn",FY20="",$E20="",$D20=""),"",ROUND(FY20/$E20*$D20*KVARDI,2))</f>
        <v/>
      </c>
      <c r="GA20" s="66" t="n"/>
      <c r="GB20" s="78">
        <f>IF(OR(INDEX(Undirviðmið!$G$6:$G$105,ROW()-6)&lt;&gt;"Starfsbundinn",GA20="",$E20="",$D20=""),"",ROUND(GA20/$E20*$D20*KVARDI,2))</f>
        <v/>
      </c>
      <c r="GC20" s="66" t="n"/>
      <c r="GD20" s="78">
        <f>IF(OR(INDEX(Undirviðmið!$G$6:$G$105,ROW()-6)&lt;&gt;"Starfsbundinn",GC20="",$E20="",$D20=""),"",ROUND(GC20/$E20*$D20*KVARDI,2))</f>
        <v/>
      </c>
      <c r="GE20" s="66" t="n"/>
      <c r="GF20" s="78">
        <f>IF(OR(INDEX(Undirviðmið!$G$6:$G$105,ROW()-6)&lt;&gt;"Starfsbundinn",GE20="",$E20="",$D20=""),"",ROUND(GE20/$E20*$D20*KVARDI,2))</f>
        <v/>
      </c>
      <c r="GG20" s="66" t="n"/>
      <c r="GH20" s="78">
        <f>IF(OR(INDEX(Undirviðmið!$G$6:$G$105,ROW()-6)&lt;&gt;"Starfsbundinn",GG20="",$E20="",$D20=""),"",ROUND(GG20/$E20*$D20*KVARDI,2))</f>
        <v/>
      </c>
      <c r="GI20" s="66" t="n"/>
      <c r="GJ20" s="78">
        <f>IF(OR(INDEX(Undirviðmið!$G$6:$G$105,ROW()-6)&lt;&gt;"Starfsbundinn",GI20="",$E20="",$D20=""),"",ROUND(GI20/$E20*$D20*KVARDI,2))</f>
        <v/>
      </c>
      <c r="GK20" s="66" t="n"/>
      <c r="GL20" s="78">
        <f>IF(OR(INDEX(Undirviðmið!$G$6:$G$105,ROW()-6)&lt;&gt;"Starfsbundinn",GK20="",$E20="",$D20=""),"",ROUND(GK20/$E20*$D20*KVARDI,2))</f>
        <v/>
      </c>
      <c r="GM20" s="66" t="n"/>
      <c r="GN20" s="78">
        <f>IF(OR(INDEX(Undirviðmið!$G$6:$G$105,ROW()-6)&lt;&gt;"Starfsbundinn",GM20="",$E20="",$D20=""),"",ROUND(GM20/$E20*$D20*KVARDI,2))</f>
        <v/>
      </c>
      <c r="GO20" s="66" t="n"/>
      <c r="GP20" s="78">
        <f>IF(OR(INDEX(Undirviðmið!$G$6:$G$105,ROW()-6)&lt;&gt;"Starfsbundinn",GO20="",$E20="",$D20=""),"",ROUND(GO20/$E20*$D20*KVARDI,2))</f>
        <v/>
      </c>
      <c r="GQ20" s="66" t="n"/>
      <c r="GR20" s="78">
        <f>IF(OR(INDEX(Undirviðmið!$G$6:$G$105,ROW()-6)&lt;&gt;"Starfsbundinn",GQ20="",$E20="",$D20=""),"",ROUND(GQ20/$E20*$D20*KVARDI,2))</f>
        <v/>
      </c>
      <c r="GS20" s="66" t="n"/>
      <c r="GT20" s="78">
        <f>IF(OR(INDEX(Undirviðmið!$G$6:$G$105,ROW()-6)&lt;&gt;"Starfsbundinn",GS20="",$E20="",$D20=""),"",ROUND(GS20/$E20*$D20*KVARDI,2))</f>
        <v/>
      </c>
      <c r="GU20" s="66" t="n"/>
      <c r="GV20" s="78">
        <f>IF(OR(INDEX(Undirviðmið!$G$6:$G$105,ROW()-6)&lt;&gt;"Starfsbundinn",GU20="",$E20="",$D20=""),"",ROUND(GU20/$E20*$D20*KVARDI,2))</f>
        <v/>
      </c>
      <c r="GW20" s="66" t="n"/>
      <c r="GX20" s="78">
        <f>IF(OR(INDEX(Undirviðmið!$G$6:$G$105,ROW()-6)&lt;&gt;"Starfsbundinn",GW20="",$E20="",$D20=""),"",ROUND(GW20/$E20*$D20*KVARDI,2))</f>
        <v/>
      </c>
    </row>
    <row r="21" ht="15" customHeight="1" s="47">
      <c r="B21" s="67">
        <f>IF(INDEX(Undirviðmið!$G$6:$G$105,ROW()-6)="Starfsbundinn",INDEX(Undirviðmið!$B$6:$B$105,ROW()-6),"")</f>
        <v/>
      </c>
      <c r="C21" s="67">
        <f>IF(INDEX(Undirviðmið!$G$6:$G$105,ROW()-6)="Starfsbundinn",INDEX(Undirviðmið!$C$6:$C$105,ROW()-6),"")</f>
        <v/>
      </c>
      <c r="D21" s="77">
        <f>IF(INDEX(Undirviðmið!$G$6:$G$105,ROW()-6)="Starfsbundinn",INDEX(Undirviðmið!$E$6:$E$105,ROW()-6),"")</f>
        <v/>
      </c>
      <c r="E21" s="77">
        <f>IF(INDEX(Undirviðmið!$G$6:$G$105,ROW()-6)="Starfsbundinn",INDEX(Undirviðmið!$F$6:$F$105,ROW()-6),"")</f>
        <v/>
      </c>
      <c r="F21" s="77">
        <f>IF(INDEX(Undirviðmið!$G$6:$G$105,ROW()-6)="Starfsbundinn",IFERROR(INDEX(Undirviðmið!$E$6:$E$105,ROW()-6)*KVARDI,""),"")</f>
        <v/>
      </c>
      <c r="G21" s="66" t="n"/>
      <c r="H21" s="78">
        <f>IF(OR(INDEX(Undirviðmið!$G$6:$G$105,ROW()-6)&lt;&gt;"Starfsbundinn",G21="",$E21="",$D21=""),"",ROUND(G21/$E21*$D21*KVARDI,2))</f>
        <v/>
      </c>
      <c r="I21" s="66" t="n"/>
      <c r="J21" s="78">
        <f>IF(OR(INDEX(Undirviðmið!$G$6:$G$105,ROW()-6)&lt;&gt;"Starfsbundinn",I21="",$E21="",$D21=""),"",ROUND(I21/$E21*$D21*KVARDI,2))</f>
        <v/>
      </c>
      <c r="K21" s="66" t="n"/>
      <c r="L21" s="78">
        <f>IF(OR(INDEX(Undirviðmið!$G$6:$G$105,ROW()-6)&lt;&gt;"Starfsbundinn",K21="",$E21="",$D21=""),"",ROUND(K21/$E21*$D21*KVARDI,2))</f>
        <v/>
      </c>
      <c r="M21" s="66" t="n"/>
      <c r="N21" s="78">
        <f>IF(OR(INDEX(Undirviðmið!$G$6:$G$105,ROW()-6)&lt;&gt;"Starfsbundinn",M21="",$E21="",$D21=""),"",ROUND(M21/$E21*$D21*KVARDI,2))</f>
        <v/>
      </c>
      <c r="O21" s="66" t="n"/>
      <c r="P21" s="78">
        <f>IF(OR(INDEX(Undirviðmið!$G$6:$G$105,ROW()-6)&lt;&gt;"Starfsbundinn",O21="",$E21="",$D21=""),"",ROUND(O21/$E21*$D21*KVARDI,2))</f>
        <v/>
      </c>
      <c r="Q21" s="66" t="n"/>
      <c r="R21" s="78">
        <f>IF(OR(INDEX(Undirviðmið!$G$6:$G$105,ROW()-6)&lt;&gt;"Starfsbundinn",Q21="",$E21="",$D21=""),"",ROUND(Q21/$E21*$D21*KVARDI,2))</f>
        <v/>
      </c>
      <c r="S21" s="66" t="n"/>
      <c r="T21" s="78">
        <f>IF(OR(INDEX(Undirviðmið!$G$6:$G$105,ROW()-6)&lt;&gt;"Starfsbundinn",S21="",$E21="",$D21=""),"",ROUND(S21/$E21*$D21*KVARDI,2))</f>
        <v/>
      </c>
      <c r="U21" s="66" t="n"/>
      <c r="V21" s="78">
        <f>IF(OR(INDEX(Undirviðmið!$G$6:$G$105,ROW()-6)&lt;&gt;"Starfsbundinn",U21="",$E21="",$D21=""),"",ROUND(U21/$E21*$D21*KVARDI,2))</f>
        <v/>
      </c>
      <c r="W21" s="66" t="n"/>
      <c r="X21" s="78">
        <f>IF(OR(INDEX(Undirviðmið!$G$6:$G$105,ROW()-6)&lt;&gt;"Starfsbundinn",W21="",$E21="",$D21=""),"",ROUND(W21/$E21*$D21*KVARDI,2))</f>
        <v/>
      </c>
      <c r="Y21" s="66" t="n"/>
      <c r="Z21" s="78">
        <f>IF(OR(INDEX(Undirviðmið!$G$6:$G$105,ROW()-6)&lt;&gt;"Starfsbundinn",Y21="",$E21="",$D21=""),"",ROUND(Y21/$E21*$D21*KVARDI,2))</f>
        <v/>
      </c>
      <c r="AA21" s="66" t="n"/>
      <c r="AB21" s="78">
        <f>IF(OR(INDEX(Undirviðmið!$G$6:$G$105,ROW()-6)&lt;&gt;"Starfsbundinn",AA21="",$E21="",$D21=""),"",ROUND(AA21/$E21*$D21*KVARDI,2))</f>
        <v/>
      </c>
      <c r="AC21" s="66" t="n"/>
      <c r="AD21" s="78">
        <f>IF(OR(INDEX(Undirviðmið!$G$6:$G$105,ROW()-6)&lt;&gt;"Starfsbundinn",AC21="",$E21="",$D21=""),"",ROUND(AC21/$E21*$D21*KVARDI,2))</f>
        <v/>
      </c>
      <c r="AE21" s="66" t="n"/>
      <c r="AF21" s="78">
        <f>IF(OR(INDEX(Undirviðmið!$G$6:$G$105,ROW()-6)&lt;&gt;"Starfsbundinn",AE21="",$E21="",$D21=""),"",ROUND(AE21/$E21*$D21*KVARDI,2))</f>
        <v/>
      </c>
      <c r="AG21" s="66" t="n"/>
      <c r="AH21" s="78">
        <f>IF(OR(INDEX(Undirviðmið!$G$6:$G$105,ROW()-6)&lt;&gt;"Starfsbundinn",AG21="",$E21="",$D21=""),"",ROUND(AG21/$E21*$D21*KVARDI,2))</f>
        <v/>
      </c>
      <c r="AI21" s="66" t="n"/>
      <c r="AJ21" s="78">
        <f>IF(OR(INDEX(Undirviðmið!$G$6:$G$105,ROW()-6)&lt;&gt;"Starfsbundinn",AI21="",$E21="",$D21=""),"",ROUND(AI21/$E21*$D21*KVARDI,2))</f>
        <v/>
      </c>
      <c r="AK21" s="66" t="n"/>
      <c r="AL21" s="78">
        <f>IF(OR(INDEX(Undirviðmið!$G$6:$G$105,ROW()-6)&lt;&gt;"Starfsbundinn",AK21="",$E21="",$D21=""),"",ROUND(AK21/$E21*$D21*KVARDI,2))</f>
        <v/>
      </c>
      <c r="AM21" s="66" t="n"/>
      <c r="AN21" s="78">
        <f>IF(OR(INDEX(Undirviðmið!$G$6:$G$105,ROW()-6)&lt;&gt;"Starfsbundinn",AM21="",$E21="",$D21=""),"",ROUND(AM21/$E21*$D21*KVARDI,2))</f>
        <v/>
      </c>
      <c r="AO21" s="66" t="n"/>
      <c r="AP21" s="78">
        <f>IF(OR(INDEX(Undirviðmið!$G$6:$G$105,ROW()-6)&lt;&gt;"Starfsbundinn",AO21="",$E21="",$D21=""),"",ROUND(AO21/$E21*$D21*KVARDI,2))</f>
        <v/>
      </c>
      <c r="AQ21" s="66" t="n"/>
      <c r="AR21" s="78">
        <f>IF(OR(INDEX(Undirviðmið!$G$6:$G$105,ROW()-6)&lt;&gt;"Starfsbundinn",AQ21="",$E21="",$D21=""),"",ROUND(AQ21/$E21*$D21*KVARDI,2))</f>
        <v/>
      </c>
      <c r="AS21" s="66" t="n"/>
      <c r="AT21" s="78">
        <f>IF(OR(INDEX(Undirviðmið!$G$6:$G$105,ROW()-6)&lt;&gt;"Starfsbundinn",AS21="",$E21="",$D21=""),"",ROUND(AS21/$E21*$D21*KVARDI,2))</f>
        <v/>
      </c>
      <c r="AU21" s="66" t="n"/>
      <c r="AV21" s="78">
        <f>IF(OR(INDEX(Undirviðmið!$G$6:$G$105,ROW()-6)&lt;&gt;"Starfsbundinn",AU21="",$E21="",$D21=""),"",ROUND(AU21/$E21*$D21*KVARDI,2))</f>
        <v/>
      </c>
      <c r="AW21" s="66" t="n"/>
      <c r="AX21" s="78">
        <f>IF(OR(INDEX(Undirviðmið!$G$6:$G$105,ROW()-6)&lt;&gt;"Starfsbundinn",AW21="",$E21="",$D21=""),"",ROUND(AW21/$E21*$D21*KVARDI,2))</f>
        <v/>
      </c>
      <c r="AY21" s="66" t="n"/>
      <c r="AZ21" s="78">
        <f>IF(OR(INDEX(Undirviðmið!$G$6:$G$105,ROW()-6)&lt;&gt;"Starfsbundinn",AY21="",$E21="",$D21=""),"",ROUND(AY21/$E21*$D21*KVARDI,2))</f>
        <v/>
      </c>
      <c r="BA21" s="66" t="n"/>
      <c r="BB21" s="78">
        <f>IF(OR(INDEX(Undirviðmið!$G$6:$G$105,ROW()-6)&lt;&gt;"Starfsbundinn",BA21="",$E21="",$D21=""),"",ROUND(BA21/$E21*$D21*KVARDI,2))</f>
        <v/>
      </c>
      <c r="BC21" s="66" t="n"/>
      <c r="BD21" s="78">
        <f>IF(OR(INDEX(Undirviðmið!$G$6:$G$105,ROW()-6)&lt;&gt;"Starfsbundinn",BC21="",$E21="",$D21=""),"",ROUND(BC21/$E21*$D21*KVARDI,2))</f>
        <v/>
      </c>
      <c r="BE21" s="66" t="n"/>
      <c r="BF21" s="78">
        <f>IF(OR(INDEX(Undirviðmið!$G$6:$G$105,ROW()-6)&lt;&gt;"Starfsbundinn",BE21="",$E21="",$D21=""),"",ROUND(BE21/$E21*$D21*KVARDI,2))</f>
        <v/>
      </c>
      <c r="BG21" s="66" t="n"/>
      <c r="BH21" s="78">
        <f>IF(OR(INDEX(Undirviðmið!$G$6:$G$105,ROW()-6)&lt;&gt;"Starfsbundinn",BG21="",$E21="",$D21=""),"",ROUND(BG21/$E21*$D21*KVARDI,2))</f>
        <v/>
      </c>
      <c r="BI21" s="66" t="n"/>
      <c r="BJ21" s="78">
        <f>IF(OR(INDEX(Undirviðmið!$G$6:$G$105,ROW()-6)&lt;&gt;"Starfsbundinn",BI21="",$E21="",$D21=""),"",ROUND(BI21/$E21*$D21*KVARDI,2))</f>
        <v/>
      </c>
      <c r="BK21" s="66" t="n"/>
      <c r="BL21" s="78">
        <f>IF(OR(INDEX(Undirviðmið!$G$6:$G$105,ROW()-6)&lt;&gt;"Starfsbundinn",BK21="",$E21="",$D21=""),"",ROUND(BK21/$E21*$D21*KVARDI,2))</f>
        <v/>
      </c>
      <c r="BM21" s="66" t="n"/>
      <c r="BN21" s="78">
        <f>IF(OR(INDEX(Undirviðmið!$G$6:$G$105,ROW()-6)&lt;&gt;"Starfsbundinn",BM21="",$E21="",$D21=""),"",ROUND(BM21/$E21*$D21*KVARDI,2))</f>
        <v/>
      </c>
      <c r="BO21" s="66" t="n"/>
      <c r="BP21" s="78">
        <f>IF(OR(INDEX(Undirviðmið!$G$6:$G$105,ROW()-6)&lt;&gt;"Starfsbundinn",BO21="",$E21="",$D21=""),"",ROUND(BO21/$E21*$D21*KVARDI,2))</f>
        <v/>
      </c>
      <c r="BQ21" s="66" t="n"/>
      <c r="BR21" s="78">
        <f>IF(OR(INDEX(Undirviðmið!$G$6:$G$105,ROW()-6)&lt;&gt;"Starfsbundinn",BQ21="",$E21="",$D21=""),"",ROUND(BQ21/$E21*$D21*KVARDI,2))</f>
        <v/>
      </c>
      <c r="BS21" s="66" t="n"/>
      <c r="BT21" s="78">
        <f>IF(OR(INDEX(Undirviðmið!$G$6:$G$105,ROW()-6)&lt;&gt;"Starfsbundinn",BS21="",$E21="",$D21=""),"",ROUND(BS21/$E21*$D21*KVARDI,2))</f>
        <v/>
      </c>
      <c r="BU21" s="66" t="n"/>
      <c r="BV21" s="78">
        <f>IF(OR(INDEX(Undirviðmið!$G$6:$G$105,ROW()-6)&lt;&gt;"Starfsbundinn",BU21="",$E21="",$D21=""),"",ROUND(BU21/$E21*$D21*KVARDI,2))</f>
        <v/>
      </c>
      <c r="BW21" s="66" t="n"/>
      <c r="BX21" s="78">
        <f>IF(OR(INDEX(Undirviðmið!$G$6:$G$105,ROW()-6)&lt;&gt;"Starfsbundinn",BW21="",$E21="",$D21=""),"",ROUND(BW21/$E21*$D21*KVARDI,2))</f>
        <v/>
      </c>
      <c r="BY21" s="66" t="n"/>
      <c r="BZ21" s="78">
        <f>IF(OR(INDEX(Undirviðmið!$G$6:$G$105,ROW()-6)&lt;&gt;"Starfsbundinn",BY21="",$E21="",$D21=""),"",ROUND(BY21/$E21*$D21*KVARDI,2))</f>
        <v/>
      </c>
      <c r="CA21" s="66" t="n"/>
      <c r="CB21" s="78">
        <f>IF(OR(INDEX(Undirviðmið!$G$6:$G$105,ROW()-6)&lt;&gt;"Starfsbundinn",CA21="",$E21="",$D21=""),"",ROUND(CA21/$E21*$D21*KVARDI,2))</f>
        <v/>
      </c>
      <c r="CC21" s="66" t="n"/>
      <c r="CD21" s="78">
        <f>IF(OR(INDEX(Undirviðmið!$G$6:$G$105,ROW()-6)&lt;&gt;"Starfsbundinn",CC21="",$E21="",$D21=""),"",ROUND(CC21/$E21*$D21*KVARDI,2))</f>
        <v/>
      </c>
      <c r="CE21" s="66" t="n"/>
      <c r="CF21" s="78">
        <f>IF(OR(INDEX(Undirviðmið!$G$6:$G$105,ROW()-6)&lt;&gt;"Starfsbundinn",CE21="",$E21="",$D21=""),"",ROUND(CE21/$E21*$D21*KVARDI,2))</f>
        <v/>
      </c>
      <c r="CG21" s="66" t="n"/>
      <c r="CH21" s="78">
        <f>IF(OR(INDEX(Undirviðmið!$G$6:$G$105,ROW()-6)&lt;&gt;"Starfsbundinn",CG21="",$E21="",$D21=""),"",ROUND(CG21/$E21*$D21*KVARDI,2))</f>
        <v/>
      </c>
      <c r="CI21" s="66" t="n"/>
      <c r="CJ21" s="78">
        <f>IF(OR(INDEX(Undirviðmið!$G$6:$G$105,ROW()-6)&lt;&gt;"Starfsbundinn",CI21="",$E21="",$D21=""),"",ROUND(CI21/$E21*$D21*KVARDI,2))</f>
        <v/>
      </c>
      <c r="CK21" s="66" t="n"/>
      <c r="CL21" s="78">
        <f>IF(OR(INDEX(Undirviðmið!$G$6:$G$105,ROW()-6)&lt;&gt;"Starfsbundinn",CK21="",$E21="",$D21=""),"",ROUND(CK21/$E21*$D21*KVARDI,2))</f>
        <v/>
      </c>
      <c r="CM21" s="66" t="n"/>
      <c r="CN21" s="78">
        <f>IF(OR(INDEX(Undirviðmið!$G$6:$G$105,ROW()-6)&lt;&gt;"Starfsbundinn",CM21="",$E21="",$D21=""),"",ROUND(CM21/$E21*$D21*KVARDI,2))</f>
        <v/>
      </c>
      <c r="CO21" s="66" t="n"/>
      <c r="CP21" s="78">
        <f>IF(OR(INDEX(Undirviðmið!$G$6:$G$105,ROW()-6)&lt;&gt;"Starfsbundinn",CO21="",$E21="",$D21=""),"",ROUND(CO21/$E21*$D21*KVARDI,2))</f>
        <v/>
      </c>
      <c r="CQ21" s="66" t="n"/>
      <c r="CR21" s="78">
        <f>IF(OR(INDEX(Undirviðmið!$G$6:$G$105,ROW()-6)&lt;&gt;"Starfsbundinn",CQ21="",$E21="",$D21=""),"",ROUND(CQ21/$E21*$D21*KVARDI,2))</f>
        <v/>
      </c>
      <c r="CS21" s="66" t="n"/>
      <c r="CT21" s="78">
        <f>IF(OR(INDEX(Undirviðmið!$G$6:$G$105,ROW()-6)&lt;&gt;"Starfsbundinn",CS21="",$E21="",$D21=""),"",ROUND(CS21/$E21*$D21*KVARDI,2))</f>
        <v/>
      </c>
      <c r="CU21" s="66" t="n"/>
      <c r="CV21" s="78">
        <f>IF(OR(INDEX(Undirviðmið!$G$6:$G$105,ROW()-6)&lt;&gt;"Starfsbundinn",CU21="",$E21="",$D21=""),"",ROUND(CU21/$E21*$D21*KVARDI,2))</f>
        <v/>
      </c>
      <c r="CW21" s="66" t="n"/>
      <c r="CX21" s="78">
        <f>IF(OR(INDEX(Undirviðmið!$G$6:$G$105,ROW()-6)&lt;&gt;"Starfsbundinn",CW21="",$E21="",$D21=""),"",ROUND(CW21/$E21*$D21*KVARDI,2))</f>
        <v/>
      </c>
      <c r="CY21" s="66" t="n"/>
      <c r="CZ21" s="78">
        <f>IF(OR(INDEX(Undirviðmið!$G$6:$G$105,ROW()-6)&lt;&gt;"Starfsbundinn",CY21="",$E21="",$D21=""),"",ROUND(CY21/$E21*$D21*KVARDI,2))</f>
        <v/>
      </c>
      <c r="DA21" s="66" t="n"/>
      <c r="DB21" s="78">
        <f>IF(OR(INDEX(Undirviðmið!$G$6:$G$105,ROW()-6)&lt;&gt;"Starfsbundinn",DA21="",$E21="",$D21=""),"",ROUND(DA21/$E21*$D21*KVARDI,2))</f>
        <v/>
      </c>
      <c r="DC21" s="66" t="n"/>
      <c r="DD21" s="78">
        <f>IF(OR(INDEX(Undirviðmið!$G$6:$G$105,ROW()-6)&lt;&gt;"Starfsbundinn",DC21="",$E21="",$D21=""),"",ROUND(DC21/$E21*$D21*KVARDI,2))</f>
        <v/>
      </c>
      <c r="DE21" s="66" t="n"/>
      <c r="DF21" s="78">
        <f>IF(OR(INDEX(Undirviðmið!$G$6:$G$105,ROW()-6)&lt;&gt;"Starfsbundinn",DE21="",$E21="",$D21=""),"",ROUND(DE21/$E21*$D21*KVARDI,2))</f>
        <v/>
      </c>
      <c r="DG21" s="66" t="n"/>
      <c r="DH21" s="78">
        <f>IF(OR(INDEX(Undirviðmið!$G$6:$G$105,ROW()-6)&lt;&gt;"Starfsbundinn",DG21="",$E21="",$D21=""),"",ROUND(DG21/$E21*$D21*KVARDI,2))</f>
        <v/>
      </c>
      <c r="DI21" s="66" t="n"/>
      <c r="DJ21" s="78">
        <f>IF(OR(INDEX(Undirviðmið!$G$6:$G$105,ROW()-6)&lt;&gt;"Starfsbundinn",DI21="",$E21="",$D21=""),"",ROUND(DI21/$E21*$D21*KVARDI,2))</f>
        <v/>
      </c>
      <c r="DK21" s="66" t="n"/>
      <c r="DL21" s="78">
        <f>IF(OR(INDEX(Undirviðmið!$G$6:$G$105,ROW()-6)&lt;&gt;"Starfsbundinn",DK21="",$E21="",$D21=""),"",ROUND(DK21/$E21*$D21*KVARDI,2))</f>
        <v/>
      </c>
      <c r="DM21" s="66" t="n"/>
      <c r="DN21" s="78">
        <f>IF(OR(INDEX(Undirviðmið!$G$6:$G$105,ROW()-6)&lt;&gt;"Starfsbundinn",DM21="",$E21="",$D21=""),"",ROUND(DM21/$E21*$D21*KVARDI,2))</f>
        <v/>
      </c>
      <c r="DO21" s="66" t="n"/>
      <c r="DP21" s="78">
        <f>IF(OR(INDEX(Undirviðmið!$G$6:$G$105,ROW()-6)&lt;&gt;"Starfsbundinn",DO21="",$E21="",$D21=""),"",ROUND(DO21/$E21*$D21*KVARDI,2))</f>
        <v/>
      </c>
      <c r="DQ21" s="66" t="n"/>
      <c r="DR21" s="78">
        <f>IF(OR(INDEX(Undirviðmið!$G$6:$G$105,ROW()-6)&lt;&gt;"Starfsbundinn",DQ21="",$E21="",$D21=""),"",ROUND(DQ21/$E21*$D21*KVARDI,2))</f>
        <v/>
      </c>
      <c r="DS21" s="66" t="n"/>
      <c r="DT21" s="78">
        <f>IF(OR(INDEX(Undirviðmið!$G$6:$G$105,ROW()-6)&lt;&gt;"Starfsbundinn",DS21="",$E21="",$D21=""),"",ROUND(DS21/$E21*$D21*KVARDI,2))</f>
        <v/>
      </c>
      <c r="DU21" s="66" t="n"/>
      <c r="DV21" s="78">
        <f>IF(OR(INDEX(Undirviðmið!$G$6:$G$105,ROW()-6)&lt;&gt;"Starfsbundinn",DU21="",$E21="",$D21=""),"",ROUND(DU21/$E21*$D21*KVARDI,2))</f>
        <v/>
      </c>
      <c r="DW21" s="66" t="n"/>
      <c r="DX21" s="78">
        <f>IF(OR(INDEX(Undirviðmið!$G$6:$G$105,ROW()-6)&lt;&gt;"Starfsbundinn",DW21="",$E21="",$D21=""),"",ROUND(DW21/$E21*$D21*KVARDI,2))</f>
        <v/>
      </c>
      <c r="DY21" s="66" t="n"/>
      <c r="DZ21" s="78">
        <f>IF(OR(INDEX(Undirviðmið!$G$6:$G$105,ROW()-6)&lt;&gt;"Starfsbundinn",DY21="",$E21="",$D21=""),"",ROUND(DY21/$E21*$D21*KVARDI,2))</f>
        <v/>
      </c>
      <c r="EA21" s="66" t="n"/>
      <c r="EB21" s="78">
        <f>IF(OR(INDEX(Undirviðmið!$G$6:$G$105,ROW()-6)&lt;&gt;"Starfsbundinn",EA21="",$E21="",$D21=""),"",ROUND(EA21/$E21*$D21*KVARDI,2))</f>
        <v/>
      </c>
      <c r="EC21" s="66" t="n"/>
      <c r="ED21" s="78">
        <f>IF(OR(INDEX(Undirviðmið!$G$6:$G$105,ROW()-6)&lt;&gt;"Starfsbundinn",EC21="",$E21="",$D21=""),"",ROUND(EC21/$E21*$D21*KVARDI,2))</f>
        <v/>
      </c>
      <c r="EE21" s="66" t="n"/>
      <c r="EF21" s="78">
        <f>IF(OR(INDEX(Undirviðmið!$G$6:$G$105,ROW()-6)&lt;&gt;"Starfsbundinn",EE21="",$E21="",$D21=""),"",ROUND(EE21/$E21*$D21*KVARDI,2))</f>
        <v/>
      </c>
      <c r="EG21" s="66" t="n"/>
      <c r="EH21" s="78">
        <f>IF(OR(INDEX(Undirviðmið!$G$6:$G$105,ROW()-6)&lt;&gt;"Starfsbundinn",EG21="",$E21="",$D21=""),"",ROUND(EG21/$E21*$D21*KVARDI,2))</f>
        <v/>
      </c>
      <c r="EI21" s="66" t="n"/>
      <c r="EJ21" s="78">
        <f>IF(OR(INDEX(Undirviðmið!$G$6:$G$105,ROW()-6)&lt;&gt;"Starfsbundinn",EI21="",$E21="",$D21=""),"",ROUND(EI21/$E21*$D21*KVARDI,2))</f>
        <v/>
      </c>
      <c r="EK21" s="66" t="n"/>
      <c r="EL21" s="78">
        <f>IF(OR(INDEX(Undirviðmið!$G$6:$G$105,ROW()-6)&lt;&gt;"Starfsbundinn",EK21="",$E21="",$D21=""),"",ROUND(EK21/$E21*$D21*KVARDI,2))</f>
        <v/>
      </c>
      <c r="EM21" s="66" t="n"/>
      <c r="EN21" s="78">
        <f>IF(OR(INDEX(Undirviðmið!$G$6:$G$105,ROW()-6)&lt;&gt;"Starfsbundinn",EM21="",$E21="",$D21=""),"",ROUND(EM21/$E21*$D21*KVARDI,2))</f>
        <v/>
      </c>
      <c r="EO21" s="66" t="n"/>
      <c r="EP21" s="78">
        <f>IF(OR(INDEX(Undirviðmið!$G$6:$G$105,ROW()-6)&lt;&gt;"Starfsbundinn",EO21="",$E21="",$D21=""),"",ROUND(EO21/$E21*$D21*KVARDI,2))</f>
        <v/>
      </c>
      <c r="EQ21" s="66" t="n"/>
      <c r="ER21" s="78">
        <f>IF(OR(INDEX(Undirviðmið!$G$6:$G$105,ROW()-6)&lt;&gt;"Starfsbundinn",EQ21="",$E21="",$D21=""),"",ROUND(EQ21/$E21*$D21*KVARDI,2))</f>
        <v/>
      </c>
      <c r="ES21" s="66" t="n"/>
      <c r="ET21" s="78">
        <f>IF(OR(INDEX(Undirviðmið!$G$6:$G$105,ROW()-6)&lt;&gt;"Starfsbundinn",ES21="",$E21="",$D21=""),"",ROUND(ES21/$E21*$D21*KVARDI,2))</f>
        <v/>
      </c>
      <c r="EU21" s="66" t="n"/>
      <c r="EV21" s="78">
        <f>IF(OR(INDEX(Undirviðmið!$G$6:$G$105,ROW()-6)&lt;&gt;"Starfsbundinn",EU21="",$E21="",$D21=""),"",ROUND(EU21/$E21*$D21*KVARDI,2))</f>
        <v/>
      </c>
      <c r="EW21" s="66" t="n"/>
      <c r="EX21" s="78">
        <f>IF(OR(INDEX(Undirviðmið!$G$6:$G$105,ROW()-6)&lt;&gt;"Starfsbundinn",EW21="",$E21="",$D21=""),"",ROUND(EW21/$E21*$D21*KVARDI,2))</f>
        <v/>
      </c>
      <c r="EY21" s="66" t="n"/>
      <c r="EZ21" s="78">
        <f>IF(OR(INDEX(Undirviðmið!$G$6:$G$105,ROW()-6)&lt;&gt;"Starfsbundinn",EY21="",$E21="",$D21=""),"",ROUND(EY21/$E21*$D21*KVARDI,2))</f>
        <v/>
      </c>
      <c r="FA21" s="66" t="n"/>
      <c r="FB21" s="78">
        <f>IF(OR(INDEX(Undirviðmið!$G$6:$G$105,ROW()-6)&lt;&gt;"Starfsbundinn",FA21="",$E21="",$D21=""),"",ROUND(FA21/$E21*$D21*KVARDI,2))</f>
        <v/>
      </c>
      <c r="FC21" s="66" t="n"/>
      <c r="FD21" s="78">
        <f>IF(OR(INDEX(Undirviðmið!$G$6:$G$105,ROW()-6)&lt;&gt;"Starfsbundinn",FC21="",$E21="",$D21=""),"",ROUND(FC21/$E21*$D21*KVARDI,2))</f>
        <v/>
      </c>
      <c r="FE21" s="66" t="n"/>
      <c r="FF21" s="78">
        <f>IF(OR(INDEX(Undirviðmið!$G$6:$G$105,ROW()-6)&lt;&gt;"Starfsbundinn",FE21="",$E21="",$D21=""),"",ROUND(FE21/$E21*$D21*KVARDI,2))</f>
        <v/>
      </c>
      <c r="FG21" s="66" t="n"/>
      <c r="FH21" s="78">
        <f>IF(OR(INDEX(Undirviðmið!$G$6:$G$105,ROW()-6)&lt;&gt;"Starfsbundinn",FG21="",$E21="",$D21=""),"",ROUND(FG21/$E21*$D21*KVARDI,2))</f>
        <v/>
      </c>
      <c r="FI21" s="66" t="n"/>
      <c r="FJ21" s="78">
        <f>IF(OR(INDEX(Undirviðmið!$G$6:$G$105,ROW()-6)&lt;&gt;"Starfsbundinn",FI21="",$E21="",$D21=""),"",ROUND(FI21/$E21*$D21*KVARDI,2))</f>
        <v/>
      </c>
      <c r="FK21" s="66" t="n"/>
      <c r="FL21" s="78">
        <f>IF(OR(INDEX(Undirviðmið!$G$6:$G$105,ROW()-6)&lt;&gt;"Starfsbundinn",FK21="",$E21="",$D21=""),"",ROUND(FK21/$E21*$D21*KVARDI,2))</f>
        <v/>
      </c>
      <c r="FM21" s="66" t="n"/>
      <c r="FN21" s="78">
        <f>IF(OR(INDEX(Undirviðmið!$G$6:$G$105,ROW()-6)&lt;&gt;"Starfsbundinn",FM21="",$E21="",$D21=""),"",ROUND(FM21/$E21*$D21*KVARDI,2))</f>
        <v/>
      </c>
      <c r="FO21" s="66" t="n"/>
      <c r="FP21" s="78">
        <f>IF(OR(INDEX(Undirviðmið!$G$6:$G$105,ROW()-6)&lt;&gt;"Starfsbundinn",FO21="",$E21="",$D21=""),"",ROUND(FO21/$E21*$D21*KVARDI,2))</f>
        <v/>
      </c>
      <c r="FQ21" s="66" t="n"/>
      <c r="FR21" s="78">
        <f>IF(OR(INDEX(Undirviðmið!$G$6:$G$105,ROW()-6)&lt;&gt;"Starfsbundinn",FQ21="",$E21="",$D21=""),"",ROUND(FQ21/$E21*$D21*KVARDI,2))</f>
        <v/>
      </c>
      <c r="FS21" s="66" t="n"/>
      <c r="FT21" s="78">
        <f>IF(OR(INDEX(Undirviðmið!$G$6:$G$105,ROW()-6)&lt;&gt;"Starfsbundinn",FS21="",$E21="",$D21=""),"",ROUND(FS21/$E21*$D21*KVARDI,2))</f>
        <v/>
      </c>
      <c r="FU21" s="66" t="n"/>
      <c r="FV21" s="78">
        <f>IF(OR(INDEX(Undirviðmið!$G$6:$G$105,ROW()-6)&lt;&gt;"Starfsbundinn",FU21="",$E21="",$D21=""),"",ROUND(FU21/$E21*$D21*KVARDI,2))</f>
        <v/>
      </c>
      <c r="FW21" s="66" t="n"/>
      <c r="FX21" s="78">
        <f>IF(OR(INDEX(Undirviðmið!$G$6:$G$105,ROW()-6)&lt;&gt;"Starfsbundinn",FW21="",$E21="",$D21=""),"",ROUND(FW21/$E21*$D21*KVARDI,2))</f>
        <v/>
      </c>
      <c r="FY21" s="66" t="n"/>
      <c r="FZ21" s="78">
        <f>IF(OR(INDEX(Undirviðmið!$G$6:$G$105,ROW()-6)&lt;&gt;"Starfsbundinn",FY21="",$E21="",$D21=""),"",ROUND(FY21/$E21*$D21*KVARDI,2))</f>
        <v/>
      </c>
      <c r="GA21" s="66" t="n"/>
      <c r="GB21" s="78">
        <f>IF(OR(INDEX(Undirviðmið!$G$6:$G$105,ROW()-6)&lt;&gt;"Starfsbundinn",GA21="",$E21="",$D21=""),"",ROUND(GA21/$E21*$D21*KVARDI,2))</f>
        <v/>
      </c>
      <c r="GC21" s="66" t="n"/>
      <c r="GD21" s="78">
        <f>IF(OR(INDEX(Undirviðmið!$G$6:$G$105,ROW()-6)&lt;&gt;"Starfsbundinn",GC21="",$E21="",$D21=""),"",ROUND(GC21/$E21*$D21*KVARDI,2))</f>
        <v/>
      </c>
      <c r="GE21" s="66" t="n"/>
      <c r="GF21" s="78">
        <f>IF(OR(INDEX(Undirviðmið!$G$6:$G$105,ROW()-6)&lt;&gt;"Starfsbundinn",GE21="",$E21="",$D21=""),"",ROUND(GE21/$E21*$D21*KVARDI,2))</f>
        <v/>
      </c>
      <c r="GG21" s="66" t="n"/>
      <c r="GH21" s="78">
        <f>IF(OR(INDEX(Undirviðmið!$G$6:$G$105,ROW()-6)&lt;&gt;"Starfsbundinn",GG21="",$E21="",$D21=""),"",ROUND(GG21/$E21*$D21*KVARDI,2))</f>
        <v/>
      </c>
      <c r="GI21" s="66" t="n"/>
      <c r="GJ21" s="78">
        <f>IF(OR(INDEX(Undirviðmið!$G$6:$G$105,ROW()-6)&lt;&gt;"Starfsbundinn",GI21="",$E21="",$D21=""),"",ROUND(GI21/$E21*$D21*KVARDI,2))</f>
        <v/>
      </c>
      <c r="GK21" s="66" t="n"/>
      <c r="GL21" s="78">
        <f>IF(OR(INDEX(Undirviðmið!$G$6:$G$105,ROW()-6)&lt;&gt;"Starfsbundinn",GK21="",$E21="",$D21=""),"",ROUND(GK21/$E21*$D21*KVARDI,2))</f>
        <v/>
      </c>
      <c r="GM21" s="66" t="n"/>
      <c r="GN21" s="78">
        <f>IF(OR(INDEX(Undirviðmið!$G$6:$G$105,ROW()-6)&lt;&gt;"Starfsbundinn",GM21="",$E21="",$D21=""),"",ROUND(GM21/$E21*$D21*KVARDI,2))</f>
        <v/>
      </c>
      <c r="GO21" s="66" t="n"/>
      <c r="GP21" s="78">
        <f>IF(OR(INDEX(Undirviðmið!$G$6:$G$105,ROW()-6)&lt;&gt;"Starfsbundinn",GO21="",$E21="",$D21=""),"",ROUND(GO21/$E21*$D21*KVARDI,2))</f>
        <v/>
      </c>
      <c r="GQ21" s="66" t="n"/>
      <c r="GR21" s="78">
        <f>IF(OR(INDEX(Undirviðmið!$G$6:$G$105,ROW()-6)&lt;&gt;"Starfsbundinn",GQ21="",$E21="",$D21=""),"",ROUND(GQ21/$E21*$D21*KVARDI,2))</f>
        <v/>
      </c>
      <c r="GS21" s="66" t="n"/>
      <c r="GT21" s="78">
        <f>IF(OR(INDEX(Undirviðmið!$G$6:$G$105,ROW()-6)&lt;&gt;"Starfsbundinn",GS21="",$E21="",$D21=""),"",ROUND(GS21/$E21*$D21*KVARDI,2))</f>
        <v/>
      </c>
      <c r="GU21" s="66" t="n"/>
      <c r="GV21" s="78">
        <f>IF(OR(INDEX(Undirviðmið!$G$6:$G$105,ROW()-6)&lt;&gt;"Starfsbundinn",GU21="",$E21="",$D21=""),"",ROUND(GU21/$E21*$D21*KVARDI,2))</f>
        <v/>
      </c>
      <c r="GW21" s="66" t="n"/>
      <c r="GX21" s="78">
        <f>IF(OR(INDEX(Undirviðmið!$G$6:$G$105,ROW()-6)&lt;&gt;"Starfsbundinn",GW21="",$E21="",$D21=""),"",ROUND(GW21/$E21*$D21*KVARDI,2))</f>
        <v/>
      </c>
    </row>
    <row r="22" ht="15" customHeight="1" s="47">
      <c r="B22" s="67">
        <f>IF(INDEX(Undirviðmið!$G$6:$G$105,ROW()-6)="Starfsbundinn",INDEX(Undirviðmið!$B$6:$B$105,ROW()-6),"")</f>
        <v/>
      </c>
      <c r="C22" s="67">
        <f>IF(INDEX(Undirviðmið!$G$6:$G$105,ROW()-6)="Starfsbundinn",INDEX(Undirviðmið!$C$6:$C$105,ROW()-6),"")</f>
        <v/>
      </c>
      <c r="D22" s="77">
        <f>IF(INDEX(Undirviðmið!$G$6:$G$105,ROW()-6)="Starfsbundinn",INDEX(Undirviðmið!$E$6:$E$105,ROW()-6),"")</f>
        <v/>
      </c>
      <c r="E22" s="77">
        <f>IF(INDEX(Undirviðmið!$G$6:$G$105,ROW()-6)="Starfsbundinn",INDEX(Undirviðmið!$F$6:$F$105,ROW()-6),"")</f>
        <v/>
      </c>
      <c r="F22" s="77">
        <f>IF(INDEX(Undirviðmið!$G$6:$G$105,ROW()-6)="Starfsbundinn",IFERROR(INDEX(Undirviðmið!$E$6:$E$105,ROW()-6)*KVARDI,""),"")</f>
        <v/>
      </c>
      <c r="G22" s="66" t="n"/>
      <c r="H22" s="78">
        <f>IF(OR(INDEX(Undirviðmið!$G$6:$G$105,ROW()-6)&lt;&gt;"Starfsbundinn",G22="",$E22="",$D22=""),"",ROUND(G22/$E22*$D22*KVARDI,2))</f>
        <v/>
      </c>
      <c r="I22" s="66" t="n"/>
      <c r="J22" s="78">
        <f>IF(OR(INDEX(Undirviðmið!$G$6:$G$105,ROW()-6)&lt;&gt;"Starfsbundinn",I22="",$E22="",$D22=""),"",ROUND(I22/$E22*$D22*KVARDI,2))</f>
        <v/>
      </c>
      <c r="K22" s="66" t="n"/>
      <c r="L22" s="78">
        <f>IF(OR(INDEX(Undirviðmið!$G$6:$G$105,ROW()-6)&lt;&gt;"Starfsbundinn",K22="",$E22="",$D22=""),"",ROUND(K22/$E22*$D22*KVARDI,2))</f>
        <v/>
      </c>
      <c r="M22" s="66" t="n"/>
      <c r="N22" s="78">
        <f>IF(OR(INDEX(Undirviðmið!$G$6:$G$105,ROW()-6)&lt;&gt;"Starfsbundinn",M22="",$E22="",$D22=""),"",ROUND(M22/$E22*$D22*KVARDI,2))</f>
        <v/>
      </c>
      <c r="O22" s="66" t="n"/>
      <c r="P22" s="78">
        <f>IF(OR(INDEX(Undirviðmið!$G$6:$G$105,ROW()-6)&lt;&gt;"Starfsbundinn",O22="",$E22="",$D22=""),"",ROUND(O22/$E22*$D22*KVARDI,2))</f>
        <v/>
      </c>
      <c r="Q22" s="66" t="n"/>
      <c r="R22" s="78">
        <f>IF(OR(INDEX(Undirviðmið!$G$6:$G$105,ROW()-6)&lt;&gt;"Starfsbundinn",Q22="",$E22="",$D22=""),"",ROUND(Q22/$E22*$D22*KVARDI,2))</f>
        <v/>
      </c>
      <c r="S22" s="66" t="n"/>
      <c r="T22" s="78">
        <f>IF(OR(INDEX(Undirviðmið!$G$6:$G$105,ROW()-6)&lt;&gt;"Starfsbundinn",S22="",$E22="",$D22=""),"",ROUND(S22/$E22*$D22*KVARDI,2))</f>
        <v/>
      </c>
      <c r="U22" s="66" t="n"/>
      <c r="V22" s="78">
        <f>IF(OR(INDEX(Undirviðmið!$G$6:$G$105,ROW()-6)&lt;&gt;"Starfsbundinn",U22="",$E22="",$D22=""),"",ROUND(U22/$E22*$D22*KVARDI,2))</f>
        <v/>
      </c>
      <c r="W22" s="66" t="n"/>
      <c r="X22" s="78">
        <f>IF(OR(INDEX(Undirviðmið!$G$6:$G$105,ROW()-6)&lt;&gt;"Starfsbundinn",W22="",$E22="",$D22=""),"",ROUND(W22/$E22*$D22*KVARDI,2))</f>
        <v/>
      </c>
      <c r="Y22" s="66" t="n"/>
      <c r="Z22" s="78">
        <f>IF(OR(INDEX(Undirviðmið!$G$6:$G$105,ROW()-6)&lt;&gt;"Starfsbundinn",Y22="",$E22="",$D22=""),"",ROUND(Y22/$E22*$D22*KVARDI,2))</f>
        <v/>
      </c>
      <c r="AA22" s="66" t="n"/>
      <c r="AB22" s="78">
        <f>IF(OR(INDEX(Undirviðmið!$G$6:$G$105,ROW()-6)&lt;&gt;"Starfsbundinn",AA22="",$E22="",$D22=""),"",ROUND(AA22/$E22*$D22*KVARDI,2))</f>
        <v/>
      </c>
      <c r="AC22" s="66" t="n"/>
      <c r="AD22" s="78">
        <f>IF(OR(INDEX(Undirviðmið!$G$6:$G$105,ROW()-6)&lt;&gt;"Starfsbundinn",AC22="",$E22="",$D22=""),"",ROUND(AC22/$E22*$D22*KVARDI,2))</f>
        <v/>
      </c>
      <c r="AE22" s="66" t="n"/>
      <c r="AF22" s="78">
        <f>IF(OR(INDEX(Undirviðmið!$G$6:$G$105,ROW()-6)&lt;&gt;"Starfsbundinn",AE22="",$E22="",$D22=""),"",ROUND(AE22/$E22*$D22*KVARDI,2))</f>
        <v/>
      </c>
      <c r="AG22" s="66" t="n"/>
      <c r="AH22" s="78">
        <f>IF(OR(INDEX(Undirviðmið!$G$6:$G$105,ROW()-6)&lt;&gt;"Starfsbundinn",AG22="",$E22="",$D22=""),"",ROUND(AG22/$E22*$D22*KVARDI,2))</f>
        <v/>
      </c>
      <c r="AI22" s="66" t="n"/>
      <c r="AJ22" s="78">
        <f>IF(OR(INDEX(Undirviðmið!$G$6:$G$105,ROW()-6)&lt;&gt;"Starfsbundinn",AI22="",$E22="",$D22=""),"",ROUND(AI22/$E22*$D22*KVARDI,2))</f>
        <v/>
      </c>
      <c r="AK22" s="66" t="n"/>
      <c r="AL22" s="78">
        <f>IF(OR(INDEX(Undirviðmið!$G$6:$G$105,ROW()-6)&lt;&gt;"Starfsbundinn",AK22="",$E22="",$D22=""),"",ROUND(AK22/$E22*$D22*KVARDI,2))</f>
        <v/>
      </c>
      <c r="AM22" s="66" t="n"/>
      <c r="AN22" s="78">
        <f>IF(OR(INDEX(Undirviðmið!$G$6:$G$105,ROW()-6)&lt;&gt;"Starfsbundinn",AM22="",$E22="",$D22=""),"",ROUND(AM22/$E22*$D22*KVARDI,2))</f>
        <v/>
      </c>
      <c r="AO22" s="66" t="n"/>
      <c r="AP22" s="78">
        <f>IF(OR(INDEX(Undirviðmið!$G$6:$G$105,ROW()-6)&lt;&gt;"Starfsbundinn",AO22="",$E22="",$D22=""),"",ROUND(AO22/$E22*$D22*KVARDI,2))</f>
        <v/>
      </c>
      <c r="AQ22" s="66" t="n"/>
      <c r="AR22" s="78">
        <f>IF(OR(INDEX(Undirviðmið!$G$6:$G$105,ROW()-6)&lt;&gt;"Starfsbundinn",AQ22="",$E22="",$D22=""),"",ROUND(AQ22/$E22*$D22*KVARDI,2))</f>
        <v/>
      </c>
      <c r="AS22" s="66" t="n"/>
      <c r="AT22" s="78">
        <f>IF(OR(INDEX(Undirviðmið!$G$6:$G$105,ROW()-6)&lt;&gt;"Starfsbundinn",AS22="",$E22="",$D22=""),"",ROUND(AS22/$E22*$D22*KVARDI,2))</f>
        <v/>
      </c>
      <c r="AU22" s="66" t="n"/>
      <c r="AV22" s="78">
        <f>IF(OR(INDEX(Undirviðmið!$G$6:$G$105,ROW()-6)&lt;&gt;"Starfsbundinn",AU22="",$E22="",$D22=""),"",ROUND(AU22/$E22*$D22*KVARDI,2))</f>
        <v/>
      </c>
      <c r="AW22" s="66" t="n"/>
      <c r="AX22" s="78">
        <f>IF(OR(INDEX(Undirviðmið!$G$6:$G$105,ROW()-6)&lt;&gt;"Starfsbundinn",AW22="",$E22="",$D22=""),"",ROUND(AW22/$E22*$D22*KVARDI,2))</f>
        <v/>
      </c>
      <c r="AY22" s="66" t="n"/>
      <c r="AZ22" s="78">
        <f>IF(OR(INDEX(Undirviðmið!$G$6:$G$105,ROW()-6)&lt;&gt;"Starfsbundinn",AY22="",$E22="",$D22=""),"",ROUND(AY22/$E22*$D22*KVARDI,2))</f>
        <v/>
      </c>
      <c r="BA22" s="66" t="n"/>
      <c r="BB22" s="78">
        <f>IF(OR(INDEX(Undirviðmið!$G$6:$G$105,ROW()-6)&lt;&gt;"Starfsbundinn",BA22="",$E22="",$D22=""),"",ROUND(BA22/$E22*$D22*KVARDI,2))</f>
        <v/>
      </c>
      <c r="BC22" s="66" t="n"/>
      <c r="BD22" s="78">
        <f>IF(OR(INDEX(Undirviðmið!$G$6:$G$105,ROW()-6)&lt;&gt;"Starfsbundinn",BC22="",$E22="",$D22=""),"",ROUND(BC22/$E22*$D22*KVARDI,2))</f>
        <v/>
      </c>
      <c r="BE22" s="66" t="n"/>
      <c r="BF22" s="78">
        <f>IF(OR(INDEX(Undirviðmið!$G$6:$G$105,ROW()-6)&lt;&gt;"Starfsbundinn",BE22="",$E22="",$D22=""),"",ROUND(BE22/$E22*$D22*KVARDI,2))</f>
        <v/>
      </c>
      <c r="BG22" s="66" t="n"/>
      <c r="BH22" s="78">
        <f>IF(OR(INDEX(Undirviðmið!$G$6:$G$105,ROW()-6)&lt;&gt;"Starfsbundinn",BG22="",$E22="",$D22=""),"",ROUND(BG22/$E22*$D22*KVARDI,2))</f>
        <v/>
      </c>
      <c r="BI22" s="66" t="n"/>
      <c r="BJ22" s="78">
        <f>IF(OR(INDEX(Undirviðmið!$G$6:$G$105,ROW()-6)&lt;&gt;"Starfsbundinn",BI22="",$E22="",$D22=""),"",ROUND(BI22/$E22*$D22*KVARDI,2))</f>
        <v/>
      </c>
      <c r="BK22" s="66" t="n"/>
      <c r="BL22" s="78">
        <f>IF(OR(INDEX(Undirviðmið!$G$6:$G$105,ROW()-6)&lt;&gt;"Starfsbundinn",BK22="",$E22="",$D22=""),"",ROUND(BK22/$E22*$D22*KVARDI,2))</f>
        <v/>
      </c>
      <c r="BM22" s="66" t="n"/>
      <c r="BN22" s="78">
        <f>IF(OR(INDEX(Undirviðmið!$G$6:$G$105,ROW()-6)&lt;&gt;"Starfsbundinn",BM22="",$E22="",$D22=""),"",ROUND(BM22/$E22*$D22*KVARDI,2))</f>
        <v/>
      </c>
      <c r="BO22" s="66" t="n"/>
      <c r="BP22" s="78">
        <f>IF(OR(INDEX(Undirviðmið!$G$6:$G$105,ROW()-6)&lt;&gt;"Starfsbundinn",BO22="",$E22="",$D22=""),"",ROUND(BO22/$E22*$D22*KVARDI,2))</f>
        <v/>
      </c>
      <c r="BQ22" s="66" t="n"/>
      <c r="BR22" s="78">
        <f>IF(OR(INDEX(Undirviðmið!$G$6:$G$105,ROW()-6)&lt;&gt;"Starfsbundinn",BQ22="",$E22="",$D22=""),"",ROUND(BQ22/$E22*$D22*KVARDI,2))</f>
        <v/>
      </c>
      <c r="BS22" s="66" t="n"/>
      <c r="BT22" s="78">
        <f>IF(OR(INDEX(Undirviðmið!$G$6:$G$105,ROW()-6)&lt;&gt;"Starfsbundinn",BS22="",$E22="",$D22=""),"",ROUND(BS22/$E22*$D22*KVARDI,2))</f>
        <v/>
      </c>
      <c r="BU22" s="66" t="n"/>
      <c r="BV22" s="78">
        <f>IF(OR(INDEX(Undirviðmið!$G$6:$G$105,ROW()-6)&lt;&gt;"Starfsbundinn",BU22="",$E22="",$D22=""),"",ROUND(BU22/$E22*$D22*KVARDI,2))</f>
        <v/>
      </c>
      <c r="BW22" s="66" t="n"/>
      <c r="BX22" s="78">
        <f>IF(OR(INDEX(Undirviðmið!$G$6:$G$105,ROW()-6)&lt;&gt;"Starfsbundinn",BW22="",$E22="",$D22=""),"",ROUND(BW22/$E22*$D22*KVARDI,2))</f>
        <v/>
      </c>
      <c r="BY22" s="66" t="n"/>
      <c r="BZ22" s="78">
        <f>IF(OR(INDEX(Undirviðmið!$G$6:$G$105,ROW()-6)&lt;&gt;"Starfsbundinn",BY22="",$E22="",$D22=""),"",ROUND(BY22/$E22*$D22*KVARDI,2))</f>
        <v/>
      </c>
      <c r="CA22" s="66" t="n"/>
      <c r="CB22" s="78">
        <f>IF(OR(INDEX(Undirviðmið!$G$6:$G$105,ROW()-6)&lt;&gt;"Starfsbundinn",CA22="",$E22="",$D22=""),"",ROUND(CA22/$E22*$D22*KVARDI,2))</f>
        <v/>
      </c>
      <c r="CC22" s="66" t="n"/>
      <c r="CD22" s="78">
        <f>IF(OR(INDEX(Undirviðmið!$G$6:$G$105,ROW()-6)&lt;&gt;"Starfsbundinn",CC22="",$E22="",$D22=""),"",ROUND(CC22/$E22*$D22*KVARDI,2))</f>
        <v/>
      </c>
      <c r="CE22" s="66" t="n"/>
      <c r="CF22" s="78">
        <f>IF(OR(INDEX(Undirviðmið!$G$6:$G$105,ROW()-6)&lt;&gt;"Starfsbundinn",CE22="",$E22="",$D22=""),"",ROUND(CE22/$E22*$D22*KVARDI,2))</f>
        <v/>
      </c>
      <c r="CG22" s="66" t="n"/>
      <c r="CH22" s="78">
        <f>IF(OR(INDEX(Undirviðmið!$G$6:$G$105,ROW()-6)&lt;&gt;"Starfsbundinn",CG22="",$E22="",$D22=""),"",ROUND(CG22/$E22*$D22*KVARDI,2))</f>
        <v/>
      </c>
      <c r="CI22" s="66" t="n"/>
      <c r="CJ22" s="78">
        <f>IF(OR(INDEX(Undirviðmið!$G$6:$G$105,ROW()-6)&lt;&gt;"Starfsbundinn",CI22="",$E22="",$D22=""),"",ROUND(CI22/$E22*$D22*KVARDI,2))</f>
        <v/>
      </c>
      <c r="CK22" s="66" t="n"/>
      <c r="CL22" s="78">
        <f>IF(OR(INDEX(Undirviðmið!$G$6:$G$105,ROW()-6)&lt;&gt;"Starfsbundinn",CK22="",$E22="",$D22=""),"",ROUND(CK22/$E22*$D22*KVARDI,2))</f>
        <v/>
      </c>
      <c r="CM22" s="66" t="n"/>
      <c r="CN22" s="78">
        <f>IF(OR(INDEX(Undirviðmið!$G$6:$G$105,ROW()-6)&lt;&gt;"Starfsbundinn",CM22="",$E22="",$D22=""),"",ROUND(CM22/$E22*$D22*KVARDI,2))</f>
        <v/>
      </c>
      <c r="CO22" s="66" t="n"/>
      <c r="CP22" s="78">
        <f>IF(OR(INDEX(Undirviðmið!$G$6:$G$105,ROW()-6)&lt;&gt;"Starfsbundinn",CO22="",$E22="",$D22=""),"",ROUND(CO22/$E22*$D22*KVARDI,2))</f>
        <v/>
      </c>
      <c r="CQ22" s="66" t="n"/>
      <c r="CR22" s="78">
        <f>IF(OR(INDEX(Undirviðmið!$G$6:$G$105,ROW()-6)&lt;&gt;"Starfsbundinn",CQ22="",$E22="",$D22=""),"",ROUND(CQ22/$E22*$D22*KVARDI,2))</f>
        <v/>
      </c>
      <c r="CS22" s="66" t="n"/>
      <c r="CT22" s="78">
        <f>IF(OR(INDEX(Undirviðmið!$G$6:$G$105,ROW()-6)&lt;&gt;"Starfsbundinn",CS22="",$E22="",$D22=""),"",ROUND(CS22/$E22*$D22*KVARDI,2))</f>
        <v/>
      </c>
      <c r="CU22" s="66" t="n"/>
      <c r="CV22" s="78">
        <f>IF(OR(INDEX(Undirviðmið!$G$6:$G$105,ROW()-6)&lt;&gt;"Starfsbundinn",CU22="",$E22="",$D22=""),"",ROUND(CU22/$E22*$D22*KVARDI,2))</f>
        <v/>
      </c>
      <c r="CW22" s="66" t="n"/>
      <c r="CX22" s="78">
        <f>IF(OR(INDEX(Undirviðmið!$G$6:$G$105,ROW()-6)&lt;&gt;"Starfsbundinn",CW22="",$E22="",$D22=""),"",ROUND(CW22/$E22*$D22*KVARDI,2))</f>
        <v/>
      </c>
      <c r="CY22" s="66" t="n"/>
      <c r="CZ22" s="78">
        <f>IF(OR(INDEX(Undirviðmið!$G$6:$G$105,ROW()-6)&lt;&gt;"Starfsbundinn",CY22="",$E22="",$D22=""),"",ROUND(CY22/$E22*$D22*KVARDI,2))</f>
        <v/>
      </c>
      <c r="DA22" s="66" t="n"/>
      <c r="DB22" s="78">
        <f>IF(OR(INDEX(Undirviðmið!$G$6:$G$105,ROW()-6)&lt;&gt;"Starfsbundinn",DA22="",$E22="",$D22=""),"",ROUND(DA22/$E22*$D22*KVARDI,2))</f>
        <v/>
      </c>
      <c r="DC22" s="66" t="n"/>
      <c r="DD22" s="78">
        <f>IF(OR(INDEX(Undirviðmið!$G$6:$G$105,ROW()-6)&lt;&gt;"Starfsbundinn",DC22="",$E22="",$D22=""),"",ROUND(DC22/$E22*$D22*KVARDI,2))</f>
        <v/>
      </c>
      <c r="DE22" s="66" t="n"/>
      <c r="DF22" s="78">
        <f>IF(OR(INDEX(Undirviðmið!$G$6:$G$105,ROW()-6)&lt;&gt;"Starfsbundinn",DE22="",$E22="",$D22=""),"",ROUND(DE22/$E22*$D22*KVARDI,2))</f>
        <v/>
      </c>
      <c r="DG22" s="66" t="n"/>
      <c r="DH22" s="78">
        <f>IF(OR(INDEX(Undirviðmið!$G$6:$G$105,ROW()-6)&lt;&gt;"Starfsbundinn",DG22="",$E22="",$D22=""),"",ROUND(DG22/$E22*$D22*KVARDI,2))</f>
        <v/>
      </c>
      <c r="DI22" s="66" t="n"/>
      <c r="DJ22" s="78">
        <f>IF(OR(INDEX(Undirviðmið!$G$6:$G$105,ROW()-6)&lt;&gt;"Starfsbundinn",DI22="",$E22="",$D22=""),"",ROUND(DI22/$E22*$D22*KVARDI,2))</f>
        <v/>
      </c>
      <c r="DK22" s="66" t="n"/>
      <c r="DL22" s="78">
        <f>IF(OR(INDEX(Undirviðmið!$G$6:$G$105,ROW()-6)&lt;&gt;"Starfsbundinn",DK22="",$E22="",$D22=""),"",ROUND(DK22/$E22*$D22*KVARDI,2))</f>
        <v/>
      </c>
      <c r="DM22" s="66" t="n"/>
      <c r="DN22" s="78">
        <f>IF(OR(INDEX(Undirviðmið!$G$6:$G$105,ROW()-6)&lt;&gt;"Starfsbundinn",DM22="",$E22="",$D22=""),"",ROUND(DM22/$E22*$D22*KVARDI,2))</f>
        <v/>
      </c>
      <c r="DO22" s="66" t="n"/>
      <c r="DP22" s="78">
        <f>IF(OR(INDEX(Undirviðmið!$G$6:$G$105,ROW()-6)&lt;&gt;"Starfsbundinn",DO22="",$E22="",$D22=""),"",ROUND(DO22/$E22*$D22*KVARDI,2))</f>
        <v/>
      </c>
      <c r="DQ22" s="66" t="n"/>
      <c r="DR22" s="78">
        <f>IF(OR(INDEX(Undirviðmið!$G$6:$G$105,ROW()-6)&lt;&gt;"Starfsbundinn",DQ22="",$E22="",$D22=""),"",ROUND(DQ22/$E22*$D22*KVARDI,2))</f>
        <v/>
      </c>
      <c r="DS22" s="66" t="n"/>
      <c r="DT22" s="78">
        <f>IF(OR(INDEX(Undirviðmið!$G$6:$G$105,ROW()-6)&lt;&gt;"Starfsbundinn",DS22="",$E22="",$D22=""),"",ROUND(DS22/$E22*$D22*KVARDI,2))</f>
        <v/>
      </c>
      <c r="DU22" s="66" t="n"/>
      <c r="DV22" s="78">
        <f>IF(OR(INDEX(Undirviðmið!$G$6:$G$105,ROW()-6)&lt;&gt;"Starfsbundinn",DU22="",$E22="",$D22=""),"",ROUND(DU22/$E22*$D22*KVARDI,2))</f>
        <v/>
      </c>
      <c r="DW22" s="66" t="n"/>
      <c r="DX22" s="78">
        <f>IF(OR(INDEX(Undirviðmið!$G$6:$G$105,ROW()-6)&lt;&gt;"Starfsbundinn",DW22="",$E22="",$D22=""),"",ROUND(DW22/$E22*$D22*KVARDI,2))</f>
        <v/>
      </c>
      <c r="DY22" s="66" t="n"/>
      <c r="DZ22" s="78">
        <f>IF(OR(INDEX(Undirviðmið!$G$6:$G$105,ROW()-6)&lt;&gt;"Starfsbundinn",DY22="",$E22="",$D22=""),"",ROUND(DY22/$E22*$D22*KVARDI,2))</f>
        <v/>
      </c>
      <c r="EA22" s="66" t="n"/>
      <c r="EB22" s="78">
        <f>IF(OR(INDEX(Undirviðmið!$G$6:$G$105,ROW()-6)&lt;&gt;"Starfsbundinn",EA22="",$E22="",$D22=""),"",ROUND(EA22/$E22*$D22*KVARDI,2))</f>
        <v/>
      </c>
      <c r="EC22" s="66" t="n"/>
      <c r="ED22" s="78">
        <f>IF(OR(INDEX(Undirviðmið!$G$6:$G$105,ROW()-6)&lt;&gt;"Starfsbundinn",EC22="",$E22="",$D22=""),"",ROUND(EC22/$E22*$D22*KVARDI,2))</f>
        <v/>
      </c>
      <c r="EE22" s="66" t="n"/>
      <c r="EF22" s="78">
        <f>IF(OR(INDEX(Undirviðmið!$G$6:$G$105,ROW()-6)&lt;&gt;"Starfsbundinn",EE22="",$E22="",$D22=""),"",ROUND(EE22/$E22*$D22*KVARDI,2))</f>
        <v/>
      </c>
      <c r="EG22" s="66" t="n"/>
      <c r="EH22" s="78">
        <f>IF(OR(INDEX(Undirviðmið!$G$6:$G$105,ROW()-6)&lt;&gt;"Starfsbundinn",EG22="",$E22="",$D22=""),"",ROUND(EG22/$E22*$D22*KVARDI,2))</f>
        <v/>
      </c>
      <c r="EI22" s="66" t="n"/>
      <c r="EJ22" s="78">
        <f>IF(OR(INDEX(Undirviðmið!$G$6:$G$105,ROW()-6)&lt;&gt;"Starfsbundinn",EI22="",$E22="",$D22=""),"",ROUND(EI22/$E22*$D22*KVARDI,2))</f>
        <v/>
      </c>
      <c r="EK22" s="66" t="n"/>
      <c r="EL22" s="78">
        <f>IF(OR(INDEX(Undirviðmið!$G$6:$G$105,ROW()-6)&lt;&gt;"Starfsbundinn",EK22="",$E22="",$D22=""),"",ROUND(EK22/$E22*$D22*KVARDI,2))</f>
        <v/>
      </c>
      <c r="EM22" s="66" t="n"/>
      <c r="EN22" s="78">
        <f>IF(OR(INDEX(Undirviðmið!$G$6:$G$105,ROW()-6)&lt;&gt;"Starfsbundinn",EM22="",$E22="",$D22=""),"",ROUND(EM22/$E22*$D22*KVARDI,2))</f>
        <v/>
      </c>
      <c r="EO22" s="66" t="n"/>
      <c r="EP22" s="78">
        <f>IF(OR(INDEX(Undirviðmið!$G$6:$G$105,ROW()-6)&lt;&gt;"Starfsbundinn",EO22="",$E22="",$D22=""),"",ROUND(EO22/$E22*$D22*KVARDI,2))</f>
        <v/>
      </c>
      <c r="EQ22" s="66" t="n"/>
      <c r="ER22" s="78">
        <f>IF(OR(INDEX(Undirviðmið!$G$6:$G$105,ROW()-6)&lt;&gt;"Starfsbundinn",EQ22="",$E22="",$D22=""),"",ROUND(EQ22/$E22*$D22*KVARDI,2))</f>
        <v/>
      </c>
      <c r="ES22" s="66" t="n"/>
      <c r="ET22" s="78">
        <f>IF(OR(INDEX(Undirviðmið!$G$6:$G$105,ROW()-6)&lt;&gt;"Starfsbundinn",ES22="",$E22="",$D22=""),"",ROUND(ES22/$E22*$D22*KVARDI,2))</f>
        <v/>
      </c>
      <c r="EU22" s="66" t="n"/>
      <c r="EV22" s="78">
        <f>IF(OR(INDEX(Undirviðmið!$G$6:$G$105,ROW()-6)&lt;&gt;"Starfsbundinn",EU22="",$E22="",$D22=""),"",ROUND(EU22/$E22*$D22*KVARDI,2))</f>
        <v/>
      </c>
      <c r="EW22" s="66" t="n"/>
      <c r="EX22" s="78">
        <f>IF(OR(INDEX(Undirviðmið!$G$6:$G$105,ROW()-6)&lt;&gt;"Starfsbundinn",EW22="",$E22="",$D22=""),"",ROUND(EW22/$E22*$D22*KVARDI,2))</f>
        <v/>
      </c>
      <c r="EY22" s="66" t="n"/>
      <c r="EZ22" s="78">
        <f>IF(OR(INDEX(Undirviðmið!$G$6:$G$105,ROW()-6)&lt;&gt;"Starfsbundinn",EY22="",$E22="",$D22=""),"",ROUND(EY22/$E22*$D22*KVARDI,2))</f>
        <v/>
      </c>
      <c r="FA22" s="66" t="n"/>
      <c r="FB22" s="78">
        <f>IF(OR(INDEX(Undirviðmið!$G$6:$G$105,ROW()-6)&lt;&gt;"Starfsbundinn",FA22="",$E22="",$D22=""),"",ROUND(FA22/$E22*$D22*KVARDI,2))</f>
        <v/>
      </c>
      <c r="FC22" s="66" t="n"/>
      <c r="FD22" s="78">
        <f>IF(OR(INDEX(Undirviðmið!$G$6:$G$105,ROW()-6)&lt;&gt;"Starfsbundinn",FC22="",$E22="",$D22=""),"",ROUND(FC22/$E22*$D22*KVARDI,2))</f>
        <v/>
      </c>
      <c r="FE22" s="66" t="n"/>
      <c r="FF22" s="78">
        <f>IF(OR(INDEX(Undirviðmið!$G$6:$G$105,ROW()-6)&lt;&gt;"Starfsbundinn",FE22="",$E22="",$D22=""),"",ROUND(FE22/$E22*$D22*KVARDI,2))</f>
        <v/>
      </c>
      <c r="FG22" s="66" t="n"/>
      <c r="FH22" s="78">
        <f>IF(OR(INDEX(Undirviðmið!$G$6:$G$105,ROW()-6)&lt;&gt;"Starfsbundinn",FG22="",$E22="",$D22=""),"",ROUND(FG22/$E22*$D22*KVARDI,2))</f>
        <v/>
      </c>
      <c r="FI22" s="66" t="n"/>
      <c r="FJ22" s="78">
        <f>IF(OR(INDEX(Undirviðmið!$G$6:$G$105,ROW()-6)&lt;&gt;"Starfsbundinn",FI22="",$E22="",$D22=""),"",ROUND(FI22/$E22*$D22*KVARDI,2))</f>
        <v/>
      </c>
      <c r="FK22" s="66" t="n"/>
      <c r="FL22" s="78">
        <f>IF(OR(INDEX(Undirviðmið!$G$6:$G$105,ROW()-6)&lt;&gt;"Starfsbundinn",FK22="",$E22="",$D22=""),"",ROUND(FK22/$E22*$D22*KVARDI,2))</f>
        <v/>
      </c>
      <c r="FM22" s="66" t="n"/>
      <c r="FN22" s="78">
        <f>IF(OR(INDEX(Undirviðmið!$G$6:$G$105,ROW()-6)&lt;&gt;"Starfsbundinn",FM22="",$E22="",$D22=""),"",ROUND(FM22/$E22*$D22*KVARDI,2))</f>
        <v/>
      </c>
      <c r="FO22" s="66" t="n"/>
      <c r="FP22" s="78">
        <f>IF(OR(INDEX(Undirviðmið!$G$6:$G$105,ROW()-6)&lt;&gt;"Starfsbundinn",FO22="",$E22="",$D22=""),"",ROUND(FO22/$E22*$D22*KVARDI,2))</f>
        <v/>
      </c>
      <c r="FQ22" s="66" t="n"/>
      <c r="FR22" s="78">
        <f>IF(OR(INDEX(Undirviðmið!$G$6:$G$105,ROW()-6)&lt;&gt;"Starfsbundinn",FQ22="",$E22="",$D22=""),"",ROUND(FQ22/$E22*$D22*KVARDI,2))</f>
        <v/>
      </c>
      <c r="FS22" s="66" t="n"/>
      <c r="FT22" s="78">
        <f>IF(OR(INDEX(Undirviðmið!$G$6:$G$105,ROW()-6)&lt;&gt;"Starfsbundinn",FS22="",$E22="",$D22=""),"",ROUND(FS22/$E22*$D22*KVARDI,2))</f>
        <v/>
      </c>
      <c r="FU22" s="66" t="n"/>
      <c r="FV22" s="78">
        <f>IF(OR(INDEX(Undirviðmið!$G$6:$G$105,ROW()-6)&lt;&gt;"Starfsbundinn",FU22="",$E22="",$D22=""),"",ROUND(FU22/$E22*$D22*KVARDI,2))</f>
        <v/>
      </c>
      <c r="FW22" s="66" t="n"/>
      <c r="FX22" s="78">
        <f>IF(OR(INDEX(Undirviðmið!$G$6:$G$105,ROW()-6)&lt;&gt;"Starfsbundinn",FW22="",$E22="",$D22=""),"",ROUND(FW22/$E22*$D22*KVARDI,2))</f>
        <v/>
      </c>
      <c r="FY22" s="66" t="n"/>
      <c r="FZ22" s="78">
        <f>IF(OR(INDEX(Undirviðmið!$G$6:$G$105,ROW()-6)&lt;&gt;"Starfsbundinn",FY22="",$E22="",$D22=""),"",ROUND(FY22/$E22*$D22*KVARDI,2))</f>
        <v/>
      </c>
      <c r="GA22" s="66" t="n"/>
      <c r="GB22" s="78">
        <f>IF(OR(INDEX(Undirviðmið!$G$6:$G$105,ROW()-6)&lt;&gt;"Starfsbundinn",GA22="",$E22="",$D22=""),"",ROUND(GA22/$E22*$D22*KVARDI,2))</f>
        <v/>
      </c>
      <c r="GC22" s="66" t="n"/>
      <c r="GD22" s="78">
        <f>IF(OR(INDEX(Undirviðmið!$G$6:$G$105,ROW()-6)&lt;&gt;"Starfsbundinn",GC22="",$E22="",$D22=""),"",ROUND(GC22/$E22*$D22*KVARDI,2))</f>
        <v/>
      </c>
      <c r="GE22" s="66" t="n"/>
      <c r="GF22" s="78">
        <f>IF(OR(INDEX(Undirviðmið!$G$6:$G$105,ROW()-6)&lt;&gt;"Starfsbundinn",GE22="",$E22="",$D22=""),"",ROUND(GE22/$E22*$D22*KVARDI,2))</f>
        <v/>
      </c>
      <c r="GG22" s="66" t="n"/>
      <c r="GH22" s="78">
        <f>IF(OR(INDEX(Undirviðmið!$G$6:$G$105,ROW()-6)&lt;&gt;"Starfsbundinn",GG22="",$E22="",$D22=""),"",ROUND(GG22/$E22*$D22*KVARDI,2))</f>
        <v/>
      </c>
      <c r="GI22" s="66" t="n"/>
      <c r="GJ22" s="78">
        <f>IF(OR(INDEX(Undirviðmið!$G$6:$G$105,ROW()-6)&lt;&gt;"Starfsbundinn",GI22="",$E22="",$D22=""),"",ROUND(GI22/$E22*$D22*KVARDI,2))</f>
        <v/>
      </c>
      <c r="GK22" s="66" t="n"/>
      <c r="GL22" s="78">
        <f>IF(OR(INDEX(Undirviðmið!$G$6:$G$105,ROW()-6)&lt;&gt;"Starfsbundinn",GK22="",$E22="",$D22=""),"",ROUND(GK22/$E22*$D22*KVARDI,2))</f>
        <v/>
      </c>
      <c r="GM22" s="66" t="n"/>
      <c r="GN22" s="78">
        <f>IF(OR(INDEX(Undirviðmið!$G$6:$G$105,ROW()-6)&lt;&gt;"Starfsbundinn",GM22="",$E22="",$D22=""),"",ROUND(GM22/$E22*$D22*KVARDI,2))</f>
        <v/>
      </c>
      <c r="GO22" s="66" t="n"/>
      <c r="GP22" s="78">
        <f>IF(OR(INDEX(Undirviðmið!$G$6:$G$105,ROW()-6)&lt;&gt;"Starfsbundinn",GO22="",$E22="",$D22=""),"",ROUND(GO22/$E22*$D22*KVARDI,2))</f>
        <v/>
      </c>
      <c r="GQ22" s="66" t="n"/>
      <c r="GR22" s="78">
        <f>IF(OR(INDEX(Undirviðmið!$G$6:$G$105,ROW()-6)&lt;&gt;"Starfsbundinn",GQ22="",$E22="",$D22=""),"",ROUND(GQ22/$E22*$D22*KVARDI,2))</f>
        <v/>
      </c>
      <c r="GS22" s="66" t="n"/>
      <c r="GT22" s="78">
        <f>IF(OR(INDEX(Undirviðmið!$G$6:$G$105,ROW()-6)&lt;&gt;"Starfsbundinn",GS22="",$E22="",$D22=""),"",ROUND(GS22/$E22*$D22*KVARDI,2))</f>
        <v/>
      </c>
      <c r="GU22" s="66" t="n"/>
      <c r="GV22" s="78">
        <f>IF(OR(INDEX(Undirviðmið!$G$6:$G$105,ROW()-6)&lt;&gt;"Starfsbundinn",GU22="",$E22="",$D22=""),"",ROUND(GU22/$E22*$D22*KVARDI,2))</f>
        <v/>
      </c>
      <c r="GW22" s="66" t="n"/>
      <c r="GX22" s="78">
        <f>IF(OR(INDEX(Undirviðmið!$G$6:$G$105,ROW()-6)&lt;&gt;"Starfsbundinn",GW22="",$E22="",$D22=""),"",ROUND(GW22/$E22*$D22*KVARDI,2))</f>
        <v/>
      </c>
    </row>
    <row r="23" ht="15" customHeight="1" s="47">
      <c r="B23" s="67">
        <f>IF(INDEX(Undirviðmið!$G$6:$G$105,ROW()-6)="Starfsbundinn",INDEX(Undirviðmið!$B$6:$B$105,ROW()-6),"")</f>
        <v/>
      </c>
      <c r="C23" s="67">
        <f>IF(INDEX(Undirviðmið!$G$6:$G$105,ROW()-6)="Starfsbundinn",INDEX(Undirviðmið!$C$6:$C$105,ROW()-6),"")</f>
        <v/>
      </c>
      <c r="D23" s="77">
        <f>IF(INDEX(Undirviðmið!$G$6:$G$105,ROW()-6)="Starfsbundinn",INDEX(Undirviðmið!$E$6:$E$105,ROW()-6),"")</f>
        <v/>
      </c>
      <c r="E23" s="77">
        <f>IF(INDEX(Undirviðmið!$G$6:$G$105,ROW()-6)="Starfsbundinn",INDEX(Undirviðmið!$F$6:$F$105,ROW()-6),"")</f>
        <v/>
      </c>
      <c r="F23" s="77">
        <f>IF(INDEX(Undirviðmið!$G$6:$G$105,ROW()-6)="Starfsbundinn",IFERROR(INDEX(Undirviðmið!$E$6:$E$105,ROW()-6)*KVARDI,""),"")</f>
        <v/>
      </c>
      <c r="G23" s="66" t="n"/>
      <c r="H23" s="78">
        <f>IF(OR(INDEX(Undirviðmið!$G$6:$G$105,ROW()-6)&lt;&gt;"Starfsbundinn",G23="",$E23="",$D23=""),"",ROUND(G23/$E23*$D23*KVARDI,2))</f>
        <v/>
      </c>
      <c r="I23" s="66" t="n"/>
      <c r="J23" s="78">
        <f>IF(OR(INDEX(Undirviðmið!$G$6:$G$105,ROW()-6)&lt;&gt;"Starfsbundinn",I23="",$E23="",$D23=""),"",ROUND(I23/$E23*$D23*KVARDI,2))</f>
        <v/>
      </c>
      <c r="K23" s="66" t="n"/>
      <c r="L23" s="78">
        <f>IF(OR(INDEX(Undirviðmið!$G$6:$G$105,ROW()-6)&lt;&gt;"Starfsbundinn",K23="",$E23="",$D23=""),"",ROUND(K23/$E23*$D23*KVARDI,2))</f>
        <v/>
      </c>
      <c r="M23" s="66" t="n"/>
      <c r="N23" s="78">
        <f>IF(OR(INDEX(Undirviðmið!$G$6:$G$105,ROW()-6)&lt;&gt;"Starfsbundinn",M23="",$E23="",$D23=""),"",ROUND(M23/$E23*$D23*KVARDI,2))</f>
        <v/>
      </c>
      <c r="O23" s="66" t="n"/>
      <c r="P23" s="78">
        <f>IF(OR(INDEX(Undirviðmið!$G$6:$G$105,ROW()-6)&lt;&gt;"Starfsbundinn",O23="",$E23="",$D23=""),"",ROUND(O23/$E23*$D23*KVARDI,2))</f>
        <v/>
      </c>
      <c r="Q23" s="66" t="n"/>
      <c r="R23" s="78">
        <f>IF(OR(INDEX(Undirviðmið!$G$6:$G$105,ROW()-6)&lt;&gt;"Starfsbundinn",Q23="",$E23="",$D23=""),"",ROUND(Q23/$E23*$D23*KVARDI,2))</f>
        <v/>
      </c>
      <c r="S23" s="66" t="n"/>
      <c r="T23" s="78">
        <f>IF(OR(INDEX(Undirviðmið!$G$6:$G$105,ROW()-6)&lt;&gt;"Starfsbundinn",S23="",$E23="",$D23=""),"",ROUND(S23/$E23*$D23*KVARDI,2))</f>
        <v/>
      </c>
      <c r="U23" s="66" t="n"/>
      <c r="V23" s="78">
        <f>IF(OR(INDEX(Undirviðmið!$G$6:$G$105,ROW()-6)&lt;&gt;"Starfsbundinn",U23="",$E23="",$D23=""),"",ROUND(U23/$E23*$D23*KVARDI,2))</f>
        <v/>
      </c>
      <c r="W23" s="66" t="n"/>
      <c r="X23" s="78">
        <f>IF(OR(INDEX(Undirviðmið!$G$6:$G$105,ROW()-6)&lt;&gt;"Starfsbundinn",W23="",$E23="",$D23=""),"",ROUND(W23/$E23*$D23*KVARDI,2))</f>
        <v/>
      </c>
      <c r="Y23" s="66" t="n"/>
      <c r="Z23" s="78">
        <f>IF(OR(INDEX(Undirviðmið!$G$6:$G$105,ROW()-6)&lt;&gt;"Starfsbundinn",Y23="",$E23="",$D23=""),"",ROUND(Y23/$E23*$D23*KVARDI,2))</f>
        <v/>
      </c>
      <c r="AA23" s="66" t="n"/>
      <c r="AB23" s="78">
        <f>IF(OR(INDEX(Undirviðmið!$G$6:$G$105,ROW()-6)&lt;&gt;"Starfsbundinn",AA23="",$E23="",$D23=""),"",ROUND(AA23/$E23*$D23*KVARDI,2))</f>
        <v/>
      </c>
      <c r="AC23" s="66" t="n"/>
      <c r="AD23" s="78">
        <f>IF(OR(INDEX(Undirviðmið!$G$6:$G$105,ROW()-6)&lt;&gt;"Starfsbundinn",AC23="",$E23="",$D23=""),"",ROUND(AC23/$E23*$D23*KVARDI,2))</f>
        <v/>
      </c>
      <c r="AE23" s="66" t="n"/>
      <c r="AF23" s="78">
        <f>IF(OR(INDEX(Undirviðmið!$G$6:$G$105,ROW()-6)&lt;&gt;"Starfsbundinn",AE23="",$E23="",$D23=""),"",ROUND(AE23/$E23*$D23*KVARDI,2))</f>
        <v/>
      </c>
      <c r="AG23" s="66" t="n"/>
      <c r="AH23" s="78">
        <f>IF(OR(INDEX(Undirviðmið!$G$6:$G$105,ROW()-6)&lt;&gt;"Starfsbundinn",AG23="",$E23="",$D23=""),"",ROUND(AG23/$E23*$D23*KVARDI,2))</f>
        <v/>
      </c>
      <c r="AI23" s="66" t="n"/>
      <c r="AJ23" s="78">
        <f>IF(OR(INDEX(Undirviðmið!$G$6:$G$105,ROW()-6)&lt;&gt;"Starfsbundinn",AI23="",$E23="",$D23=""),"",ROUND(AI23/$E23*$D23*KVARDI,2))</f>
        <v/>
      </c>
      <c r="AK23" s="66" t="n"/>
      <c r="AL23" s="78">
        <f>IF(OR(INDEX(Undirviðmið!$G$6:$G$105,ROW()-6)&lt;&gt;"Starfsbundinn",AK23="",$E23="",$D23=""),"",ROUND(AK23/$E23*$D23*KVARDI,2))</f>
        <v/>
      </c>
      <c r="AM23" s="66" t="n"/>
      <c r="AN23" s="78">
        <f>IF(OR(INDEX(Undirviðmið!$G$6:$G$105,ROW()-6)&lt;&gt;"Starfsbundinn",AM23="",$E23="",$D23=""),"",ROUND(AM23/$E23*$D23*KVARDI,2))</f>
        <v/>
      </c>
      <c r="AO23" s="66" t="n"/>
      <c r="AP23" s="78">
        <f>IF(OR(INDEX(Undirviðmið!$G$6:$G$105,ROW()-6)&lt;&gt;"Starfsbundinn",AO23="",$E23="",$D23=""),"",ROUND(AO23/$E23*$D23*KVARDI,2))</f>
        <v/>
      </c>
      <c r="AQ23" s="66" t="n"/>
      <c r="AR23" s="78">
        <f>IF(OR(INDEX(Undirviðmið!$G$6:$G$105,ROW()-6)&lt;&gt;"Starfsbundinn",AQ23="",$E23="",$D23=""),"",ROUND(AQ23/$E23*$D23*KVARDI,2))</f>
        <v/>
      </c>
      <c r="AS23" s="66" t="n"/>
      <c r="AT23" s="78">
        <f>IF(OR(INDEX(Undirviðmið!$G$6:$G$105,ROW()-6)&lt;&gt;"Starfsbundinn",AS23="",$E23="",$D23=""),"",ROUND(AS23/$E23*$D23*KVARDI,2))</f>
        <v/>
      </c>
      <c r="AU23" s="66" t="n"/>
      <c r="AV23" s="78">
        <f>IF(OR(INDEX(Undirviðmið!$G$6:$G$105,ROW()-6)&lt;&gt;"Starfsbundinn",AU23="",$E23="",$D23=""),"",ROUND(AU23/$E23*$D23*KVARDI,2))</f>
        <v/>
      </c>
      <c r="AW23" s="66" t="n"/>
      <c r="AX23" s="78">
        <f>IF(OR(INDEX(Undirviðmið!$G$6:$G$105,ROW()-6)&lt;&gt;"Starfsbundinn",AW23="",$E23="",$D23=""),"",ROUND(AW23/$E23*$D23*KVARDI,2))</f>
        <v/>
      </c>
      <c r="AY23" s="66" t="n"/>
      <c r="AZ23" s="78">
        <f>IF(OR(INDEX(Undirviðmið!$G$6:$G$105,ROW()-6)&lt;&gt;"Starfsbundinn",AY23="",$E23="",$D23=""),"",ROUND(AY23/$E23*$D23*KVARDI,2))</f>
        <v/>
      </c>
      <c r="BA23" s="66" t="n"/>
      <c r="BB23" s="78">
        <f>IF(OR(INDEX(Undirviðmið!$G$6:$G$105,ROW()-6)&lt;&gt;"Starfsbundinn",BA23="",$E23="",$D23=""),"",ROUND(BA23/$E23*$D23*KVARDI,2))</f>
        <v/>
      </c>
      <c r="BC23" s="66" t="n"/>
      <c r="BD23" s="78">
        <f>IF(OR(INDEX(Undirviðmið!$G$6:$G$105,ROW()-6)&lt;&gt;"Starfsbundinn",BC23="",$E23="",$D23=""),"",ROUND(BC23/$E23*$D23*KVARDI,2))</f>
        <v/>
      </c>
      <c r="BE23" s="66" t="n"/>
      <c r="BF23" s="78">
        <f>IF(OR(INDEX(Undirviðmið!$G$6:$G$105,ROW()-6)&lt;&gt;"Starfsbundinn",BE23="",$E23="",$D23=""),"",ROUND(BE23/$E23*$D23*KVARDI,2))</f>
        <v/>
      </c>
      <c r="BG23" s="66" t="n"/>
      <c r="BH23" s="78">
        <f>IF(OR(INDEX(Undirviðmið!$G$6:$G$105,ROW()-6)&lt;&gt;"Starfsbundinn",BG23="",$E23="",$D23=""),"",ROUND(BG23/$E23*$D23*KVARDI,2))</f>
        <v/>
      </c>
      <c r="BI23" s="66" t="n"/>
      <c r="BJ23" s="78">
        <f>IF(OR(INDEX(Undirviðmið!$G$6:$G$105,ROW()-6)&lt;&gt;"Starfsbundinn",BI23="",$E23="",$D23=""),"",ROUND(BI23/$E23*$D23*KVARDI,2))</f>
        <v/>
      </c>
      <c r="BK23" s="66" t="n"/>
      <c r="BL23" s="78">
        <f>IF(OR(INDEX(Undirviðmið!$G$6:$G$105,ROW()-6)&lt;&gt;"Starfsbundinn",BK23="",$E23="",$D23=""),"",ROUND(BK23/$E23*$D23*KVARDI,2))</f>
        <v/>
      </c>
      <c r="BM23" s="66" t="n"/>
      <c r="BN23" s="78">
        <f>IF(OR(INDEX(Undirviðmið!$G$6:$G$105,ROW()-6)&lt;&gt;"Starfsbundinn",BM23="",$E23="",$D23=""),"",ROUND(BM23/$E23*$D23*KVARDI,2))</f>
        <v/>
      </c>
      <c r="BO23" s="66" t="n"/>
      <c r="BP23" s="78">
        <f>IF(OR(INDEX(Undirviðmið!$G$6:$G$105,ROW()-6)&lt;&gt;"Starfsbundinn",BO23="",$E23="",$D23=""),"",ROUND(BO23/$E23*$D23*KVARDI,2))</f>
        <v/>
      </c>
      <c r="BQ23" s="66" t="n"/>
      <c r="BR23" s="78">
        <f>IF(OR(INDEX(Undirviðmið!$G$6:$G$105,ROW()-6)&lt;&gt;"Starfsbundinn",BQ23="",$E23="",$D23=""),"",ROUND(BQ23/$E23*$D23*KVARDI,2))</f>
        <v/>
      </c>
      <c r="BS23" s="66" t="n"/>
      <c r="BT23" s="78">
        <f>IF(OR(INDEX(Undirviðmið!$G$6:$G$105,ROW()-6)&lt;&gt;"Starfsbundinn",BS23="",$E23="",$D23=""),"",ROUND(BS23/$E23*$D23*KVARDI,2))</f>
        <v/>
      </c>
      <c r="BU23" s="66" t="n"/>
      <c r="BV23" s="78">
        <f>IF(OR(INDEX(Undirviðmið!$G$6:$G$105,ROW()-6)&lt;&gt;"Starfsbundinn",BU23="",$E23="",$D23=""),"",ROUND(BU23/$E23*$D23*KVARDI,2))</f>
        <v/>
      </c>
      <c r="BW23" s="66" t="n"/>
      <c r="BX23" s="78">
        <f>IF(OR(INDEX(Undirviðmið!$G$6:$G$105,ROW()-6)&lt;&gt;"Starfsbundinn",BW23="",$E23="",$D23=""),"",ROUND(BW23/$E23*$D23*KVARDI,2))</f>
        <v/>
      </c>
      <c r="BY23" s="66" t="n"/>
      <c r="BZ23" s="78">
        <f>IF(OR(INDEX(Undirviðmið!$G$6:$G$105,ROW()-6)&lt;&gt;"Starfsbundinn",BY23="",$E23="",$D23=""),"",ROUND(BY23/$E23*$D23*KVARDI,2))</f>
        <v/>
      </c>
      <c r="CA23" s="66" t="n"/>
      <c r="CB23" s="78">
        <f>IF(OR(INDEX(Undirviðmið!$G$6:$G$105,ROW()-6)&lt;&gt;"Starfsbundinn",CA23="",$E23="",$D23=""),"",ROUND(CA23/$E23*$D23*KVARDI,2))</f>
        <v/>
      </c>
      <c r="CC23" s="66" t="n"/>
      <c r="CD23" s="78">
        <f>IF(OR(INDEX(Undirviðmið!$G$6:$G$105,ROW()-6)&lt;&gt;"Starfsbundinn",CC23="",$E23="",$D23=""),"",ROUND(CC23/$E23*$D23*KVARDI,2))</f>
        <v/>
      </c>
      <c r="CE23" s="66" t="n"/>
      <c r="CF23" s="78">
        <f>IF(OR(INDEX(Undirviðmið!$G$6:$G$105,ROW()-6)&lt;&gt;"Starfsbundinn",CE23="",$E23="",$D23=""),"",ROUND(CE23/$E23*$D23*KVARDI,2))</f>
        <v/>
      </c>
      <c r="CG23" s="66" t="n"/>
      <c r="CH23" s="78">
        <f>IF(OR(INDEX(Undirviðmið!$G$6:$G$105,ROW()-6)&lt;&gt;"Starfsbundinn",CG23="",$E23="",$D23=""),"",ROUND(CG23/$E23*$D23*KVARDI,2))</f>
        <v/>
      </c>
      <c r="CI23" s="66" t="n"/>
      <c r="CJ23" s="78">
        <f>IF(OR(INDEX(Undirviðmið!$G$6:$G$105,ROW()-6)&lt;&gt;"Starfsbundinn",CI23="",$E23="",$D23=""),"",ROUND(CI23/$E23*$D23*KVARDI,2))</f>
        <v/>
      </c>
      <c r="CK23" s="66" t="n"/>
      <c r="CL23" s="78">
        <f>IF(OR(INDEX(Undirviðmið!$G$6:$G$105,ROW()-6)&lt;&gt;"Starfsbundinn",CK23="",$E23="",$D23=""),"",ROUND(CK23/$E23*$D23*KVARDI,2))</f>
        <v/>
      </c>
      <c r="CM23" s="66" t="n"/>
      <c r="CN23" s="78">
        <f>IF(OR(INDEX(Undirviðmið!$G$6:$G$105,ROW()-6)&lt;&gt;"Starfsbundinn",CM23="",$E23="",$D23=""),"",ROUND(CM23/$E23*$D23*KVARDI,2))</f>
        <v/>
      </c>
      <c r="CO23" s="66" t="n"/>
      <c r="CP23" s="78">
        <f>IF(OR(INDEX(Undirviðmið!$G$6:$G$105,ROW()-6)&lt;&gt;"Starfsbundinn",CO23="",$E23="",$D23=""),"",ROUND(CO23/$E23*$D23*KVARDI,2))</f>
        <v/>
      </c>
      <c r="CQ23" s="66" t="n"/>
      <c r="CR23" s="78">
        <f>IF(OR(INDEX(Undirviðmið!$G$6:$G$105,ROW()-6)&lt;&gt;"Starfsbundinn",CQ23="",$E23="",$D23=""),"",ROUND(CQ23/$E23*$D23*KVARDI,2))</f>
        <v/>
      </c>
      <c r="CS23" s="66" t="n"/>
      <c r="CT23" s="78">
        <f>IF(OR(INDEX(Undirviðmið!$G$6:$G$105,ROW()-6)&lt;&gt;"Starfsbundinn",CS23="",$E23="",$D23=""),"",ROUND(CS23/$E23*$D23*KVARDI,2))</f>
        <v/>
      </c>
      <c r="CU23" s="66" t="n"/>
      <c r="CV23" s="78">
        <f>IF(OR(INDEX(Undirviðmið!$G$6:$G$105,ROW()-6)&lt;&gt;"Starfsbundinn",CU23="",$E23="",$D23=""),"",ROUND(CU23/$E23*$D23*KVARDI,2))</f>
        <v/>
      </c>
      <c r="CW23" s="66" t="n"/>
      <c r="CX23" s="78">
        <f>IF(OR(INDEX(Undirviðmið!$G$6:$G$105,ROW()-6)&lt;&gt;"Starfsbundinn",CW23="",$E23="",$D23=""),"",ROUND(CW23/$E23*$D23*KVARDI,2))</f>
        <v/>
      </c>
      <c r="CY23" s="66" t="n"/>
      <c r="CZ23" s="78">
        <f>IF(OR(INDEX(Undirviðmið!$G$6:$G$105,ROW()-6)&lt;&gt;"Starfsbundinn",CY23="",$E23="",$D23=""),"",ROUND(CY23/$E23*$D23*KVARDI,2))</f>
        <v/>
      </c>
      <c r="DA23" s="66" t="n"/>
      <c r="DB23" s="78">
        <f>IF(OR(INDEX(Undirviðmið!$G$6:$G$105,ROW()-6)&lt;&gt;"Starfsbundinn",DA23="",$E23="",$D23=""),"",ROUND(DA23/$E23*$D23*KVARDI,2))</f>
        <v/>
      </c>
      <c r="DC23" s="66" t="n"/>
      <c r="DD23" s="78">
        <f>IF(OR(INDEX(Undirviðmið!$G$6:$G$105,ROW()-6)&lt;&gt;"Starfsbundinn",DC23="",$E23="",$D23=""),"",ROUND(DC23/$E23*$D23*KVARDI,2))</f>
        <v/>
      </c>
      <c r="DE23" s="66" t="n"/>
      <c r="DF23" s="78">
        <f>IF(OR(INDEX(Undirviðmið!$G$6:$G$105,ROW()-6)&lt;&gt;"Starfsbundinn",DE23="",$E23="",$D23=""),"",ROUND(DE23/$E23*$D23*KVARDI,2))</f>
        <v/>
      </c>
      <c r="DG23" s="66" t="n"/>
      <c r="DH23" s="78">
        <f>IF(OR(INDEX(Undirviðmið!$G$6:$G$105,ROW()-6)&lt;&gt;"Starfsbundinn",DG23="",$E23="",$D23=""),"",ROUND(DG23/$E23*$D23*KVARDI,2))</f>
        <v/>
      </c>
      <c r="DI23" s="66" t="n"/>
      <c r="DJ23" s="78">
        <f>IF(OR(INDEX(Undirviðmið!$G$6:$G$105,ROW()-6)&lt;&gt;"Starfsbundinn",DI23="",$E23="",$D23=""),"",ROUND(DI23/$E23*$D23*KVARDI,2))</f>
        <v/>
      </c>
      <c r="DK23" s="66" t="n"/>
      <c r="DL23" s="78">
        <f>IF(OR(INDEX(Undirviðmið!$G$6:$G$105,ROW()-6)&lt;&gt;"Starfsbundinn",DK23="",$E23="",$D23=""),"",ROUND(DK23/$E23*$D23*KVARDI,2))</f>
        <v/>
      </c>
      <c r="DM23" s="66" t="n"/>
      <c r="DN23" s="78">
        <f>IF(OR(INDEX(Undirviðmið!$G$6:$G$105,ROW()-6)&lt;&gt;"Starfsbundinn",DM23="",$E23="",$D23=""),"",ROUND(DM23/$E23*$D23*KVARDI,2))</f>
        <v/>
      </c>
      <c r="DO23" s="66" t="n"/>
      <c r="DP23" s="78">
        <f>IF(OR(INDEX(Undirviðmið!$G$6:$G$105,ROW()-6)&lt;&gt;"Starfsbundinn",DO23="",$E23="",$D23=""),"",ROUND(DO23/$E23*$D23*KVARDI,2))</f>
        <v/>
      </c>
      <c r="DQ23" s="66" t="n"/>
      <c r="DR23" s="78">
        <f>IF(OR(INDEX(Undirviðmið!$G$6:$G$105,ROW()-6)&lt;&gt;"Starfsbundinn",DQ23="",$E23="",$D23=""),"",ROUND(DQ23/$E23*$D23*KVARDI,2))</f>
        <v/>
      </c>
      <c r="DS23" s="66" t="n"/>
      <c r="DT23" s="78">
        <f>IF(OR(INDEX(Undirviðmið!$G$6:$G$105,ROW()-6)&lt;&gt;"Starfsbundinn",DS23="",$E23="",$D23=""),"",ROUND(DS23/$E23*$D23*KVARDI,2))</f>
        <v/>
      </c>
      <c r="DU23" s="66" t="n"/>
      <c r="DV23" s="78">
        <f>IF(OR(INDEX(Undirviðmið!$G$6:$G$105,ROW()-6)&lt;&gt;"Starfsbundinn",DU23="",$E23="",$D23=""),"",ROUND(DU23/$E23*$D23*KVARDI,2))</f>
        <v/>
      </c>
      <c r="DW23" s="66" t="n"/>
      <c r="DX23" s="78">
        <f>IF(OR(INDEX(Undirviðmið!$G$6:$G$105,ROW()-6)&lt;&gt;"Starfsbundinn",DW23="",$E23="",$D23=""),"",ROUND(DW23/$E23*$D23*KVARDI,2))</f>
        <v/>
      </c>
      <c r="DY23" s="66" t="n"/>
      <c r="DZ23" s="78">
        <f>IF(OR(INDEX(Undirviðmið!$G$6:$G$105,ROW()-6)&lt;&gt;"Starfsbundinn",DY23="",$E23="",$D23=""),"",ROUND(DY23/$E23*$D23*KVARDI,2))</f>
        <v/>
      </c>
      <c r="EA23" s="66" t="n"/>
      <c r="EB23" s="78">
        <f>IF(OR(INDEX(Undirviðmið!$G$6:$G$105,ROW()-6)&lt;&gt;"Starfsbundinn",EA23="",$E23="",$D23=""),"",ROUND(EA23/$E23*$D23*KVARDI,2))</f>
        <v/>
      </c>
      <c r="EC23" s="66" t="n"/>
      <c r="ED23" s="78">
        <f>IF(OR(INDEX(Undirviðmið!$G$6:$G$105,ROW()-6)&lt;&gt;"Starfsbundinn",EC23="",$E23="",$D23=""),"",ROUND(EC23/$E23*$D23*KVARDI,2))</f>
        <v/>
      </c>
      <c r="EE23" s="66" t="n"/>
      <c r="EF23" s="78">
        <f>IF(OR(INDEX(Undirviðmið!$G$6:$G$105,ROW()-6)&lt;&gt;"Starfsbundinn",EE23="",$E23="",$D23=""),"",ROUND(EE23/$E23*$D23*KVARDI,2))</f>
        <v/>
      </c>
      <c r="EG23" s="66" t="n"/>
      <c r="EH23" s="78">
        <f>IF(OR(INDEX(Undirviðmið!$G$6:$G$105,ROW()-6)&lt;&gt;"Starfsbundinn",EG23="",$E23="",$D23=""),"",ROUND(EG23/$E23*$D23*KVARDI,2))</f>
        <v/>
      </c>
      <c r="EI23" s="66" t="n"/>
      <c r="EJ23" s="78">
        <f>IF(OR(INDEX(Undirviðmið!$G$6:$G$105,ROW()-6)&lt;&gt;"Starfsbundinn",EI23="",$E23="",$D23=""),"",ROUND(EI23/$E23*$D23*KVARDI,2))</f>
        <v/>
      </c>
      <c r="EK23" s="66" t="n"/>
      <c r="EL23" s="78">
        <f>IF(OR(INDEX(Undirviðmið!$G$6:$G$105,ROW()-6)&lt;&gt;"Starfsbundinn",EK23="",$E23="",$D23=""),"",ROUND(EK23/$E23*$D23*KVARDI,2))</f>
        <v/>
      </c>
      <c r="EM23" s="66" t="n"/>
      <c r="EN23" s="78">
        <f>IF(OR(INDEX(Undirviðmið!$G$6:$G$105,ROW()-6)&lt;&gt;"Starfsbundinn",EM23="",$E23="",$D23=""),"",ROUND(EM23/$E23*$D23*KVARDI,2))</f>
        <v/>
      </c>
      <c r="EO23" s="66" t="n"/>
      <c r="EP23" s="78">
        <f>IF(OR(INDEX(Undirviðmið!$G$6:$G$105,ROW()-6)&lt;&gt;"Starfsbundinn",EO23="",$E23="",$D23=""),"",ROUND(EO23/$E23*$D23*KVARDI,2))</f>
        <v/>
      </c>
      <c r="EQ23" s="66" t="n"/>
      <c r="ER23" s="78">
        <f>IF(OR(INDEX(Undirviðmið!$G$6:$G$105,ROW()-6)&lt;&gt;"Starfsbundinn",EQ23="",$E23="",$D23=""),"",ROUND(EQ23/$E23*$D23*KVARDI,2))</f>
        <v/>
      </c>
      <c r="ES23" s="66" t="n"/>
      <c r="ET23" s="78">
        <f>IF(OR(INDEX(Undirviðmið!$G$6:$G$105,ROW()-6)&lt;&gt;"Starfsbundinn",ES23="",$E23="",$D23=""),"",ROUND(ES23/$E23*$D23*KVARDI,2))</f>
        <v/>
      </c>
      <c r="EU23" s="66" t="n"/>
      <c r="EV23" s="78">
        <f>IF(OR(INDEX(Undirviðmið!$G$6:$G$105,ROW()-6)&lt;&gt;"Starfsbundinn",EU23="",$E23="",$D23=""),"",ROUND(EU23/$E23*$D23*KVARDI,2))</f>
        <v/>
      </c>
      <c r="EW23" s="66" t="n"/>
      <c r="EX23" s="78">
        <f>IF(OR(INDEX(Undirviðmið!$G$6:$G$105,ROW()-6)&lt;&gt;"Starfsbundinn",EW23="",$E23="",$D23=""),"",ROUND(EW23/$E23*$D23*KVARDI,2))</f>
        <v/>
      </c>
      <c r="EY23" s="66" t="n"/>
      <c r="EZ23" s="78">
        <f>IF(OR(INDEX(Undirviðmið!$G$6:$G$105,ROW()-6)&lt;&gt;"Starfsbundinn",EY23="",$E23="",$D23=""),"",ROUND(EY23/$E23*$D23*KVARDI,2))</f>
        <v/>
      </c>
      <c r="FA23" s="66" t="n"/>
      <c r="FB23" s="78">
        <f>IF(OR(INDEX(Undirviðmið!$G$6:$G$105,ROW()-6)&lt;&gt;"Starfsbundinn",FA23="",$E23="",$D23=""),"",ROUND(FA23/$E23*$D23*KVARDI,2))</f>
        <v/>
      </c>
      <c r="FC23" s="66" t="n"/>
      <c r="FD23" s="78">
        <f>IF(OR(INDEX(Undirviðmið!$G$6:$G$105,ROW()-6)&lt;&gt;"Starfsbundinn",FC23="",$E23="",$D23=""),"",ROUND(FC23/$E23*$D23*KVARDI,2))</f>
        <v/>
      </c>
      <c r="FE23" s="66" t="n"/>
      <c r="FF23" s="78">
        <f>IF(OR(INDEX(Undirviðmið!$G$6:$G$105,ROW()-6)&lt;&gt;"Starfsbundinn",FE23="",$E23="",$D23=""),"",ROUND(FE23/$E23*$D23*KVARDI,2))</f>
        <v/>
      </c>
      <c r="FG23" s="66" t="n"/>
      <c r="FH23" s="78">
        <f>IF(OR(INDEX(Undirviðmið!$G$6:$G$105,ROW()-6)&lt;&gt;"Starfsbundinn",FG23="",$E23="",$D23=""),"",ROUND(FG23/$E23*$D23*KVARDI,2))</f>
        <v/>
      </c>
      <c r="FI23" s="66" t="n"/>
      <c r="FJ23" s="78">
        <f>IF(OR(INDEX(Undirviðmið!$G$6:$G$105,ROW()-6)&lt;&gt;"Starfsbundinn",FI23="",$E23="",$D23=""),"",ROUND(FI23/$E23*$D23*KVARDI,2))</f>
        <v/>
      </c>
      <c r="FK23" s="66" t="n"/>
      <c r="FL23" s="78">
        <f>IF(OR(INDEX(Undirviðmið!$G$6:$G$105,ROW()-6)&lt;&gt;"Starfsbundinn",FK23="",$E23="",$D23=""),"",ROUND(FK23/$E23*$D23*KVARDI,2))</f>
        <v/>
      </c>
      <c r="FM23" s="66" t="n"/>
      <c r="FN23" s="78">
        <f>IF(OR(INDEX(Undirviðmið!$G$6:$G$105,ROW()-6)&lt;&gt;"Starfsbundinn",FM23="",$E23="",$D23=""),"",ROUND(FM23/$E23*$D23*KVARDI,2))</f>
        <v/>
      </c>
      <c r="FO23" s="66" t="n"/>
      <c r="FP23" s="78">
        <f>IF(OR(INDEX(Undirviðmið!$G$6:$G$105,ROW()-6)&lt;&gt;"Starfsbundinn",FO23="",$E23="",$D23=""),"",ROUND(FO23/$E23*$D23*KVARDI,2))</f>
        <v/>
      </c>
      <c r="FQ23" s="66" t="n"/>
      <c r="FR23" s="78">
        <f>IF(OR(INDEX(Undirviðmið!$G$6:$G$105,ROW()-6)&lt;&gt;"Starfsbundinn",FQ23="",$E23="",$D23=""),"",ROUND(FQ23/$E23*$D23*KVARDI,2))</f>
        <v/>
      </c>
      <c r="FS23" s="66" t="n"/>
      <c r="FT23" s="78">
        <f>IF(OR(INDEX(Undirviðmið!$G$6:$G$105,ROW()-6)&lt;&gt;"Starfsbundinn",FS23="",$E23="",$D23=""),"",ROUND(FS23/$E23*$D23*KVARDI,2))</f>
        <v/>
      </c>
      <c r="FU23" s="66" t="n"/>
      <c r="FV23" s="78">
        <f>IF(OR(INDEX(Undirviðmið!$G$6:$G$105,ROW()-6)&lt;&gt;"Starfsbundinn",FU23="",$E23="",$D23=""),"",ROUND(FU23/$E23*$D23*KVARDI,2))</f>
        <v/>
      </c>
      <c r="FW23" s="66" t="n"/>
      <c r="FX23" s="78">
        <f>IF(OR(INDEX(Undirviðmið!$G$6:$G$105,ROW()-6)&lt;&gt;"Starfsbundinn",FW23="",$E23="",$D23=""),"",ROUND(FW23/$E23*$D23*KVARDI,2))</f>
        <v/>
      </c>
      <c r="FY23" s="66" t="n"/>
      <c r="FZ23" s="78">
        <f>IF(OR(INDEX(Undirviðmið!$G$6:$G$105,ROW()-6)&lt;&gt;"Starfsbundinn",FY23="",$E23="",$D23=""),"",ROUND(FY23/$E23*$D23*KVARDI,2))</f>
        <v/>
      </c>
      <c r="GA23" s="66" t="n"/>
      <c r="GB23" s="78">
        <f>IF(OR(INDEX(Undirviðmið!$G$6:$G$105,ROW()-6)&lt;&gt;"Starfsbundinn",GA23="",$E23="",$D23=""),"",ROUND(GA23/$E23*$D23*KVARDI,2))</f>
        <v/>
      </c>
      <c r="GC23" s="66" t="n"/>
      <c r="GD23" s="78">
        <f>IF(OR(INDEX(Undirviðmið!$G$6:$G$105,ROW()-6)&lt;&gt;"Starfsbundinn",GC23="",$E23="",$D23=""),"",ROUND(GC23/$E23*$D23*KVARDI,2))</f>
        <v/>
      </c>
      <c r="GE23" s="66" t="n"/>
      <c r="GF23" s="78">
        <f>IF(OR(INDEX(Undirviðmið!$G$6:$G$105,ROW()-6)&lt;&gt;"Starfsbundinn",GE23="",$E23="",$D23=""),"",ROUND(GE23/$E23*$D23*KVARDI,2))</f>
        <v/>
      </c>
      <c r="GG23" s="66" t="n"/>
      <c r="GH23" s="78">
        <f>IF(OR(INDEX(Undirviðmið!$G$6:$G$105,ROW()-6)&lt;&gt;"Starfsbundinn",GG23="",$E23="",$D23=""),"",ROUND(GG23/$E23*$D23*KVARDI,2))</f>
        <v/>
      </c>
      <c r="GI23" s="66" t="n"/>
      <c r="GJ23" s="78">
        <f>IF(OR(INDEX(Undirviðmið!$G$6:$G$105,ROW()-6)&lt;&gt;"Starfsbundinn",GI23="",$E23="",$D23=""),"",ROUND(GI23/$E23*$D23*KVARDI,2))</f>
        <v/>
      </c>
      <c r="GK23" s="66" t="n"/>
      <c r="GL23" s="78">
        <f>IF(OR(INDEX(Undirviðmið!$G$6:$G$105,ROW()-6)&lt;&gt;"Starfsbundinn",GK23="",$E23="",$D23=""),"",ROUND(GK23/$E23*$D23*KVARDI,2))</f>
        <v/>
      </c>
      <c r="GM23" s="66" t="n"/>
      <c r="GN23" s="78">
        <f>IF(OR(INDEX(Undirviðmið!$G$6:$G$105,ROW()-6)&lt;&gt;"Starfsbundinn",GM23="",$E23="",$D23=""),"",ROUND(GM23/$E23*$D23*KVARDI,2))</f>
        <v/>
      </c>
      <c r="GO23" s="66" t="n"/>
      <c r="GP23" s="78">
        <f>IF(OR(INDEX(Undirviðmið!$G$6:$G$105,ROW()-6)&lt;&gt;"Starfsbundinn",GO23="",$E23="",$D23=""),"",ROUND(GO23/$E23*$D23*KVARDI,2))</f>
        <v/>
      </c>
      <c r="GQ23" s="66" t="n"/>
      <c r="GR23" s="78">
        <f>IF(OR(INDEX(Undirviðmið!$G$6:$G$105,ROW()-6)&lt;&gt;"Starfsbundinn",GQ23="",$E23="",$D23=""),"",ROUND(GQ23/$E23*$D23*KVARDI,2))</f>
        <v/>
      </c>
      <c r="GS23" s="66" t="n"/>
      <c r="GT23" s="78">
        <f>IF(OR(INDEX(Undirviðmið!$G$6:$G$105,ROW()-6)&lt;&gt;"Starfsbundinn",GS23="",$E23="",$D23=""),"",ROUND(GS23/$E23*$D23*KVARDI,2))</f>
        <v/>
      </c>
      <c r="GU23" s="66" t="n"/>
      <c r="GV23" s="78">
        <f>IF(OR(INDEX(Undirviðmið!$G$6:$G$105,ROW()-6)&lt;&gt;"Starfsbundinn",GU23="",$E23="",$D23=""),"",ROUND(GU23/$E23*$D23*KVARDI,2))</f>
        <v/>
      </c>
      <c r="GW23" s="66" t="n"/>
      <c r="GX23" s="78">
        <f>IF(OR(INDEX(Undirviðmið!$G$6:$G$105,ROW()-6)&lt;&gt;"Starfsbundinn",GW23="",$E23="",$D23=""),"",ROUND(GW23/$E23*$D23*KVARDI,2))</f>
        <v/>
      </c>
    </row>
    <row r="24" ht="15" customHeight="1" s="47">
      <c r="B24" s="67">
        <f>IF(INDEX(Undirviðmið!$G$6:$G$105,ROW()-6)="Starfsbundinn",INDEX(Undirviðmið!$B$6:$B$105,ROW()-6),"")</f>
        <v/>
      </c>
      <c r="C24" s="67">
        <f>IF(INDEX(Undirviðmið!$G$6:$G$105,ROW()-6)="Starfsbundinn",INDEX(Undirviðmið!$C$6:$C$105,ROW()-6),"")</f>
        <v/>
      </c>
      <c r="D24" s="77">
        <f>IF(INDEX(Undirviðmið!$G$6:$G$105,ROW()-6)="Starfsbundinn",INDEX(Undirviðmið!$E$6:$E$105,ROW()-6),"")</f>
        <v/>
      </c>
      <c r="E24" s="77">
        <f>IF(INDEX(Undirviðmið!$G$6:$G$105,ROW()-6)="Starfsbundinn",INDEX(Undirviðmið!$F$6:$F$105,ROW()-6),"")</f>
        <v/>
      </c>
      <c r="F24" s="77">
        <f>IF(INDEX(Undirviðmið!$G$6:$G$105,ROW()-6)="Starfsbundinn",IFERROR(INDEX(Undirviðmið!$E$6:$E$105,ROW()-6)*KVARDI,""),"")</f>
        <v/>
      </c>
      <c r="G24" s="66" t="n"/>
      <c r="H24" s="78">
        <f>IF(OR(INDEX(Undirviðmið!$G$6:$G$105,ROW()-6)&lt;&gt;"Starfsbundinn",G24="",$E24="",$D24=""),"",ROUND(G24/$E24*$D24*KVARDI,2))</f>
        <v/>
      </c>
      <c r="I24" s="66" t="n"/>
      <c r="J24" s="78">
        <f>IF(OR(INDEX(Undirviðmið!$G$6:$G$105,ROW()-6)&lt;&gt;"Starfsbundinn",I24="",$E24="",$D24=""),"",ROUND(I24/$E24*$D24*KVARDI,2))</f>
        <v/>
      </c>
      <c r="K24" s="66" t="n"/>
      <c r="L24" s="78">
        <f>IF(OR(INDEX(Undirviðmið!$G$6:$G$105,ROW()-6)&lt;&gt;"Starfsbundinn",K24="",$E24="",$D24=""),"",ROUND(K24/$E24*$D24*KVARDI,2))</f>
        <v/>
      </c>
      <c r="M24" s="66" t="n"/>
      <c r="N24" s="78">
        <f>IF(OR(INDEX(Undirviðmið!$G$6:$G$105,ROW()-6)&lt;&gt;"Starfsbundinn",M24="",$E24="",$D24=""),"",ROUND(M24/$E24*$D24*KVARDI,2))</f>
        <v/>
      </c>
      <c r="O24" s="66" t="n"/>
      <c r="P24" s="78">
        <f>IF(OR(INDEX(Undirviðmið!$G$6:$G$105,ROW()-6)&lt;&gt;"Starfsbundinn",O24="",$E24="",$D24=""),"",ROUND(O24/$E24*$D24*KVARDI,2))</f>
        <v/>
      </c>
      <c r="Q24" s="66" t="n"/>
      <c r="R24" s="78">
        <f>IF(OR(INDEX(Undirviðmið!$G$6:$G$105,ROW()-6)&lt;&gt;"Starfsbundinn",Q24="",$E24="",$D24=""),"",ROUND(Q24/$E24*$D24*KVARDI,2))</f>
        <v/>
      </c>
      <c r="S24" s="66" t="n"/>
      <c r="T24" s="78">
        <f>IF(OR(INDEX(Undirviðmið!$G$6:$G$105,ROW()-6)&lt;&gt;"Starfsbundinn",S24="",$E24="",$D24=""),"",ROUND(S24/$E24*$D24*KVARDI,2))</f>
        <v/>
      </c>
      <c r="U24" s="66" t="n"/>
      <c r="V24" s="78">
        <f>IF(OR(INDEX(Undirviðmið!$G$6:$G$105,ROW()-6)&lt;&gt;"Starfsbundinn",U24="",$E24="",$D24=""),"",ROUND(U24/$E24*$D24*KVARDI,2))</f>
        <v/>
      </c>
      <c r="W24" s="66" t="n"/>
      <c r="X24" s="78">
        <f>IF(OR(INDEX(Undirviðmið!$G$6:$G$105,ROW()-6)&lt;&gt;"Starfsbundinn",W24="",$E24="",$D24=""),"",ROUND(W24/$E24*$D24*KVARDI,2))</f>
        <v/>
      </c>
      <c r="Y24" s="66" t="n"/>
      <c r="Z24" s="78">
        <f>IF(OR(INDEX(Undirviðmið!$G$6:$G$105,ROW()-6)&lt;&gt;"Starfsbundinn",Y24="",$E24="",$D24=""),"",ROUND(Y24/$E24*$D24*KVARDI,2))</f>
        <v/>
      </c>
      <c r="AA24" s="66" t="n"/>
      <c r="AB24" s="78">
        <f>IF(OR(INDEX(Undirviðmið!$G$6:$G$105,ROW()-6)&lt;&gt;"Starfsbundinn",AA24="",$E24="",$D24=""),"",ROUND(AA24/$E24*$D24*KVARDI,2))</f>
        <v/>
      </c>
      <c r="AC24" s="66" t="n"/>
      <c r="AD24" s="78">
        <f>IF(OR(INDEX(Undirviðmið!$G$6:$G$105,ROW()-6)&lt;&gt;"Starfsbundinn",AC24="",$E24="",$D24=""),"",ROUND(AC24/$E24*$D24*KVARDI,2))</f>
        <v/>
      </c>
      <c r="AE24" s="66" t="n"/>
      <c r="AF24" s="78">
        <f>IF(OR(INDEX(Undirviðmið!$G$6:$G$105,ROW()-6)&lt;&gt;"Starfsbundinn",AE24="",$E24="",$D24=""),"",ROUND(AE24/$E24*$D24*KVARDI,2))</f>
        <v/>
      </c>
      <c r="AG24" s="66" t="n"/>
      <c r="AH24" s="78">
        <f>IF(OR(INDEX(Undirviðmið!$G$6:$G$105,ROW()-6)&lt;&gt;"Starfsbundinn",AG24="",$E24="",$D24=""),"",ROUND(AG24/$E24*$D24*KVARDI,2))</f>
        <v/>
      </c>
      <c r="AI24" s="66" t="n"/>
      <c r="AJ24" s="78">
        <f>IF(OR(INDEX(Undirviðmið!$G$6:$G$105,ROW()-6)&lt;&gt;"Starfsbundinn",AI24="",$E24="",$D24=""),"",ROUND(AI24/$E24*$D24*KVARDI,2))</f>
        <v/>
      </c>
      <c r="AK24" s="66" t="n"/>
      <c r="AL24" s="78">
        <f>IF(OR(INDEX(Undirviðmið!$G$6:$G$105,ROW()-6)&lt;&gt;"Starfsbundinn",AK24="",$E24="",$D24=""),"",ROUND(AK24/$E24*$D24*KVARDI,2))</f>
        <v/>
      </c>
      <c r="AM24" s="66" t="n"/>
      <c r="AN24" s="78">
        <f>IF(OR(INDEX(Undirviðmið!$G$6:$G$105,ROW()-6)&lt;&gt;"Starfsbundinn",AM24="",$E24="",$D24=""),"",ROUND(AM24/$E24*$D24*KVARDI,2))</f>
        <v/>
      </c>
      <c r="AO24" s="66" t="n"/>
      <c r="AP24" s="78">
        <f>IF(OR(INDEX(Undirviðmið!$G$6:$G$105,ROW()-6)&lt;&gt;"Starfsbundinn",AO24="",$E24="",$D24=""),"",ROUND(AO24/$E24*$D24*KVARDI,2))</f>
        <v/>
      </c>
      <c r="AQ24" s="66" t="n"/>
      <c r="AR24" s="78">
        <f>IF(OR(INDEX(Undirviðmið!$G$6:$G$105,ROW()-6)&lt;&gt;"Starfsbundinn",AQ24="",$E24="",$D24=""),"",ROUND(AQ24/$E24*$D24*KVARDI,2))</f>
        <v/>
      </c>
      <c r="AS24" s="66" t="n"/>
      <c r="AT24" s="78">
        <f>IF(OR(INDEX(Undirviðmið!$G$6:$G$105,ROW()-6)&lt;&gt;"Starfsbundinn",AS24="",$E24="",$D24=""),"",ROUND(AS24/$E24*$D24*KVARDI,2))</f>
        <v/>
      </c>
      <c r="AU24" s="66" t="n"/>
      <c r="AV24" s="78">
        <f>IF(OR(INDEX(Undirviðmið!$G$6:$G$105,ROW()-6)&lt;&gt;"Starfsbundinn",AU24="",$E24="",$D24=""),"",ROUND(AU24/$E24*$D24*KVARDI,2))</f>
        <v/>
      </c>
      <c r="AW24" s="66" t="n"/>
      <c r="AX24" s="78">
        <f>IF(OR(INDEX(Undirviðmið!$G$6:$G$105,ROW()-6)&lt;&gt;"Starfsbundinn",AW24="",$E24="",$D24=""),"",ROUND(AW24/$E24*$D24*KVARDI,2))</f>
        <v/>
      </c>
      <c r="AY24" s="66" t="n"/>
      <c r="AZ24" s="78">
        <f>IF(OR(INDEX(Undirviðmið!$G$6:$G$105,ROW()-6)&lt;&gt;"Starfsbundinn",AY24="",$E24="",$D24=""),"",ROUND(AY24/$E24*$D24*KVARDI,2))</f>
        <v/>
      </c>
      <c r="BA24" s="66" t="n"/>
      <c r="BB24" s="78">
        <f>IF(OR(INDEX(Undirviðmið!$G$6:$G$105,ROW()-6)&lt;&gt;"Starfsbundinn",BA24="",$E24="",$D24=""),"",ROUND(BA24/$E24*$D24*KVARDI,2))</f>
        <v/>
      </c>
      <c r="BC24" s="66" t="n"/>
      <c r="BD24" s="78">
        <f>IF(OR(INDEX(Undirviðmið!$G$6:$G$105,ROW()-6)&lt;&gt;"Starfsbundinn",BC24="",$E24="",$D24=""),"",ROUND(BC24/$E24*$D24*KVARDI,2))</f>
        <v/>
      </c>
      <c r="BE24" s="66" t="n"/>
      <c r="BF24" s="78">
        <f>IF(OR(INDEX(Undirviðmið!$G$6:$G$105,ROW()-6)&lt;&gt;"Starfsbundinn",BE24="",$E24="",$D24=""),"",ROUND(BE24/$E24*$D24*KVARDI,2))</f>
        <v/>
      </c>
      <c r="BG24" s="66" t="n"/>
      <c r="BH24" s="78">
        <f>IF(OR(INDEX(Undirviðmið!$G$6:$G$105,ROW()-6)&lt;&gt;"Starfsbundinn",BG24="",$E24="",$D24=""),"",ROUND(BG24/$E24*$D24*KVARDI,2))</f>
        <v/>
      </c>
      <c r="BI24" s="66" t="n"/>
      <c r="BJ24" s="78">
        <f>IF(OR(INDEX(Undirviðmið!$G$6:$G$105,ROW()-6)&lt;&gt;"Starfsbundinn",BI24="",$E24="",$D24=""),"",ROUND(BI24/$E24*$D24*KVARDI,2))</f>
        <v/>
      </c>
      <c r="BK24" s="66" t="n"/>
      <c r="BL24" s="78">
        <f>IF(OR(INDEX(Undirviðmið!$G$6:$G$105,ROW()-6)&lt;&gt;"Starfsbundinn",BK24="",$E24="",$D24=""),"",ROUND(BK24/$E24*$D24*KVARDI,2))</f>
        <v/>
      </c>
      <c r="BM24" s="66" t="n"/>
      <c r="BN24" s="78">
        <f>IF(OR(INDEX(Undirviðmið!$G$6:$G$105,ROW()-6)&lt;&gt;"Starfsbundinn",BM24="",$E24="",$D24=""),"",ROUND(BM24/$E24*$D24*KVARDI,2))</f>
        <v/>
      </c>
      <c r="BO24" s="66" t="n"/>
      <c r="BP24" s="78">
        <f>IF(OR(INDEX(Undirviðmið!$G$6:$G$105,ROW()-6)&lt;&gt;"Starfsbundinn",BO24="",$E24="",$D24=""),"",ROUND(BO24/$E24*$D24*KVARDI,2))</f>
        <v/>
      </c>
      <c r="BQ24" s="66" t="n"/>
      <c r="BR24" s="78">
        <f>IF(OR(INDEX(Undirviðmið!$G$6:$G$105,ROW()-6)&lt;&gt;"Starfsbundinn",BQ24="",$E24="",$D24=""),"",ROUND(BQ24/$E24*$D24*KVARDI,2))</f>
        <v/>
      </c>
      <c r="BS24" s="66" t="n"/>
      <c r="BT24" s="78">
        <f>IF(OR(INDEX(Undirviðmið!$G$6:$G$105,ROW()-6)&lt;&gt;"Starfsbundinn",BS24="",$E24="",$D24=""),"",ROUND(BS24/$E24*$D24*KVARDI,2))</f>
        <v/>
      </c>
      <c r="BU24" s="66" t="n"/>
      <c r="BV24" s="78">
        <f>IF(OR(INDEX(Undirviðmið!$G$6:$G$105,ROW()-6)&lt;&gt;"Starfsbundinn",BU24="",$E24="",$D24=""),"",ROUND(BU24/$E24*$D24*KVARDI,2))</f>
        <v/>
      </c>
      <c r="BW24" s="66" t="n"/>
      <c r="BX24" s="78">
        <f>IF(OR(INDEX(Undirviðmið!$G$6:$G$105,ROW()-6)&lt;&gt;"Starfsbundinn",BW24="",$E24="",$D24=""),"",ROUND(BW24/$E24*$D24*KVARDI,2))</f>
        <v/>
      </c>
      <c r="BY24" s="66" t="n"/>
      <c r="BZ24" s="78">
        <f>IF(OR(INDEX(Undirviðmið!$G$6:$G$105,ROW()-6)&lt;&gt;"Starfsbundinn",BY24="",$E24="",$D24=""),"",ROUND(BY24/$E24*$D24*KVARDI,2))</f>
        <v/>
      </c>
      <c r="CA24" s="66" t="n"/>
      <c r="CB24" s="78">
        <f>IF(OR(INDEX(Undirviðmið!$G$6:$G$105,ROW()-6)&lt;&gt;"Starfsbundinn",CA24="",$E24="",$D24=""),"",ROUND(CA24/$E24*$D24*KVARDI,2))</f>
        <v/>
      </c>
      <c r="CC24" s="66" t="n"/>
      <c r="CD24" s="78">
        <f>IF(OR(INDEX(Undirviðmið!$G$6:$G$105,ROW()-6)&lt;&gt;"Starfsbundinn",CC24="",$E24="",$D24=""),"",ROUND(CC24/$E24*$D24*KVARDI,2))</f>
        <v/>
      </c>
      <c r="CE24" s="66" t="n"/>
      <c r="CF24" s="78">
        <f>IF(OR(INDEX(Undirviðmið!$G$6:$G$105,ROW()-6)&lt;&gt;"Starfsbundinn",CE24="",$E24="",$D24=""),"",ROUND(CE24/$E24*$D24*KVARDI,2))</f>
        <v/>
      </c>
      <c r="CG24" s="66" t="n"/>
      <c r="CH24" s="78">
        <f>IF(OR(INDEX(Undirviðmið!$G$6:$G$105,ROW()-6)&lt;&gt;"Starfsbundinn",CG24="",$E24="",$D24=""),"",ROUND(CG24/$E24*$D24*KVARDI,2))</f>
        <v/>
      </c>
      <c r="CI24" s="66" t="n"/>
      <c r="CJ24" s="78">
        <f>IF(OR(INDEX(Undirviðmið!$G$6:$G$105,ROW()-6)&lt;&gt;"Starfsbundinn",CI24="",$E24="",$D24=""),"",ROUND(CI24/$E24*$D24*KVARDI,2))</f>
        <v/>
      </c>
      <c r="CK24" s="66" t="n"/>
      <c r="CL24" s="78">
        <f>IF(OR(INDEX(Undirviðmið!$G$6:$G$105,ROW()-6)&lt;&gt;"Starfsbundinn",CK24="",$E24="",$D24=""),"",ROUND(CK24/$E24*$D24*KVARDI,2))</f>
        <v/>
      </c>
      <c r="CM24" s="66" t="n"/>
      <c r="CN24" s="78">
        <f>IF(OR(INDEX(Undirviðmið!$G$6:$G$105,ROW()-6)&lt;&gt;"Starfsbundinn",CM24="",$E24="",$D24=""),"",ROUND(CM24/$E24*$D24*KVARDI,2))</f>
        <v/>
      </c>
      <c r="CO24" s="66" t="n"/>
      <c r="CP24" s="78">
        <f>IF(OR(INDEX(Undirviðmið!$G$6:$G$105,ROW()-6)&lt;&gt;"Starfsbundinn",CO24="",$E24="",$D24=""),"",ROUND(CO24/$E24*$D24*KVARDI,2))</f>
        <v/>
      </c>
      <c r="CQ24" s="66" t="n"/>
      <c r="CR24" s="78">
        <f>IF(OR(INDEX(Undirviðmið!$G$6:$G$105,ROW()-6)&lt;&gt;"Starfsbundinn",CQ24="",$E24="",$D24=""),"",ROUND(CQ24/$E24*$D24*KVARDI,2))</f>
        <v/>
      </c>
      <c r="CS24" s="66" t="n"/>
      <c r="CT24" s="78">
        <f>IF(OR(INDEX(Undirviðmið!$G$6:$G$105,ROW()-6)&lt;&gt;"Starfsbundinn",CS24="",$E24="",$D24=""),"",ROUND(CS24/$E24*$D24*KVARDI,2))</f>
        <v/>
      </c>
      <c r="CU24" s="66" t="n"/>
      <c r="CV24" s="78">
        <f>IF(OR(INDEX(Undirviðmið!$G$6:$G$105,ROW()-6)&lt;&gt;"Starfsbundinn",CU24="",$E24="",$D24=""),"",ROUND(CU24/$E24*$D24*KVARDI,2))</f>
        <v/>
      </c>
      <c r="CW24" s="66" t="n"/>
      <c r="CX24" s="78">
        <f>IF(OR(INDEX(Undirviðmið!$G$6:$G$105,ROW()-6)&lt;&gt;"Starfsbundinn",CW24="",$E24="",$D24=""),"",ROUND(CW24/$E24*$D24*KVARDI,2))</f>
        <v/>
      </c>
      <c r="CY24" s="66" t="n"/>
      <c r="CZ24" s="78">
        <f>IF(OR(INDEX(Undirviðmið!$G$6:$G$105,ROW()-6)&lt;&gt;"Starfsbundinn",CY24="",$E24="",$D24=""),"",ROUND(CY24/$E24*$D24*KVARDI,2))</f>
        <v/>
      </c>
      <c r="DA24" s="66" t="n"/>
      <c r="DB24" s="78">
        <f>IF(OR(INDEX(Undirviðmið!$G$6:$G$105,ROW()-6)&lt;&gt;"Starfsbundinn",DA24="",$E24="",$D24=""),"",ROUND(DA24/$E24*$D24*KVARDI,2))</f>
        <v/>
      </c>
      <c r="DC24" s="66" t="n"/>
      <c r="DD24" s="78">
        <f>IF(OR(INDEX(Undirviðmið!$G$6:$G$105,ROW()-6)&lt;&gt;"Starfsbundinn",DC24="",$E24="",$D24=""),"",ROUND(DC24/$E24*$D24*KVARDI,2))</f>
        <v/>
      </c>
      <c r="DE24" s="66" t="n"/>
      <c r="DF24" s="78">
        <f>IF(OR(INDEX(Undirviðmið!$G$6:$G$105,ROW()-6)&lt;&gt;"Starfsbundinn",DE24="",$E24="",$D24=""),"",ROUND(DE24/$E24*$D24*KVARDI,2))</f>
        <v/>
      </c>
      <c r="DG24" s="66" t="n"/>
      <c r="DH24" s="78">
        <f>IF(OR(INDEX(Undirviðmið!$G$6:$G$105,ROW()-6)&lt;&gt;"Starfsbundinn",DG24="",$E24="",$D24=""),"",ROUND(DG24/$E24*$D24*KVARDI,2))</f>
        <v/>
      </c>
      <c r="DI24" s="66" t="n"/>
      <c r="DJ24" s="78">
        <f>IF(OR(INDEX(Undirviðmið!$G$6:$G$105,ROW()-6)&lt;&gt;"Starfsbundinn",DI24="",$E24="",$D24=""),"",ROUND(DI24/$E24*$D24*KVARDI,2))</f>
        <v/>
      </c>
      <c r="DK24" s="66" t="n"/>
      <c r="DL24" s="78">
        <f>IF(OR(INDEX(Undirviðmið!$G$6:$G$105,ROW()-6)&lt;&gt;"Starfsbundinn",DK24="",$E24="",$D24=""),"",ROUND(DK24/$E24*$D24*KVARDI,2))</f>
        <v/>
      </c>
      <c r="DM24" s="66" t="n"/>
      <c r="DN24" s="78">
        <f>IF(OR(INDEX(Undirviðmið!$G$6:$G$105,ROW()-6)&lt;&gt;"Starfsbundinn",DM24="",$E24="",$D24=""),"",ROUND(DM24/$E24*$D24*KVARDI,2))</f>
        <v/>
      </c>
      <c r="DO24" s="66" t="n"/>
      <c r="DP24" s="78">
        <f>IF(OR(INDEX(Undirviðmið!$G$6:$G$105,ROW()-6)&lt;&gt;"Starfsbundinn",DO24="",$E24="",$D24=""),"",ROUND(DO24/$E24*$D24*KVARDI,2))</f>
        <v/>
      </c>
      <c r="DQ24" s="66" t="n"/>
      <c r="DR24" s="78">
        <f>IF(OR(INDEX(Undirviðmið!$G$6:$G$105,ROW()-6)&lt;&gt;"Starfsbundinn",DQ24="",$E24="",$D24=""),"",ROUND(DQ24/$E24*$D24*KVARDI,2))</f>
        <v/>
      </c>
      <c r="DS24" s="66" t="n"/>
      <c r="DT24" s="78">
        <f>IF(OR(INDEX(Undirviðmið!$G$6:$G$105,ROW()-6)&lt;&gt;"Starfsbundinn",DS24="",$E24="",$D24=""),"",ROUND(DS24/$E24*$D24*KVARDI,2))</f>
        <v/>
      </c>
      <c r="DU24" s="66" t="n"/>
      <c r="DV24" s="78">
        <f>IF(OR(INDEX(Undirviðmið!$G$6:$G$105,ROW()-6)&lt;&gt;"Starfsbundinn",DU24="",$E24="",$D24=""),"",ROUND(DU24/$E24*$D24*KVARDI,2))</f>
        <v/>
      </c>
      <c r="DW24" s="66" t="n"/>
      <c r="DX24" s="78">
        <f>IF(OR(INDEX(Undirviðmið!$G$6:$G$105,ROW()-6)&lt;&gt;"Starfsbundinn",DW24="",$E24="",$D24=""),"",ROUND(DW24/$E24*$D24*KVARDI,2))</f>
        <v/>
      </c>
      <c r="DY24" s="66" t="n"/>
      <c r="DZ24" s="78">
        <f>IF(OR(INDEX(Undirviðmið!$G$6:$G$105,ROW()-6)&lt;&gt;"Starfsbundinn",DY24="",$E24="",$D24=""),"",ROUND(DY24/$E24*$D24*KVARDI,2))</f>
        <v/>
      </c>
      <c r="EA24" s="66" t="n"/>
      <c r="EB24" s="78">
        <f>IF(OR(INDEX(Undirviðmið!$G$6:$G$105,ROW()-6)&lt;&gt;"Starfsbundinn",EA24="",$E24="",$D24=""),"",ROUND(EA24/$E24*$D24*KVARDI,2))</f>
        <v/>
      </c>
      <c r="EC24" s="66" t="n"/>
      <c r="ED24" s="78">
        <f>IF(OR(INDEX(Undirviðmið!$G$6:$G$105,ROW()-6)&lt;&gt;"Starfsbundinn",EC24="",$E24="",$D24=""),"",ROUND(EC24/$E24*$D24*KVARDI,2))</f>
        <v/>
      </c>
      <c r="EE24" s="66" t="n"/>
      <c r="EF24" s="78">
        <f>IF(OR(INDEX(Undirviðmið!$G$6:$G$105,ROW()-6)&lt;&gt;"Starfsbundinn",EE24="",$E24="",$D24=""),"",ROUND(EE24/$E24*$D24*KVARDI,2))</f>
        <v/>
      </c>
      <c r="EG24" s="66" t="n"/>
      <c r="EH24" s="78">
        <f>IF(OR(INDEX(Undirviðmið!$G$6:$G$105,ROW()-6)&lt;&gt;"Starfsbundinn",EG24="",$E24="",$D24=""),"",ROUND(EG24/$E24*$D24*KVARDI,2))</f>
        <v/>
      </c>
      <c r="EI24" s="66" t="n"/>
      <c r="EJ24" s="78">
        <f>IF(OR(INDEX(Undirviðmið!$G$6:$G$105,ROW()-6)&lt;&gt;"Starfsbundinn",EI24="",$E24="",$D24=""),"",ROUND(EI24/$E24*$D24*KVARDI,2))</f>
        <v/>
      </c>
      <c r="EK24" s="66" t="n"/>
      <c r="EL24" s="78">
        <f>IF(OR(INDEX(Undirviðmið!$G$6:$G$105,ROW()-6)&lt;&gt;"Starfsbundinn",EK24="",$E24="",$D24=""),"",ROUND(EK24/$E24*$D24*KVARDI,2))</f>
        <v/>
      </c>
      <c r="EM24" s="66" t="n"/>
      <c r="EN24" s="78">
        <f>IF(OR(INDEX(Undirviðmið!$G$6:$G$105,ROW()-6)&lt;&gt;"Starfsbundinn",EM24="",$E24="",$D24=""),"",ROUND(EM24/$E24*$D24*KVARDI,2))</f>
        <v/>
      </c>
      <c r="EO24" s="66" t="n"/>
      <c r="EP24" s="78">
        <f>IF(OR(INDEX(Undirviðmið!$G$6:$G$105,ROW()-6)&lt;&gt;"Starfsbundinn",EO24="",$E24="",$D24=""),"",ROUND(EO24/$E24*$D24*KVARDI,2))</f>
        <v/>
      </c>
      <c r="EQ24" s="66" t="n"/>
      <c r="ER24" s="78">
        <f>IF(OR(INDEX(Undirviðmið!$G$6:$G$105,ROW()-6)&lt;&gt;"Starfsbundinn",EQ24="",$E24="",$D24=""),"",ROUND(EQ24/$E24*$D24*KVARDI,2))</f>
        <v/>
      </c>
      <c r="ES24" s="66" t="n"/>
      <c r="ET24" s="78">
        <f>IF(OR(INDEX(Undirviðmið!$G$6:$G$105,ROW()-6)&lt;&gt;"Starfsbundinn",ES24="",$E24="",$D24=""),"",ROUND(ES24/$E24*$D24*KVARDI,2))</f>
        <v/>
      </c>
      <c r="EU24" s="66" t="n"/>
      <c r="EV24" s="78">
        <f>IF(OR(INDEX(Undirviðmið!$G$6:$G$105,ROW()-6)&lt;&gt;"Starfsbundinn",EU24="",$E24="",$D24=""),"",ROUND(EU24/$E24*$D24*KVARDI,2))</f>
        <v/>
      </c>
      <c r="EW24" s="66" t="n"/>
      <c r="EX24" s="78">
        <f>IF(OR(INDEX(Undirviðmið!$G$6:$G$105,ROW()-6)&lt;&gt;"Starfsbundinn",EW24="",$E24="",$D24=""),"",ROUND(EW24/$E24*$D24*KVARDI,2))</f>
        <v/>
      </c>
      <c r="EY24" s="66" t="n"/>
      <c r="EZ24" s="78">
        <f>IF(OR(INDEX(Undirviðmið!$G$6:$G$105,ROW()-6)&lt;&gt;"Starfsbundinn",EY24="",$E24="",$D24=""),"",ROUND(EY24/$E24*$D24*KVARDI,2))</f>
        <v/>
      </c>
      <c r="FA24" s="66" t="n"/>
      <c r="FB24" s="78">
        <f>IF(OR(INDEX(Undirviðmið!$G$6:$G$105,ROW()-6)&lt;&gt;"Starfsbundinn",FA24="",$E24="",$D24=""),"",ROUND(FA24/$E24*$D24*KVARDI,2))</f>
        <v/>
      </c>
      <c r="FC24" s="66" t="n"/>
      <c r="FD24" s="78">
        <f>IF(OR(INDEX(Undirviðmið!$G$6:$G$105,ROW()-6)&lt;&gt;"Starfsbundinn",FC24="",$E24="",$D24=""),"",ROUND(FC24/$E24*$D24*KVARDI,2))</f>
        <v/>
      </c>
      <c r="FE24" s="66" t="n"/>
      <c r="FF24" s="78">
        <f>IF(OR(INDEX(Undirviðmið!$G$6:$G$105,ROW()-6)&lt;&gt;"Starfsbundinn",FE24="",$E24="",$D24=""),"",ROUND(FE24/$E24*$D24*KVARDI,2))</f>
        <v/>
      </c>
      <c r="FG24" s="66" t="n"/>
      <c r="FH24" s="78">
        <f>IF(OR(INDEX(Undirviðmið!$G$6:$G$105,ROW()-6)&lt;&gt;"Starfsbundinn",FG24="",$E24="",$D24=""),"",ROUND(FG24/$E24*$D24*KVARDI,2))</f>
        <v/>
      </c>
      <c r="FI24" s="66" t="n"/>
      <c r="FJ24" s="78">
        <f>IF(OR(INDEX(Undirviðmið!$G$6:$G$105,ROW()-6)&lt;&gt;"Starfsbundinn",FI24="",$E24="",$D24=""),"",ROUND(FI24/$E24*$D24*KVARDI,2))</f>
        <v/>
      </c>
      <c r="FK24" s="66" t="n"/>
      <c r="FL24" s="78">
        <f>IF(OR(INDEX(Undirviðmið!$G$6:$G$105,ROW()-6)&lt;&gt;"Starfsbundinn",FK24="",$E24="",$D24=""),"",ROUND(FK24/$E24*$D24*KVARDI,2))</f>
        <v/>
      </c>
      <c r="FM24" s="66" t="n"/>
      <c r="FN24" s="78">
        <f>IF(OR(INDEX(Undirviðmið!$G$6:$G$105,ROW()-6)&lt;&gt;"Starfsbundinn",FM24="",$E24="",$D24=""),"",ROUND(FM24/$E24*$D24*KVARDI,2))</f>
        <v/>
      </c>
      <c r="FO24" s="66" t="n"/>
      <c r="FP24" s="78">
        <f>IF(OR(INDEX(Undirviðmið!$G$6:$G$105,ROW()-6)&lt;&gt;"Starfsbundinn",FO24="",$E24="",$D24=""),"",ROUND(FO24/$E24*$D24*KVARDI,2))</f>
        <v/>
      </c>
      <c r="FQ24" s="66" t="n"/>
      <c r="FR24" s="78">
        <f>IF(OR(INDEX(Undirviðmið!$G$6:$G$105,ROW()-6)&lt;&gt;"Starfsbundinn",FQ24="",$E24="",$D24=""),"",ROUND(FQ24/$E24*$D24*KVARDI,2))</f>
        <v/>
      </c>
      <c r="FS24" s="66" t="n"/>
      <c r="FT24" s="78">
        <f>IF(OR(INDEX(Undirviðmið!$G$6:$G$105,ROW()-6)&lt;&gt;"Starfsbundinn",FS24="",$E24="",$D24=""),"",ROUND(FS24/$E24*$D24*KVARDI,2))</f>
        <v/>
      </c>
      <c r="FU24" s="66" t="n"/>
      <c r="FV24" s="78">
        <f>IF(OR(INDEX(Undirviðmið!$G$6:$G$105,ROW()-6)&lt;&gt;"Starfsbundinn",FU24="",$E24="",$D24=""),"",ROUND(FU24/$E24*$D24*KVARDI,2))</f>
        <v/>
      </c>
      <c r="FW24" s="66" t="n"/>
      <c r="FX24" s="78">
        <f>IF(OR(INDEX(Undirviðmið!$G$6:$G$105,ROW()-6)&lt;&gt;"Starfsbundinn",FW24="",$E24="",$D24=""),"",ROUND(FW24/$E24*$D24*KVARDI,2))</f>
        <v/>
      </c>
      <c r="FY24" s="66" t="n"/>
      <c r="FZ24" s="78">
        <f>IF(OR(INDEX(Undirviðmið!$G$6:$G$105,ROW()-6)&lt;&gt;"Starfsbundinn",FY24="",$E24="",$D24=""),"",ROUND(FY24/$E24*$D24*KVARDI,2))</f>
        <v/>
      </c>
      <c r="GA24" s="66" t="n"/>
      <c r="GB24" s="78">
        <f>IF(OR(INDEX(Undirviðmið!$G$6:$G$105,ROW()-6)&lt;&gt;"Starfsbundinn",GA24="",$E24="",$D24=""),"",ROUND(GA24/$E24*$D24*KVARDI,2))</f>
        <v/>
      </c>
      <c r="GC24" s="66" t="n"/>
      <c r="GD24" s="78">
        <f>IF(OR(INDEX(Undirviðmið!$G$6:$G$105,ROW()-6)&lt;&gt;"Starfsbundinn",GC24="",$E24="",$D24=""),"",ROUND(GC24/$E24*$D24*KVARDI,2))</f>
        <v/>
      </c>
      <c r="GE24" s="66" t="n"/>
      <c r="GF24" s="78">
        <f>IF(OR(INDEX(Undirviðmið!$G$6:$G$105,ROW()-6)&lt;&gt;"Starfsbundinn",GE24="",$E24="",$D24=""),"",ROUND(GE24/$E24*$D24*KVARDI,2))</f>
        <v/>
      </c>
      <c r="GG24" s="66" t="n"/>
      <c r="GH24" s="78">
        <f>IF(OR(INDEX(Undirviðmið!$G$6:$G$105,ROW()-6)&lt;&gt;"Starfsbundinn",GG24="",$E24="",$D24=""),"",ROUND(GG24/$E24*$D24*KVARDI,2))</f>
        <v/>
      </c>
      <c r="GI24" s="66" t="n"/>
      <c r="GJ24" s="78">
        <f>IF(OR(INDEX(Undirviðmið!$G$6:$G$105,ROW()-6)&lt;&gt;"Starfsbundinn",GI24="",$E24="",$D24=""),"",ROUND(GI24/$E24*$D24*KVARDI,2))</f>
        <v/>
      </c>
      <c r="GK24" s="66" t="n"/>
      <c r="GL24" s="78">
        <f>IF(OR(INDEX(Undirviðmið!$G$6:$G$105,ROW()-6)&lt;&gt;"Starfsbundinn",GK24="",$E24="",$D24=""),"",ROUND(GK24/$E24*$D24*KVARDI,2))</f>
        <v/>
      </c>
      <c r="GM24" s="66" t="n"/>
      <c r="GN24" s="78">
        <f>IF(OR(INDEX(Undirviðmið!$G$6:$G$105,ROW()-6)&lt;&gt;"Starfsbundinn",GM24="",$E24="",$D24=""),"",ROUND(GM24/$E24*$D24*KVARDI,2))</f>
        <v/>
      </c>
      <c r="GO24" s="66" t="n"/>
      <c r="GP24" s="78">
        <f>IF(OR(INDEX(Undirviðmið!$G$6:$G$105,ROW()-6)&lt;&gt;"Starfsbundinn",GO24="",$E24="",$D24=""),"",ROUND(GO24/$E24*$D24*KVARDI,2))</f>
        <v/>
      </c>
      <c r="GQ24" s="66" t="n"/>
      <c r="GR24" s="78">
        <f>IF(OR(INDEX(Undirviðmið!$G$6:$G$105,ROW()-6)&lt;&gt;"Starfsbundinn",GQ24="",$E24="",$D24=""),"",ROUND(GQ24/$E24*$D24*KVARDI,2))</f>
        <v/>
      </c>
      <c r="GS24" s="66" t="n"/>
      <c r="GT24" s="78">
        <f>IF(OR(INDEX(Undirviðmið!$G$6:$G$105,ROW()-6)&lt;&gt;"Starfsbundinn",GS24="",$E24="",$D24=""),"",ROUND(GS24/$E24*$D24*KVARDI,2))</f>
        <v/>
      </c>
      <c r="GU24" s="66" t="n"/>
      <c r="GV24" s="78">
        <f>IF(OR(INDEX(Undirviðmið!$G$6:$G$105,ROW()-6)&lt;&gt;"Starfsbundinn",GU24="",$E24="",$D24=""),"",ROUND(GU24/$E24*$D24*KVARDI,2))</f>
        <v/>
      </c>
      <c r="GW24" s="66" t="n"/>
      <c r="GX24" s="78">
        <f>IF(OR(INDEX(Undirviðmið!$G$6:$G$105,ROW()-6)&lt;&gt;"Starfsbundinn",GW24="",$E24="",$D24=""),"",ROUND(GW24/$E24*$D24*KVARDI,2))</f>
        <v/>
      </c>
    </row>
    <row r="25" ht="15" customHeight="1" s="47">
      <c r="B25" s="67">
        <f>IF(INDEX(Undirviðmið!$G$6:$G$105,ROW()-6)="Starfsbundinn",INDEX(Undirviðmið!$B$6:$B$105,ROW()-6),"")</f>
        <v/>
      </c>
      <c r="C25" s="67">
        <f>IF(INDEX(Undirviðmið!$G$6:$G$105,ROW()-6)="Starfsbundinn",INDEX(Undirviðmið!$C$6:$C$105,ROW()-6),"")</f>
        <v/>
      </c>
      <c r="D25" s="77">
        <f>IF(INDEX(Undirviðmið!$G$6:$G$105,ROW()-6)="Starfsbundinn",INDEX(Undirviðmið!$E$6:$E$105,ROW()-6),"")</f>
        <v/>
      </c>
      <c r="E25" s="77">
        <f>IF(INDEX(Undirviðmið!$G$6:$G$105,ROW()-6)="Starfsbundinn",INDEX(Undirviðmið!$F$6:$F$105,ROW()-6),"")</f>
        <v/>
      </c>
      <c r="F25" s="77">
        <f>IF(INDEX(Undirviðmið!$G$6:$G$105,ROW()-6)="Starfsbundinn",IFERROR(INDEX(Undirviðmið!$E$6:$E$105,ROW()-6)*KVARDI,""),"")</f>
        <v/>
      </c>
      <c r="G25" s="66" t="n"/>
      <c r="H25" s="78">
        <f>IF(OR(INDEX(Undirviðmið!$G$6:$G$105,ROW()-6)&lt;&gt;"Starfsbundinn",G25="",$E25="",$D25=""),"",ROUND(G25/$E25*$D25*KVARDI,2))</f>
        <v/>
      </c>
      <c r="I25" s="66" t="n"/>
      <c r="J25" s="78">
        <f>IF(OR(INDEX(Undirviðmið!$G$6:$G$105,ROW()-6)&lt;&gt;"Starfsbundinn",I25="",$E25="",$D25=""),"",ROUND(I25/$E25*$D25*KVARDI,2))</f>
        <v/>
      </c>
      <c r="K25" s="66" t="n"/>
      <c r="L25" s="78">
        <f>IF(OR(INDEX(Undirviðmið!$G$6:$G$105,ROW()-6)&lt;&gt;"Starfsbundinn",K25="",$E25="",$D25=""),"",ROUND(K25/$E25*$D25*KVARDI,2))</f>
        <v/>
      </c>
      <c r="M25" s="66" t="n"/>
      <c r="N25" s="78">
        <f>IF(OR(INDEX(Undirviðmið!$G$6:$G$105,ROW()-6)&lt;&gt;"Starfsbundinn",M25="",$E25="",$D25=""),"",ROUND(M25/$E25*$D25*KVARDI,2))</f>
        <v/>
      </c>
      <c r="O25" s="66" t="n"/>
      <c r="P25" s="78">
        <f>IF(OR(INDEX(Undirviðmið!$G$6:$G$105,ROW()-6)&lt;&gt;"Starfsbundinn",O25="",$E25="",$D25=""),"",ROUND(O25/$E25*$D25*KVARDI,2))</f>
        <v/>
      </c>
      <c r="Q25" s="66" t="n"/>
      <c r="R25" s="78">
        <f>IF(OR(INDEX(Undirviðmið!$G$6:$G$105,ROW()-6)&lt;&gt;"Starfsbundinn",Q25="",$E25="",$D25=""),"",ROUND(Q25/$E25*$D25*KVARDI,2))</f>
        <v/>
      </c>
      <c r="S25" s="66" t="n"/>
      <c r="T25" s="78">
        <f>IF(OR(INDEX(Undirviðmið!$G$6:$G$105,ROW()-6)&lt;&gt;"Starfsbundinn",S25="",$E25="",$D25=""),"",ROUND(S25/$E25*$D25*KVARDI,2))</f>
        <v/>
      </c>
      <c r="U25" s="66" t="n"/>
      <c r="V25" s="78">
        <f>IF(OR(INDEX(Undirviðmið!$G$6:$G$105,ROW()-6)&lt;&gt;"Starfsbundinn",U25="",$E25="",$D25=""),"",ROUND(U25/$E25*$D25*KVARDI,2))</f>
        <v/>
      </c>
      <c r="W25" s="66" t="n"/>
      <c r="X25" s="78">
        <f>IF(OR(INDEX(Undirviðmið!$G$6:$G$105,ROW()-6)&lt;&gt;"Starfsbundinn",W25="",$E25="",$D25=""),"",ROUND(W25/$E25*$D25*KVARDI,2))</f>
        <v/>
      </c>
      <c r="Y25" s="66" t="n"/>
      <c r="Z25" s="78">
        <f>IF(OR(INDEX(Undirviðmið!$G$6:$G$105,ROW()-6)&lt;&gt;"Starfsbundinn",Y25="",$E25="",$D25=""),"",ROUND(Y25/$E25*$D25*KVARDI,2))</f>
        <v/>
      </c>
      <c r="AA25" s="66" t="n"/>
      <c r="AB25" s="78">
        <f>IF(OR(INDEX(Undirviðmið!$G$6:$G$105,ROW()-6)&lt;&gt;"Starfsbundinn",AA25="",$E25="",$D25=""),"",ROUND(AA25/$E25*$D25*KVARDI,2))</f>
        <v/>
      </c>
      <c r="AC25" s="66" t="n"/>
      <c r="AD25" s="78">
        <f>IF(OR(INDEX(Undirviðmið!$G$6:$G$105,ROW()-6)&lt;&gt;"Starfsbundinn",AC25="",$E25="",$D25=""),"",ROUND(AC25/$E25*$D25*KVARDI,2))</f>
        <v/>
      </c>
      <c r="AE25" s="66" t="n"/>
      <c r="AF25" s="78">
        <f>IF(OR(INDEX(Undirviðmið!$G$6:$G$105,ROW()-6)&lt;&gt;"Starfsbundinn",AE25="",$E25="",$D25=""),"",ROUND(AE25/$E25*$D25*KVARDI,2))</f>
        <v/>
      </c>
      <c r="AG25" s="66" t="n"/>
      <c r="AH25" s="78">
        <f>IF(OR(INDEX(Undirviðmið!$G$6:$G$105,ROW()-6)&lt;&gt;"Starfsbundinn",AG25="",$E25="",$D25=""),"",ROUND(AG25/$E25*$D25*KVARDI,2))</f>
        <v/>
      </c>
      <c r="AI25" s="66" t="n"/>
      <c r="AJ25" s="78">
        <f>IF(OR(INDEX(Undirviðmið!$G$6:$G$105,ROW()-6)&lt;&gt;"Starfsbundinn",AI25="",$E25="",$D25=""),"",ROUND(AI25/$E25*$D25*KVARDI,2))</f>
        <v/>
      </c>
      <c r="AK25" s="66" t="n"/>
      <c r="AL25" s="78">
        <f>IF(OR(INDEX(Undirviðmið!$G$6:$G$105,ROW()-6)&lt;&gt;"Starfsbundinn",AK25="",$E25="",$D25=""),"",ROUND(AK25/$E25*$D25*KVARDI,2))</f>
        <v/>
      </c>
      <c r="AM25" s="66" t="n"/>
      <c r="AN25" s="78">
        <f>IF(OR(INDEX(Undirviðmið!$G$6:$G$105,ROW()-6)&lt;&gt;"Starfsbundinn",AM25="",$E25="",$D25=""),"",ROUND(AM25/$E25*$D25*KVARDI,2))</f>
        <v/>
      </c>
      <c r="AO25" s="66" t="n"/>
      <c r="AP25" s="78">
        <f>IF(OR(INDEX(Undirviðmið!$G$6:$G$105,ROW()-6)&lt;&gt;"Starfsbundinn",AO25="",$E25="",$D25=""),"",ROUND(AO25/$E25*$D25*KVARDI,2))</f>
        <v/>
      </c>
      <c r="AQ25" s="66" t="n"/>
      <c r="AR25" s="78">
        <f>IF(OR(INDEX(Undirviðmið!$G$6:$G$105,ROW()-6)&lt;&gt;"Starfsbundinn",AQ25="",$E25="",$D25=""),"",ROUND(AQ25/$E25*$D25*KVARDI,2))</f>
        <v/>
      </c>
      <c r="AS25" s="66" t="n"/>
      <c r="AT25" s="78">
        <f>IF(OR(INDEX(Undirviðmið!$G$6:$G$105,ROW()-6)&lt;&gt;"Starfsbundinn",AS25="",$E25="",$D25=""),"",ROUND(AS25/$E25*$D25*KVARDI,2))</f>
        <v/>
      </c>
      <c r="AU25" s="66" t="n"/>
      <c r="AV25" s="78">
        <f>IF(OR(INDEX(Undirviðmið!$G$6:$G$105,ROW()-6)&lt;&gt;"Starfsbundinn",AU25="",$E25="",$D25=""),"",ROUND(AU25/$E25*$D25*KVARDI,2))</f>
        <v/>
      </c>
      <c r="AW25" s="66" t="n"/>
      <c r="AX25" s="78">
        <f>IF(OR(INDEX(Undirviðmið!$G$6:$G$105,ROW()-6)&lt;&gt;"Starfsbundinn",AW25="",$E25="",$D25=""),"",ROUND(AW25/$E25*$D25*KVARDI,2))</f>
        <v/>
      </c>
      <c r="AY25" s="66" t="n"/>
      <c r="AZ25" s="78">
        <f>IF(OR(INDEX(Undirviðmið!$G$6:$G$105,ROW()-6)&lt;&gt;"Starfsbundinn",AY25="",$E25="",$D25=""),"",ROUND(AY25/$E25*$D25*KVARDI,2))</f>
        <v/>
      </c>
      <c r="BA25" s="66" t="n"/>
      <c r="BB25" s="78">
        <f>IF(OR(INDEX(Undirviðmið!$G$6:$G$105,ROW()-6)&lt;&gt;"Starfsbundinn",BA25="",$E25="",$D25=""),"",ROUND(BA25/$E25*$D25*KVARDI,2))</f>
        <v/>
      </c>
      <c r="BC25" s="66" t="n"/>
      <c r="BD25" s="78">
        <f>IF(OR(INDEX(Undirviðmið!$G$6:$G$105,ROW()-6)&lt;&gt;"Starfsbundinn",BC25="",$E25="",$D25=""),"",ROUND(BC25/$E25*$D25*KVARDI,2))</f>
        <v/>
      </c>
      <c r="BE25" s="66" t="n"/>
      <c r="BF25" s="78">
        <f>IF(OR(INDEX(Undirviðmið!$G$6:$G$105,ROW()-6)&lt;&gt;"Starfsbundinn",BE25="",$E25="",$D25=""),"",ROUND(BE25/$E25*$D25*KVARDI,2))</f>
        <v/>
      </c>
      <c r="BG25" s="66" t="n"/>
      <c r="BH25" s="78">
        <f>IF(OR(INDEX(Undirviðmið!$G$6:$G$105,ROW()-6)&lt;&gt;"Starfsbundinn",BG25="",$E25="",$D25=""),"",ROUND(BG25/$E25*$D25*KVARDI,2))</f>
        <v/>
      </c>
      <c r="BI25" s="66" t="n"/>
      <c r="BJ25" s="78">
        <f>IF(OR(INDEX(Undirviðmið!$G$6:$G$105,ROW()-6)&lt;&gt;"Starfsbundinn",BI25="",$E25="",$D25=""),"",ROUND(BI25/$E25*$D25*KVARDI,2))</f>
        <v/>
      </c>
      <c r="BK25" s="66" t="n"/>
      <c r="BL25" s="78">
        <f>IF(OR(INDEX(Undirviðmið!$G$6:$G$105,ROW()-6)&lt;&gt;"Starfsbundinn",BK25="",$E25="",$D25=""),"",ROUND(BK25/$E25*$D25*KVARDI,2))</f>
        <v/>
      </c>
      <c r="BM25" s="66" t="n"/>
      <c r="BN25" s="78">
        <f>IF(OR(INDEX(Undirviðmið!$G$6:$G$105,ROW()-6)&lt;&gt;"Starfsbundinn",BM25="",$E25="",$D25=""),"",ROUND(BM25/$E25*$D25*KVARDI,2))</f>
        <v/>
      </c>
      <c r="BO25" s="66" t="n"/>
      <c r="BP25" s="78">
        <f>IF(OR(INDEX(Undirviðmið!$G$6:$G$105,ROW()-6)&lt;&gt;"Starfsbundinn",BO25="",$E25="",$D25=""),"",ROUND(BO25/$E25*$D25*KVARDI,2))</f>
        <v/>
      </c>
      <c r="BQ25" s="66" t="n"/>
      <c r="BR25" s="78">
        <f>IF(OR(INDEX(Undirviðmið!$G$6:$G$105,ROW()-6)&lt;&gt;"Starfsbundinn",BQ25="",$E25="",$D25=""),"",ROUND(BQ25/$E25*$D25*KVARDI,2))</f>
        <v/>
      </c>
      <c r="BS25" s="66" t="n"/>
      <c r="BT25" s="78">
        <f>IF(OR(INDEX(Undirviðmið!$G$6:$G$105,ROW()-6)&lt;&gt;"Starfsbundinn",BS25="",$E25="",$D25=""),"",ROUND(BS25/$E25*$D25*KVARDI,2))</f>
        <v/>
      </c>
      <c r="BU25" s="66" t="n"/>
      <c r="BV25" s="78">
        <f>IF(OR(INDEX(Undirviðmið!$G$6:$G$105,ROW()-6)&lt;&gt;"Starfsbundinn",BU25="",$E25="",$D25=""),"",ROUND(BU25/$E25*$D25*KVARDI,2))</f>
        <v/>
      </c>
      <c r="BW25" s="66" t="n"/>
      <c r="BX25" s="78">
        <f>IF(OR(INDEX(Undirviðmið!$G$6:$G$105,ROW()-6)&lt;&gt;"Starfsbundinn",BW25="",$E25="",$D25=""),"",ROUND(BW25/$E25*$D25*KVARDI,2))</f>
        <v/>
      </c>
      <c r="BY25" s="66" t="n"/>
      <c r="BZ25" s="78">
        <f>IF(OR(INDEX(Undirviðmið!$G$6:$G$105,ROW()-6)&lt;&gt;"Starfsbundinn",BY25="",$E25="",$D25=""),"",ROUND(BY25/$E25*$D25*KVARDI,2))</f>
        <v/>
      </c>
      <c r="CA25" s="66" t="n"/>
      <c r="CB25" s="78">
        <f>IF(OR(INDEX(Undirviðmið!$G$6:$G$105,ROW()-6)&lt;&gt;"Starfsbundinn",CA25="",$E25="",$D25=""),"",ROUND(CA25/$E25*$D25*KVARDI,2))</f>
        <v/>
      </c>
      <c r="CC25" s="66" t="n"/>
      <c r="CD25" s="78">
        <f>IF(OR(INDEX(Undirviðmið!$G$6:$G$105,ROW()-6)&lt;&gt;"Starfsbundinn",CC25="",$E25="",$D25=""),"",ROUND(CC25/$E25*$D25*KVARDI,2))</f>
        <v/>
      </c>
      <c r="CE25" s="66" t="n"/>
      <c r="CF25" s="78">
        <f>IF(OR(INDEX(Undirviðmið!$G$6:$G$105,ROW()-6)&lt;&gt;"Starfsbundinn",CE25="",$E25="",$D25=""),"",ROUND(CE25/$E25*$D25*KVARDI,2))</f>
        <v/>
      </c>
      <c r="CG25" s="66" t="n"/>
      <c r="CH25" s="78">
        <f>IF(OR(INDEX(Undirviðmið!$G$6:$G$105,ROW()-6)&lt;&gt;"Starfsbundinn",CG25="",$E25="",$D25=""),"",ROUND(CG25/$E25*$D25*KVARDI,2))</f>
        <v/>
      </c>
      <c r="CI25" s="66" t="n"/>
      <c r="CJ25" s="78">
        <f>IF(OR(INDEX(Undirviðmið!$G$6:$G$105,ROW()-6)&lt;&gt;"Starfsbundinn",CI25="",$E25="",$D25=""),"",ROUND(CI25/$E25*$D25*KVARDI,2))</f>
        <v/>
      </c>
      <c r="CK25" s="66" t="n"/>
      <c r="CL25" s="78">
        <f>IF(OR(INDEX(Undirviðmið!$G$6:$G$105,ROW()-6)&lt;&gt;"Starfsbundinn",CK25="",$E25="",$D25=""),"",ROUND(CK25/$E25*$D25*KVARDI,2))</f>
        <v/>
      </c>
      <c r="CM25" s="66" t="n"/>
      <c r="CN25" s="78">
        <f>IF(OR(INDEX(Undirviðmið!$G$6:$G$105,ROW()-6)&lt;&gt;"Starfsbundinn",CM25="",$E25="",$D25=""),"",ROUND(CM25/$E25*$D25*KVARDI,2))</f>
        <v/>
      </c>
      <c r="CO25" s="66" t="n"/>
      <c r="CP25" s="78">
        <f>IF(OR(INDEX(Undirviðmið!$G$6:$G$105,ROW()-6)&lt;&gt;"Starfsbundinn",CO25="",$E25="",$D25=""),"",ROUND(CO25/$E25*$D25*KVARDI,2))</f>
        <v/>
      </c>
      <c r="CQ25" s="66" t="n"/>
      <c r="CR25" s="78">
        <f>IF(OR(INDEX(Undirviðmið!$G$6:$G$105,ROW()-6)&lt;&gt;"Starfsbundinn",CQ25="",$E25="",$D25=""),"",ROUND(CQ25/$E25*$D25*KVARDI,2))</f>
        <v/>
      </c>
      <c r="CS25" s="66" t="n"/>
      <c r="CT25" s="78">
        <f>IF(OR(INDEX(Undirviðmið!$G$6:$G$105,ROW()-6)&lt;&gt;"Starfsbundinn",CS25="",$E25="",$D25=""),"",ROUND(CS25/$E25*$D25*KVARDI,2))</f>
        <v/>
      </c>
      <c r="CU25" s="66" t="n"/>
      <c r="CV25" s="78">
        <f>IF(OR(INDEX(Undirviðmið!$G$6:$G$105,ROW()-6)&lt;&gt;"Starfsbundinn",CU25="",$E25="",$D25=""),"",ROUND(CU25/$E25*$D25*KVARDI,2))</f>
        <v/>
      </c>
      <c r="CW25" s="66" t="n"/>
      <c r="CX25" s="78">
        <f>IF(OR(INDEX(Undirviðmið!$G$6:$G$105,ROW()-6)&lt;&gt;"Starfsbundinn",CW25="",$E25="",$D25=""),"",ROUND(CW25/$E25*$D25*KVARDI,2))</f>
        <v/>
      </c>
      <c r="CY25" s="66" t="n"/>
      <c r="CZ25" s="78">
        <f>IF(OR(INDEX(Undirviðmið!$G$6:$G$105,ROW()-6)&lt;&gt;"Starfsbundinn",CY25="",$E25="",$D25=""),"",ROUND(CY25/$E25*$D25*KVARDI,2))</f>
        <v/>
      </c>
      <c r="DA25" s="66" t="n"/>
      <c r="DB25" s="78">
        <f>IF(OR(INDEX(Undirviðmið!$G$6:$G$105,ROW()-6)&lt;&gt;"Starfsbundinn",DA25="",$E25="",$D25=""),"",ROUND(DA25/$E25*$D25*KVARDI,2))</f>
        <v/>
      </c>
      <c r="DC25" s="66" t="n"/>
      <c r="DD25" s="78">
        <f>IF(OR(INDEX(Undirviðmið!$G$6:$G$105,ROW()-6)&lt;&gt;"Starfsbundinn",DC25="",$E25="",$D25=""),"",ROUND(DC25/$E25*$D25*KVARDI,2))</f>
        <v/>
      </c>
      <c r="DE25" s="66" t="n"/>
      <c r="DF25" s="78">
        <f>IF(OR(INDEX(Undirviðmið!$G$6:$G$105,ROW()-6)&lt;&gt;"Starfsbundinn",DE25="",$E25="",$D25=""),"",ROUND(DE25/$E25*$D25*KVARDI,2))</f>
        <v/>
      </c>
      <c r="DG25" s="66" t="n"/>
      <c r="DH25" s="78">
        <f>IF(OR(INDEX(Undirviðmið!$G$6:$G$105,ROW()-6)&lt;&gt;"Starfsbundinn",DG25="",$E25="",$D25=""),"",ROUND(DG25/$E25*$D25*KVARDI,2))</f>
        <v/>
      </c>
      <c r="DI25" s="66" t="n"/>
      <c r="DJ25" s="78">
        <f>IF(OR(INDEX(Undirviðmið!$G$6:$G$105,ROW()-6)&lt;&gt;"Starfsbundinn",DI25="",$E25="",$D25=""),"",ROUND(DI25/$E25*$D25*KVARDI,2))</f>
        <v/>
      </c>
      <c r="DK25" s="66" t="n"/>
      <c r="DL25" s="78">
        <f>IF(OR(INDEX(Undirviðmið!$G$6:$G$105,ROW()-6)&lt;&gt;"Starfsbundinn",DK25="",$E25="",$D25=""),"",ROUND(DK25/$E25*$D25*KVARDI,2))</f>
        <v/>
      </c>
      <c r="DM25" s="66" t="n"/>
      <c r="DN25" s="78">
        <f>IF(OR(INDEX(Undirviðmið!$G$6:$G$105,ROW()-6)&lt;&gt;"Starfsbundinn",DM25="",$E25="",$D25=""),"",ROUND(DM25/$E25*$D25*KVARDI,2))</f>
        <v/>
      </c>
      <c r="DO25" s="66" t="n"/>
      <c r="DP25" s="78">
        <f>IF(OR(INDEX(Undirviðmið!$G$6:$G$105,ROW()-6)&lt;&gt;"Starfsbundinn",DO25="",$E25="",$D25=""),"",ROUND(DO25/$E25*$D25*KVARDI,2))</f>
        <v/>
      </c>
      <c r="DQ25" s="66" t="n"/>
      <c r="DR25" s="78">
        <f>IF(OR(INDEX(Undirviðmið!$G$6:$G$105,ROW()-6)&lt;&gt;"Starfsbundinn",DQ25="",$E25="",$D25=""),"",ROUND(DQ25/$E25*$D25*KVARDI,2))</f>
        <v/>
      </c>
      <c r="DS25" s="66" t="n"/>
      <c r="DT25" s="78">
        <f>IF(OR(INDEX(Undirviðmið!$G$6:$G$105,ROW()-6)&lt;&gt;"Starfsbundinn",DS25="",$E25="",$D25=""),"",ROUND(DS25/$E25*$D25*KVARDI,2))</f>
        <v/>
      </c>
      <c r="DU25" s="66" t="n"/>
      <c r="DV25" s="78">
        <f>IF(OR(INDEX(Undirviðmið!$G$6:$G$105,ROW()-6)&lt;&gt;"Starfsbundinn",DU25="",$E25="",$D25=""),"",ROUND(DU25/$E25*$D25*KVARDI,2))</f>
        <v/>
      </c>
      <c r="DW25" s="66" t="n"/>
      <c r="DX25" s="78">
        <f>IF(OR(INDEX(Undirviðmið!$G$6:$G$105,ROW()-6)&lt;&gt;"Starfsbundinn",DW25="",$E25="",$D25=""),"",ROUND(DW25/$E25*$D25*KVARDI,2))</f>
        <v/>
      </c>
      <c r="DY25" s="66" t="n"/>
      <c r="DZ25" s="78">
        <f>IF(OR(INDEX(Undirviðmið!$G$6:$G$105,ROW()-6)&lt;&gt;"Starfsbundinn",DY25="",$E25="",$D25=""),"",ROUND(DY25/$E25*$D25*KVARDI,2))</f>
        <v/>
      </c>
      <c r="EA25" s="66" t="n"/>
      <c r="EB25" s="78">
        <f>IF(OR(INDEX(Undirviðmið!$G$6:$G$105,ROW()-6)&lt;&gt;"Starfsbundinn",EA25="",$E25="",$D25=""),"",ROUND(EA25/$E25*$D25*KVARDI,2))</f>
        <v/>
      </c>
      <c r="EC25" s="66" t="n"/>
      <c r="ED25" s="78">
        <f>IF(OR(INDEX(Undirviðmið!$G$6:$G$105,ROW()-6)&lt;&gt;"Starfsbundinn",EC25="",$E25="",$D25=""),"",ROUND(EC25/$E25*$D25*KVARDI,2))</f>
        <v/>
      </c>
      <c r="EE25" s="66" t="n"/>
      <c r="EF25" s="78">
        <f>IF(OR(INDEX(Undirviðmið!$G$6:$G$105,ROW()-6)&lt;&gt;"Starfsbundinn",EE25="",$E25="",$D25=""),"",ROUND(EE25/$E25*$D25*KVARDI,2))</f>
        <v/>
      </c>
      <c r="EG25" s="66" t="n"/>
      <c r="EH25" s="78">
        <f>IF(OR(INDEX(Undirviðmið!$G$6:$G$105,ROW()-6)&lt;&gt;"Starfsbundinn",EG25="",$E25="",$D25=""),"",ROUND(EG25/$E25*$D25*KVARDI,2))</f>
        <v/>
      </c>
      <c r="EI25" s="66" t="n"/>
      <c r="EJ25" s="78">
        <f>IF(OR(INDEX(Undirviðmið!$G$6:$G$105,ROW()-6)&lt;&gt;"Starfsbundinn",EI25="",$E25="",$D25=""),"",ROUND(EI25/$E25*$D25*KVARDI,2))</f>
        <v/>
      </c>
      <c r="EK25" s="66" t="n"/>
      <c r="EL25" s="78">
        <f>IF(OR(INDEX(Undirviðmið!$G$6:$G$105,ROW()-6)&lt;&gt;"Starfsbundinn",EK25="",$E25="",$D25=""),"",ROUND(EK25/$E25*$D25*KVARDI,2))</f>
        <v/>
      </c>
      <c r="EM25" s="66" t="n"/>
      <c r="EN25" s="78">
        <f>IF(OR(INDEX(Undirviðmið!$G$6:$G$105,ROW()-6)&lt;&gt;"Starfsbundinn",EM25="",$E25="",$D25=""),"",ROUND(EM25/$E25*$D25*KVARDI,2))</f>
        <v/>
      </c>
      <c r="EO25" s="66" t="n"/>
      <c r="EP25" s="78">
        <f>IF(OR(INDEX(Undirviðmið!$G$6:$G$105,ROW()-6)&lt;&gt;"Starfsbundinn",EO25="",$E25="",$D25=""),"",ROUND(EO25/$E25*$D25*KVARDI,2))</f>
        <v/>
      </c>
      <c r="EQ25" s="66" t="n"/>
      <c r="ER25" s="78">
        <f>IF(OR(INDEX(Undirviðmið!$G$6:$G$105,ROW()-6)&lt;&gt;"Starfsbundinn",EQ25="",$E25="",$D25=""),"",ROUND(EQ25/$E25*$D25*KVARDI,2))</f>
        <v/>
      </c>
      <c r="ES25" s="66" t="n"/>
      <c r="ET25" s="78">
        <f>IF(OR(INDEX(Undirviðmið!$G$6:$G$105,ROW()-6)&lt;&gt;"Starfsbundinn",ES25="",$E25="",$D25=""),"",ROUND(ES25/$E25*$D25*KVARDI,2))</f>
        <v/>
      </c>
      <c r="EU25" s="66" t="n"/>
      <c r="EV25" s="78">
        <f>IF(OR(INDEX(Undirviðmið!$G$6:$G$105,ROW()-6)&lt;&gt;"Starfsbundinn",EU25="",$E25="",$D25=""),"",ROUND(EU25/$E25*$D25*KVARDI,2))</f>
        <v/>
      </c>
      <c r="EW25" s="66" t="n"/>
      <c r="EX25" s="78">
        <f>IF(OR(INDEX(Undirviðmið!$G$6:$G$105,ROW()-6)&lt;&gt;"Starfsbundinn",EW25="",$E25="",$D25=""),"",ROUND(EW25/$E25*$D25*KVARDI,2))</f>
        <v/>
      </c>
      <c r="EY25" s="66" t="n"/>
      <c r="EZ25" s="78">
        <f>IF(OR(INDEX(Undirviðmið!$G$6:$G$105,ROW()-6)&lt;&gt;"Starfsbundinn",EY25="",$E25="",$D25=""),"",ROUND(EY25/$E25*$D25*KVARDI,2))</f>
        <v/>
      </c>
      <c r="FA25" s="66" t="n"/>
      <c r="FB25" s="78">
        <f>IF(OR(INDEX(Undirviðmið!$G$6:$G$105,ROW()-6)&lt;&gt;"Starfsbundinn",FA25="",$E25="",$D25=""),"",ROUND(FA25/$E25*$D25*KVARDI,2))</f>
        <v/>
      </c>
      <c r="FC25" s="66" t="n"/>
      <c r="FD25" s="78">
        <f>IF(OR(INDEX(Undirviðmið!$G$6:$G$105,ROW()-6)&lt;&gt;"Starfsbundinn",FC25="",$E25="",$D25=""),"",ROUND(FC25/$E25*$D25*KVARDI,2))</f>
        <v/>
      </c>
      <c r="FE25" s="66" t="n"/>
      <c r="FF25" s="78">
        <f>IF(OR(INDEX(Undirviðmið!$G$6:$G$105,ROW()-6)&lt;&gt;"Starfsbundinn",FE25="",$E25="",$D25=""),"",ROUND(FE25/$E25*$D25*KVARDI,2))</f>
        <v/>
      </c>
      <c r="FG25" s="66" t="n"/>
      <c r="FH25" s="78">
        <f>IF(OR(INDEX(Undirviðmið!$G$6:$G$105,ROW()-6)&lt;&gt;"Starfsbundinn",FG25="",$E25="",$D25=""),"",ROUND(FG25/$E25*$D25*KVARDI,2))</f>
        <v/>
      </c>
      <c r="FI25" s="66" t="n"/>
      <c r="FJ25" s="78">
        <f>IF(OR(INDEX(Undirviðmið!$G$6:$G$105,ROW()-6)&lt;&gt;"Starfsbundinn",FI25="",$E25="",$D25=""),"",ROUND(FI25/$E25*$D25*KVARDI,2))</f>
        <v/>
      </c>
      <c r="FK25" s="66" t="n"/>
      <c r="FL25" s="78">
        <f>IF(OR(INDEX(Undirviðmið!$G$6:$G$105,ROW()-6)&lt;&gt;"Starfsbundinn",FK25="",$E25="",$D25=""),"",ROUND(FK25/$E25*$D25*KVARDI,2))</f>
        <v/>
      </c>
      <c r="FM25" s="66" t="n"/>
      <c r="FN25" s="78">
        <f>IF(OR(INDEX(Undirviðmið!$G$6:$G$105,ROW()-6)&lt;&gt;"Starfsbundinn",FM25="",$E25="",$D25=""),"",ROUND(FM25/$E25*$D25*KVARDI,2))</f>
        <v/>
      </c>
      <c r="FO25" s="66" t="n"/>
      <c r="FP25" s="78">
        <f>IF(OR(INDEX(Undirviðmið!$G$6:$G$105,ROW()-6)&lt;&gt;"Starfsbundinn",FO25="",$E25="",$D25=""),"",ROUND(FO25/$E25*$D25*KVARDI,2))</f>
        <v/>
      </c>
      <c r="FQ25" s="66" t="n"/>
      <c r="FR25" s="78">
        <f>IF(OR(INDEX(Undirviðmið!$G$6:$G$105,ROW()-6)&lt;&gt;"Starfsbundinn",FQ25="",$E25="",$D25=""),"",ROUND(FQ25/$E25*$D25*KVARDI,2))</f>
        <v/>
      </c>
      <c r="FS25" s="66" t="n"/>
      <c r="FT25" s="78">
        <f>IF(OR(INDEX(Undirviðmið!$G$6:$G$105,ROW()-6)&lt;&gt;"Starfsbundinn",FS25="",$E25="",$D25=""),"",ROUND(FS25/$E25*$D25*KVARDI,2))</f>
        <v/>
      </c>
      <c r="FU25" s="66" t="n"/>
      <c r="FV25" s="78">
        <f>IF(OR(INDEX(Undirviðmið!$G$6:$G$105,ROW()-6)&lt;&gt;"Starfsbundinn",FU25="",$E25="",$D25=""),"",ROUND(FU25/$E25*$D25*KVARDI,2))</f>
        <v/>
      </c>
      <c r="FW25" s="66" t="n"/>
      <c r="FX25" s="78">
        <f>IF(OR(INDEX(Undirviðmið!$G$6:$G$105,ROW()-6)&lt;&gt;"Starfsbundinn",FW25="",$E25="",$D25=""),"",ROUND(FW25/$E25*$D25*KVARDI,2))</f>
        <v/>
      </c>
      <c r="FY25" s="66" t="n"/>
      <c r="FZ25" s="78">
        <f>IF(OR(INDEX(Undirviðmið!$G$6:$G$105,ROW()-6)&lt;&gt;"Starfsbundinn",FY25="",$E25="",$D25=""),"",ROUND(FY25/$E25*$D25*KVARDI,2))</f>
        <v/>
      </c>
      <c r="GA25" s="66" t="n"/>
      <c r="GB25" s="78">
        <f>IF(OR(INDEX(Undirviðmið!$G$6:$G$105,ROW()-6)&lt;&gt;"Starfsbundinn",GA25="",$E25="",$D25=""),"",ROUND(GA25/$E25*$D25*KVARDI,2))</f>
        <v/>
      </c>
      <c r="GC25" s="66" t="n"/>
      <c r="GD25" s="78">
        <f>IF(OR(INDEX(Undirviðmið!$G$6:$G$105,ROW()-6)&lt;&gt;"Starfsbundinn",GC25="",$E25="",$D25=""),"",ROUND(GC25/$E25*$D25*KVARDI,2))</f>
        <v/>
      </c>
      <c r="GE25" s="66" t="n"/>
      <c r="GF25" s="78">
        <f>IF(OR(INDEX(Undirviðmið!$G$6:$G$105,ROW()-6)&lt;&gt;"Starfsbundinn",GE25="",$E25="",$D25=""),"",ROUND(GE25/$E25*$D25*KVARDI,2))</f>
        <v/>
      </c>
      <c r="GG25" s="66" t="n"/>
      <c r="GH25" s="78">
        <f>IF(OR(INDEX(Undirviðmið!$G$6:$G$105,ROW()-6)&lt;&gt;"Starfsbundinn",GG25="",$E25="",$D25=""),"",ROUND(GG25/$E25*$D25*KVARDI,2))</f>
        <v/>
      </c>
      <c r="GI25" s="66" t="n"/>
      <c r="GJ25" s="78">
        <f>IF(OR(INDEX(Undirviðmið!$G$6:$G$105,ROW()-6)&lt;&gt;"Starfsbundinn",GI25="",$E25="",$D25=""),"",ROUND(GI25/$E25*$D25*KVARDI,2))</f>
        <v/>
      </c>
      <c r="GK25" s="66" t="n"/>
      <c r="GL25" s="78">
        <f>IF(OR(INDEX(Undirviðmið!$G$6:$G$105,ROW()-6)&lt;&gt;"Starfsbundinn",GK25="",$E25="",$D25=""),"",ROUND(GK25/$E25*$D25*KVARDI,2))</f>
        <v/>
      </c>
      <c r="GM25" s="66" t="n"/>
      <c r="GN25" s="78">
        <f>IF(OR(INDEX(Undirviðmið!$G$6:$G$105,ROW()-6)&lt;&gt;"Starfsbundinn",GM25="",$E25="",$D25=""),"",ROUND(GM25/$E25*$D25*KVARDI,2))</f>
        <v/>
      </c>
      <c r="GO25" s="66" t="n"/>
      <c r="GP25" s="78">
        <f>IF(OR(INDEX(Undirviðmið!$G$6:$G$105,ROW()-6)&lt;&gt;"Starfsbundinn",GO25="",$E25="",$D25=""),"",ROUND(GO25/$E25*$D25*KVARDI,2))</f>
        <v/>
      </c>
      <c r="GQ25" s="66" t="n"/>
      <c r="GR25" s="78">
        <f>IF(OR(INDEX(Undirviðmið!$G$6:$G$105,ROW()-6)&lt;&gt;"Starfsbundinn",GQ25="",$E25="",$D25=""),"",ROUND(GQ25/$E25*$D25*KVARDI,2))</f>
        <v/>
      </c>
      <c r="GS25" s="66" t="n"/>
      <c r="GT25" s="78">
        <f>IF(OR(INDEX(Undirviðmið!$G$6:$G$105,ROW()-6)&lt;&gt;"Starfsbundinn",GS25="",$E25="",$D25=""),"",ROUND(GS25/$E25*$D25*KVARDI,2))</f>
        <v/>
      </c>
      <c r="GU25" s="66" t="n"/>
      <c r="GV25" s="78">
        <f>IF(OR(INDEX(Undirviðmið!$G$6:$G$105,ROW()-6)&lt;&gt;"Starfsbundinn",GU25="",$E25="",$D25=""),"",ROUND(GU25/$E25*$D25*KVARDI,2))</f>
        <v/>
      </c>
      <c r="GW25" s="66" t="n"/>
      <c r="GX25" s="78">
        <f>IF(OR(INDEX(Undirviðmið!$G$6:$G$105,ROW()-6)&lt;&gt;"Starfsbundinn",GW25="",$E25="",$D25=""),"",ROUND(GW25/$E25*$D25*KVARDI,2))</f>
        <v/>
      </c>
    </row>
    <row r="26" ht="15" customHeight="1" s="47">
      <c r="B26" s="67">
        <f>IF(INDEX(Undirviðmið!$G$6:$G$105,ROW()-6)="Starfsbundinn",INDEX(Undirviðmið!$B$6:$B$105,ROW()-6),"")</f>
        <v/>
      </c>
      <c r="C26" s="67">
        <f>IF(INDEX(Undirviðmið!$G$6:$G$105,ROW()-6)="Starfsbundinn",INDEX(Undirviðmið!$C$6:$C$105,ROW()-6),"")</f>
        <v/>
      </c>
      <c r="D26" s="77">
        <f>IF(INDEX(Undirviðmið!$G$6:$G$105,ROW()-6)="Starfsbundinn",INDEX(Undirviðmið!$E$6:$E$105,ROW()-6),"")</f>
        <v/>
      </c>
      <c r="E26" s="77">
        <f>IF(INDEX(Undirviðmið!$G$6:$G$105,ROW()-6)="Starfsbundinn",INDEX(Undirviðmið!$F$6:$F$105,ROW()-6),"")</f>
        <v/>
      </c>
      <c r="F26" s="77">
        <f>IF(INDEX(Undirviðmið!$G$6:$G$105,ROW()-6)="Starfsbundinn",IFERROR(INDEX(Undirviðmið!$E$6:$E$105,ROW()-6)*KVARDI,""),"")</f>
        <v/>
      </c>
      <c r="G26" s="66" t="n"/>
      <c r="H26" s="78">
        <f>IF(OR(INDEX(Undirviðmið!$G$6:$G$105,ROW()-6)&lt;&gt;"Starfsbundinn",G26="",$E26="",$D26=""),"",ROUND(G26/$E26*$D26*KVARDI,2))</f>
        <v/>
      </c>
      <c r="I26" s="66" t="n"/>
      <c r="J26" s="78">
        <f>IF(OR(INDEX(Undirviðmið!$G$6:$G$105,ROW()-6)&lt;&gt;"Starfsbundinn",I26="",$E26="",$D26=""),"",ROUND(I26/$E26*$D26*KVARDI,2))</f>
        <v/>
      </c>
      <c r="K26" s="66" t="n"/>
      <c r="L26" s="78">
        <f>IF(OR(INDEX(Undirviðmið!$G$6:$G$105,ROW()-6)&lt;&gt;"Starfsbundinn",K26="",$E26="",$D26=""),"",ROUND(K26/$E26*$D26*KVARDI,2))</f>
        <v/>
      </c>
      <c r="M26" s="66" t="n"/>
      <c r="N26" s="78">
        <f>IF(OR(INDEX(Undirviðmið!$G$6:$G$105,ROW()-6)&lt;&gt;"Starfsbundinn",M26="",$E26="",$D26=""),"",ROUND(M26/$E26*$D26*KVARDI,2))</f>
        <v/>
      </c>
      <c r="O26" s="66" t="n"/>
      <c r="P26" s="78">
        <f>IF(OR(INDEX(Undirviðmið!$G$6:$G$105,ROW()-6)&lt;&gt;"Starfsbundinn",O26="",$E26="",$D26=""),"",ROUND(O26/$E26*$D26*KVARDI,2))</f>
        <v/>
      </c>
      <c r="Q26" s="66" t="n"/>
      <c r="R26" s="78">
        <f>IF(OR(INDEX(Undirviðmið!$G$6:$G$105,ROW()-6)&lt;&gt;"Starfsbundinn",Q26="",$E26="",$D26=""),"",ROUND(Q26/$E26*$D26*KVARDI,2))</f>
        <v/>
      </c>
      <c r="S26" s="66" t="n"/>
      <c r="T26" s="78">
        <f>IF(OR(INDEX(Undirviðmið!$G$6:$G$105,ROW()-6)&lt;&gt;"Starfsbundinn",S26="",$E26="",$D26=""),"",ROUND(S26/$E26*$D26*KVARDI,2))</f>
        <v/>
      </c>
      <c r="U26" s="66" t="n"/>
      <c r="V26" s="78">
        <f>IF(OR(INDEX(Undirviðmið!$G$6:$G$105,ROW()-6)&lt;&gt;"Starfsbundinn",U26="",$E26="",$D26=""),"",ROUND(U26/$E26*$D26*KVARDI,2))</f>
        <v/>
      </c>
      <c r="W26" s="66" t="n"/>
      <c r="X26" s="78">
        <f>IF(OR(INDEX(Undirviðmið!$G$6:$G$105,ROW()-6)&lt;&gt;"Starfsbundinn",W26="",$E26="",$D26=""),"",ROUND(W26/$E26*$D26*KVARDI,2))</f>
        <v/>
      </c>
      <c r="Y26" s="66" t="n"/>
      <c r="Z26" s="78">
        <f>IF(OR(INDEX(Undirviðmið!$G$6:$G$105,ROW()-6)&lt;&gt;"Starfsbundinn",Y26="",$E26="",$D26=""),"",ROUND(Y26/$E26*$D26*KVARDI,2))</f>
        <v/>
      </c>
      <c r="AA26" s="66" t="n"/>
      <c r="AB26" s="78">
        <f>IF(OR(INDEX(Undirviðmið!$G$6:$G$105,ROW()-6)&lt;&gt;"Starfsbundinn",AA26="",$E26="",$D26=""),"",ROUND(AA26/$E26*$D26*KVARDI,2))</f>
        <v/>
      </c>
      <c r="AC26" s="66" t="n"/>
      <c r="AD26" s="78">
        <f>IF(OR(INDEX(Undirviðmið!$G$6:$G$105,ROW()-6)&lt;&gt;"Starfsbundinn",AC26="",$E26="",$D26=""),"",ROUND(AC26/$E26*$D26*KVARDI,2))</f>
        <v/>
      </c>
      <c r="AE26" s="66" t="n"/>
      <c r="AF26" s="78">
        <f>IF(OR(INDEX(Undirviðmið!$G$6:$G$105,ROW()-6)&lt;&gt;"Starfsbundinn",AE26="",$E26="",$D26=""),"",ROUND(AE26/$E26*$D26*KVARDI,2))</f>
        <v/>
      </c>
      <c r="AG26" s="66" t="n"/>
      <c r="AH26" s="78">
        <f>IF(OR(INDEX(Undirviðmið!$G$6:$G$105,ROW()-6)&lt;&gt;"Starfsbundinn",AG26="",$E26="",$D26=""),"",ROUND(AG26/$E26*$D26*KVARDI,2))</f>
        <v/>
      </c>
      <c r="AI26" s="66" t="n"/>
      <c r="AJ26" s="78">
        <f>IF(OR(INDEX(Undirviðmið!$G$6:$G$105,ROW()-6)&lt;&gt;"Starfsbundinn",AI26="",$E26="",$D26=""),"",ROUND(AI26/$E26*$D26*KVARDI,2))</f>
        <v/>
      </c>
      <c r="AK26" s="66" t="n"/>
      <c r="AL26" s="78">
        <f>IF(OR(INDEX(Undirviðmið!$G$6:$G$105,ROW()-6)&lt;&gt;"Starfsbundinn",AK26="",$E26="",$D26=""),"",ROUND(AK26/$E26*$D26*KVARDI,2))</f>
        <v/>
      </c>
      <c r="AM26" s="66" t="n"/>
      <c r="AN26" s="78">
        <f>IF(OR(INDEX(Undirviðmið!$G$6:$G$105,ROW()-6)&lt;&gt;"Starfsbundinn",AM26="",$E26="",$D26=""),"",ROUND(AM26/$E26*$D26*KVARDI,2))</f>
        <v/>
      </c>
      <c r="AO26" s="66" t="n"/>
      <c r="AP26" s="78">
        <f>IF(OR(INDEX(Undirviðmið!$G$6:$G$105,ROW()-6)&lt;&gt;"Starfsbundinn",AO26="",$E26="",$D26=""),"",ROUND(AO26/$E26*$D26*KVARDI,2))</f>
        <v/>
      </c>
      <c r="AQ26" s="66" t="n"/>
      <c r="AR26" s="78">
        <f>IF(OR(INDEX(Undirviðmið!$G$6:$G$105,ROW()-6)&lt;&gt;"Starfsbundinn",AQ26="",$E26="",$D26=""),"",ROUND(AQ26/$E26*$D26*KVARDI,2))</f>
        <v/>
      </c>
      <c r="AS26" s="66" t="n"/>
      <c r="AT26" s="78">
        <f>IF(OR(INDEX(Undirviðmið!$G$6:$G$105,ROW()-6)&lt;&gt;"Starfsbundinn",AS26="",$E26="",$D26=""),"",ROUND(AS26/$E26*$D26*KVARDI,2))</f>
        <v/>
      </c>
      <c r="AU26" s="66" t="n"/>
      <c r="AV26" s="78">
        <f>IF(OR(INDEX(Undirviðmið!$G$6:$G$105,ROW()-6)&lt;&gt;"Starfsbundinn",AU26="",$E26="",$D26=""),"",ROUND(AU26/$E26*$D26*KVARDI,2))</f>
        <v/>
      </c>
      <c r="AW26" s="66" t="n"/>
      <c r="AX26" s="78">
        <f>IF(OR(INDEX(Undirviðmið!$G$6:$G$105,ROW()-6)&lt;&gt;"Starfsbundinn",AW26="",$E26="",$D26=""),"",ROUND(AW26/$E26*$D26*KVARDI,2))</f>
        <v/>
      </c>
      <c r="AY26" s="66" t="n"/>
      <c r="AZ26" s="78">
        <f>IF(OR(INDEX(Undirviðmið!$G$6:$G$105,ROW()-6)&lt;&gt;"Starfsbundinn",AY26="",$E26="",$D26=""),"",ROUND(AY26/$E26*$D26*KVARDI,2))</f>
        <v/>
      </c>
      <c r="BA26" s="66" t="n"/>
      <c r="BB26" s="78">
        <f>IF(OR(INDEX(Undirviðmið!$G$6:$G$105,ROW()-6)&lt;&gt;"Starfsbundinn",BA26="",$E26="",$D26=""),"",ROUND(BA26/$E26*$D26*KVARDI,2))</f>
        <v/>
      </c>
      <c r="BC26" s="66" t="n"/>
      <c r="BD26" s="78">
        <f>IF(OR(INDEX(Undirviðmið!$G$6:$G$105,ROW()-6)&lt;&gt;"Starfsbundinn",BC26="",$E26="",$D26=""),"",ROUND(BC26/$E26*$D26*KVARDI,2))</f>
        <v/>
      </c>
      <c r="BE26" s="66" t="n"/>
      <c r="BF26" s="78">
        <f>IF(OR(INDEX(Undirviðmið!$G$6:$G$105,ROW()-6)&lt;&gt;"Starfsbundinn",BE26="",$E26="",$D26=""),"",ROUND(BE26/$E26*$D26*KVARDI,2))</f>
        <v/>
      </c>
      <c r="BG26" s="66" t="n"/>
      <c r="BH26" s="78">
        <f>IF(OR(INDEX(Undirviðmið!$G$6:$G$105,ROW()-6)&lt;&gt;"Starfsbundinn",BG26="",$E26="",$D26=""),"",ROUND(BG26/$E26*$D26*KVARDI,2))</f>
        <v/>
      </c>
      <c r="BI26" s="66" t="n"/>
      <c r="BJ26" s="78">
        <f>IF(OR(INDEX(Undirviðmið!$G$6:$G$105,ROW()-6)&lt;&gt;"Starfsbundinn",BI26="",$E26="",$D26=""),"",ROUND(BI26/$E26*$D26*KVARDI,2))</f>
        <v/>
      </c>
      <c r="BK26" s="66" t="n"/>
      <c r="BL26" s="78">
        <f>IF(OR(INDEX(Undirviðmið!$G$6:$G$105,ROW()-6)&lt;&gt;"Starfsbundinn",BK26="",$E26="",$D26=""),"",ROUND(BK26/$E26*$D26*KVARDI,2))</f>
        <v/>
      </c>
      <c r="BM26" s="66" t="n"/>
      <c r="BN26" s="78">
        <f>IF(OR(INDEX(Undirviðmið!$G$6:$G$105,ROW()-6)&lt;&gt;"Starfsbundinn",BM26="",$E26="",$D26=""),"",ROUND(BM26/$E26*$D26*KVARDI,2))</f>
        <v/>
      </c>
      <c r="BO26" s="66" t="n"/>
      <c r="BP26" s="78">
        <f>IF(OR(INDEX(Undirviðmið!$G$6:$G$105,ROW()-6)&lt;&gt;"Starfsbundinn",BO26="",$E26="",$D26=""),"",ROUND(BO26/$E26*$D26*KVARDI,2))</f>
        <v/>
      </c>
      <c r="BQ26" s="66" t="n"/>
      <c r="BR26" s="78">
        <f>IF(OR(INDEX(Undirviðmið!$G$6:$G$105,ROW()-6)&lt;&gt;"Starfsbundinn",BQ26="",$E26="",$D26=""),"",ROUND(BQ26/$E26*$D26*KVARDI,2))</f>
        <v/>
      </c>
      <c r="BS26" s="66" t="n"/>
      <c r="BT26" s="78">
        <f>IF(OR(INDEX(Undirviðmið!$G$6:$G$105,ROW()-6)&lt;&gt;"Starfsbundinn",BS26="",$E26="",$D26=""),"",ROUND(BS26/$E26*$D26*KVARDI,2))</f>
        <v/>
      </c>
      <c r="BU26" s="66" t="n"/>
      <c r="BV26" s="78">
        <f>IF(OR(INDEX(Undirviðmið!$G$6:$G$105,ROW()-6)&lt;&gt;"Starfsbundinn",BU26="",$E26="",$D26=""),"",ROUND(BU26/$E26*$D26*KVARDI,2))</f>
        <v/>
      </c>
      <c r="BW26" s="66" t="n"/>
      <c r="BX26" s="78">
        <f>IF(OR(INDEX(Undirviðmið!$G$6:$G$105,ROW()-6)&lt;&gt;"Starfsbundinn",BW26="",$E26="",$D26=""),"",ROUND(BW26/$E26*$D26*KVARDI,2))</f>
        <v/>
      </c>
      <c r="BY26" s="66" t="n"/>
      <c r="BZ26" s="78">
        <f>IF(OR(INDEX(Undirviðmið!$G$6:$G$105,ROW()-6)&lt;&gt;"Starfsbundinn",BY26="",$E26="",$D26=""),"",ROUND(BY26/$E26*$D26*KVARDI,2))</f>
        <v/>
      </c>
      <c r="CA26" s="66" t="n"/>
      <c r="CB26" s="78">
        <f>IF(OR(INDEX(Undirviðmið!$G$6:$G$105,ROW()-6)&lt;&gt;"Starfsbundinn",CA26="",$E26="",$D26=""),"",ROUND(CA26/$E26*$D26*KVARDI,2))</f>
        <v/>
      </c>
      <c r="CC26" s="66" t="n"/>
      <c r="CD26" s="78">
        <f>IF(OR(INDEX(Undirviðmið!$G$6:$G$105,ROW()-6)&lt;&gt;"Starfsbundinn",CC26="",$E26="",$D26=""),"",ROUND(CC26/$E26*$D26*KVARDI,2))</f>
        <v/>
      </c>
      <c r="CE26" s="66" t="n"/>
      <c r="CF26" s="78">
        <f>IF(OR(INDEX(Undirviðmið!$G$6:$G$105,ROW()-6)&lt;&gt;"Starfsbundinn",CE26="",$E26="",$D26=""),"",ROUND(CE26/$E26*$D26*KVARDI,2))</f>
        <v/>
      </c>
      <c r="CG26" s="66" t="n"/>
      <c r="CH26" s="78">
        <f>IF(OR(INDEX(Undirviðmið!$G$6:$G$105,ROW()-6)&lt;&gt;"Starfsbundinn",CG26="",$E26="",$D26=""),"",ROUND(CG26/$E26*$D26*KVARDI,2))</f>
        <v/>
      </c>
      <c r="CI26" s="66" t="n"/>
      <c r="CJ26" s="78">
        <f>IF(OR(INDEX(Undirviðmið!$G$6:$G$105,ROW()-6)&lt;&gt;"Starfsbundinn",CI26="",$E26="",$D26=""),"",ROUND(CI26/$E26*$D26*KVARDI,2))</f>
        <v/>
      </c>
      <c r="CK26" s="66" t="n"/>
      <c r="CL26" s="78">
        <f>IF(OR(INDEX(Undirviðmið!$G$6:$G$105,ROW()-6)&lt;&gt;"Starfsbundinn",CK26="",$E26="",$D26=""),"",ROUND(CK26/$E26*$D26*KVARDI,2))</f>
        <v/>
      </c>
      <c r="CM26" s="66" t="n"/>
      <c r="CN26" s="78">
        <f>IF(OR(INDEX(Undirviðmið!$G$6:$G$105,ROW()-6)&lt;&gt;"Starfsbundinn",CM26="",$E26="",$D26=""),"",ROUND(CM26/$E26*$D26*KVARDI,2))</f>
        <v/>
      </c>
      <c r="CO26" s="66" t="n"/>
      <c r="CP26" s="78">
        <f>IF(OR(INDEX(Undirviðmið!$G$6:$G$105,ROW()-6)&lt;&gt;"Starfsbundinn",CO26="",$E26="",$D26=""),"",ROUND(CO26/$E26*$D26*KVARDI,2))</f>
        <v/>
      </c>
      <c r="CQ26" s="66" t="n"/>
      <c r="CR26" s="78">
        <f>IF(OR(INDEX(Undirviðmið!$G$6:$G$105,ROW()-6)&lt;&gt;"Starfsbundinn",CQ26="",$E26="",$D26=""),"",ROUND(CQ26/$E26*$D26*KVARDI,2))</f>
        <v/>
      </c>
      <c r="CS26" s="66" t="n"/>
      <c r="CT26" s="78">
        <f>IF(OR(INDEX(Undirviðmið!$G$6:$G$105,ROW()-6)&lt;&gt;"Starfsbundinn",CS26="",$E26="",$D26=""),"",ROUND(CS26/$E26*$D26*KVARDI,2))</f>
        <v/>
      </c>
      <c r="CU26" s="66" t="n"/>
      <c r="CV26" s="78">
        <f>IF(OR(INDEX(Undirviðmið!$G$6:$G$105,ROW()-6)&lt;&gt;"Starfsbundinn",CU26="",$E26="",$D26=""),"",ROUND(CU26/$E26*$D26*KVARDI,2))</f>
        <v/>
      </c>
      <c r="CW26" s="66" t="n"/>
      <c r="CX26" s="78">
        <f>IF(OR(INDEX(Undirviðmið!$G$6:$G$105,ROW()-6)&lt;&gt;"Starfsbundinn",CW26="",$E26="",$D26=""),"",ROUND(CW26/$E26*$D26*KVARDI,2))</f>
        <v/>
      </c>
      <c r="CY26" s="66" t="n"/>
      <c r="CZ26" s="78">
        <f>IF(OR(INDEX(Undirviðmið!$G$6:$G$105,ROW()-6)&lt;&gt;"Starfsbundinn",CY26="",$E26="",$D26=""),"",ROUND(CY26/$E26*$D26*KVARDI,2))</f>
        <v/>
      </c>
      <c r="DA26" s="66" t="n"/>
      <c r="DB26" s="78">
        <f>IF(OR(INDEX(Undirviðmið!$G$6:$G$105,ROW()-6)&lt;&gt;"Starfsbundinn",DA26="",$E26="",$D26=""),"",ROUND(DA26/$E26*$D26*KVARDI,2))</f>
        <v/>
      </c>
      <c r="DC26" s="66" t="n"/>
      <c r="DD26" s="78">
        <f>IF(OR(INDEX(Undirviðmið!$G$6:$G$105,ROW()-6)&lt;&gt;"Starfsbundinn",DC26="",$E26="",$D26=""),"",ROUND(DC26/$E26*$D26*KVARDI,2))</f>
        <v/>
      </c>
      <c r="DE26" s="66" t="n"/>
      <c r="DF26" s="78">
        <f>IF(OR(INDEX(Undirviðmið!$G$6:$G$105,ROW()-6)&lt;&gt;"Starfsbundinn",DE26="",$E26="",$D26=""),"",ROUND(DE26/$E26*$D26*KVARDI,2))</f>
        <v/>
      </c>
      <c r="DG26" s="66" t="n"/>
      <c r="DH26" s="78">
        <f>IF(OR(INDEX(Undirviðmið!$G$6:$G$105,ROW()-6)&lt;&gt;"Starfsbundinn",DG26="",$E26="",$D26=""),"",ROUND(DG26/$E26*$D26*KVARDI,2))</f>
        <v/>
      </c>
      <c r="DI26" s="66" t="n"/>
      <c r="DJ26" s="78">
        <f>IF(OR(INDEX(Undirviðmið!$G$6:$G$105,ROW()-6)&lt;&gt;"Starfsbundinn",DI26="",$E26="",$D26=""),"",ROUND(DI26/$E26*$D26*KVARDI,2))</f>
        <v/>
      </c>
      <c r="DK26" s="66" t="n"/>
      <c r="DL26" s="78">
        <f>IF(OR(INDEX(Undirviðmið!$G$6:$G$105,ROW()-6)&lt;&gt;"Starfsbundinn",DK26="",$E26="",$D26=""),"",ROUND(DK26/$E26*$D26*KVARDI,2))</f>
        <v/>
      </c>
      <c r="DM26" s="66" t="n"/>
      <c r="DN26" s="78">
        <f>IF(OR(INDEX(Undirviðmið!$G$6:$G$105,ROW()-6)&lt;&gt;"Starfsbundinn",DM26="",$E26="",$D26=""),"",ROUND(DM26/$E26*$D26*KVARDI,2))</f>
        <v/>
      </c>
      <c r="DO26" s="66" t="n"/>
      <c r="DP26" s="78">
        <f>IF(OR(INDEX(Undirviðmið!$G$6:$G$105,ROW()-6)&lt;&gt;"Starfsbundinn",DO26="",$E26="",$D26=""),"",ROUND(DO26/$E26*$D26*KVARDI,2))</f>
        <v/>
      </c>
      <c r="DQ26" s="66" t="n"/>
      <c r="DR26" s="78">
        <f>IF(OR(INDEX(Undirviðmið!$G$6:$G$105,ROW()-6)&lt;&gt;"Starfsbundinn",DQ26="",$E26="",$D26=""),"",ROUND(DQ26/$E26*$D26*KVARDI,2))</f>
        <v/>
      </c>
      <c r="DS26" s="66" t="n"/>
      <c r="DT26" s="78">
        <f>IF(OR(INDEX(Undirviðmið!$G$6:$G$105,ROW()-6)&lt;&gt;"Starfsbundinn",DS26="",$E26="",$D26=""),"",ROUND(DS26/$E26*$D26*KVARDI,2))</f>
        <v/>
      </c>
      <c r="DU26" s="66" t="n"/>
      <c r="DV26" s="78">
        <f>IF(OR(INDEX(Undirviðmið!$G$6:$G$105,ROW()-6)&lt;&gt;"Starfsbundinn",DU26="",$E26="",$D26=""),"",ROUND(DU26/$E26*$D26*KVARDI,2))</f>
        <v/>
      </c>
      <c r="DW26" s="66" t="n"/>
      <c r="DX26" s="78">
        <f>IF(OR(INDEX(Undirviðmið!$G$6:$G$105,ROW()-6)&lt;&gt;"Starfsbundinn",DW26="",$E26="",$D26=""),"",ROUND(DW26/$E26*$D26*KVARDI,2))</f>
        <v/>
      </c>
      <c r="DY26" s="66" t="n"/>
      <c r="DZ26" s="78">
        <f>IF(OR(INDEX(Undirviðmið!$G$6:$G$105,ROW()-6)&lt;&gt;"Starfsbundinn",DY26="",$E26="",$D26=""),"",ROUND(DY26/$E26*$D26*KVARDI,2))</f>
        <v/>
      </c>
      <c r="EA26" s="66" t="n"/>
      <c r="EB26" s="78">
        <f>IF(OR(INDEX(Undirviðmið!$G$6:$G$105,ROW()-6)&lt;&gt;"Starfsbundinn",EA26="",$E26="",$D26=""),"",ROUND(EA26/$E26*$D26*KVARDI,2))</f>
        <v/>
      </c>
      <c r="EC26" s="66" t="n"/>
      <c r="ED26" s="78">
        <f>IF(OR(INDEX(Undirviðmið!$G$6:$G$105,ROW()-6)&lt;&gt;"Starfsbundinn",EC26="",$E26="",$D26=""),"",ROUND(EC26/$E26*$D26*KVARDI,2))</f>
        <v/>
      </c>
      <c r="EE26" s="66" t="n"/>
      <c r="EF26" s="78">
        <f>IF(OR(INDEX(Undirviðmið!$G$6:$G$105,ROW()-6)&lt;&gt;"Starfsbundinn",EE26="",$E26="",$D26=""),"",ROUND(EE26/$E26*$D26*KVARDI,2))</f>
        <v/>
      </c>
      <c r="EG26" s="66" t="n"/>
      <c r="EH26" s="78">
        <f>IF(OR(INDEX(Undirviðmið!$G$6:$G$105,ROW()-6)&lt;&gt;"Starfsbundinn",EG26="",$E26="",$D26=""),"",ROUND(EG26/$E26*$D26*KVARDI,2))</f>
        <v/>
      </c>
      <c r="EI26" s="66" t="n"/>
      <c r="EJ26" s="78">
        <f>IF(OR(INDEX(Undirviðmið!$G$6:$G$105,ROW()-6)&lt;&gt;"Starfsbundinn",EI26="",$E26="",$D26=""),"",ROUND(EI26/$E26*$D26*KVARDI,2))</f>
        <v/>
      </c>
      <c r="EK26" s="66" t="n"/>
      <c r="EL26" s="78">
        <f>IF(OR(INDEX(Undirviðmið!$G$6:$G$105,ROW()-6)&lt;&gt;"Starfsbundinn",EK26="",$E26="",$D26=""),"",ROUND(EK26/$E26*$D26*KVARDI,2))</f>
        <v/>
      </c>
      <c r="EM26" s="66" t="n"/>
      <c r="EN26" s="78">
        <f>IF(OR(INDEX(Undirviðmið!$G$6:$G$105,ROW()-6)&lt;&gt;"Starfsbundinn",EM26="",$E26="",$D26=""),"",ROUND(EM26/$E26*$D26*KVARDI,2))</f>
        <v/>
      </c>
      <c r="EO26" s="66" t="n"/>
      <c r="EP26" s="78">
        <f>IF(OR(INDEX(Undirviðmið!$G$6:$G$105,ROW()-6)&lt;&gt;"Starfsbundinn",EO26="",$E26="",$D26=""),"",ROUND(EO26/$E26*$D26*KVARDI,2))</f>
        <v/>
      </c>
      <c r="EQ26" s="66" t="n"/>
      <c r="ER26" s="78">
        <f>IF(OR(INDEX(Undirviðmið!$G$6:$G$105,ROW()-6)&lt;&gt;"Starfsbundinn",EQ26="",$E26="",$D26=""),"",ROUND(EQ26/$E26*$D26*KVARDI,2))</f>
        <v/>
      </c>
      <c r="ES26" s="66" t="n"/>
      <c r="ET26" s="78">
        <f>IF(OR(INDEX(Undirviðmið!$G$6:$G$105,ROW()-6)&lt;&gt;"Starfsbundinn",ES26="",$E26="",$D26=""),"",ROUND(ES26/$E26*$D26*KVARDI,2))</f>
        <v/>
      </c>
      <c r="EU26" s="66" t="n"/>
      <c r="EV26" s="78">
        <f>IF(OR(INDEX(Undirviðmið!$G$6:$G$105,ROW()-6)&lt;&gt;"Starfsbundinn",EU26="",$E26="",$D26=""),"",ROUND(EU26/$E26*$D26*KVARDI,2))</f>
        <v/>
      </c>
      <c r="EW26" s="66" t="n"/>
      <c r="EX26" s="78">
        <f>IF(OR(INDEX(Undirviðmið!$G$6:$G$105,ROW()-6)&lt;&gt;"Starfsbundinn",EW26="",$E26="",$D26=""),"",ROUND(EW26/$E26*$D26*KVARDI,2))</f>
        <v/>
      </c>
      <c r="EY26" s="66" t="n"/>
      <c r="EZ26" s="78">
        <f>IF(OR(INDEX(Undirviðmið!$G$6:$G$105,ROW()-6)&lt;&gt;"Starfsbundinn",EY26="",$E26="",$D26=""),"",ROUND(EY26/$E26*$D26*KVARDI,2))</f>
        <v/>
      </c>
      <c r="FA26" s="66" t="n"/>
      <c r="FB26" s="78">
        <f>IF(OR(INDEX(Undirviðmið!$G$6:$G$105,ROW()-6)&lt;&gt;"Starfsbundinn",FA26="",$E26="",$D26=""),"",ROUND(FA26/$E26*$D26*KVARDI,2))</f>
        <v/>
      </c>
      <c r="FC26" s="66" t="n"/>
      <c r="FD26" s="78">
        <f>IF(OR(INDEX(Undirviðmið!$G$6:$G$105,ROW()-6)&lt;&gt;"Starfsbundinn",FC26="",$E26="",$D26=""),"",ROUND(FC26/$E26*$D26*KVARDI,2))</f>
        <v/>
      </c>
      <c r="FE26" s="66" t="n"/>
      <c r="FF26" s="78">
        <f>IF(OR(INDEX(Undirviðmið!$G$6:$G$105,ROW()-6)&lt;&gt;"Starfsbundinn",FE26="",$E26="",$D26=""),"",ROUND(FE26/$E26*$D26*KVARDI,2))</f>
        <v/>
      </c>
      <c r="FG26" s="66" t="n"/>
      <c r="FH26" s="78">
        <f>IF(OR(INDEX(Undirviðmið!$G$6:$G$105,ROW()-6)&lt;&gt;"Starfsbundinn",FG26="",$E26="",$D26=""),"",ROUND(FG26/$E26*$D26*KVARDI,2))</f>
        <v/>
      </c>
      <c r="FI26" s="66" t="n"/>
      <c r="FJ26" s="78">
        <f>IF(OR(INDEX(Undirviðmið!$G$6:$G$105,ROW()-6)&lt;&gt;"Starfsbundinn",FI26="",$E26="",$D26=""),"",ROUND(FI26/$E26*$D26*KVARDI,2))</f>
        <v/>
      </c>
      <c r="FK26" s="66" t="n"/>
      <c r="FL26" s="78">
        <f>IF(OR(INDEX(Undirviðmið!$G$6:$G$105,ROW()-6)&lt;&gt;"Starfsbundinn",FK26="",$E26="",$D26=""),"",ROUND(FK26/$E26*$D26*KVARDI,2))</f>
        <v/>
      </c>
      <c r="FM26" s="66" t="n"/>
      <c r="FN26" s="78">
        <f>IF(OR(INDEX(Undirviðmið!$G$6:$G$105,ROW()-6)&lt;&gt;"Starfsbundinn",FM26="",$E26="",$D26=""),"",ROUND(FM26/$E26*$D26*KVARDI,2))</f>
        <v/>
      </c>
      <c r="FO26" s="66" t="n"/>
      <c r="FP26" s="78">
        <f>IF(OR(INDEX(Undirviðmið!$G$6:$G$105,ROW()-6)&lt;&gt;"Starfsbundinn",FO26="",$E26="",$D26=""),"",ROUND(FO26/$E26*$D26*KVARDI,2))</f>
        <v/>
      </c>
      <c r="FQ26" s="66" t="n"/>
      <c r="FR26" s="78">
        <f>IF(OR(INDEX(Undirviðmið!$G$6:$G$105,ROW()-6)&lt;&gt;"Starfsbundinn",FQ26="",$E26="",$D26=""),"",ROUND(FQ26/$E26*$D26*KVARDI,2))</f>
        <v/>
      </c>
      <c r="FS26" s="66" t="n"/>
      <c r="FT26" s="78">
        <f>IF(OR(INDEX(Undirviðmið!$G$6:$G$105,ROW()-6)&lt;&gt;"Starfsbundinn",FS26="",$E26="",$D26=""),"",ROUND(FS26/$E26*$D26*KVARDI,2))</f>
        <v/>
      </c>
      <c r="FU26" s="66" t="n"/>
      <c r="FV26" s="78">
        <f>IF(OR(INDEX(Undirviðmið!$G$6:$G$105,ROW()-6)&lt;&gt;"Starfsbundinn",FU26="",$E26="",$D26=""),"",ROUND(FU26/$E26*$D26*KVARDI,2))</f>
        <v/>
      </c>
      <c r="FW26" s="66" t="n"/>
      <c r="FX26" s="78">
        <f>IF(OR(INDEX(Undirviðmið!$G$6:$G$105,ROW()-6)&lt;&gt;"Starfsbundinn",FW26="",$E26="",$D26=""),"",ROUND(FW26/$E26*$D26*KVARDI,2))</f>
        <v/>
      </c>
      <c r="FY26" s="66" t="n"/>
      <c r="FZ26" s="78">
        <f>IF(OR(INDEX(Undirviðmið!$G$6:$G$105,ROW()-6)&lt;&gt;"Starfsbundinn",FY26="",$E26="",$D26=""),"",ROUND(FY26/$E26*$D26*KVARDI,2))</f>
        <v/>
      </c>
      <c r="GA26" s="66" t="n"/>
      <c r="GB26" s="78">
        <f>IF(OR(INDEX(Undirviðmið!$G$6:$G$105,ROW()-6)&lt;&gt;"Starfsbundinn",GA26="",$E26="",$D26=""),"",ROUND(GA26/$E26*$D26*KVARDI,2))</f>
        <v/>
      </c>
      <c r="GC26" s="66" t="n"/>
      <c r="GD26" s="78">
        <f>IF(OR(INDEX(Undirviðmið!$G$6:$G$105,ROW()-6)&lt;&gt;"Starfsbundinn",GC26="",$E26="",$D26=""),"",ROUND(GC26/$E26*$D26*KVARDI,2))</f>
        <v/>
      </c>
      <c r="GE26" s="66" t="n"/>
      <c r="GF26" s="78">
        <f>IF(OR(INDEX(Undirviðmið!$G$6:$G$105,ROW()-6)&lt;&gt;"Starfsbundinn",GE26="",$E26="",$D26=""),"",ROUND(GE26/$E26*$D26*KVARDI,2))</f>
        <v/>
      </c>
      <c r="GG26" s="66" t="n"/>
      <c r="GH26" s="78">
        <f>IF(OR(INDEX(Undirviðmið!$G$6:$G$105,ROW()-6)&lt;&gt;"Starfsbundinn",GG26="",$E26="",$D26=""),"",ROUND(GG26/$E26*$D26*KVARDI,2))</f>
        <v/>
      </c>
      <c r="GI26" s="66" t="n"/>
      <c r="GJ26" s="78">
        <f>IF(OR(INDEX(Undirviðmið!$G$6:$G$105,ROW()-6)&lt;&gt;"Starfsbundinn",GI26="",$E26="",$D26=""),"",ROUND(GI26/$E26*$D26*KVARDI,2))</f>
        <v/>
      </c>
      <c r="GK26" s="66" t="n"/>
      <c r="GL26" s="78">
        <f>IF(OR(INDEX(Undirviðmið!$G$6:$G$105,ROW()-6)&lt;&gt;"Starfsbundinn",GK26="",$E26="",$D26=""),"",ROUND(GK26/$E26*$D26*KVARDI,2))</f>
        <v/>
      </c>
      <c r="GM26" s="66" t="n"/>
      <c r="GN26" s="78">
        <f>IF(OR(INDEX(Undirviðmið!$G$6:$G$105,ROW()-6)&lt;&gt;"Starfsbundinn",GM26="",$E26="",$D26=""),"",ROUND(GM26/$E26*$D26*KVARDI,2))</f>
        <v/>
      </c>
      <c r="GO26" s="66" t="n"/>
      <c r="GP26" s="78">
        <f>IF(OR(INDEX(Undirviðmið!$G$6:$G$105,ROW()-6)&lt;&gt;"Starfsbundinn",GO26="",$E26="",$D26=""),"",ROUND(GO26/$E26*$D26*KVARDI,2))</f>
        <v/>
      </c>
      <c r="GQ26" s="66" t="n"/>
      <c r="GR26" s="78">
        <f>IF(OR(INDEX(Undirviðmið!$G$6:$G$105,ROW()-6)&lt;&gt;"Starfsbundinn",GQ26="",$E26="",$D26=""),"",ROUND(GQ26/$E26*$D26*KVARDI,2))</f>
        <v/>
      </c>
      <c r="GS26" s="66" t="n"/>
      <c r="GT26" s="78">
        <f>IF(OR(INDEX(Undirviðmið!$G$6:$G$105,ROW()-6)&lt;&gt;"Starfsbundinn",GS26="",$E26="",$D26=""),"",ROUND(GS26/$E26*$D26*KVARDI,2))</f>
        <v/>
      </c>
      <c r="GU26" s="66" t="n"/>
      <c r="GV26" s="78">
        <f>IF(OR(INDEX(Undirviðmið!$G$6:$G$105,ROW()-6)&lt;&gt;"Starfsbundinn",GU26="",$E26="",$D26=""),"",ROUND(GU26/$E26*$D26*KVARDI,2))</f>
        <v/>
      </c>
      <c r="GW26" s="66" t="n"/>
      <c r="GX26" s="78">
        <f>IF(OR(INDEX(Undirviðmið!$G$6:$G$105,ROW()-6)&lt;&gt;"Starfsbundinn",GW26="",$E26="",$D26=""),"",ROUND(GW26/$E26*$D26*KVARDI,2))</f>
        <v/>
      </c>
    </row>
    <row r="27" ht="15" customHeight="1" s="47">
      <c r="B27" s="67">
        <f>IF(INDEX(Undirviðmið!$G$6:$G$105,ROW()-6)="Starfsbundinn",INDEX(Undirviðmið!$B$6:$B$105,ROW()-6),"")</f>
        <v/>
      </c>
      <c r="C27" s="67">
        <f>IF(INDEX(Undirviðmið!$G$6:$G$105,ROW()-6)="Starfsbundinn",INDEX(Undirviðmið!$C$6:$C$105,ROW()-6),"")</f>
        <v/>
      </c>
      <c r="D27" s="77">
        <f>IF(INDEX(Undirviðmið!$G$6:$G$105,ROW()-6)="Starfsbundinn",INDEX(Undirviðmið!$E$6:$E$105,ROW()-6),"")</f>
        <v/>
      </c>
      <c r="E27" s="77">
        <f>IF(INDEX(Undirviðmið!$G$6:$G$105,ROW()-6)="Starfsbundinn",INDEX(Undirviðmið!$F$6:$F$105,ROW()-6),"")</f>
        <v/>
      </c>
      <c r="F27" s="77">
        <f>IF(INDEX(Undirviðmið!$G$6:$G$105,ROW()-6)="Starfsbundinn",IFERROR(INDEX(Undirviðmið!$E$6:$E$105,ROW()-6)*KVARDI,""),"")</f>
        <v/>
      </c>
      <c r="G27" s="66" t="n"/>
      <c r="H27" s="78">
        <f>IF(OR(INDEX(Undirviðmið!$G$6:$G$105,ROW()-6)&lt;&gt;"Starfsbundinn",G27="",$E27="",$D27=""),"",ROUND(G27/$E27*$D27*KVARDI,2))</f>
        <v/>
      </c>
      <c r="I27" s="66" t="n"/>
      <c r="J27" s="78">
        <f>IF(OR(INDEX(Undirviðmið!$G$6:$G$105,ROW()-6)&lt;&gt;"Starfsbundinn",I27="",$E27="",$D27=""),"",ROUND(I27/$E27*$D27*KVARDI,2))</f>
        <v/>
      </c>
      <c r="K27" s="66" t="n"/>
      <c r="L27" s="78">
        <f>IF(OR(INDEX(Undirviðmið!$G$6:$G$105,ROW()-6)&lt;&gt;"Starfsbundinn",K27="",$E27="",$D27=""),"",ROUND(K27/$E27*$D27*KVARDI,2))</f>
        <v/>
      </c>
      <c r="M27" s="66" t="n"/>
      <c r="N27" s="78">
        <f>IF(OR(INDEX(Undirviðmið!$G$6:$G$105,ROW()-6)&lt;&gt;"Starfsbundinn",M27="",$E27="",$D27=""),"",ROUND(M27/$E27*$D27*KVARDI,2))</f>
        <v/>
      </c>
      <c r="O27" s="66" t="n"/>
      <c r="P27" s="78">
        <f>IF(OR(INDEX(Undirviðmið!$G$6:$G$105,ROW()-6)&lt;&gt;"Starfsbundinn",O27="",$E27="",$D27=""),"",ROUND(O27/$E27*$D27*KVARDI,2))</f>
        <v/>
      </c>
      <c r="Q27" s="66" t="n"/>
      <c r="R27" s="78">
        <f>IF(OR(INDEX(Undirviðmið!$G$6:$G$105,ROW()-6)&lt;&gt;"Starfsbundinn",Q27="",$E27="",$D27=""),"",ROUND(Q27/$E27*$D27*KVARDI,2))</f>
        <v/>
      </c>
      <c r="S27" s="66" t="n"/>
      <c r="T27" s="78">
        <f>IF(OR(INDEX(Undirviðmið!$G$6:$G$105,ROW()-6)&lt;&gt;"Starfsbundinn",S27="",$E27="",$D27=""),"",ROUND(S27/$E27*$D27*KVARDI,2))</f>
        <v/>
      </c>
      <c r="U27" s="66" t="n"/>
      <c r="V27" s="78">
        <f>IF(OR(INDEX(Undirviðmið!$G$6:$G$105,ROW()-6)&lt;&gt;"Starfsbundinn",U27="",$E27="",$D27=""),"",ROUND(U27/$E27*$D27*KVARDI,2))</f>
        <v/>
      </c>
      <c r="W27" s="66" t="n"/>
      <c r="X27" s="78">
        <f>IF(OR(INDEX(Undirviðmið!$G$6:$G$105,ROW()-6)&lt;&gt;"Starfsbundinn",W27="",$E27="",$D27=""),"",ROUND(W27/$E27*$D27*KVARDI,2))</f>
        <v/>
      </c>
      <c r="Y27" s="66" t="n"/>
      <c r="Z27" s="78">
        <f>IF(OR(INDEX(Undirviðmið!$G$6:$G$105,ROW()-6)&lt;&gt;"Starfsbundinn",Y27="",$E27="",$D27=""),"",ROUND(Y27/$E27*$D27*KVARDI,2))</f>
        <v/>
      </c>
      <c r="AA27" s="66" t="n"/>
      <c r="AB27" s="78">
        <f>IF(OR(INDEX(Undirviðmið!$G$6:$G$105,ROW()-6)&lt;&gt;"Starfsbundinn",AA27="",$E27="",$D27=""),"",ROUND(AA27/$E27*$D27*KVARDI,2))</f>
        <v/>
      </c>
      <c r="AC27" s="66" t="n"/>
      <c r="AD27" s="78">
        <f>IF(OR(INDEX(Undirviðmið!$G$6:$G$105,ROW()-6)&lt;&gt;"Starfsbundinn",AC27="",$E27="",$D27=""),"",ROUND(AC27/$E27*$D27*KVARDI,2))</f>
        <v/>
      </c>
      <c r="AE27" s="66" t="n"/>
      <c r="AF27" s="78">
        <f>IF(OR(INDEX(Undirviðmið!$G$6:$G$105,ROW()-6)&lt;&gt;"Starfsbundinn",AE27="",$E27="",$D27=""),"",ROUND(AE27/$E27*$D27*KVARDI,2))</f>
        <v/>
      </c>
      <c r="AG27" s="66" t="n"/>
      <c r="AH27" s="78">
        <f>IF(OR(INDEX(Undirviðmið!$G$6:$G$105,ROW()-6)&lt;&gt;"Starfsbundinn",AG27="",$E27="",$D27=""),"",ROUND(AG27/$E27*$D27*KVARDI,2))</f>
        <v/>
      </c>
      <c r="AI27" s="66" t="n"/>
      <c r="AJ27" s="78">
        <f>IF(OR(INDEX(Undirviðmið!$G$6:$G$105,ROW()-6)&lt;&gt;"Starfsbundinn",AI27="",$E27="",$D27=""),"",ROUND(AI27/$E27*$D27*KVARDI,2))</f>
        <v/>
      </c>
      <c r="AK27" s="66" t="n"/>
      <c r="AL27" s="78">
        <f>IF(OR(INDEX(Undirviðmið!$G$6:$G$105,ROW()-6)&lt;&gt;"Starfsbundinn",AK27="",$E27="",$D27=""),"",ROUND(AK27/$E27*$D27*KVARDI,2))</f>
        <v/>
      </c>
      <c r="AM27" s="66" t="n"/>
      <c r="AN27" s="78">
        <f>IF(OR(INDEX(Undirviðmið!$G$6:$G$105,ROW()-6)&lt;&gt;"Starfsbundinn",AM27="",$E27="",$D27=""),"",ROUND(AM27/$E27*$D27*KVARDI,2))</f>
        <v/>
      </c>
      <c r="AO27" s="66" t="n"/>
      <c r="AP27" s="78">
        <f>IF(OR(INDEX(Undirviðmið!$G$6:$G$105,ROW()-6)&lt;&gt;"Starfsbundinn",AO27="",$E27="",$D27=""),"",ROUND(AO27/$E27*$D27*KVARDI,2))</f>
        <v/>
      </c>
      <c r="AQ27" s="66" t="n"/>
      <c r="AR27" s="78">
        <f>IF(OR(INDEX(Undirviðmið!$G$6:$G$105,ROW()-6)&lt;&gt;"Starfsbundinn",AQ27="",$E27="",$D27=""),"",ROUND(AQ27/$E27*$D27*KVARDI,2))</f>
        <v/>
      </c>
      <c r="AS27" s="66" t="n"/>
      <c r="AT27" s="78">
        <f>IF(OR(INDEX(Undirviðmið!$G$6:$G$105,ROW()-6)&lt;&gt;"Starfsbundinn",AS27="",$E27="",$D27=""),"",ROUND(AS27/$E27*$D27*KVARDI,2))</f>
        <v/>
      </c>
      <c r="AU27" s="66" t="n"/>
      <c r="AV27" s="78">
        <f>IF(OR(INDEX(Undirviðmið!$G$6:$G$105,ROW()-6)&lt;&gt;"Starfsbundinn",AU27="",$E27="",$D27=""),"",ROUND(AU27/$E27*$D27*KVARDI,2))</f>
        <v/>
      </c>
      <c r="AW27" s="66" t="n"/>
      <c r="AX27" s="78">
        <f>IF(OR(INDEX(Undirviðmið!$G$6:$G$105,ROW()-6)&lt;&gt;"Starfsbundinn",AW27="",$E27="",$D27=""),"",ROUND(AW27/$E27*$D27*KVARDI,2))</f>
        <v/>
      </c>
      <c r="AY27" s="66" t="n"/>
      <c r="AZ27" s="78">
        <f>IF(OR(INDEX(Undirviðmið!$G$6:$G$105,ROW()-6)&lt;&gt;"Starfsbundinn",AY27="",$E27="",$D27=""),"",ROUND(AY27/$E27*$D27*KVARDI,2))</f>
        <v/>
      </c>
      <c r="BA27" s="66" t="n"/>
      <c r="BB27" s="78">
        <f>IF(OR(INDEX(Undirviðmið!$G$6:$G$105,ROW()-6)&lt;&gt;"Starfsbundinn",BA27="",$E27="",$D27=""),"",ROUND(BA27/$E27*$D27*KVARDI,2))</f>
        <v/>
      </c>
      <c r="BC27" s="66" t="n"/>
      <c r="BD27" s="78">
        <f>IF(OR(INDEX(Undirviðmið!$G$6:$G$105,ROW()-6)&lt;&gt;"Starfsbundinn",BC27="",$E27="",$D27=""),"",ROUND(BC27/$E27*$D27*KVARDI,2))</f>
        <v/>
      </c>
      <c r="BE27" s="66" t="n"/>
      <c r="BF27" s="78">
        <f>IF(OR(INDEX(Undirviðmið!$G$6:$G$105,ROW()-6)&lt;&gt;"Starfsbundinn",BE27="",$E27="",$D27=""),"",ROUND(BE27/$E27*$D27*KVARDI,2))</f>
        <v/>
      </c>
      <c r="BG27" s="66" t="n"/>
      <c r="BH27" s="78">
        <f>IF(OR(INDEX(Undirviðmið!$G$6:$G$105,ROW()-6)&lt;&gt;"Starfsbundinn",BG27="",$E27="",$D27=""),"",ROUND(BG27/$E27*$D27*KVARDI,2))</f>
        <v/>
      </c>
      <c r="BI27" s="66" t="n"/>
      <c r="BJ27" s="78">
        <f>IF(OR(INDEX(Undirviðmið!$G$6:$G$105,ROW()-6)&lt;&gt;"Starfsbundinn",BI27="",$E27="",$D27=""),"",ROUND(BI27/$E27*$D27*KVARDI,2))</f>
        <v/>
      </c>
      <c r="BK27" s="66" t="n"/>
      <c r="BL27" s="78">
        <f>IF(OR(INDEX(Undirviðmið!$G$6:$G$105,ROW()-6)&lt;&gt;"Starfsbundinn",BK27="",$E27="",$D27=""),"",ROUND(BK27/$E27*$D27*KVARDI,2))</f>
        <v/>
      </c>
      <c r="BM27" s="66" t="n"/>
      <c r="BN27" s="78">
        <f>IF(OR(INDEX(Undirviðmið!$G$6:$G$105,ROW()-6)&lt;&gt;"Starfsbundinn",BM27="",$E27="",$D27=""),"",ROUND(BM27/$E27*$D27*KVARDI,2))</f>
        <v/>
      </c>
      <c r="BO27" s="66" t="n"/>
      <c r="BP27" s="78">
        <f>IF(OR(INDEX(Undirviðmið!$G$6:$G$105,ROW()-6)&lt;&gt;"Starfsbundinn",BO27="",$E27="",$D27=""),"",ROUND(BO27/$E27*$D27*KVARDI,2))</f>
        <v/>
      </c>
      <c r="BQ27" s="66" t="n"/>
      <c r="BR27" s="78">
        <f>IF(OR(INDEX(Undirviðmið!$G$6:$G$105,ROW()-6)&lt;&gt;"Starfsbundinn",BQ27="",$E27="",$D27=""),"",ROUND(BQ27/$E27*$D27*KVARDI,2))</f>
        <v/>
      </c>
      <c r="BS27" s="66" t="n"/>
      <c r="BT27" s="78">
        <f>IF(OR(INDEX(Undirviðmið!$G$6:$G$105,ROW()-6)&lt;&gt;"Starfsbundinn",BS27="",$E27="",$D27=""),"",ROUND(BS27/$E27*$D27*KVARDI,2))</f>
        <v/>
      </c>
      <c r="BU27" s="66" t="n"/>
      <c r="BV27" s="78">
        <f>IF(OR(INDEX(Undirviðmið!$G$6:$G$105,ROW()-6)&lt;&gt;"Starfsbundinn",BU27="",$E27="",$D27=""),"",ROUND(BU27/$E27*$D27*KVARDI,2))</f>
        <v/>
      </c>
      <c r="BW27" s="66" t="n"/>
      <c r="BX27" s="78">
        <f>IF(OR(INDEX(Undirviðmið!$G$6:$G$105,ROW()-6)&lt;&gt;"Starfsbundinn",BW27="",$E27="",$D27=""),"",ROUND(BW27/$E27*$D27*KVARDI,2))</f>
        <v/>
      </c>
      <c r="BY27" s="66" t="n"/>
      <c r="BZ27" s="78">
        <f>IF(OR(INDEX(Undirviðmið!$G$6:$G$105,ROW()-6)&lt;&gt;"Starfsbundinn",BY27="",$E27="",$D27=""),"",ROUND(BY27/$E27*$D27*KVARDI,2))</f>
        <v/>
      </c>
      <c r="CA27" s="66" t="n"/>
      <c r="CB27" s="78">
        <f>IF(OR(INDEX(Undirviðmið!$G$6:$G$105,ROW()-6)&lt;&gt;"Starfsbundinn",CA27="",$E27="",$D27=""),"",ROUND(CA27/$E27*$D27*KVARDI,2))</f>
        <v/>
      </c>
      <c r="CC27" s="66" t="n"/>
      <c r="CD27" s="78">
        <f>IF(OR(INDEX(Undirviðmið!$G$6:$G$105,ROW()-6)&lt;&gt;"Starfsbundinn",CC27="",$E27="",$D27=""),"",ROUND(CC27/$E27*$D27*KVARDI,2))</f>
        <v/>
      </c>
      <c r="CE27" s="66" t="n"/>
      <c r="CF27" s="78">
        <f>IF(OR(INDEX(Undirviðmið!$G$6:$G$105,ROW()-6)&lt;&gt;"Starfsbundinn",CE27="",$E27="",$D27=""),"",ROUND(CE27/$E27*$D27*KVARDI,2))</f>
        <v/>
      </c>
      <c r="CG27" s="66" t="n"/>
      <c r="CH27" s="78">
        <f>IF(OR(INDEX(Undirviðmið!$G$6:$G$105,ROW()-6)&lt;&gt;"Starfsbundinn",CG27="",$E27="",$D27=""),"",ROUND(CG27/$E27*$D27*KVARDI,2))</f>
        <v/>
      </c>
      <c r="CI27" s="66" t="n"/>
      <c r="CJ27" s="78">
        <f>IF(OR(INDEX(Undirviðmið!$G$6:$G$105,ROW()-6)&lt;&gt;"Starfsbundinn",CI27="",$E27="",$D27=""),"",ROUND(CI27/$E27*$D27*KVARDI,2))</f>
        <v/>
      </c>
      <c r="CK27" s="66" t="n"/>
      <c r="CL27" s="78">
        <f>IF(OR(INDEX(Undirviðmið!$G$6:$G$105,ROW()-6)&lt;&gt;"Starfsbundinn",CK27="",$E27="",$D27=""),"",ROUND(CK27/$E27*$D27*KVARDI,2))</f>
        <v/>
      </c>
      <c r="CM27" s="66" t="n"/>
      <c r="CN27" s="78">
        <f>IF(OR(INDEX(Undirviðmið!$G$6:$G$105,ROW()-6)&lt;&gt;"Starfsbundinn",CM27="",$E27="",$D27=""),"",ROUND(CM27/$E27*$D27*KVARDI,2))</f>
        <v/>
      </c>
      <c r="CO27" s="66" t="n"/>
      <c r="CP27" s="78">
        <f>IF(OR(INDEX(Undirviðmið!$G$6:$G$105,ROW()-6)&lt;&gt;"Starfsbundinn",CO27="",$E27="",$D27=""),"",ROUND(CO27/$E27*$D27*KVARDI,2))</f>
        <v/>
      </c>
      <c r="CQ27" s="66" t="n"/>
      <c r="CR27" s="78">
        <f>IF(OR(INDEX(Undirviðmið!$G$6:$G$105,ROW()-6)&lt;&gt;"Starfsbundinn",CQ27="",$E27="",$D27=""),"",ROUND(CQ27/$E27*$D27*KVARDI,2))</f>
        <v/>
      </c>
      <c r="CS27" s="66" t="n"/>
      <c r="CT27" s="78">
        <f>IF(OR(INDEX(Undirviðmið!$G$6:$G$105,ROW()-6)&lt;&gt;"Starfsbundinn",CS27="",$E27="",$D27=""),"",ROUND(CS27/$E27*$D27*KVARDI,2))</f>
        <v/>
      </c>
      <c r="CU27" s="66" t="n"/>
      <c r="CV27" s="78">
        <f>IF(OR(INDEX(Undirviðmið!$G$6:$G$105,ROW()-6)&lt;&gt;"Starfsbundinn",CU27="",$E27="",$D27=""),"",ROUND(CU27/$E27*$D27*KVARDI,2))</f>
        <v/>
      </c>
      <c r="CW27" s="66" t="n"/>
      <c r="CX27" s="78">
        <f>IF(OR(INDEX(Undirviðmið!$G$6:$G$105,ROW()-6)&lt;&gt;"Starfsbundinn",CW27="",$E27="",$D27=""),"",ROUND(CW27/$E27*$D27*KVARDI,2))</f>
        <v/>
      </c>
      <c r="CY27" s="66" t="n"/>
      <c r="CZ27" s="78">
        <f>IF(OR(INDEX(Undirviðmið!$G$6:$G$105,ROW()-6)&lt;&gt;"Starfsbundinn",CY27="",$E27="",$D27=""),"",ROUND(CY27/$E27*$D27*KVARDI,2))</f>
        <v/>
      </c>
      <c r="DA27" s="66" t="n"/>
      <c r="DB27" s="78">
        <f>IF(OR(INDEX(Undirviðmið!$G$6:$G$105,ROW()-6)&lt;&gt;"Starfsbundinn",DA27="",$E27="",$D27=""),"",ROUND(DA27/$E27*$D27*KVARDI,2))</f>
        <v/>
      </c>
      <c r="DC27" s="66" t="n"/>
      <c r="DD27" s="78">
        <f>IF(OR(INDEX(Undirviðmið!$G$6:$G$105,ROW()-6)&lt;&gt;"Starfsbundinn",DC27="",$E27="",$D27=""),"",ROUND(DC27/$E27*$D27*KVARDI,2))</f>
        <v/>
      </c>
      <c r="DE27" s="66" t="n"/>
      <c r="DF27" s="78">
        <f>IF(OR(INDEX(Undirviðmið!$G$6:$G$105,ROW()-6)&lt;&gt;"Starfsbundinn",DE27="",$E27="",$D27=""),"",ROUND(DE27/$E27*$D27*KVARDI,2))</f>
        <v/>
      </c>
      <c r="DG27" s="66" t="n"/>
      <c r="DH27" s="78">
        <f>IF(OR(INDEX(Undirviðmið!$G$6:$G$105,ROW()-6)&lt;&gt;"Starfsbundinn",DG27="",$E27="",$D27=""),"",ROUND(DG27/$E27*$D27*KVARDI,2))</f>
        <v/>
      </c>
      <c r="DI27" s="66" t="n"/>
      <c r="DJ27" s="78">
        <f>IF(OR(INDEX(Undirviðmið!$G$6:$G$105,ROW()-6)&lt;&gt;"Starfsbundinn",DI27="",$E27="",$D27=""),"",ROUND(DI27/$E27*$D27*KVARDI,2))</f>
        <v/>
      </c>
      <c r="DK27" s="66" t="n"/>
      <c r="DL27" s="78">
        <f>IF(OR(INDEX(Undirviðmið!$G$6:$G$105,ROW()-6)&lt;&gt;"Starfsbundinn",DK27="",$E27="",$D27=""),"",ROUND(DK27/$E27*$D27*KVARDI,2))</f>
        <v/>
      </c>
      <c r="DM27" s="66" t="n"/>
      <c r="DN27" s="78">
        <f>IF(OR(INDEX(Undirviðmið!$G$6:$G$105,ROW()-6)&lt;&gt;"Starfsbundinn",DM27="",$E27="",$D27=""),"",ROUND(DM27/$E27*$D27*KVARDI,2))</f>
        <v/>
      </c>
      <c r="DO27" s="66" t="n"/>
      <c r="DP27" s="78">
        <f>IF(OR(INDEX(Undirviðmið!$G$6:$G$105,ROW()-6)&lt;&gt;"Starfsbundinn",DO27="",$E27="",$D27=""),"",ROUND(DO27/$E27*$D27*KVARDI,2))</f>
        <v/>
      </c>
      <c r="DQ27" s="66" t="n"/>
      <c r="DR27" s="78">
        <f>IF(OR(INDEX(Undirviðmið!$G$6:$G$105,ROW()-6)&lt;&gt;"Starfsbundinn",DQ27="",$E27="",$D27=""),"",ROUND(DQ27/$E27*$D27*KVARDI,2))</f>
        <v/>
      </c>
      <c r="DS27" s="66" t="n"/>
      <c r="DT27" s="78">
        <f>IF(OR(INDEX(Undirviðmið!$G$6:$G$105,ROW()-6)&lt;&gt;"Starfsbundinn",DS27="",$E27="",$D27=""),"",ROUND(DS27/$E27*$D27*KVARDI,2))</f>
        <v/>
      </c>
      <c r="DU27" s="66" t="n"/>
      <c r="DV27" s="78">
        <f>IF(OR(INDEX(Undirviðmið!$G$6:$G$105,ROW()-6)&lt;&gt;"Starfsbundinn",DU27="",$E27="",$D27=""),"",ROUND(DU27/$E27*$D27*KVARDI,2))</f>
        <v/>
      </c>
      <c r="DW27" s="66" t="n"/>
      <c r="DX27" s="78">
        <f>IF(OR(INDEX(Undirviðmið!$G$6:$G$105,ROW()-6)&lt;&gt;"Starfsbundinn",DW27="",$E27="",$D27=""),"",ROUND(DW27/$E27*$D27*KVARDI,2))</f>
        <v/>
      </c>
      <c r="DY27" s="66" t="n"/>
      <c r="DZ27" s="78">
        <f>IF(OR(INDEX(Undirviðmið!$G$6:$G$105,ROW()-6)&lt;&gt;"Starfsbundinn",DY27="",$E27="",$D27=""),"",ROUND(DY27/$E27*$D27*KVARDI,2))</f>
        <v/>
      </c>
      <c r="EA27" s="66" t="n"/>
      <c r="EB27" s="78">
        <f>IF(OR(INDEX(Undirviðmið!$G$6:$G$105,ROW()-6)&lt;&gt;"Starfsbundinn",EA27="",$E27="",$D27=""),"",ROUND(EA27/$E27*$D27*KVARDI,2))</f>
        <v/>
      </c>
      <c r="EC27" s="66" t="n"/>
      <c r="ED27" s="78">
        <f>IF(OR(INDEX(Undirviðmið!$G$6:$G$105,ROW()-6)&lt;&gt;"Starfsbundinn",EC27="",$E27="",$D27=""),"",ROUND(EC27/$E27*$D27*KVARDI,2))</f>
        <v/>
      </c>
      <c r="EE27" s="66" t="n"/>
      <c r="EF27" s="78">
        <f>IF(OR(INDEX(Undirviðmið!$G$6:$G$105,ROW()-6)&lt;&gt;"Starfsbundinn",EE27="",$E27="",$D27=""),"",ROUND(EE27/$E27*$D27*KVARDI,2))</f>
        <v/>
      </c>
      <c r="EG27" s="66" t="n"/>
      <c r="EH27" s="78">
        <f>IF(OR(INDEX(Undirviðmið!$G$6:$G$105,ROW()-6)&lt;&gt;"Starfsbundinn",EG27="",$E27="",$D27=""),"",ROUND(EG27/$E27*$D27*KVARDI,2))</f>
        <v/>
      </c>
      <c r="EI27" s="66" t="n"/>
      <c r="EJ27" s="78">
        <f>IF(OR(INDEX(Undirviðmið!$G$6:$G$105,ROW()-6)&lt;&gt;"Starfsbundinn",EI27="",$E27="",$D27=""),"",ROUND(EI27/$E27*$D27*KVARDI,2))</f>
        <v/>
      </c>
      <c r="EK27" s="66" t="n"/>
      <c r="EL27" s="78">
        <f>IF(OR(INDEX(Undirviðmið!$G$6:$G$105,ROW()-6)&lt;&gt;"Starfsbundinn",EK27="",$E27="",$D27=""),"",ROUND(EK27/$E27*$D27*KVARDI,2))</f>
        <v/>
      </c>
      <c r="EM27" s="66" t="n"/>
      <c r="EN27" s="78">
        <f>IF(OR(INDEX(Undirviðmið!$G$6:$G$105,ROW()-6)&lt;&gt;"Starfsbundinn",EM27="",$E27="",$D27=""),"",ROUND(EM27/$E27*$D27*KVARDI,2))</f>
        <v/>
      </c>
      <c r="EO27" s="66" t="n"/>
      <c r="EP27" s="78">
        <f>IF(OR(INDEX(Undirviðmið!$G$6:$G$105,ROW()-6)&lt;&gt;"Starfsbundinn",EO27="",$E27="",$D27=""),"",ROUND(EO27/$E27*$D27*KVARDI,2))</f>
        <v/>
      </c>
      <c r="EQ27" s="66" t="n"/>
      <c r="ER27" s="78">
        <f>IF(OR(INDEX(Undirviðmið!$G$6:$G$105,ROW()-6)&lt;&gt;"Starfsbundinn",EQ27="",$E27="",$D27=""),"",ROUND(EQ27/$E27*$D27*KVARDI,2))</f>
        <v/>
      </c>
      <c r="ES27" s="66" t="n"/>
      <c r="ET27" s="78">
        <f>IF(OR(INDEX(Undirviðmið!$G$6:$G$105,ROW()-6)&lt;&gt;"Starfsbundinn",ES27="",$E27="",$D27=""),"",ROUND(ES27/$E27*$D27*KVARDI,2))</f>
        <v/>
      </c>
      <c r="EU27" s="66" t="n"/>
      <c r="EV27" s="78">
        <f>IF(OR(INDEX(Undirviðmið!$G$6:$G$105,ROW()-6)&lt;&gt;"Starfsbundinn",EU27="",$E27="",$D27=""),"",ROUND(EU27/$E27*$D27*KVARDI,2))</f>
        <v/>
      </c>
      <c r="EW27" s="66" t="n"/>
      <c r="EX27" s="78">
        <f>IF(OR(INDEX(Undirviðmið!$G$6:$G$105,ROW()-6)&lt;&gt;"Starfsbundinn",EW27="",$E27="",$D27=""),"",ROUND(EW27/$E27*$D27*KVARDI,2))</f>
        <v/>
      </c>
      <c r="EY27" s="66" t="n"/>
      <c r="EZ27" s="78">
        <f>IF(OR(INDEX(Undirviðmið!$G$6:$G$105,ROW()-6)&lt;&gt;"Starfsbundinn",EY27="",$E27="",$D27=""),"",ROUND(EY27/$E27*$D27*KVARDI,2))</f>
        <v/>
      </c>
      <c r="FA27" s="66" t="n"/>
      <c r="FB27" s="78">
        <f>IF(OR(INDEX(Undirviðmið!$G$6:$G$105,ROW()-6)&lt;&gt;"Starfsbundinn",FA27="",$E27="",$D27=""),"",ROUND(FA27/$E27*$D27*KVARDI,2))</f>
        <v/>
      </c>
      <c r="FC27" s="66" t="n"/>
      <c r="FD27" s="78">
        <f>IF(OR(INDEX(Undirviðmið!$G$6:$G$105,ROW()-6)&lt;&gt;"Starfsbundinn",FC27="",$E27="",$D27=""),"",ROUND(FC27/$E27*$D27*KVARDI,2))</f>
        <v/>
      </c>
      <c r="FE27" s="66" t="n"/>
      <c r="FF27" s="78">
        <f>IF(OR(INDEX(Undirviðmið!$G$6:$G$105,ROW()-6)&lt;&gt;"Starfsbundinn",FE27="",$E27="",$D27=""),"",ROUND(FE27/$E27*$D27*KVARDI,2))</f>
        <v/>
      </c>
      <c r="FG27" s="66" t="n"/>
      <c r="FH27" s="78">
        <f>IF(OR(INDEX(Undirviðmið!$G$6:$G$105,ROW()-6)&lt;&gt;"Starfsbundinn",FG27="",$E27="",$D27=""),"",ROUND(FG27/$E27*$D27*KVARDI,2))</f>
        <v/>
      </c>
      <c r="FI27" s="66" t="n"/>
      <c r="FJ27" s="78">
        <f>IF(OR(INDEX(Undirviðmið!$G$6:$G$105,ROW()-6)&lt;&gt;"Starfsbundinn",FI27="",$E27="",$D27=""),"",ROUND(FI27/$E27*$D27*KVARDI,2))</f>
        <v/>
      </c>
      <c r="FK27" s="66" t="n"/>
      <c r="FL27" s="78">
        <f>IF(OR(INDEX(Undirviðmið!$G$6:$G$105,ROW()-6)&lt;&gt;"Starfsbundinn",FK27="",$E27="",$D27=""),"",ROUND(FK27/$E27*$D27*KVARDI,2))</f>
        <v/>
      </c>
      <c r="FM27" s="66" t="n"/>
      <c r="FN27" s="78">
        <f>IF(OR(INDEX(Undirviðmið!$G$6:$G$105,ROW()-6)&lt;&gt;"Starfsbundinn",FM27="",$E27="",$D27=""),"",ROUND(FM27/$E27*$D27*KVARDI,2))</f>
        <v/>
      </c>
      <c r="FO27" s="66" t="n"/>
      <c r="FP27" s="78">
        <f>IF(OR(INDEX(Undirviðmið!$G$6:$G$105,ROW()-6)&lt;&gt;"Starfsbundinn",FO27="",$E27="",$D27=""),"",ROUND(FO27/$E27*$D27*KVARDI,2))</f>
        <v/>
      </c>
      <c r="FQ27" s="66" t="n"/>
      <c r="FR27" s="78">
        <f>IF(OR(INDEX(Undirviðmið!$G$6:$G$105,ROW()-6)&lt;&gt;"Starfsbundinn",FQ27="",$E27="",$D27=""),"",ROUND(FQ27/$E27*$D27*KVARDI,2))</f>
        <v/>
      </c>
      <c r="FS27" s="66" t="n"/>
      <c r="FT27" s="78">
        <f>IF(OR(INDEX(Undirviðmið!$G$6:$G$105,ROW()-6)&lt;&gt;"Starfsbundinn",FS27="",$E27="",$D27=""),"",ROUND(FS27/$E27*$D27*KVARDI,2))</f>
        <v/>
      </c>
      <c r="FU27" s="66" t="n"/>
      <c r="FV27" s="78">
        <f>IF(OR(INDEX(Undirviðmið!$G$6:$G$105,ROW()-6)&lt;&gt;"Starfsbundinn",FU27="",$E27="",$D27=""),"",ROUND(FU27/$E27*$D27*KVARDI,2))</f>
        <v/>
      </c>
      <c r="FW27" s="66" t="n"/>
      <c r="FX27" s="78">
        <f>IF(OR(INDEX(Undirviðmið!$G$6:$G$105,ROW()-6)&lt;&gt;"Starfsbundinn",FW27="",$E27="",$D27=""),"",ROUND(FW27/$E27*$D27*KVARDI,2))</f>
        <v/>
      </c>
      <c r="FY27" s="66" t="n"/>
      <c r="FZ27" s="78">
        <f>IF(OR(INDEX(Undirviðmið!$G$6:$G$105,ROW()-6)&lt;&gt;"Starfsbundinn",FY27="",$E27="",$D27=""),"",ROUND(FY27/$E27*$D27*KVARDI,2))</f>
        <v/>
      </c>
      <c r="GA27" s="66" t="n"/>
      <c r="GB27" s="78">
        <f>IF(OR(INDEX(Undirviðmið!$G$6:$G$105,ROW()-6)&lt;&gt;"Starfsbundinn",GA27="",$E27="",$D27=""),"",ROUND(GA27/$E27*$D27*KVARDI,2))</f>
        <v/>
      </c>
      <c r="GC27" s="66" t="n"/>
      <c r="GD27" s="78">
        <f>IF(OR(INDEX(Undirviðmið!$G$6:$G$105,ROW()-6)&lt;&gt;"Starfsbundinn",GC27="",$E27="",$D27=""),"",ROUND(GC27/$E27*$D27*KVARDI,2))</f>
        <v/>
      </c>
      <c r="GE27" s="66" t="n"/>
      <c r="GF27" s="78">
        <f>IF(OR(INDEX(Undirviðmið!$G$6:$G$105,ROW()-6)&lt;&gt;"Starfsbundinn",GE27="",$E27="",$D27=""),"",ROUND(GE27/$E27*$D27*KVARDI,2))</f>
        <v/>
      </c>
      <c r="GG27" s="66" t="n"/>
      <c r="GH27" s="78">
        <f>IF(OR(INDEX(Undirviðmið!$G$6:$G$105,ROW()-6)&lt;&gt;"Starfsbundinn",GG27="",$E27="",$D27=""),"",ROUND(GG27/$E27*$D27*KVARDI,2))</f>
        <v/>
      </c>
      <c r="GI27" s="66" t="n"/>
      <c r="GJ27" s="78">
        <f>IF(OR(INDEX(Undirviðmið!$G$6:$G$105,ROW()-6)&lt;&gt;"Starfsbundinn",GI27="",$E27="",$D27=""),"",ROUND(GI27/$E27*$D27*KVARDI,2))</f>
        <v/>
      </c>
      <c r="GK27" s="66" t="n"/>
      <c r="GL27" s="78">
        <f>IF(OR(INDEX(Undirviðmið!$G$6:$G$105,ROW()-6)&lt;&gt;"Starfsbundinn",GK27="",$E27="",$D27=""),"",ROUND(GK27/$E27*$D27*KVARDI,2))</f>
        <v/>
      </c>
      <c r="GM27" s="66" t="n"/>
      <c r="GN27" s="78">
        <f>IF(OR(INDEX(Undirviðmið!$G$6:$G$105,ROW()-6)&lt;&gt;"Starfsbundinn",GM27="",$E27="",$D27=""),"",ROUND(GM27/$E27*$D27*KVARDI,2))</f>
        <v/>
      </c>
      <c r="GO27" s="66" t="n"/>
      <c r="GP27" s="78">
        <f>IF(OR(INDEX(Undirviðmið!$G$6:$G$105,ROW()-6)&lt;&gt;"Starfsbundinn",GO27="",$E27="",$D27=""),"",ROUND(GO27/$E27*$D27*KVARDI,2))</f>
        <v/>
      </c>
      <c r="GQ27" s="66" t="n"/>
      <c r="GR27" s="78">
        <f>IF(OR(INDEX(Undirviðmið!$G$6:$G$105,ROW()-6)&lt;&gt;"Starfsbundinn",GQ27="",$E27="",$D27=""),"",ROUND(GQ27/$E27*$D27*KVARDI,2))</f>
        <v/>
      </c>
      <c r="GS27" s="66" t="n"/>
      <c r="GT27" s="78">
        <f>IF(OR(INDEX(Undirviðmið!$G$6:$G$105,ROW()-6)&lt;&gt;"Starfsbundinn",GS27="",$E27="",$D27=""),"",ROUND(GS27/$E27*$D27*KVARDI,2))</f>
        <v/>
      </c>
      <c r="GU27" s="66" t="n"/>
      <c r="GV27" s="78">
        <f>IF(OR(INDEX(Undirviðmið!$G$6:$G$105,ROW()-6)&lt;&gt;"Starfsbundinn",GU27="",$E27="",$D27=""),"",ROUND(GU27/$E27*$D27*KVARDI,2))</f>
        <v/>
      </c>
      <c r="GW27" s="66" t="n"/>
      <c r="GX27" s="78">
        <f>IF(OR(INDEX(Undirviðmið!$G$6:$G$105,ROW()-6)&lt;&gt;"Starfsbundinn",GW27="",$E27="",$D27=""),"",ROUND(GW27/$E27*$D27*KVARDI,2))</f>
        <v/>
      </c>
    </row>
    <row r="28" ht="15" customHeight="1" s="47">
      <c r="B28" s="67">
        <f>IF(INDEX(Undirviðmið!$G$6:$G$105,ROW()-6)="Starfsbundinn",INDEX(Undirviðmið!$B$6:$B$105,ROW()-6),"")</f>
        <v/>
      </c>
      <c r="C28" s="67">
        <f>IF(INDEX(Undirviðmið!$G$6:$G$105,ROW()-6)="Starfsbundinn",INDEX(Undirviðmið!$C$6:$C$105,ROW()-6),"")</f>
        <v/>
      </c>
      <c r="D28" s="77">
        <f>IF(INDEX(Undirviðmið!$G$6:$G$105,ROW()-6)="Starfsbundinn",INDEX(Undirviðmið!$E$6:$E$105,ROW()-6),"")</f>
        <v/>
      </c>
      <c r="E28" s="77">
        <f>IF(INDEX(Undirviðmið!$G$6:$G$105,ROW()-6)="Starfsbundinn",INDEX(Undirviðmið!$F$6:$F$105,ROW()-6),"")</f>
        <v/>
      </c>
      <c r="F28" s="77">
        <f>IF(INDEX(Undirviðmið!$G$6:$G$105,ROW()-6)="Starfsbundinn",IFERROR(INDEX(Undirviðmið!$E$6:$E$105,ROW()-6)*KVARDI,""),"")</f>
        <v/>
      </c>
      <c r="G28" s="66" t="n"/>
      <c r="H28" s="78">
        <f>IF(OR(INDEX(Undirviðmið!$G$6:$G$105,ROW()-6)&lt;&gt;"Starfsbundinn",G28="",$E28="",$D28=""),"",ROUND(G28/$E28*$D28*KVARDI,2))</f>
        <v/>
      </c>
      <c r="I28" s="66" t="n"/>
      <c r="J28" s="78">
        <f>IF(OR(INDEX(Undirviðmið!$G$6:$G$105,ROW()-6)&lt;&gt;"Starfsbundinn",I28="",$E28="",$D28=""),"",ROUND(I28/$E28*$D28*KVARDI,2))</f>
        <v/>
      </c>
      <c r="K28" s="66" t="n"/>
      <c r="L28" s="78">
        <f>IF(OR(INDEX(Undirviðmið!$G$6:$G$105,ROW()-6)&lt;&gt;"Starfsbundinn",K28="",$E28="",$D28=""),"",ROUND(K28/$E28*$D28*KVARDI,2))</f>
        <v/>
      </c>
      <c r="M28" s="66" t="n"/>
      <c r="N28" s="78">
        <f>IF(OR(INDEX(Undirviðmið!$G$6:$G$105,ROW()-6)&lt;&gt;"Starfsbundinn",M28="",$E28="",$D28=""),"",ROUND(M28/$E28*$D28*KVARDI,2))</f>
        <v/>
      </c>
      <c r="O28" s="66" t="n"/>
      <c r="P28" s="78">
        <f>IF(OR(INDEX(Undirviðmið!$G$6:$G$105,ROW()-6)&lt;&gt;"Starfsbundinn",O28="",$E28="",$D28=""),"",ROUND(O28/$E28*$D28*KVARDI,2))</f>
        <v/>
      </c>
      <c r="Q28" s="66" t="n"/>
      <c r="R28" s="78">
        <f>IF(OR(INDEX(Undirviðmið!$G$6:$G$105,ROW()-6)&lt;&gt;"Starfsbundinn",Q28="",$E28="",$D28=""),"",ROUND(Q28/$E28*$D28*KVARDI,2))</f>
        <v/>
      </c>
      <c r="S28" s="66" t="n"/>
      <c r="T28" s="78">
        <f>IF(OR(INDEX(Undirviðmið!$G$6:$G$105,ROW()-6)&lt;&gt;"Starfsbundinn",S28="",$E28="",$D28=""),"",ROUND(S28/$E28*$D28*KVARDI,2))</f>
        <v/>
      </c>
      <c r="U28" s="66" t="n"/>
      <c r="V28" s="78">
        <f>IF(OR(INDEX(Undirviðmið!$G$6:$G$105,ROW()-6)&lt;&gt;"Starfsbundinn",U28="",$E28="",$D28=""),"",ROUND(U28/$E28*$D28*KVARDI,2))</f>
        <v/>
      </c>
      <c r="W28" s="66" t="n"/>
      <c r="X28" s="78">
        <f>IF(OR(INDEX(Undirviðmið!$G$6:$G$105,ROW()-6)&lt;&gt;"Starfsbundinn",W28="",$E28="",$D28=""),"",ROUND(W28/$E28*$D28*KVARDI,2))</f>
        <v/>
      </c>
      <c r="Y28" s="66" t="n"/>
      <c r="Z28" s="78">
        <f>IF(OR(INDEX(Undirviðmið!$G$6:$G$105,ROW()-6)&lt;&gt;"Starfsbundinn",Y28="",$E28="",$D28=""),"",ROUND(Y28/$E28*$D28*KVARDI,2))</f>
        <v/>
      </c>
      <c r="AA28" s="66" t="n"/>
      <c r="AB28" s="78">
        <f>IF(OR(INDEX(Undirviðmið!$G$6:$G$105,ROW()-6)&lt;&gt;"Starfsbundinn",AA28="",$E28="",$D28=""),"",ROUND(AA28/$E28*$D28*KVARDI,2))</f>
        <v/>
      </c>
      <c r="AC28" s="66" t="n"/>
      <c r="AD28" s="78">
        <f>IF(OR(INDEX(Undirviðmið!$G$6:$G$105,ROW()-6)&lt;&gt;"Starfsbundinn",AC28="",$E28="",$D28=""),"",ROUND(AC28/$E28*$D28*KVARDI,2))</f>
        <v/>
      </c>
      <c r="AE28" s="66" t="n"/>
      <c r="AF28" s="78">
        <f>IF(OR(INDEX(Undirviðmið!$G$6:$G$105,ROW()-6)&lt;&gt;"Starfsbundinn",AE28="",$E28="",$D28=""),"",ROUND(AE28/$E28*$D28*KVARDI,2))</f>
        <v/>
      </c>
      <c r="AG28" s="66" t="n"/>
      <c r="AH28" s="78">
        <f>IF(OR(INDEX(Undirviðmið!$G$6:$G$105,ROW()-6)&lt;&gt;"Starfsbundinn",AG28="",$E28="",$D28=""),"",ROUND(AG28/$E28*$D28*KVARDI,2))</f>
        <v/>
      </c>
      <c r="AI28" s="66" t="n"/>
      <c r="AJ28" s="78">
        <f>IF(OR(INDEX(Undirviðmið!$G$6:$G$105,ROW()-6)&lt;&gt;"Starfsbundinn",AI28="",$E28="",$D28=""),"",ROUND(AI28/$E28*$D28*KVARDI,2))</f>
        <v/>
      </c>
      <c r="AK28" s="66" t="n"/>
      <c r="AL28" s="78">
        <f>IF(OR(INDEX(Undirviðmið!$G$6:$G$105,ROW()-6)&lt;&gt;"Starfsbundinn",AK28="",$E28="",$D28=""),"",ROUND(AK28/$E28*$D28*KVARDI,2))</f>
        <v/>
      </c>
      <c r="AM28" s="66" t="n"/>
      <c r="AN28" s="78">
        <f>IF(OR(INDEX(Undirviðmið!$G$6:$G$105,ROW()-6)&lt;&gt;"Starfsbundinn",AM28="",$E28="",$D28=""),"",ROUND(AM28/$E28*$D28*KVARDI,2))</f>
        <v/>
      </c>
      <c r="AO28" s="66" t="n"/>
      <c r="AP28" s="78">
        <f>IF(OR(INDEX(Undirviðmið!$G$6:$G$105,ROW()-6)&lt;&gt;"Starfsbundinn",AO28="",$E28="",$D28=""),"",ROUND(AO28/$E28*$D28*KVARDI,2))</f>
        <v/>
      </c>
      <c r="AQ28" s="66" t="n"/>
      <c r="AR28" s="78">
        <f>IF(OR(INDEX(Undirviðmið!$G$6:$G$105,ROW()-6)&lt;&gt;"Starfsbundinn",AQ28="",$E28="",$D28=""),"",ROUND(AQ28/$E28*$D28*KVARDI,2))</f>
        <v/>
      </c>
      <c r="AS28" s="66" t="n"/>
      <c r="AT28" s="78">
        <f>IF(OR(INDEX(Undirviðmið!$G$6:$G$105,ROW()-6)&lt;&gt;"Starfsbundinn",AS28="",$E28="",$D28=""),"",ROUND(AS28/$E28*$D28*KVARDI,2))</f>
        <v/>
      </c>
      <c r="AU28" s="66" t="n"/>
      <c r="AV28" s="78">
        <f>IF(OR(INDEX(Undirviðmið!$G$6:$G$105,ROW()-6)&lt;&gt;"Starfsbundinn",AU28="",$E28="",$D28=""),"",ROUND(AU28/$E28*$D28*KVARDI,2))</f>
        <v/>
      </c>
      <c r="AW28" s="66" t="n"/>
      <c r="AX28" s="78">
        <f>IF(OR(INDEX(Undirviðmið!$G$6:$G$105,ROW()-6)&lt;&gt;"Starfsbundinn",AW28="",$E28="",$D28=""),"",ROUND(AW28/$E28*$D28*KVARDI,2))</f>
        <v/>
      </c>
      <c r="AY28" s="66" t="n"/>
      <c r="AZ28" s="78">
        <f>IF(OR(INDEX(Undirviðmið!$G$6:$G$105,ROW()-6)&lt;&gt;"Starfsbundinn",AY28="",$E28="",$D28=""),"",ROUND(AY28/$E28*$D28*KVARDI,2))</f>
        <v/>
      </c>
      <c r="BA28" s="66" t="n"/>
      <c r="BB28" s="78">
        <f>IF(OR(INDEX(Undirviðmið!$G$6:$G$105,ROW()-6)&lt;&gt;"Starfsbundinn",BA28="",$E28="",$D28=""),"",ROUND(BA28/$E28*$D28*KVARDI,2))</f>
        <v/>
      </c>
      <c r="BC28" s="66" t="n"/>
      <c r="BD28" s="78">
        <f>IF(OR(INDEX(Undirviðmið!$G$6:$G$105,ROW()-6)&lt;&gt;"Starfsbundinn",BC28="",$E28="",$D28=""),"",ROUND(BC28/$E28*$D28*KVARDI,2))</f>
        <v/>
      </c>
      <c r="BE28" s="66" t="n"/>
      <c r="BF28" s="78">
        <f>IF(OR(INDEX(Undirviðmið!$G$6:$G$105,ROW()-6)&lt;&gt;"Starfsbundinn",BE28="",$E28="",$D28=""),"",ROUND(BE28/$E28*$D28*KVARDI,2))</f>
        <v/>
      </c>
      <c r="BG28" s="66" t="n"/>
      <c r="BH28" s="78">
        <f>IF(OR(INDEX(Undirviðmið!$G$6:$G$105,ROW()-6)&lt;&gt;"Starfsbundinn",BG28="",$E28="",$D28=""),"",ROUND(BG28/$E28*$D28*KVARDI,2))</f>
        <v/>
      </c>
      <c r="BI28" s="66" t="n"/>
      <c r="BJ28" s="78">
        <f>IF(OR(INDEX(Undirviðmið!$G$6:$G$105,ROW()-6)&lt;&gt;"Starfsbundinn",BI28="",$E28="",$D28=""),"",ROUND(BI28/$E28*$D28*KVARDI,2))</f>
        <v/>
      </c>
      <c r="BK28" s="66" t="n"/>
      <c r="BL28" s="78">
        <f>IF(OR(INDEX(Undirviðmið!$G$6:$G$105,ROW()-6)&lt;&gt;"Starfsbundinn",BK28="",$E28="",$D28=""),"",ROUND(BK28/$E28*$D28*KVARDI,2))</f>
        <v/>
      </c>
      <c r="BM28" s="66" t="n"/>
      <c r="BN28" s="78">
        <f>IF(OR(INDEX(Undirviðmið!$G$6:$G$105,ROW()-6)&lt;&gt;"Starfsbundinn",BM28="",$E28="",$D28=""),"",ROUND(BM28/$E28*$D28*KVARDI,2))</f>
        <v/>
      </c>
      <c r="BO28" s="66" t="n"/>
      <c r="BP28" s="78">
        <f>IF(OR(INDEX(Undirviðmið!$G$6:$G$105,ROW()-6)&lt;&gt;"Starfsbundinn",BO28="",$E28="",$D28=""),"",ROUND(BO28/$E28*$D28*KVARDI,2))</f>
        <v/>
      </c>
      <c r="BQ28" s="66" t="n"/>
      <c r="BR28" s="78">
        <f>IF(OR(INDEX(Undirviðmið!$G$6:$G$105,ROW()-6)&lt;&gt;"Starfsbundinn",BQ28="",$E28="",$D28=""),"",ROUND(BQ28/$E28*$D28*KVARDI,2))</f>
        <v/>
      </c>
      <c r="BS28" s="66" t="n"/>
      <c r="BT28" s="78">
        <f>IF(OR(INDEX(Undirviðmið!$G$6:$G$105,ROW()-6)&lt;&gt;"Starfsbundinn",BS28="",$E28="",$D28=""),"",ROUND(BS28/$E28*$D28*KVARDI,2))</f>
        <v/>
      </c>
      <c r="BU28" s="66" t="n"/>
      <c r="BV28" s="78">
        <f>IF(OR(INDEX(Undirviðmið!$G$6:$G$105,ROW()-6)&lt;&gt;"Starfsbundinn",BU28="",$E28="",$D28=""),"",ROUND(BU28/$E28*$D28*KVARDI,2))</f>
        <v/>
      </c>
      <c r="BW28" s="66" t="n"/>
      <c r="BX28" s="78">
        <f>IF(OR(INDEX(Undirviðmið!$G$6:$G$105,ROW()-6)&lt;&gt;"Starfsbundinn",BW28="",$E28="",$D28=""),"",ROUND(BW28/$E28*$D28*KVARDI,2))</f>
        <v/>
      </c>
      <c r="BY28" s="66" t="n"/>
      <c r="BZ28" s="78">
        <f>IF(OR(INDEX(Undirviðmið!$G$6:$G$105,ROW()-6)&lt;&gt;"Starfsbundinn",BY28="",$E28="",$D28=""),"",ROUND(BY28/$E28*$D28*KVARDI,2))</f>
        <v/>
      </c>
      <c r="CA28" s="66" t="n"/>
      <c r="CB28" s="78">
        <f>IF(OR(INDEX(Undirviðmið!$G$6:$G$105,ROW()-6)&lt;&gt;"Starfsbundinn",CA28="",$E28="",$D28=""),"",ROUND(CA28/$E28*$D28*KVARDI,2))</f>
        <v/>
      </c>
      <c r="CC28" s="66" t="n"/>
      <c r="CD28" s="78">
        <f>IF(OR(INDEX(Undirviðmið!$G$6:$G$105,ROW()-6)&lt;&gt;"Starfsbundinn",CC28="",$E28="",$D28=""),"",ROUND(CC28/$E28*$D28*KVARDI,2))</f>
        <v/>
      </c>
      <c r="CE28" s="66" t="n"/>
      <c r="CF28" s="78">
        <f>IF(OR(INDEX(Undirviðmið!$G$6:$G$105,ROW()-6)&lt;&gt;"Starfsbundinn",CE28="",$E28="",$D28=""),"",ROUND(CE28/$E28*$D28*KVARDI,2))</f>
        <v/>
      </c>
      <c r="CG28" s="66" t="n"/>
      <c r="CH28" s="78">
        <f>IF(OR(INDEX(Undirviðmið!$G$6:$G$105,ROW()-6)&lt;&gt;"Starfsbundinn",CG28="",$E28="",$D28=""),"",ROUND(CG28/$E28*$D28*KVARDI,2))</f>
        <v/>
      </c>
      <c r="CI28" s="66" t="n"/>
      <c r="CJ28" s="78">
        <f>IF(OR(INDEX(Undirviðmið!$G$6:$G$105,ROW()-6)&lt;&gt;"Starfsbundinn",CI28="",$E28="",$D28=""),"",ROUND(CI28/$E28*$D28*KVARDI,2))</f>
        <v/>
      </c>
      <c r="CK28" s="66" t="n"/>
      <c r="CL28" s="78">
        <f>IF(OR(INDEX(Undirviðmið!$G$6:$G$105,ROW()-6)&lt;&gt;"Starfsbundinn",CK28="",$E28="",$D28=""),"",ROUND(CK28/$E28*$D28*KVARDI,2))</f>
        <v/>
      </c>
      <c r="CM28" s="66" t="n"/>
      <c r="CN28" s="78">
        <f>IF(OR(INDEX(Undirviðmið!$G$6:$G$105,ROW()-6)&lt;&gt;"Starfsbundinn",CM28="",$E28="",$D28=""),"",ROUND(CM28/$E28*$D28*KVARDI,2))</f>
        <v/>
      </c>
      <c r="CO28" s="66" t="n"/>
      <c r="CP28" s="78">
        <f>IF(OR(INDEX(Undirviðmið!$G$6:$G$105,ROW()-6)&lt;&gt;"Starfsbundinn",CO28="",$E28="",$D28=""),"",ROUND(CO28/$E28*$D28*KVARDI,2))</f>
        <v/>
      </c>
      <c r="CQ28" s="66" t="n"/>
      <c r="CR28" s="78">
        <f>IF(OR(INDEX(Undirviðmið!$G$6:$G$105,ROW()-6)&lt;&gt;"Starfsbundinn",CQ28="",$E28="",$D28=""),"",ROUND(CQ28/$E28*$D28*KVARDI,2))</f>
        <v/>
      </c>
      <c r="CS28" s="66" t="n"/>
      <c r="CT28" s="78">
        <f>IF(OR(INDEX(Undirviðmið!$G$6:$G$105,ROW()-6)&lt;&gt;"Starfsbundinn",CS28="",$E28="",$D28=""),"",ROUND(CS28/$E28*$D28*KVARDI,2))</f>
        <v/>
      </c>
      <c r="CU28" s="66" t="n"/>
      <c r="CV28" s="78">
        <f>IF(OR(INDEX(Undirviðmið!$G$6:$G$105,ROW()-6)&lt;&gt;"Starfsbundinn",CU28="",$E28="",$D28=""),"",ROUND(CU28/$E28*$D28*KVARDI,2))</f>
        <v/>
      </c>
      <c r="CW28" s="66" t="n"/>
      <c r="CX28" s="78">
        <f>IF(OR(INDEX(Undirviðmið!$G$6:$G$105,ROW()-6)&lt;&gt;"Starfsbundinn",CW28="",$E28="",$D28=""),"",ROUND(CW28/$E28*$D28*KVARDI,2))</f>
        <v/>
      </c>
      <c r="CY28" s="66" t="n"/>
      <c r="CZ28" s="78">
        <f>IF(OR(INDEX(Undirviðmið!$G$6:$G$105,ROW()-6)&lt;&gt;"Starfsbundinn",CY28="",$E28="",$D28=""),"",ROUND(CY28/$E28*$D28*KVARDI,2))</f>
        <v/>
      </c>
      <c r="DA28" s="66" t="n"/>
      <c r="DB28" s="78">
        <f>IF(OR(INDEX(Undirviðmið!$G$6:$G$105,ROW()-6)&lt;&gt;"Starfsbundinn",DA28="",$E28="",$D28=""),"",ROUND(DA28/$E28*$D28*KVARDI,2))</f>
        <v/>
      </c>
      <c r="DC28" s="66" t="n"/>
      <c r="DD28" s="78">
        <f>IF(OR(INDEX(Undirviðmið!$G$6:$G$105,ROW()-6)&lt;&gt;"Starfsbundinn",DC28="",$E28="",$D28=""),"",ROUND(DC28/$E28*$D28*KVARDI,2))</f>
        <v/>
      </c>
      <c r="DE28" s="66" t="n"/>
      <c r="DF28" s="78">
        <f>IF(OR(INDEX(Undirviðmið!$G$6:$G$105,ROW()-6)&lt;&gt;"Starfsbundinn",DE28="",$E28="",$D28=""),"",ROUND(DE28/$E28*$D28*KVARDI,2))</f>
        <v/>
      </c>
      <c r="DG28" s="66" t="n"/>
      <c r="DH28" s="78">
        <f>IF(OR(INDEX(Undirviðmið!$G$6:$G$105,ROW()-6)&lt;&gt;"Starfsbundinn",DG28="",$E28="",$D28=""),"",ROUND(DG28/$E28*$D28*KVARDI,2))</f>
        <v/>
      </c>
      <c r="DI28" s="66" t="n"/>
      <c r="DJ28" s="78">
        <f>IF(OR(INDEX(Undirviðmið!$G$6:$G$105,ROW()-6)&lt;&gt;"Starfsbundinn",DI28="",$E28="",$D28=""),"",ROUND(DI28/$E28*$D28*KVARDI,2))</f>
        <v/>
      </c>
      <c r="DK28" s="66" t="n"/>
      <c r="DL28" s="78">
        <f>IF(OR(INDEX(Undirviðmið!$G$6:$G$105,ROW()-6)&lt;&gt;"Starfsbundinn",DK28="",$E28="",$D28=""),"",ROUND(DK28/$E28*$D28*KVARDI,2))</f>
        <v/>
      </c>
      <c r="DM28" s="66" t="n"/>
      <c r="DN28" s="78">
        <f>IF(OR(INDEX(Undirviðmið!$G$6:$G$105,ROW()-6)&lt;&gt;"Starfsbundinn",DM28="",$E28="",$D28=""),"",ROUND(DM28/$E28*$D28*KVARDI,2))</f>
        <v/>
      </c>
      <c r="DO28" s="66" t="n"/>
      <c r="DP28" s="78">
        <f>IF(OR(INDEX(Undirviðmið!$G$6:$G$105,ROW()-6)&lt;&gt;"Starfsbundinn",DO28="",$E28="",$D28=""),"",ROUND(DO28/$E28*$D28*KVARDI,2))</f>
        <v/>
      </c>
      <c r="DQ28" s="66" t="n"/>
      <c r="DR28" s="78">
        <f>IF(OR(INDEX(Undirviðmið!$G$6:$G$105,ROW()-6)&lt;&gt;"Starfsbundinn",DQ28="",$E28="",$D28=""),"",ROUND(DQ28/$E28*$D28*KVARDI,2))</f>
        <v/>
      </c>
      <c r="DS28" s="66" t="n"/>
      <c r="DT28" s="78">
        <f>IF(OR(INDEX(Undirviðmið!$G$6:$G$105,ROW()-6)&lt;&gt;"Starfsbundinn",DS28="",$E28="",$D28=""),"",ROUND(DS28/$E28*$D28*KVARDI,2))</f>
        <v/>
      </c>
      <c r="DU28" s="66" t="n"/>
      <c r="DV28" s="78">
        <f>IF(OR(INDEX(Undirviðmið!$G$6:$G$105,ROW()-6)&lt;&gt;"Starfsbundinn",DU28="",$E28="",$D28=""),"",ROUND(DU28/$E28*$D28*KVARDI,2))</f>
        <v/>
      </c>
      <c r="DW28" s="66" t="n"/>
      <c r="DX28" s="78">
        <f>IF(OR(INDEX(Undirviðmið!$G$6:$G$105,ROW()-6)&lt;&gt;"Starfsbundinn",DW28="",$E28="",$D28=""),"",ROUND(DW28/$E28*$D28*KVARDI,2))</f>
        <v/>
      </c>
      <c r="DY28" s="66" t="n"/>
      <c r="DZ28" s="78">
        <f>IF(OR(INDEX(Undirviðmið!$G$6:$G$105,ROW()-6)&lt;&gt;"Starfsbundinn",DY28="",$E28="",$D28=""),"",ROUND(DY28/$E28*$D28*KVARDI,2))</f>
        <v/>
      </c>
      <c r="EA28" s="66" t="n"/>
      <c r="EB28" s="78">
        <f>IF(OR(INDEX(Undirviðmið!$G$6:$G$105,ROW()-6)&lt;&gt;"Starfsbundinn",EA28="",$E28="",$D28=""),"",ROUND(EA28/$E28*$D28*KVARDI,2))</f>
        <v/>
      </c>
      <c r="EC28" s="66" t="n"/>
      <c r="ED28" s="78">
        <f>IF(OR(INDEX(Undirviðmið!$G$6:$G$105,ROW()-6)&lt;&gt;"Starfsbundinn",EC28="",$E28="",$D28=""),"",ROUND(EC28/$E28*$D28*KVARDI,2))</f>
        <v/>
      </c>
      <c r="EE28" s="66" t="n"/>
      <c r="EF28" s="78">
        <f>IF(OR(INDEX(Undirviðmið!$G$6:$G$105,ROW()-6)&lt;&gt;"Starfsbundinn",EE28="",$E28="",$D28=""),"",ROUND(EE28/$E28*$D28*KVARDI,2))</f>
        <v/>
      </c>
      <c r="EG28" s="66" t="n"/>
      <c r="EH28" s="78">
        <f>IF(OR(INDEX(Undirviðmið!$G$6:$G$105,ROW()-6)&lt;&gt;"Starfsbundinn",EG28="",$E28="",$D28=""),"",ROUND(EG28/$E28*$D28*KVARDI,2))</f>
        <v/>
      </c>
      <c r="EI28" s="66" t="n"/>
      <c r="EJ28" s="78">
        <f>IF(OR(INDEX(Undirviðmið!$G$6:$G$105,ROW()-6)&lt;&gt;"Starfsbundinn",EI28="",$E28="",$D28=""),"",ROUND(EI28/$E28*$D28*KVARDI,2))</f>
        <v/>
      </c>
      <c r="EK28" s="66" t="n"/>
      <c r="EL28" s="78">
        <f>IF(OR(INDEX(Undirviðmið!$G$6:$G$105,ROW()-6)&lt;&gt;"Starfsbundinn",EK28="",$E28="",$D28=""),"",ROUND(EK28/$E28*$D28*KVARDI,2))</f>
        <v/>
      </c>
      <c r="EM28" s="66" t="n"/>
      <c r="EN28" s="78">
        <f>IF(OR(INDEX(Undirviðmið!$G$6:$G$105,ROW()-6)&lt;&gt;"Starfsbundinn",EM28="",$E28="",$D28=""),"",ROUND(EM28/$E28*$D28*KVARDI,2))</f>
        <v/>
      </c>
      <c r="EO28" s="66" t="n"/>
      <c r="EP28" s="78">
        <f>IF(OR(INDEX(Undirviðmið!$G$6:$G$105,ROW()-6)&lt;&gt;"Starfsbundinn",EO28="",$E28="",$D28=""),"",ROUND(EO28/$E28*$D28*KVARDI,2))</f>
        <v/>
      </c>
      <c r="EQ28" s="66" t="n"/>
      <c r="ER28" s="78">
        <f>IF(OR(INDEX(Undirviðmið!$G$6:$G$105,ROW()-6)&lt;&gt;"Starfsbundinn",EQ28="",$E28="",$D28=""),"",ROUND(EQ28/$E28*$D28*KVARDI,2))</f>
        <v/>
      </c>
      <c r="ES28" s="66" t="n"/>
      <c r="ET28" s="78">
        <f>IF(OR(INDEX(Undirviðmið!$G$6:$G$105,ROW()-6)&lt;&gt;"Starfsbundinn",ES28="",$E28="",$D28=""),"",ROUND(ES28/$E28*$D28*KVARDI,2))</f>
        <v/>
      </c>
      <c r="EU28" s="66" t="n"/>
      <c r="EV28" s="78">
        <f>IF(OR(INDEX(Undirviðmið!$G$6:$G$105,ROW()-6)&lt;&gt;"Starfsbundinn",EU28="",$E28="",$D28=""),"",ROUND(EU28/$E28*$D28*KVARDI,2))</f>
        <v/>
      </c>
      <c r="EW28" s="66" t="n"/>
      <c r="EX28" s="78">
        <f>IF(OR(INDEX(Undirviðmið!$G$6:$G$105,ROW()-6)&lt;&gt;"Starfsbundinn",EW28="",$E28="",$D28=""),"",ROUND(EW28/$E28*$D28*KVARDI,2))</f>
        <v/>
      </c>
      <c r="EY28" s="66" t="n"/>
      <c r="EZ28" s="78">
        <f>IF(OR(INDEX(Undirviðmið!$G$6:$G$105,ROW()-6)&lt;&gt;"Starfsbundinn",EY28="",$E28="",$D28=""),"",ROUND(EY28/$E28*$D28*KVARDI,2))</f>
        <v/>
      </c>
      <c r="FA28" s="66" t="n"/>
      <c r="FB28" s="78">
        <f>IF(OR(INDEX(Undirviðmið!$G$6:$G$105,ROW()-6)&lt;&gt;"Starfsbundinn",FA28="",$E28="",$D28=""),"",ROUND(FA28/$E28*$D28*KVARDI,2))</f>
        <v/>
      </c>
      <c r="FC28" s="66" t="n"/>
      <c r="FD28" s="78">
        <f>IF(OR(INDEX(Undirviðmið!$G$6:$G$105,ROW()-6)&lt;&gt;"Starfsbundinn",FC28="",$E28="",$D28=""),"",ROUND(FC28/$E28*$D28*KVARDI,2))</f>
        <v/>
      </c>
      <c r="FE28" s="66" t="n"/>
      <c r="FF28" s="78">
        <f>IF(OR(INDEX(Undirviðmið!$G$6:$G$105,ROW()-6)&lt;&gt;"Starfsbundinn",FE28="",$E28="",$D28=""),"",ROUND(FE28/$E28*$D28*KVARDI,2))</f>
        <v/>
      </c>
      <c r="FG28" s="66" t="n"/>
      <c r="FH28" s="78">
        <f>IF(OR(INDEX(Undirviðmið!$G$6:$G$105,ROW()-6)&lt;&gt;"Starfsbundinn",FG28="",$E28="",$D28=""),"",ROUND(FG28/$E28*$D28*KVARDI,2))</f>
        <v/>
      </c>
      <c r="FI28" s="66" t="n"/>
      <c r="FJ28" s="78">
        <f>IF(OR(INDEX(Undirviðmið!$G$6:$G$105,ROW()-6)&lt;&gt;"Starfsbundinn",FI28="",$E28="",$D28=""),"",ROUND(FI28/$E28*$D28*KVARDI,2))</f>
        <v/>
      </c>
      <c r="FK28" s="66" t="n"/>
      <c r="FL28" s="78">
        <f>IF(OR(INDEX(Undirviðmið!$G$6:$G$105,ROW()-6)&lt;&gt;"Starfsbundinn",FK28="",$E28="",$D28=""),"",ROUND(FK28/$E28*$D28*KVARDI,2))</f>
        <v/>
      </c>
      <c r="FM28" s="66" t="n"/>
      <c r="FN28" s="78">
        <f>IF(OR(INDEX(Undirviðmið!$G$6:$G$105,ROW()-6)&lt;&gt;"Starfsbundinn",FM28="",$E28="",$D28=""),"",ROUND(FM28/$E28*$D28*KVARDI,2))</f>
        <v/>
      </c>
      <c r="FO28" s="66" t="n"/>
      <c r="FP28" s="78">
        <f>IF(OR(INDEX(Undirviðmið!$G$6:$G$105,ROW()-6)&lt;&gt;"Starfsbundinn",FO28="",$E28="",$D28=""),"",ROUND(FO28/$E28*$D28*KVARDI,2))</f>
        <v/>
      </c>
      <c r="FQ28" s="66" t="n"/>
      <c r="FR28" s="78">
        <f>IF(OR(INDEX(Undirviðmið!$G$6:$G$105,ROW()-6)&lt;&gt;"Starfsbundinn",FQ28="",$E28="",$D28=""),"",ROUND(FQ28/$E28*$D28*KVARDI,2))</f>
        <v/>
      </c>
      <c r="FS28" s="66" t="n"/>
      <c r="FT28" s="78">
        <f>IF(OR(INDEX(Undirviðmið!$G$6:$G$105,ROW()-6)&lt;&gt;"Starfsbundinn",FS28="",$E28="",$D28=""),"",ROUND(FS28/$E28*$D28*KVARDI,2))</f>
        <v/>
      </c>
      <c r="FU28" s="66" t="n"/>
      <c r="FV28" s="78">
        <f>IF(OR(INDEX(Undirviðmið!$G$6:$G$105,ROW()-6)&lt;&gt;"Starfsbundinn",FU28="",$E28="",$D28=""),"",ROUND(FU28/$E28*$D28*KVARDI,2))</f>
        <v/>
      </c>
      <c r="FW28" s="66" t="n"/>
      <c r="FX28" s="78">
        <f>IF(OR(INDEX(Undirviðmið!$G$6:$G$105,ROW()-6)&lt;&gt;"Starfsbundinn",FW28="",$E28="",$D28=""),"",ROUND(FW28/$E28*$D28*KVARDI,2))</f>
        <v/>
      </c>
      <c r="FY28" s="66" t="n"/>
      <c r="FZ28" s="78">
        <f>IF(OR(INDEX(Undirviðmið!$G$6:$G$105,ROW()-6)&lt;&gt;"Starfsbundinn",FY28="",$E28="",$D28=""),"",ROUND(FY28/$E28*$D28*KVARDI,2))</f>
        <v/>
      </c>
      <c r="GA28" s="66" t="n"/>
      <c r="GB28" s="78">
        <f>IF(OR(INDEX(Undirviðmið!$G$6:$G$105,ROW()-6)&lt;&gt;"Starfsbundinn",GA28="",$E28="",$D28=""),"",ROUND(GA28/$E28*$D28*KVARDI,2))</f>
        <v/>
      </c>
      <c r="GC28" s="66" t="n"/>
      <c r="GD28" s="78">
        <f>IF(OR(INDEX(Undirviðmið!$G$6:$G$105,ROW()-6)&lt;&gt;"Starfsbundinn",GC28="",$E28="",$D28=""),"",ROUND(GC28/$E28*$D28*KVARDI,2))</f>
        <v/>
      </c>
      <c r="GE28" s="66" t="n"/>
      <c r="GF28" s="78">
        <f>IF(OR(INDEX(Undirviðmið!$G$6:$G$105,ROW()-6)&lt;&gt;"Starfsbundinn",GE28="",$E28="",$D28=""),"",ROUND(GE28/$E28*$D28*KVARDI,2))</f>
        <v/>
      </c>
      <c r="GG28" s="66" t="n"/>
      <c r="GH28" s="78">
        <f>IF(OR(INDEX(Undirviðmið!$G$6:$G$105,ROW()-6)&lt;&gt;"Starfsbundinn",GG28="",$E28="",$D28=""),"",ROUND(GG28/$E28*$D28*KVARDI,2))</f>
        <v/>
      </c>
      <c r="GI28" s="66" t="n"/>
      <c r="GJ28" s="78">
        <f>IF(OR(INDEX(Undirviðmið!$G$6:$G$105,ROW()-6)&lt;&gt;"Starfsbundinn",GI28="",$E28="",$D28=""),"",ROUND(GI28/$E28*$D28*KVARDI,2))</f>
        <v/>
      </c>
      <c r="GK28" s="66" t="n"/>
      <c r="GL28" s="78">
        <f>IF(OR(INDEX(Undirviðmið!$G$6:$G$105,ROW()-6)&lt;&gt;"Starfsbundinn",GK28="",$E28="",$D28=""),"",ROUND(GK28/$E28*$D28*KVARDI,2))</f>
        <v/>
      </c>
      <c r="GM28" s="66" t="n"/>
      <c r="GN28" s="78">
        <f>IF(OR(INDEX(Undirviðmið!$G$6:$G$105,ROW()-6)&lt;&gt;"Starfsbundinn",GM28="",$E28="",$D28=""),"",ROUND(GM28/$E28*$D28*KVARDI,2))</f>
        <v/>
      </c>
      <c r="GO28" s="66" t="n"/>
      <c r="GP28" s="78">
        <f>IF(OR(INDEX(Undirviðmið!$G$6:$G$105,ROW()-6)&lt;&gt;"Starfsbundinn",GO28="",$E28="",$D28=""),"",ROUND(GO28/$E28*$D28*KVARDI,2))</f>
        <v/>
      </c>
      <c r="GQ28" s="66" t="n"/>
      <c r="GR28" s="78">
        <f>IF(OR(INDEX(Undirviðmið!$G$6:$G$105,ROW()-6)&lt;&gt;"Starfsbundinn",GQ28="",$E28="",$D28=""),"",ROUND(GQ28/$E28*$D28*KVARDI,2))</f>
        <v/>
      </c>
      <c r="GS28" s="66" t="n"/>
      <c r="GT28" s="78">
        <f>IF(OR(INDEX(Undirviðmið!$G$6:$G$105,ROW()-6)&lt;&gt;"Starfsbundinn",GS28="",$E28="",$D28=""),"",ROUND(GS28/$E28*$D28*KVARDI,2))</f>
        <v/>
      </c>
      <c r="GU28" s="66" t="n"/>
      <c r="GV28" s="78">
        <f>IF(OR(INDEX(Undirviðmið!$G$6:$G$105,ROW()-6)&lt;&gt;"Starfsbundinn",GU28="",$E28="",$D28=""),"",ROUND(GU28/$E28*$D28*KVARDI,2))</f>
        <v/>
      </c>
      <c r="GW28" s="66" t="n"/>
      <c r="GX28" s="78">
        <f>IF(OR(INDEX(Undirviðmið!$G$6:$G$105,ROW()-6)&lt;&gt;"Starfsbundinn",GW28="",$E28="",$D28=""),"",ROUND(GW28/$E28*$D28*KVARDI,2))</f>
        <v/>
      </c>
    </row>
    <row r="29" ht="15" customHeight="1" s="47">
      <c r="B29" s="67">
        <f>IF(INDEX(Undirviðmið!$G$6:$G$105,ROW()-6)="Starfsbundinn",INDEX(Undirviðmið!$B$6:$B$105,ROW()-6),"")</f>
        <v/>
      </c>
      <c r="C29" s="67">
        <f>IF(INDEX(Undirviðmið!$G$6:$G$105,ROW()-6)="Starfsbundinn",INDEX(Undirviðmið!$C$6:$C$105,ROW()-6),"")</f>
        <v/>
      </c>
      <c r="D29" s="77">
        <f>IF(INDEX(Undirviðmið!$G$6:$G$105,ROW()-6)="Starfsbundinn",INDEX(Undirviðmið!$E$6:$E$105,ROW()-6),"")</f>
        <v/>
      </c>
      <c r="E29" s="77">
        <f>IF(INDEX(Undirviðmið!$G$6:$G$105,ROW()-6)="Starfsbundinn",INDEX(Undirviðmið!$F$6:$F$105,ROW()-6),"")</f>
        <v/>
      </c>
      <c r="F29" s="77">
        <f>IF(INDEX(Undirviðmið!$G$6:$G$105,ROW()-6)="Starfsbundinn",IFERROR(INDEX(Undirviðmið!$E$6:$E$105,ROW()-6)*KVARDI,""),"")</f>
        <v/>
      </c>
      <c r="G29" s="66" t="n"/>
      <c r="H29" s="78">
        <f>IF(OR(INDEX(Undirviðmið!$G$6:$G$105,ROW()-6)&lt;&gt;"Starfsbundinn",G29="",$E29="",$D29=""),"",ROUND(G29/$E29*$D29*KVARDI,2))</f>
        <v/>
      </c>
      <c r="I29" s="66" t="n"/>
      <c r="J29" s="78">
        <f>IF(OR(INDEX(Undirviðmið!$G$6:$G$105,ROW()-6)&lt;&gt;"Starfsbundinn",I29="",$E29="",$D29=""),"",ROUND(I29/$E29*$D29*KVARDI,2))</f>
        <v/>
      </c>
      <c r="K29" s="66" t="n"/>
      <c r="L29" s="78">
        <f>IF(OR(INDEX(Undirviðmið!$G$6:$G$105,ROW()-6)&lt;&gt;"Starfsbundinn",K29="",$E29="",$D29=""),"",ROUND(K29/$E29*$D29*KVARDI,2))</f>
        <v/>
      </c>
      <c r="M29" s="66" t="n"/>
      <c r="N29" s="78">
        <f>IF(OR(INDEX(Undirviðmið!$G$6:$G$105,ROW()-6)&lt;&gt;"Starfsbundinn",M29="",$E29="",$D29=""),"",ROUND(M29/$E29*$D29*KVARDI,2))</f>
        <v/>
      </c>
      <c r="O29" s="66" t="n"/>
      <c r="P29" s="78">
        <f>IF(OR(INDEX(Undirviðmið!$G$6:$G$105,ROW()-6)&lt;&gt;"Starfsbundinn",O29="",$E29="",$D29=""),"",ROUND(O29/$E29*$D29*KVARDI,2))</f>
        <v/>
      </c>
      <c r="Q29" s="66" t="n"/>
      <c r="R29" s="78">
        <f>IF(OR(INDEX(Undirviðmið!$G$6:$G$105,ROW()-6)&lt;&gt;"Starfsbundinn",Q29="",$E29="",$D29=""),"",ROUND(Q29/$E29*$D29*KVARDI,2))</f>
        <v/>
      </c>
      <c r="S29" s="66" t="n"/>
      <c r="T29" s="78">
        <f>IF(OR(INDEX(Undirviðmið!$G$6:$G$105,ROW()-6)&lt;&gt;"Starfsbundinn",S29="",$E29="",$D29=""),"",ROUND(S29/$E29*$D29*KVARDI,2))</f>
        <v/>
      </c>
      <c r="U29" s="66" t="n"/>
      <c r="V29" s="78">
        <f>IF(OR(INDEX(Undirviðmið!$G$6:$G$105,ROW()-6)&lt;&gt;"Starfsbundinn",U29="",$E29="",$D29=""),"",ROUND(U29/$E29*$D29*KVARDI,2))</f>
        <v/>
      </c>
      <c r="W29" s="66" t="n"/>
      <c r="X29" s="78">
        <f>IF(OR(INDEX(Undirviðmið!$G$6:$G$105,ROW()-6)&lt;&gt;"Starfsbundinn",W29="",$E29="",$D29=""),"",ROUND(W29/$E29*$D29*KVARDI,2))</f>
        <v/>
      </c>
      <c r="Y29" s="66" t="n"/>
      <c r="Z29" s="78">
        <f>IF(OR(INDEX(Undirviðmið!$G$6:$G$105,ROW()-6)&lt;&gt;"Starfsbundinn",Y29="",$E29="",$D29=""),"",ROUND(Y29/$E29*$D29*KVARDI,2))</f>
        <v/>
      </c>
      <c r="AA29" s="66" t="n"/>
      <c r="AB29" s="78">
        <f>IF(OR(INDEX(Undirviðmið!$G$6:$G$105,ROW()-6)&lt;&gt;"Starfsbundinn",AA29="",$E29="",$D29=""),"",ROUND(AA29/$E29*$D29*KVARDI,2))</f>
        <v/>
      </c>
      <c r="AC29" s="66" t="n"/>
      <c r="AD29" s="78">
        <f>IF(OR(INDEX(Undirviðmið!$G$6:$G$105,ROW()-6)&lt;&gt;"Starfsbundinn",AC29="",$E29="",$D29=""),"",ROUND(AC29/$E29*$D29*KVARDI,2))</f>
        <v/>
      </c>
      <c r="AE29" s="66" t="n"/>
      <c r="AF29" s="78">
        <f>IF(OR(INDEX(Undirviðmið!$G$6:$G$105,ROW()-6)&lt;&gt;"Starfsbundinn",AE29="",$E29="",$D29=""),"",ROUND(AE29/$E29*$D29*KVARDI,2))</f>
        <v/>
      </c>
      <c r="AG29" s="66" t="n"/>
      <c r="AH29" s="78">
        <f>IF(OR(INDEX(Undirviðmið!$G$6:$G$105,ROW()-6)&lt;&gt;"Starfsbundinn",AG29="",$E29="",$D29=""),"",ROUND(AG29/$E29*$D29*KVARDI,2))</f>
        <v/>
      </c>
      <c r="AI29" s="66" t="n"/>
      <c r="AJ29" s="78">
        <f>IF(OR(INDEX(Undirviðmið!$G$6:$G$105,ROW()-6)&lt;&gt;"Starfsbundinn",AI29="",$E29="",$D29=""),"",ROUND(AI29/$E29*$D29*KVARDI,2))</f>
        <v/>
      </c>
      <c r="AK29" s="66" t="n"/>
      <c r="AL29" s="78">
        <f>IF(OR(INDEX(Undirviðmið!$G$6:$G$105,ROW()-6)&lt;&gt;"Starfsbundinn",AK29="",$E29="",$D29=""),"",ROUND(AK29/$E29*$D29*KVARDI,2))</f>
        <v/>
      </c>
      <c r="AM29" s="66" t="n"/>
      <c r="AN29" s="78">
        <f>IF(OR(INDEX(Undirviðmið!$G$6:$G$105,ROW()-6)&lt;&gt;"Starfsbundinn",AM29="",$E29="",$D29=""),"",ROUND(AM29/$E29*$D29*KVARDI,2))</f>
        <v/>
      </c>
      <c r="AO29" s="66" t="n"/>
      <c r="AP29" s="78">
        <f>IF(OR(INDEX(Undirviðmið!$G$6:$G$105,ROW()-6)&lt;&gt;"Starfsbundinn",AO29="",$E29="",$D29=""),"",ROUND(AO29/$E29*$D29*KVARDI,2))</f>
        <v/>
      </c>
      <c r="AQ29" s="66" t="n"/>
      <c r="AR29" s="78">
        <f>IF(OR(INDEX(Undirviðmið!$G$6:$G$105,ROW()-6)&lt;&gt;"Starfsbundinn",AQ29="",$E29="",$D29=""),"",ROUND(AQ29/$E29*$D29*KVARDI,2))</f>
        <v/>
      </c>
      <c r="AS29" s="66" t="n"/>
      <c r="AT29" s="78">
        <f>IF(OR(INDEX(Undirviðmið!$G$6:$G$105,ROW()-6)&lt;&gt;"Starfsbundinn",AS29="",$E29="",$D29=""),"",ROUND(AS29/$E29*$D29*KVARDI,2))</f>
        <v/>
      </c>
      <c r="AU29" s="66" t="n"/>
      <c r="AV29" s="78">
        <f>IF(OR(INDEX(Undirviðmið!$G$6:$G$105,ROW()-6)&lt;&gt;"Starfsbundinn",AU29="",$E29="",$D29=""),"",ROUND(AU29/$E29*$D29*KVARDI,2))</f>
        <v/>
      </c>
      <c r="AW29" s="66" t="n"/>
      <c r="AX29" s="78">
        <f>IF(OR(INDEX(Undirviðmið!$G$6:$G$105,ROW()-6)&lt;&gt;"Starfsbundinn",AW29="",$E29="",$D29=""),"",ROUND(AW29/$E29*$D29*KVARDI,2))</f>
        <v/>
      </c>
      <c r="AY29" s="66" t="n"/>
      <c r="AZ29" s="78">
        <f>IF(OR(INDEX(Undirviðmið!$G$6:$G$105,ROW()-6)&lt;&gt;"Starfsbundinn",AY29="",$E29="",$D29=""),"",ROUND(AY29/$E29*$D29*KVARDI,2))</f>
        <v/>
      </c>
      <c r="BA29" s="66" t="n"/>
      <c r="BB29" s="78">
        <f>IF(OR(INDEX(Undirviðmið!$G$6:$G$105,ROW()-6)&lt;&gt;"Starfsbundinn",BA29="",$E29="",$D29=""),"",ROUND(BA29/$E29*$D29*KVARDI,2))</f>
        <v/>
      </c>
      <c r="BC29" s="66" t="n"/>
      <c r="BD29" s="78">
        <f>IF(OR(INDEX(Undirviðmið!$G$6:$G$105,ROW()-6)&lt;&gt;"Starfsbundinn",BC29="",$E29="",$D29=""),"",ROUND(BC29/$E29*$D29*KVARDI,2))</f>
        <v/>
      </c>
      <c r="BE29" s="66" t="n"/>
      <c r="BF29" s="78">
        <f>IF(OR(INDEX(Undirviðmið!$G$6:$G$105,ROW()-6)&lt;&gt;"Starfsbundinn",BE29="",$E29="",$D29=""),"",ROUND(BE29/$E29*$D29*KVARDI,2))</f>
        <v/>
      </c>
      <c r="BG29" s="66" t="n"/>
      <c r="BH29" s="78">
        <f>IF(OR(INDEX(Undirviðmið!$G$6:$G$105,ROW()-6)&lt;&gt;"Starfsbundinn",BG29="",$E29="",$D29=""),"",ROUND(BG29/$E29*$D29*KVARDI,2))</f>
        <v/>
      </c>
      <c r="BI29" s="66" t="n"/>
      <c r="BJ29" s="78">
        <f>IF(OR(INDEX(Undirviðmið!$G$6:$G$105,ROW()-6)&lt;&gt;"Starfsbundinn",BI29="",$E29="",$D29=""),"",ROUND(BI29/$E29*$D29*KVARDI,2))</f>
        <v/>
      </c>
      <c r="BK29" s="66" t="n"/>
      <c r="BL29" s="78">
        <f>IF(OR(INDEX(Undirviðmið!$G$6:$G$105,ROW()-6)&lt;&gt;"Starfsbundinn",BK29="",$E29="",$D29=""),"",ROUND(BK29/$E29*$D29*KVARDI,2))</f>
        <v/>
      </c>
      <c r="BM29" s="66" t="n"/>
      <c r="BN29" s="78">
        <f>IF(OR(INDEX(Undirviðmið!$G$6:$G$105,ROW()-6)&lt;&gt;"Starfsbundinn",BM29="",$E29="",$D29=""),"",ROUND(BM29/$E29*$D29*KVARDI,2))</f>
        <v/>
      </c>
      <c r="BO29" s="66" t="n"/>
      <c r="BP29" s="78">
        <f>IF(OR(INDEX(Undirviðmið!$G$6:$G$105,ROW()-6)&lt;&gt;"Starfsbundinn",BO29="",$E29="",$D29=""),"",ROUND(BO29/$E29*$D29*KVARDI,2))</f>
        <v/>
      </c>
      <c r="BQ29" s="66" t="n"/>
      <c r="BR29" s="78">
        <f>IF(OR(INDEX(Undirviðmið!$G$6:$G$105,ROW()-6)&lt;&gt;"Starfsbundinn",BQ29="",$E29="",$D29=""),"",ROUND(BQ29/$E29*$D29*KVARDI,2))</f>
        <v/>
      </c>
      <c r="BS29" s="66" t="n"/>
      <c r="BT29" s="78">
        <f>IF(OR(INDEX(Undirviðmið!$G$6:$G$105,ROW()-6)&lt;&gt;"Starfsbundinn",BS29="",$E29="",$D29=""),"",ROUND(BS29/$E29*$D29*KVARDI,2))</f>
        <v/>
      </c>
      <c r="BU29" s="66" t="n"/>
      <c r="BV29" s="78">
        <f>IF(OR(INDEX(Undirviðmið!$G$6:$G$105,ROW()-6)&lt;&gt;"Starfsbundinn",BU29="",$E29="",$D29=""),"",ROUND(BU29/$E29*$D29*KVARDI,2))</f>
        <v/>
      </c>
      <c r="BW29" s="66" t="n"/>
      <c r="BX29" s="78">
        <f>IF(OR(INDEX(Undirviðmið!$G$6:$G$105,ROW()-6)&lt;&gt;"Starfsbundinn",BW29="",$E29="",$D29=""),"",ROUND(BW29/$E29*$D29*KVARDI,2))</f>
        <v/>
      </c>
      <c r="BY29" s="66" t="n"/>
      <c r="BZ29" s="78">
        <f>IF(OR(INDEX(Undirviðmið!$G$6:$G$105,ROW()-6)&lt;&gt;"Starfsbundinn",BY29="",$E29="",$D29=""),"",ROUND(BY29/$E29*$D29*KVARDI,2))</f>
        <v/>
      </c>
      <c r="CA29" s="66" t="n"/>
      <c r="CB29" s="78">
        <f>IF(OR(INDEX(Undirviðmið!$G$6:$G$105,ROW()-6)&lt;&gt;"Starfsbundinn",CA29="",$E29="",$D29=""),"",ROUND(CA29/$E29*$D29*KVARDI,2))</f>
        <v/>
      </c>
      <c r="CC29" s="66" t="n"/>
      <c r="CD29" s="78">
        <f>IF(OR(INDEX(Undirviðmið!$G$6:$G$105,ROW()-6)&lt;&gt;"Starfsbundinn",CC29="",$E29="",$D29=""),"",ROUND(CC29/$E29*$D29*KVARDI,2))</f>
        <v/>
      </c>
      <c r="CE29" s="66" t="n"/>
      <c r="CF29" s="78">
        <f>IF(OR(INDEX(Undirviðmið!$G$6:$G$105,ROW()-6)&lt;&gt;"Starfsbundinn",CE29="",$E29="",$D29=""),"",ROUND(CE29/$E29*$D29*KVARDI,2))</f>
        <v/>
      </c>
      <c r="CG29" s="66" t="n"/>
      <c r="CH29" s="78">
        <f>IF(OR(INDEX(Undirviðmið!$G$6:$G$105,ROW()-6)&lt;&gt;"Starfsbundinn",CG29="",$E29="",$D29=""),"",ROUND(CG29/$E29*$D29*KVARDI,2))</f>
        <v/>
      </c>
      <c r="CI29" s="66" t="n"/>
      <c r="CJ29" s="78">
        <f>IF(OR(INDEX(Undirviðmið!$G$6:$G$105,ROW()-6)&lt;&gt;"Starfsbundinn",CI29="",$E29="",$D29=""),"",ROUND(CI29/$E29*$D29*KVARDI,2))</f>
        <v/>
      </c>
      <c r="CK29" s="66" t="n"/>
      <c r="CL29" s="78">
        <f>IF(OR(INDEX(Undirviðmið!$G$6:$G$105,ROW()-6)&lt;&gt;"Starfsbundinn",CK29="",$E29="",$D29=""),"",ROUND(CK29/$E29*$D29*KVARDI,2))</f>
        <v/>
      </c>
      <c r="CM29" s="66" t="n"/>
      <c r="CN29" s="78">
        <f>IF(OR(INDEX(Undirviðmið!$G$6:$G$105,ROW()-6)&lt;&gt;"Starfsbundinn",CM29="",$E29="",$D29=""),"",ROUND(CM29/$E29*$D29*KVARDI,2))</f>
        <v/>
      </c>
      <c r="CO29" s="66" t="n"/>
      <c r="CP29" s="78">
        <f>IF(OR(INDEX(Undirviðmið!$G$6:$G$105,ROW()-6)&lt;&gt;"Starfsbundinn",CO29="",$E29="",$D29=""),"",ROUND(CO29/$E29*$D29*KVARDI,2))</f>
        <v/>
      </c>
      <c r="CQ29" s="66" t="n"/>
      <c r="CR29" s="78">
        <f>IF(OR(INDEX(Undirviðmið!$G$6:$G$105,ROW()-6)&lt;&gt;"Starfsbundinn",CQ29="",$E29="",$D29=""),"",ROUND(CQ29/$E29*$D29*KVARDI,2))</f>
        <v/>
      </c>
      <c r="CS29" s="66" t="n"/>
      <c r="CT29" s="78">
        <f>IF(OR(INDEX(Undirviðmið!$G$6:$G$105,ROW()-6)&lt;&gt;"Starfsbundinn",CS29="",$E29="",$D29=""),"",ROUND(CS29/$E29*$D29*KVARDI,2))</f>
        <v/>
      </c>
      <c r="CU29" s="66" t="n"/>
      <c r="CV29" s="78">
        <f>IF(OR(INDEX(Undirviðmið!$G$6:$G$105,ROW()-6)&lt;&gt;"Starfsbundinn",CU29="",$E29="",$D29=""),"",ROUND(CU29/$E29*$D29*KVARDI,2))</f>
        <v/>
      </c>
      <c r="CW29" s="66" t="n"/>
      <c r="CX29" s="78">
        <f>IF(OR(INDEX(Undirviðmið!$G$6:$G$105,ROW()-6)&lt;&gt;"Starfsbundinn",CW29="",$E29="",$D29=""),"",ROUND(CW29/$E29*$D29*KVARDI,2))</f>
        <v/>
      </c>
      <c r="CY29" s="66" t="n"/>
      <c r="CZ29" s="78">
        <f>IF(OR(INDEX(Undirviðmið!$G$6:$G$105,ROW()-6)&lt;&gt;"Starfsbundinn",CY29="",$E29="",$D29=""),"",ROUND(CY29/$E29*$D29*KVARDI,2))</f>
        <v/>
      </c>
      <c r="DA29" s="66" t="n"/>
      <c r="DB29" s="78">
        <f>IF(OR(INDEX(Undirviðmið!$G$6:$G$105,ROW()-6)&lt;&gt;"Starfsbundinn",DA29="",$E29="",$D29=""),"",ROUND(DA29/$E29*$D29*KVARDI,2))</f>
        <v/>
      </c>
      <c r="DC29" s="66" t="n"/>
      <c r="DD29" s="78">
        <f>IF(OR(INDEX(Undirviðmið!$G$6:$G$105,ROW()-6)&lt;&gt;"Starfsbundinn",DC29="",$E29="",$D29=""),"",ROUND(DC29/$E29*$D29*KVARDI,2))</f>
        <v/>
      </c>
      <c r="DE29" s="66" t="n"/>
      <c r="DF29" s="78">
        <f>IF(OR(INDEX(Undirviðmið!$G$6:$G$105,ROW()-6)&lt;&gt;"Starfsbundinn",DE29="",$E29="",$D29=""),"",ROUND(DE29/$E29*$D29*KVARDI,2))</f>
        <v/>
      </c>
      <c r="DG29" s="66" t="n"/>
      <c r="DH29" s="78">
        <f>IF(OR(INDEX(Undirviðmið!$G$6:$G$105,ROW()-6)&lt;&gt;"Starfsbundinn",DG29="",$E29="",$D29=""),"",ROUND(DG29/$E29*$D29*KVARDI,2))</f>
        <v/>
      </c>
      <c r="DI29" s="66" t="n"/>
      <c r="DJ29" s="78">
        <f>IF(OR(INDEX(Undirviðmið!$G$6:$G$105,ROW()-6)&lt;&gt;"Starfsbundinn",DI29="",$E29="",$D29=""),"",ROUND(DI29/$E29*$D29*KVARDI,2))</f>
        <v/>
      </c>
      <c r="DK29" s="66" t="n"/>
      <c r="DL29" s="78">
        <f>IF(OR(INDEX(Undirviðmið!$G$6:$G$105,ROW()-6)&lt;&gt;"Starfsbundinn",DK29="",$E29="",$D29=""),"",ROUND(DK29/$E29*$D29*KVARDI,2))</f>
        <v/>
      </c>
      <c r="DM29" s="66" t="n"/>
      <c r="DN29" s="78">
        <f>IF(OR(INDEX(Undirviðmið!$G$6:$G$105,ROW()-6)&lt;&gt;"Starfsbundinn",DM29="",$E29="",$D29=""),"",ROUND(DM29/$E29*$D29*KVARDI,2))</f>
        <v/>
      </c>
      <c r="DO29" s="66" t="n"/>
      <c r="DP29" s="78">
        <f>IF(OR(INDEX(Undirviðmið!$G$6:$G$105,ROW()-6)&lt;&gt;"Starfsbundinn",DO29="",$E29="",$D29=""),"",ROUND(DO29/$E29*$D29*KVARDI,2))</f>
        <v/>
      </c>
      <c r="DQ29" s="66" t="n"/>
      <c r="DR29" s="78">
        <f>IF(OR(INDEX(Undirviðmið!$G$6:$G$105,ROW()-6)&lt;&gt;"Starfsbundinn",DQ29="",$E29="",$D29=""),"",ROUND(DQ29/$E29*$D29*KVARDI,2))</f>
        <v/>
      </c>
      <c r="DS29" s="66" t="n"/>
      <c r="DT29" s="78">
        <f>IF(OR(INDEX(Undirviðmið!$G$6:$G$105,ROW()-6)&lt;&gt;"Starfsbundinn",DS29="",$E29="",$D29=""),"",ROUND(DS29/$E29*$D29*KVARDI,2))</f>
        <v/>
      </c>
      <c r="DU29" s="66" t="n"/>
      <c r="DV29" s="78">
        <f>IF(OR(INDEX(Undirviðmið!$G$6:$G$105,ROW()-6)&lt;&gt;"Starfsbundinn",DU29="",$E29="",$D29=""),"",ROUND(DU29/$E29*$D29*KVARDI,2))</f>
        <v/>
      </c>
      <c r="DW29" s="66" t="n"/>
      <c r="DX29" s="78">
        <f>IF(OR(INDEX(Undirviðmið!$G$6:$G$105,ROW()-6)&lt;&gt;"Starfsbundinn",DW29="",$E29="",$D29=""),"",ROUND(DW29/$E29*$D29*KVARDI,2))</f>
        <v/>
      </c>
      <c r="DY29" s="66" t="n"/>
      <c r="DZ29" s="78">
        <f>IF(OR(INDEX(Undirviðmið!$G$6:$G$105,ROW()-6)&lt;&gt;"Starfsbundinn",DY29="",$E29="",$D29=""),"",ROUND(DY29/$E29*$D29*KVARDI,2))</f>
        <v/>
      </c>
      <c r="EA29" s="66" t="n"/>
      <c r="EB29" s="78">
        <f>IF(OR(INDEX(Undirviðmið!$G$6:$G$105,ROW()-6)&lt;&gt;"Starfsbundinn",EA29="",$E29="",$D29=""),"",ROUND(EA29/$E29*$D29*KVARDI,2))</f>
        <v/>
      </c>
      <c r="EC29" s="66" t="n"/>
      <c r="ED29" s="78">
        <f>IF(OR(INDEX(Undirviðmið!$G$6:$G$105,ROW()-6)&lt;&gt;"Starfsbundinn",EC29="",$E29="",$D29=""),"",ROUND(EC29/$E29*$D29*KVARDI,2))</f>
        <v/>
      </c>
      <c r="EE29" s="66" t="n"/>
      <c r="EF29" s="78">
        <f>IF(OR(INDEX(Undirviðmið!$G$6:$G$105,ROW()-6)&lt;&gt;"Starfsbundinn",EE29="",$E29="",$D29=""),"",ROUND(EE29/$E29*$D29*KVARDI,2))</f>
        <v/>
      </c>
      <c r="EG29" s="66" t="n"/>
      <c r="EH29" s="78">
        <f>IF(OR(INDEX(Undirviðmið!$G$6:$G$105,ROW()-6)&lt;&gt;"Starfsbundinn",EG29="",$E29="",$D29=""),"",ROUND(EG29/$E29*$D29*KVARDI,2))</f>
        <v/>
      </c>
      <c r="EI29" s="66" t="n"/>
      <c r="EJ29" s="78">
        <f>IF(OR(INDEX(Undirviðmið!$G$6:$G$105,ROW()-6)&lt;&gt;"Starfsbundinn",EI29="",$E29="",$D29=""),"",ROUND(EI29/$E29*$D29*KVARDI,2))</f>
        <v/>
      </c>
      <c r="EK29" s="66" t="n"/>
      <c r="EL29" s="78">
        <f>IF(OR(INDEX(Undirviðmið!$G$6:$G$105,ROW()-6)&lt;&gt;"Starfsbundinn",EK29="",$E29="",$D29=""),"",ROUND(EK29/$E29*$D29*KVARDI,2))</f>
        <v/>
      </c>
      <c r="EM29" s="66" t="n"/>
      <c r="EN29" s="78">
        <f>IF(OR(INDEX(Undirviðmið!$G$6:$G$105,ROW()-6)&lt;&gt;"Starfsbundinn",EM29="",$E29="",$D29=""),"",ROUND(EM29/$E29*$D29*KVARDI,2))</f>
        <v/>
      </c>
      <c r="EO29" s="66" t="n"/>
      <c r="EP29" s="78">
        <f>IF(OR(INDEX(Undirviðmið!$G$6:$G$105,ROW()-6)&lt;&gt;"Starfsbundinn",EO29="",$E29="",$D29=""),"",ROUND(EO29/$E29*$D29*KVARDI,2))</f>
        <v/>
      </c>
      <c r="EQ29" s="66" t="n"/>
      <c r="ER29" s="78">
        <f>IF(OR(INDEX(Undirviðmið!$G$6:$G$105,ROW()-6)&lt;&gt;"Starfsbundinn",EQ29="",$E29="",$D29=""),"",ROUND(EQ29/$E29*$D29*KVARDI,2))</f>
        <v/>
      </c>
      <c r="ES29" s="66" t="n"/>
      <c r="ET29" s="78">
        <f>IF(OR(INDEX(Undirviðmið!$G$6:$G$105,ROW()-6)&lt;&gt;"Starfsbundinn",ES29="",$E29="",$D29=""),"",ROUND(ES29/$E29*$D29*KVARDI,2))</f>
        <v/>
      </c>
      <c r="EU29" s="66" t="n"/>
      <c r="EV29" s="78">
        <f>IF(OR(INDEX(Undirviðmið!$G$6:$G$105,ROW()-6)&lt;&gt;"Starfsbundinn",EU29="",$E29="",$D29=""),"",ROUND(EU29/$E29*$D29*KVARDI,2))</f>
        <v/>
      </c>
      <c r="EW29" s="66" t="n"/>
      <c r="EX29" s="78">
        <f>IF(OR(INDEX(Undirviðmið!$G$6:$G$105,ROW()-6)&lt;&gt;"Starfsbundinn",EW29="",$E29="",$D29=""),"",ROUND(EW29/$E29*$D29*KVARDI,2))</f>
        <v/>
      </c>
      <c r="EY29" s="66" t="n"/>
      <c r="EZ29" s="78">
        <f>IF(OR(INDEX(Undirviðmið!$G$6:$G$105,ROW()-6)&lt;&gt;"Starfsbundinn",EY29="",$E29="",$D29=""),"",ROUND(EY29/$E29*$D29*KVARDI,2))</f>
        <v/>
      </c>
      <c r="FA29" s="66" t="n"/>
      <c r="FB29" s="78">
        <f>IF(OR(INDEX(Undirviðmið!$G$6:$G$105,ROW()-6)&lt;&gt;"Starfsbundinn",FA29="",$E29="",$D29=""),"",ROUND(FA29/$E29*$D29*KVARDI,2))</f>
        <v/>
      </c>
      <c r="FC29" s="66" t="n"/>
      <c r="FD29" s="78">
        <f>IF(OR(INDEX(Undirviðmið!$G$6:$G$105,ROW()-6)&lt;&gt;"Starfsbundinn",FC29="",$E29="",$D29=""),"",ROUND(FC29/$E29*$D29*KVARDI,2))</f>
        <v/>
      </c>
      <c r="FE29" s="66" t="n"/>
      <c r="FF29" s="78">
        <f>IF(OR(INDEX(Undirviðmið!$G$6:$G$105,ROW()-6)&lt;&gt;"Starfsbundinn",FE29="",$E29="",$D29=""),"",ROUND(FE29/$E29*$D29*KVARDI,2))</f>
        <v/>
      </c>
      <c r="FG29" s="66" t="n"/>
      <c r="FH29" s="78">
        <f>IF(OR(INDEX(Undirviðmið!$G$6:$G$105,ROW()-6)&lt;&gt;"Starfsbundinn",FG29="",$E29="",$D29=""),"",ROUND(FG29/$E29*$D29*KVARDI,2))</f>
        <v/>
      </c>
      <c r="FI29" s="66" t="n"/>
      <c r="FJ29" s="78">
        <f>IF(OR(INDEX(Undirviðmið!$G$6:$G$105,ROW()-6)&lt;&gt;"Starfsbundinn",FI29="",$E29="",$D29=""),"",ROUND(FI29/$E29*$D29*KVARDI,2))</f>
        <v/>
      </c>
      <c r="FK29" s="66" t="n"/>
      <c r="FL29" s="78">
        <f>IF(OR(INDEX(Undirviðmið!$G$6:$G$105,ROW()-6)&lt;&gt;"Starfsbundinn",FK29="",$E29="",$D29=""),"",ROUND(FK29/$E29*$D29*KVARDI,2))</f>
        <v/>
      </c>
      <c r="FM29" s="66" t="n"/>
      <c r="FN29" s="78">
        <f>IF(OR(INDEX(Undirviðmið!$G$6:$G$105,ROW()-6)&lt;&gt;"Starfsbundinn",FM29="",$E29="",$D29=""),"",ROUND(FM29/$E29*$D29*KVARDI,2))</f>
        <v/>
      </c>
      <c r="FO29" s="66" t="n"/>
      <c r="FP29" s="78">
        <f>IF(OR(INDEX(Undirviðmið!$G$6:$G$105,ROW()-6)&lt;&gt;"Starfsbundinn",FO29="",$E29="",$D29=""),"",ROUND(FO29/$E29*$D29*KVARDI,2))</f>
        <v/>
      </c>
      <c r="FQ29" s="66" t="n"/>
      <c r="FR29" s="78">
        <f>IF(OR(INDEX(Undirviðmið!$G$6:$G$105,ROW()-6)&lt;&gt;"Starfsbundinn",FQ29="",$E29="",$D29=""),"",ROUND(FQ29/$E29*$D29*KVARDI,2))</f>
        <v/>
      </c>
      <c r="FS29" s="66" t="n"/>
      <c r="FT29" s="78">
        <f>IF(OR(INDEX(Undirviðmið!$G$6:$G$105,ROW()-6)&lt;&gt;"Starfsbundinn",FS29="",$E29="",$D29=""),"",ROUND(FS29/$E29*$D29*KVARDI,2))</f>
        <v/>
      </c>
      <c r="FU29" s="66" t="n"/>
      <c r="FV29" s="78">
        <f>IF(OR(INDEX(Undirviðmið!$G$6:$G$105,ROW()-6)&lt;&gt;"Starfsbundinn",FU29="",$E29="",$D29=""),"",ROUND(FU29/$E29*$D29*KVARDI,2))</f>
        <v/>
      </c>
      <c r="FW29" s="66" t="n"/>
      <c r="FX29" s="78">
        <f>IF(OR(INDEX(Undirviðmið!$G$6:$G$105,ROW()-6)&lt;&gt;"Starfsbundinn",FW29="",$E29="",$D29=""),"",ROUND(FW29/$E29*$D29*KVARDI,2))</f>
        <v/>
      </c>
      <c r="FY29" s="66" t="n"/>
      <c r="FZ29" s="78">
        <f>IF(OR(INDEX(Undirviðmið!$G$6:$G$105,ROW()-6)&lt;&gt;"Starfsbundinn",FY29="",$E29="",$D29=""),"",ROUND(FY29/$E29*$D29*KVARDI,2))</f>
        <v/>
      </c>
      <c r="GA29" s="66" t="n"/>
      <c r="GB29" s="78">
        <f>IF(OR(INDEX(Undirviðmið!$G$6:$G$105,ROW()-6)&lt;&gt;"Starfsbundinn",GA29="",$E29="",$D29=""),"",ROUND(GA29/$E29*$D29*KVARDI,2))</f>
        <v/>
      </c>
      <c r="GC29" s="66" t="n"/>
      <c r="GD29" s="78">
        <f>IF(OR(INDEX(Undirviðmið!$G$6:$G$105,ROW()-6)&lt;&gt;"Starfsbundinn",GC29="",$E29="",$D29=""),"",ROUND(GC29/$E29*$D29*KVARDI,2))</f>
        <v/>
      </c>
      <c r="GE29" s="66" t="n"/>
      <c r="GF29" s="78">
        <f>IF(OR(INDEX(Undirviðmið!$G$6:$G$105,ROW()-6)&lt;&gt;"Starfsbundinn",GE29="",$E29="",$D29=""),"",ROUND(GE29/$E29*$D29*KVARDI,2))</f>
        <v/>
      </c>
      <c r="GG29" s="66" t="n"/>
      <c r="GH29" s="78">
        <f>IF(OR(INDEX(Undirviðmið!$G$6:$G$105,ROW()-6)&lt;&gt;"Starfsbundinn",GG29="",$E29="",$D29=""),"",ROUND(GG29/$E29*$D29*KVARDI,2))</f>
        <v/>
      </c>
      <c r="GI29" s="66" t="n"/>
      <c r="GJ29" s="78">
        <f>IF(OR(INDEX(Undirviðmið!$G$6:$G$105,ROW()-6)&lt;&gt;"Starfsbundinn",GI29="",$E29="",$D29=""),"",ROUND(GI29/$E29*$D29*KVARDI,2))</f>
        <v/>
      </c>
      <c r="GK29" s="66" t="n"/>
      <c r="GL29" s="78">
        <f>IF(OR(INDEX(Undirviðmið!$G$6:$G$105,ROW()-6)&lt;&gt;"Starfsbundinn",GK29="",$E29="",$D29=""),"",ROUND(GK29/$E29*$D29*KVARDI,2))</f>
        <v/>
      </c>
      <c r="GM29" s="66" t="n"/>
      <c r="GN29" s="78">
        <f>IF(OR(INDEX(Undirviðmið!$G$6:$G$105,ROW()-6)&lt;&gt;"Starfsbundinn",GM29="",$E29="",$D29=""),"",ROUND(GM29/$E29*$D29*KVARDI,2))</f>
        <v/>
      </c>
      <c r="GO29" s="66" t="n"/>
      <c r="GP29" s="78">
        <f>IF(OR(INDEX(Undirviðmið!$G$6:$G$105,ROW()-6)&lt;&gt;"Starfsbundinn",GO29="",$E29="",$D29=""),"",ROUND(GO29/$E29*$D29*KVARDI,2))</f>
        <v/>
      </c>
      <c r="GQ29" s="66" t="n"/>
      <c r="GR29" s="78">
        <f>IF(OR(INDEX(Undirviðmið!$G$6:$G$105,ROW()-6)&lt;&gt;"Starfsbundinn",GQ29="",$E29="",$D29=""),"",ROUND(GQ29/$E29*$D29*KVARDI,2))</f>
        <v/>
      </c>
      <c r="GS29" s="66" t="n"/>
      <c r="GT29" s="78">
        <f>IF(OR(INDEX(Undirviðmið!$G$6:$G$105,ROW()-6)&lt;&gt;"Starfsbundinn",GS29="",$E29="",$D29=""),"",ROUND(GS29/$E29*$D29*KVARDI,2))</f>
        <v/>
      </c>
      <c r="GU29" s="66" t="n"/>
      <c r="GV29" s="78">
        <f>IF(OR(INDEX(Undirviðmið!$G$6:$G$105,ROW()-6)&lt;&gt;"Starfsbundinn",GU29="",$E29="",$D29=""),"",ROUND(GU29/$E29*$D29*KVARDI,2))</f>
        <v/>
      </c>
      <c r="GW29" s="66" t="n"/>
      <c r="GX29" s="78">
        <f>IF(OR(INDEX(Undirviðmið!$G$6:$G$105,ROW()-6)&lt;&gt;"Starfsbundinn",GW29="",$E29="",$D29=""),"",ROUND(GW29/$E29*$D29*KVARDI,2))</f>
        <v/>
      </c>
    </row>
    <row r="30" ht="15" customHeight="1" s="47">
      <c r="B30" s="67">
        <f>IF(INDEX(Undirviðmið!$G$6:$G$105,ROW()-6)="Starfsbundinn",INDEX(Undirviðmið!$B$6:$B$105,ROW()-6),"")</f>
        <v/>
      </c>
      <c r="C30" s="67">
        <f>IF(INDEX(Undirviðmið!$G$6:$G$105,ROW()-6)="Starfsbundinn",INDEX(Undirviðmið!$C$6:$C$105,ROW()-6),"")</f>
        <v/>
      </c>
      <c r="D30" s="77">
        <f>IF(INDEX(Undirviðmið!$G$6:$G$105,ROW()-6)="Starfsbundinn",INDEX(Undirviðmið!$E$6:$E$105,ROW()-6),"")</f>
        <v/>
      </c>
      <c r="E30" s="77">
        <f>IF(INDEX(Undirviðmið!$G$6:$G$105,ROW()-6)="Starfsbundinn",INDEX(Undirviðmið!$F$6:$F$105,ROW()-6),"")</f>
        <v/>
      </c>
      <c r="F30" s="77">
        <f>IF(INDEX(Undirviðmið!$G$6:$G$105,ROW()-6)="Starfsbundinn",IFERROR(INDEX(Undirviðmið!$E$6:$E$105,ROW()-6)*KVARDI,""),"")</f>
        <v/>
      </c>
      <c r="G30" s="66" t="n"/>
      <c r="H30" s="78">
        <f>IF(OR(INDEX(Undirviðmið!$G$6:$G$105,ROW()-6)&lt;&gt;"Starfsbundinn",G30="",$E30="",$D30=""),"",ROUND(G30/$E30*$D30*KVARDI,2))</f>
        <v/>
      </c>
      <c r="I30" s="66" t="n"/>
      <c r="J30" s="78">
        <f>IF(OR(INDEX(Undirviðmið!$G$6:$G$105,ROW()-6)&lt;&gt;"Starfsbundinn",I30="",$E30="",$D30=""),"",ROUND(I30/$E30*$D30*KVARDI,2))</f>
        <v/>
      </c>
      <c r="K30" s="66" t="n"/>
      <c r="L30" s="78">
        <f>IF(OR(INDEX(Undirviðmið!$G$6:$G$105,ROW()-6)&lt;&gt;"Starfsbundinn",K30="",$E30="",$D30=""),"",ROUND(K30/$E30*$D30*KVARDI,2))</f>
        <v/>
      </c>
      <c r="M30" s="66" t="n"/>
      <c r="N30" s="78">
        <f>IF(OR(INDEX(Undirviðmið!$G$6:$G$105,ROW()-6)&lt;&gt;"Starfsbundinn",M30="",$E30="",$D30=""),"",ROUND(M30/$E30*$D30*KVARDI,2))</f>
        <v/>
      </c>
      <c r="O30" s="66" t="n"/>
      <c r="P30" s="78">
        <f>IF(OR(INDEX(Undirviðmið!$G$6:$G$105,ROW()-6)&lt;&gt;"Starfsbundinn",O30="",$E30="",$D30=""),"",ROUND(O30/$E30*$D30*KVARDI,2))</f>
        <v/>
      </c>
      <c r="Q30" s="66" t="n"/>
      <c r="R30" s="78">
        <f>IF(OR(INDEX(Undirviðmið!$G$6:$G$105,ROW()-6)&lt;&gt;"Starfsbundinn",Q30="",$E30="",$D30=""),"",ROUND(Q30/$E30*$D30*KVARDI,2))</f>
        <v/>
      </c>
      <c r="S30" s="66" t="n"/>
      <c r="T30" s="78">
        <f>IF(OR(INDEX(Undirviðmið!$G$6:$G$105,ROW()-6)&lt;&gt;"Starfsbundinn",S30="",$E30="",$D30=""),"",ROUND(S30/$E30*$D30*KVARDI,2))</f>
        <v/>
      </c>
      <c r="U30" s="66" t="n"/>
      <c r="V30" s="78">
        <f>IF(OR(INDEX(Undirviðmið!$G$6:$G$105,ROW()-6)&lt;&gt;"Starfsbundinn",U30="",$E30="",$D30=""),"",ROUND(U30/$E30*$D30*KVARDI,2))</f>
        <v/>
      </c>
      <c r="W30" s="66" t="n"/>
      <c r="X30" s="78">
        <f>IF(OR(INDEX(Undirviðmið!$G$6:$G$105,ROW()-6)&lt;&gt;"Starfsbundinn",W30="",$E30="",$D30=""),"",ROUND(W30/$E30*$D30*KVARDI,2))</f>
        <v/>
      </c>
      <c r="Y30" s="66" t="n"/>
      <c r="Z30" s="78">
        <f>IF(OR(INDEX(Undirviðmið!$G$6:$G$105,ROW()-6)&lt;&gt;"Starfsbundinn",Y30="",$E30="",$D30=""),"",ROUND(Y30/$E30*$D30*KVARDI,2))</f>
        <v/>
      </c>
      <c r="AA30" s="66" t="n"/>
      <c r="AB30" s="78">
        <f>IF(OR(INDEX(Undirviðmið!$G$6:$G$105,ROW()-6)&lt;&gt;"Starfsbundinn",AA30="",$E30="",$D30=""),"",ROUND(AA30/$E30*$D30*KVARDI,2))</f>
        <v/>
      </c>
      <c r="AC30" s="66" t="n"/>
      <c r="AD30" s="78">
        <f>IF(OR(INDEX(Undirviðmið!$G$6:$G$105,ROW()-6)&lt;&gt;"Starfsbundinn",AC30="",$E30="",$D30=""),"",ROUND(AC30/$E30*$D30*KVARDI,2))</f>
        <v/>
      </c>
      <c r="AE30" s="66" t="n"/>
      <c r="AF30" s="78">
        <f>IF(OR(INDEX(Undirviðmið!$G$6:$G$105,ROW()-6)&lt;&gt;"Starfsbundinn",AE30="",$E30="",$D30=""),"",ROUND(AE30/$E30*$D30*KVARDI,2))</f>
        <v/>
      </c>
      <c r="AG30" s="66" t="n"/>
      <c r="AH30" s="78">
        <f>IF(OR(INDEX(Undirviðmið!$G$6:$G$105,ROW()-6)&lt;&gt;"Starfsbundinn",AG30="",$E30="",$D30=""),"",ROUND(AG30/$E30*$D30*KVARDI,2))</f>
        <v/>
      </c>
      <c r="AI30" s="66" t="n"/>
      <c r="AJ30" s="78">
        <f>IF(OR(INDEX(Undirviðmið!$G$6:$G$105,ROW()-6)&lt;&gt;"Starfsbundinn",AI30="",$E30="",$D30=""),"",ROUND(AI30/$E30*$D30*KVARDI,2))</f>
        <v/>
      </c>
      <c r="AK30" s="66" t="n"/>
      <c r="AL30" s="78">
        <f>IF(OR(INDEX(Undirviðmið!$G$6:$G$105,ROW()-6)&lt;&gt;"Starfsbundinn",AK30="",$E30="",$D30=""),"",ROUND(AK30/$E30*$D30*KVARDI,2))</f>
        <v/>
      </c>
      <c r="AM30" s="66" t="n"/>
      <c r="AN30" s="78">
        <f>IF(OR(INDEX(Undirviðmið!$G$6:$G$105,ROW()-6)&lt;&gt;"Starfsbundinn",AM30="",$E30="",$D30=""),"",ROUND(AM30/$E30*$D30*KVARDI,2))</f>
        <v/>
      </c>
      <c r="AO30" s="66" t="n"/>
      <c r="AP30" s="78">
        <f>IF(OR(INDEX(Undirviðmið!$G$6:$G$105,ROW()-6)&lt;&gt;"Starfsbundinn",AO30="",$E30="",$D30=""),"",ROUND(AO30/$E30*$D30*KVARDI,2))</f>
        <v/>
      </c>
      <c r="AQ30" s="66" t="n"/>
      <c r="AR30" s="78">
        <f>IF(OR(INDEX(Undirviðmið!$G$6:$G$105,ROW()-6)&lt;&gt;"Starfsbundinn",AQ30="",$E30="",$D30=""),"",ROUND(AQ30/$E30*$D30*KVARDI,2))</f>
        <v/>
      </c>
      <c r="AS30" s="66" t="n"/>
      <c r="AT30" s="78">
        <f>IF(OR(INDEX(Undirviðmið!$G$6:$G$105,ROW()-6)&lt;&gt;"Starfsbundinn",AS30="",$E30="",$D30=""),"",ROUND(AS30/$E30*$D30*KVARDI,2))</f>
        <v/>
      </c>
      <c r="AU30" s="66" t="n"/>
      <c r="AV30" s="78">
        <f>IF(OR(INDEX(Undirviðmið!$G$6:$G$105,ROW()-6)&lt;&gt;"Starfsbundinn",AU30="",$E30="",$D30=""),"",ROUND(AU30/$E30*$D30*KVARDI,2))</f>
        <v/>
      </c>
      <c r="AW30" s="66" t="n"/>
      <c r="AX30" s="78">
        <f>IF(OR(INDEX(Undirviðmið!$G$6:$G$105,ROW()-6)&lt;&gt;"Starfsbundinn",AW30="",$E30="",$D30=""),"",ROUND(AW30/$E30*$D30*KVARDI,2))</f>
        <v/>
      </c>
      <c r="AY30" s="66" t="n"/>
      <c r="AZ30" s="78">
        <f>IF(OR(INDEX(Undirviðmið!$G$6:$G$105,ROW()-6)&lt;&gt;"Starfsbundinn",AY30="",$E30="",$D30=""),"",ROUND(AY30/$E30*$D30*KVARDI,2))</f>
        <v/>
      </c>
      <c r="BA30" s="66" t="n"/>
      <c r="BB30" s="78">
        <f>IF(OR(INDEX(Undirviðmið!$G$6:$G$105,ROW()-6)&lt;&gt;"Starfsbundinn",BA30="",$E30="",$D30=""),"",ROUND(BA30/$E30*$D30*KVARDI,2))</f>
        <v/>
      </c>
      <c r="BC30" s="66" t="n"/>
      <c r="BD30" s="78">
        <f>IF(OR(INDEX(Undirviðmið!$G$6:$G$105,ROW()-6)&lt;&gt;"Starfsbundinn",BC30="",$E30="",$D30=""),"",ROUND(BC30/$E30*$D30*KVARDI,2))</f>
        <v/>
      </c>
      <c r="BE30" s="66" t="n"/>
      <c r="BF30" s="78">
        <f>IF(OR(INDEX(Undirviðmið!$G$6:$G$105,ROW()-6)&lt;&gt;"Starfsbundinn",BE30="",$E30="",$D30=""),"",ROUND(BE30/$E30*$D30*KVARDI,2))</f>
        <v/>
      </c>
      <c r="BG30" s="66" t="n"/>
      <c r="BH30" s="78">
        <f>IF(OR(INDEX(Undirviðmið!$G$6:$G$105,ROW()-6)&lt;&gt;"Starfsbundinn",BG30="",$E30="",$D30=""),"",ROUND(BG30/$E30*$D30*KVARDI,2))</f>
        <v/>
      </c>
      <c r="BI30" s="66" t="n"/>
      <c r="BJ30" s="78">
        <f>IF(OR(INDEX(Undirviðmið!$G$6:$G$105,ROW()-6)&lt;&gt;"Starfsbundinn",BI30="",$E30="",$D30=""),"",ROUND(BI30/$E30*$D30*KVARDI,2))</f>
        <v/>
      </c>
      <c r="BK30" s="66" t="n"/>
      <c r="BL30" s="78">
        <f>IF(OR(INDEX(Undirviðmið!$G$6:$G$105,ROW()-6)&lt;&gt;"Starfsbundinn",BK30="",$E30="",$D30=""),"",ROUND(BK30/$E30*$D30*KVARDI,2))</f>
        <v/>
      </c>
      <c r="BM30" s="66" t="n"/>
      <c r="BN30" s="78">
        <f>IF(OR(INDEX(Undirviðmið!$G$6:$G$105,ROW()-6)&lt;&gt;"Starfsbundinn",BM30="",$E30="",$D30=""),"",ROUND(BM30/$E30*$D30*KVARDI,2))</f>
        <v/>
      </c>
      <c r="BO30" s="66" t="n"/>
      <c r="BP30" s="78">
        <f>IF(OR(INDEX(Undirviðmið!$G$6:$G$105,ROW()-6)&lt;&gt;"Starfsbundinn",BO30="",$E30="",$D30=""),"",ROUND(BO30/$E30*$D30*KVARDI,2))</f>
        <v/>
      </c>
      <c r="BQ30" s="66" t="n"/>
      <c r="BR30" s="78">
        <f>IF(OR(INDEX(Undirviðmið!$G$6:$G$105,ROW()-6)&lt;&gt;"Starfsbundinn",BQ30="",$E30="",$D30=""),"",ROUND(BQ30/$E30*$D30*KVARDI,2))</f>
        <v/>
      </c>
      <c r="BS30" s="66" t="n"/>
      <c r="BT30" s="78">
        <f>IF(OR(INDEX(Undirviðmið!$G$6:$G$105,ROW()-6)&lt;&gt;"Starfsbundinn",BS30="",$E30="",$D30=""),"",ROUND(BS30/$E30*$D30*KVARDI,2))</f>
        <v/>
      </c>
      <c r="BU30" s="66" t="n"/>
      <c r="BV30" s="78">
        <f>IF(OR(INDEX(Undirviðmið!$G$6:$G$105,ROW()-6)&lt;&gt;"Starfsbundinn",BU30="",$E30="",$D30=""),"",ROUND(BU30/$E30*$D30*KVARDI,2))</f>
        <v/>
      </c>
      <c r="BW30" s="66" t="n"/>
      <c r="BX30" s="78">
        <f>IF(OR(INDEX(Undirviðmið!$G$6:$G$105,ROW()-6)&lt;&gt;"Starfsbundinn",BW30="",$E30="",$D30=""),"",ROUND(BW30/$E30*$D30*KVARDI,2))</f>
        <v/>
      </c>
      <c r="BY30" s="66" t="n"/>
      <c r="BZ30" s="78">
        <f>IF(OR(INDEX(Undirviðmið!$G$6:$G$105,ROW()-6)&lt;&gt;"Starfsbundinn",BY30="",$E30="",$D30=""),"",ROUND(BY30/$E30*$D30*KVARDI,2))</f>
        <v/>
      </c>
      <c r="CA30" s="66" t="n"/>
      <c r="CB30" s="78">
        <f>IF(OR(INDEX(Undirviðmið!$G$6:$G$105,ROW()-6)&lt;&gt;"Starfsbundinn",CA30="",$E30="",$D30=""),"",ROUND(CA30/$E30*$D30*KVARDI,2))</f>
        <v/>
      </c>
      <c r="CC30" s="66" t="n"/>
      <c r="CD30" s="78">
        <f>IF(OR(INDEX(Undirviðmið!$G$6:$G$105,ROW()-6)&lt;&gt;"Starfsbundinn",CC30="",$E30="",$D30=""),"",ROUND(CC30/$E30*$D30*KVARDI,2))</f>
        <v/>
      </c>
      <c r="CE30" s="66" t="n"/>
      <c r="CF30" s="78">
        <f>IF(OR(INDEX(Undirviðmið!$G$6:$G$105,ROW()-6)&lt;&gt;"Starfsbundinn",CE30="",$E30="",$D30=""),"",ROUND(CE30/$E30*$D30*KVARDI,2))</f>
        <v/>
      </c>
      <c r="CG30" s="66" t="n"/>
      <c r="CH30" s="78">
        <f>IF(OR(INDEX(Undirviðmið!$G$6:$G$105,ROW()-6)&lt;&gt;"Starfsbundinn",CG30="",$E30="",$D30=""),"",ROUND(CG30/$E30*$D30*KVARDI,2))</f>
        <v/>
      </c>
      <c r="CI30" s="66" t="n"/>
      <c r="CJ30" s="78">
        <f>IF(OR(INDEX(Undirviðmið!$G$6:$G$105,ROW()-6)&lt;&gt;"Starfsbundinn",CI30="",$E30="",$D30=""),"",ROUND(CI30/$E30*$D30*KVARDI,2))</f>
        <v/>
      </c>
      <c r="CK30" s="66" t="n"/>
      <c r="CL30" s="78">
        <f>IF(OR(INDEX(Undirviðmið!$G$6:$G$105,ROW()-6)&lt;&gt;"Starfsbundinn",CK30="",$E30="",$D30=""),"",ROUND(CK30/$E30*$D30*KVARDI,2))</f>
        <v/>
      </c>
      <c r="CM30" s="66" t="n"/>
      <c r="CN30" s="78">
        <f>IF(OR(INDEX(Undirviðmið!$G$6:$G$105,ROW()-6)&lt;&gt;"Starfsbundinn",CM30="",$E30="",$D30=""),"",ROUND(CM30/$E30*$D30*KVARDI,2))</f>
        <v/>
      </c>
      <c r="CO30" s="66" t="n"/>
      <c r="CP30" s="78">
        <f>IF(OR(INDEX(Undirviðmið!$G$6:$G$105,ROW()-6)&lt;&gt;"Starfsbundinn",CO30="",$E30="",$D30=""),"",ROUND(CO30/$E30*$D30*KVARDI,2))</f>
        <v/>
      </c>
      <c r="CQ30" s="66" t="n"/>
      <c r="CR30" s="78">
        <f>IF(OR(INDEX(Undirviðmið!$G$6:$G$105,ROW()-6)&lt;&gt;"Starfsbundinn",CQ30="",$E30="",$D30=""),"",ROUND(CQ30/$E30*$D30*KVARDI,2))</f>
        <v/>
      </c>
      <c r="CS30" s="66" t="n"/>
      <c r="CT30" s="78">
        <f>IF(OR(INDEX(Undirviðmið!$G$6:$G$105,ROW()-6)&lt;&gt;"Starfsbundinn",CS30="",$E30="",$D30=""),"",ROUND(CS30/$E30*$D30*KVARDI,2))</f>
        <v/>
      </c>
      <c r="CU30" s="66" t="n"/>
      <c r="CV30" s="78">
        <f>IF(OR(INDEX(Undirviðmið!$G$6:$G$105,ROW()-6)&lt;&gt;"Starfsbundinn",CU30="",$E30="",$D30=""),"",ROUND(CU30/$E30*$D30*KVARDI,2))</f>
        <v/>
      </c>
      <c r="CW30" s="66" t="n"/>
      <c r="CX30" s="78">
        <f>IF(OR(INDEX(Undirviðmið!$G$6:$G$105,ROW()-6)&lt;&gt;"Starfsbundinn",CW30="",$E30="",$D30=""),"",ROUND(CW30/$E30*$D30*KVARDI,2))</f>
        <v/>
      </c>
      <c r="CY30" s="66" t="n"/>
      <c r="CZ30" s="78">
        <f>IF(OR(INDEX(Undirviðmið!$G$6:$G$105,ROW()-6)&lt;&gt;"Starfsbundinn",CY30="",$E30="",$D30=""),"",ROUND(CY30/$E30*$D30*KVARDI,2))</f>
        <v/>
      </c>
      <c r="DA30" s="66" t="n"/>
      <c r="DB30" s="78">
        <f>IF(OR(INDEX(Undirviðmið!$G$6:$G$105,ROW()-6)&lt;&gt;"Starfsbundinn",DA30="",$E30="",$D30=""),"",ROUND(DA30/$E30*$D30*KVARDI,2))</f>
        <v/>
      </c>
      <c r="DC30" s="66" t="n"/>
      <c r="DD30" s="78">
        <f>IF(OR(INDEX(Undirviðmið!$G$6:$G$105,ROW()-6)&lt;&gt;"Starfsbundinn",DC30="",$E30="",$D30=""),"",ROUND(DC30/$E30*$D30*KVARDI,2))</f>
        <v/>
      </c>
      <c r="DE30" s="66" t="n"/>
      <c r="DF30" s="78">
        <f>IF(OR(INDEX(Undirviðmið!$G$6:$G$105,ROW()-6)&lt;&gt;"Starfsbundinn",DE30="",$E30="",$D30=""),"",ROUND(DE30/$E30*$D30*KVARDI,2))</f>
        <v/>
      </c>
      <c r="DG30" s="66" t="n"/>
      <c r="DH30" s="78">
        <f>IF(OR(INDEX(Undirviðmið!$G$6:$G$105,ROW()-6)&lt;&gt;"Starfsbundinn",DG30="",$E30="",$D30=""),"",ROUND(DG30/$E30*$D30*KVARDI,2))</f>
        <v/>
      </c>
      <c r="DI30" s="66" t="n"/>
      <c r="DJ30" s="78">
        <f>IF(OR(INDEX(Undirviðmið!$G$6:$G$105,ROW()-6)&lt;&gt;"Starfsbundinn",DI30="",$E30="",$D30=""),"",ROUND(DI30/$E30*$D30*KVARDI,2))</f>
        <v/>
      </c>
      <c r="DK30" s="66" t="n"/>
      <c r="DL30" s="78">
        <f>IF(OR(INDEX(Undirviðmið!$G$6:$G$105,ROW()-6)&lt;&gt;"Starfsbundinn",DK30="",$E30="",$D30=""),"",ROUND(DK30/$E30*$D30*KVARDI,2))</f>
        <v/>
      </c>
      <c r="DM30" s="66" t="n"/>
      <c r="DN30" s="78">
        <f>IF(OR(INDEX(Undirviðmið!$G$6:$G$105,ROW()-6)&lt;&gt;"Starfsbundinn",DM30="",$E30="",$D30=""),"",ROUND(DM30/$E30*$D30*KVARDI,2))</f>
        <v/>
      </c>
      <c r="DO30" s="66" t="n"/>
      <c r="DP30" s="78">
        <f>IF(OR(INDEX(Undirviðmið!$G$6:$G$105,ROW()-6)&lt;&gt;"Starfsbundinn",DO30="",$E30="",$D30=""),"",ROUND(DO30/$E30*$D30*KVARDI,2))</f>
        <v/>
      </c>
      <c r="DQ30" s="66" t="n"/>
      <c r="DR30" s="78">
        <f>IF(OR(INDEX(Undirviðmið!$G$6:$G$105,ROW()-6)&lt;&gt;"Starfsbundinn",DQ30="",$E30="",$D30=""),"",ROUND(DQ30/$E30*$D30*KVARDI,2))</f>
        <v/>
      </c>
      <c r="DS30" s="66" t="n"/>
      <c r="DT30" s="78">
        <f>IF(OR(INDEX(Undirviðmið!$G$6:$G$105,ROW()-6)&lt;&gt;"Starfsbundinn",DS30="",$E30="",$D30=""),"",ROUND(DS30/$E30*$D30*KVARDI,2))</f>
        <v/>
      </c>
      <c r="DU30" s="66" t="n"/>
      <c r="DV30" s="78">
        <f>IF(OR(INDEX(Undirviðmið!$G$6:$G$105,ROW()-6)&lt;&gt;"Starfsbundinn",DU30="",$E30="",$D30=""),"",ROUND(DU30/$E30*$D30*KVARDI,2))</f>
        <v/>
      </c>
      <c r="DW30" s="66" t="n"/>
      <c r="DX30" s="78">
        <f>IF(OR(INDEX(Undirviðmið!$G$6:$G$105,ROW()-6)&lt;&gt;"Starfsbundinn",DW30="",$E30="",$D30=""),"",ROUND(DW30/$E30*$D30*KVARDI,2))</f>
        <v/>
      </c>
      <c r="DY30" s="66" t="n"/>
      <c r="DZ30" s="78">
        <f>IF(OR(INDEX(Undirviðmið!$G$6:$G$105,ROW()-6)&lt;&gt;"Starfsbundinn",DY30="",$E30="",$D30=""),"",ROUND(DY30/$E30*$D30*KVARDI,2))</f>
        <v/>
      </c>
      <c r="EA30" s="66" t="n"/>
      <c r="EB30" s="78">
        <f>IF(OR(INDEX(Undirviðmið!$G$6:$G$105,ROW()-6)&lt;&gt;"Starfsbundinn",EA30="",$E30="",$D30=""),"",ROUND(EA30/$E30*$D30*KVARDI,2))</f>
        <v/>
      </c>
      <c r="EC30" s="66" t="n"/>
      <c r="ED30" s="78">
        <f>IF(OR(INDEX(Undirviðmið!$G$6:$G$105,ROW()-6)&lt;&gt;"Starfsbundinn",EC30="",$E30="",$D30=""),"",ROUND(EC30/$E30*$D30*KVARDI,2))</f>
        <v/>
      </c>
      <c r="EE30" s="66" t="n"/>
      <c r="EF30" s="78">
        <f>IF(OR(INDEX(Undirviðmið!$G$6:$G$105,ROW()-6)&lt;&gt;"Starfsbundinn",EE30="",$E30="",$D30=""),"",ROUND(EE30/$E30*$D30*KVARDI,2))</f>
        <v/>
      </c>
      <c r="EG30" s="66" t="n"/>
      <c r="EH30" s="78">
        <f>IF(OR(INDEX(Undirviðmið!$G$6:$G$105,ROW()-6)&lt;&gt;"Starfsbundinn",EG30="",$E30="",$D30=""),"",ROUND(EG30/$E30*$D30*KVARDI,2))</f>
        <v/>
      </c>
      <c r="EI30" s="66" t="n"/>
      <c r="EJ30" s="78">
        <f>IF(OR(INDEX(Undirviðmið!$G$6:$G$105,ROW()-6)&lt;&gt;"Starfsbundinn",EI30="",$E30="",$D30=""),"",ROUND(EI30/$E30*$D30*KVARDI,2))</f>
        <v/>
      </c>
      <c r="EK30" s="66" t="n"/>
      <c r="EL30" s="78">
        <f>IF(OR(INDEX(Undirviðmið!$G$6:$G$105,ROW()-6)&lt;&gt;"Starfsbundinn",EK30="",$E30="",$D30=""),"",ROUND(EK30/$E30*$D30*KVARDI,2))</f>
        <v/>
      </c>
      <c r="EM30" s="66" t="n"/>
      <c r="EN30" s="78">
        <f>IF(OR(INDEX(Undirviðmið!$G$6:$G$105,ROW()-6)&lt;&gt;"Starfsbundinn",EM30="",$E30="",$D30=""),"",ROUND(EM30/$E30*$D30*KVARDI,2))</f>
        <v/>
      </c>
      <c r="EO30" s="66" t="n"/>
      <c r="EP30" s="78">
        <f>IF(OR(INDEX(Undirviðmið!$G$6:$G$105,ROW()-6)&lt;&gt;"Starfsbundinn",EO30="",$E30="",$D30=""),"",ROUND(EO30/$E30*$D30*KVARDI,2))</f>
        <v/>
      </c>
      <c r="EQ30" s="66" t="n"/>
      <c r="ER30" s="78">
        <f>IF(OR(INDEX(Undirviðmið!$G$6:$G$105,ROW()-6)&lt;&gt;"Starfsbundinn",EQ30="",$E30="",$D30=""),"",ROUND(EQ30/$E30*$D30*KVARDI,2))</f>
        <v/>
      </c>
      <c r="ES30" s="66" t="n"/>
      <c r="ET30" s="78">
        <f>IF(OR(INDEX(Undirviðmið!$G$6:$G$105,ROW()-6)&lt;&gt;"Starfsbundinn",ES30="",$E30="",$D30=""),"",ROUND(ES30/$E30*$D30*KVARDI,2))</f>
        <v/>
      </c>
      <c r="EU30" s="66" t="n"/>
      <c r="EV30" s="78">
        <f>IF(OR(INDEX(Undirviðmið!$G$6:$G$105,ROW()-6)&lt;&gt;"Starfsbundinn",EU30="",$E30="",$D30=""),"",ROUND(EU30/$E30*$D30*KVARDI,2))</f>
        <v/>
      </c>
      <c r="EW30" s="66" t="n"/>
      <c r="EX30" s="78">
        <f>IF(OR(INDEX(Undirviðmið!$G$6:$G$105,ROW()-6)&lt;&gt;"Starfsbundinn",EW30="",$E30="",$D30=""),"",ROUND(EW30/$E30*$D30*KVARDI,2))</f>
        <v/>
      </c>
      <c r="EY30" s="66" t="n"/>
      <c r="EZ30" s="78">
        <f>IF(OR(INDEX(Undirviðmið!$G$6:$G$105,ROW()-6)&lt;&gt;"Starfsbundinn",EY30="",$E30="",$D30=""),"",ROUND(EY30/$E30*$D30*KVARDI,2))</f>
        <v/>
      </c>
      <c r="FA30" s="66" t="n"/>
      <c r="FB30" s="78">
        <f>IF(OR(INDEX(Undirviðmið!$G$6:$G$105,ROW()-6)&lt;&gt;"Starfsbundinn",FA30="",$E30="",$D30=""),"",ROUND(FA30/$E30*$D30*KVARDI,2))</f>
        <v/>
      </c>
      <c r="FC30" s="66" t="n"/>
      <c r="FD30" s="78">
        <f>IF(OR(INDEX(Undirviðmið!$G$6:$G$105,ROW()-6)&lt;&gt;"Starfsbundinn",FC30="",$E30="",$D30=""),"",ROUND(FC30/$E30*$D30*KVARDI,2))</f>
        <v/>
      </c>
      <c r="FE30" s="66" t="n"/>
      <c r="FF30" s="78">
        <f>IF(OR(INDEX(Undirviðmið!$G$6:$G$105,ROW()-6)&lt;&gt;"Starfsbundinn",FE30="",$E30="",$D30=""),"",ROUND(FE30/$E30*$D30*KVARDI,2))</f>
        <v/>
      </c>
      <c r="FG30" s="66" t="n"/>
      <c r="FH30" s="78">
        <f>IF(OR(INDEX(Undirviðmið!$G$6:$G$105,ROW()-6)&lt;&gt;"Starfsbundinn",FG30="",$E30="",$D30=""),"",ROUND(FG30/$E30*$D30*KVARDI,2))</f>
        <v/>
      </c>
      <c r="FI30" s="66" t="n"/>
      <c r="FJ30" s="78">
        <f>IF(OR(INDEX(Undirviðmið!$G$6:$G$105,ROW()-6)&lt;&gt;"Starfsbundinn",FI30="",$E30="",$D30=""),"",ROUND(FI30/$E30*$D30*KVARDI,2))</f>
        <v/>
      </c>
      <c r="FK30" s="66" t="n"/>
      <c r="FL30" s="78">
        <f>IF(OR(INDEX(Undirviðmið!$G$6:$G$105,ROW()-6)&lt;&gt;"Starfsbundinn",FK30="",$E30="",$D30=""),"",ROUND(FK30/$E30*$D30*KVARDI,2))</f>
        <v/>
      </c>
      <c r="FM30" s="66" t="n"/>
      <c r="FN30" s="78">
        <f>IF(OR(INDEX(Undirviðmið!$G$6:$G$105,ROW()-6)&lt;&gt;"Starfsbundinn",FM30="",$E30="",$D30=""),"",ROUND(FM30/$E30*$D30*KVARDI,2))</f>
        <v/>
      </c>
      <c r="FO30" s="66" t="n"/>
      <c r="FP30" s="78">
        <f>IF(OR(INDEX(Undirviðmið!$G$6:$G$105,ROW()-6)&lt;&gt;"Starfsbundinn",FO30="",$E30="",$D30=""),"",ROUND(FO30/$E30*$D30*KVARDI,2))</f>
        <v/>
      </c>
      <c r="FQ30" s="66" t="n"/>
      <c r="FR30" s="78">
        <f>IF(OR(INDEX(Undirviðmið!$G$6:$G$105,ROW()-6)&lt;&gt;"Starfsbundinn",FQ30="",$E30="",$D30=""),"",ROUND(FQ30/$E30*$D30*KVARDI,2))</f>
        <v/>
      </c>
      <c r="FS30" s="66" t="n"/>
      <c r="FT30" s="78">
        <f>IF(OR(INDEX(Undirviðmið!$G$6:$G$105,ROW()-6)&lt;&gt;"Starfsbundinn",FS30="",$E30="",$D30=""),"",ROUND(FS30/$E30*$D30*KVARDI,2))</f>
        <v/>
      </c>
      <c r="FU30" s="66" t="n"/>
      <c r="FV30" s="78">
        <f>IF(OR(INDEX(Undirviðmið!$G$6:$G$105,ROW()-6)&lt;&gt;"Starfsbundinn",FU30="",$E30="",$D30=""),"",ROUND(FU30/$E30*$D30*KVARDI,2))</f>
        <v/>
      </c>
      <c r="FW30" s="66" t="n"/>
      <c r="FX30" s="78">
        <f>IF(OR(INDEX(Undirviðmið!$G$6:$G$105,ROW()-6)&lt;&gt;"Starfsbundinn",FW30="",$E30="",$D30=""),"",ROUND(FW30/$E30*$D30*KVARDI,2))</f>
        <v/>
      </c>
      <c r="FY30" s="66" t="n"/>
      <c r="FZ30" s="78">
        <f>IF(OR(INDEX(Undirviðmið!$G$6:$G$105,ROW()-6)&lt;&gt;"Starfsbundinn",FY30="",$E30="",$D30=""),"",ROUND(FY30/$E30*$D30*KVARDI,2))</f>
        <v/>
      </c>
      <c r="GA30" s="66" t="n"/>
      <c r="GB30" s="78">
        <f>IF(OR(INDEX(Undirviðmið!$G$6:$G$105,ROW()-6)&lt;&gt;"Starfsbundinn",GA30="",$E30="",$D30=""),"",ROUND(GA30/$E30*$D30*KVARDI,2))</f>
        <v/>
      </c>
      <c r="GC30" s="66" t="n"/>
      <c r="GD30" s="78">
        <f>IF(OR(INDEX(Undirviðmið!$G$6:$G$105,ROW()-6)&lt;&gt;"Starfsbundinn",GC30="",$E30="",$D30=""),"",ROUND(GC30/$E30*$D30*KVARDI,2))</f>
        <v/>
      </c>
      <c r="GE30" s="66" t="n"/>
      <c r="GF30" s="78">
        <f>IF(OR(INDEX(Undirviðmið!$G$6:$G$105,ROW()-6)&lt;&gt;"Starfsbundinn",GE30="",$E30="",$D30=""),"",ROUND(GE30/$E30*$D30*KVARDI,2))</f>
        <v/>
      </c>
      <c r="GG30" s="66" t="n"/>
      <c r="GH30" s="78">
        <f>IF(OR(INDEX(Undirviðmið!$G$6:$G$105,ROW()-6)&lt;&gt;"Starfsbundinn",GG30="",$E30="",$D30=""),"",ROUND(GG30/$E30*$D30*KVARDI,2))</f>
        <v/>
      </c>
      <c r="GI30" s="66" t="n"/>
      <c r="GJ30" s="78">
        <f>IF(OR(INDEX(Undirviðmið!$G$6:$G$105,ROW()-6)&lt;&gt;"Starfsbundinn",GI30="",$E30="",$D30=""),"",ROUND(GI30/$E30*$D30*KVARDI,2))</f>
        <v/>
      </c>
      <c r="GK30" s="66" t="n"/>
      <c r="GL30" s="78">
        <f>IF(OR(INDEX(Undirviðmið!$G$6:$G$105,ROW()-6)&lt;&gt;"Starfsbundinn",GK30="",$E30="",$D30=""),"",ROUND(GK30/$E30*$D30*KVARDI,2))</f>
        <v/>
      </c>
      <c r="GM30" s="66" t="n"/>
      <c r="GN30" s="78">
        <f>IF(OR(INDEX(Undirviðmið!$G$6:$G$105,ROW()-6)&lt;&gt;"Starfsbundinn",GM30="",$E30="",$D30=""),"",ROUND(GM30/$E30*$D30*KVARDI,2))</f>
        <v/>
      </c>
      <c r="GO30" s="66" t="n"/>
      <c r="GP30" s="78">
        <f>IF(OR(INDEX(Undirviðmið!$G$6:$G$105,ROW()-6)&lt;&gt;"Starfsbundinn",GO30="",$E30="",$D30=""),"",ROUND(GO30/$E30*$D30*KVARDI,2))</f>
        <v/>
      </c>
      <c r="GQ30" s="66" t="n"/>
      <c r="GR30" s="78">
        <f>IF(OR(INDEX(Undirviðmið!$G$6:$G$105,ROW()-6)&lt;&gt;"Starfsbundinn",GQ30="",$E30="",$D30=""),"",ROUND(GQ30/$E30*$D30*KVARDI,2))</f>
        <v/>
      </c>
      <c r="GS30" s="66" t="n"/>
      <c r="GT30" s="78">
        <f>IF(OR(INDEX(Undirviðmið!$G$6:$G$105,ROW()-6)&lt;&gt;"Starfsbundinn",GS30="",$E30="",$D30=""),"",ROUND(GS30/$E30*$D30*KVARDI,2))</f>
        <v/>
      </c>
      <c r="GU30" s="66" t="n"/>
      <c r="GV30" s="78">
        <f>IF(OR(INDEX(Undirviðmið!$G$6:$G$105,ROW()-6)&lt;&gt;"Starfsbundinn",GU30="",$E30="",$D30=""),"",ROUND(GU30/$E30*$D30*KVARDI,2))</f>
        <v/>
      </c>
      <c r="GW30" s="66" t="n"/>
      <c r="GX30" s="78">
        <f>IF(OR(INDEX(Undirviðmið!$G$6:$G$105,ROW()-6)&lt;&gt;"Starfsbundinn",GW30="",$E30="",$D30=""),"",ROUND(GW30/$E30*$D30*KVARDI,2))</f>
        <v/>
      </c>
    </row>
    <row r="31" ht="15" customHeight="1" s="47">
      <c r="B31" s="67">
        <f>IF(INDEX(Undirviðmið!$G$6:$G$105,ROW()-6)="Starfsbundinn",INDEX(Undirviðmið!$B$6:$B$105,ROW()-6),"")</f>
        <v/>
      </c>
      <c r="C31" s="67">
        <f>IF(INDEX(Undirviðmið!$G$6:$G$105,ROW()-6)="Starfsbundinn",INDEX(Undirviðmið!$C$6:$C$105,ROW()-6),"")</f>
        <v/>
      </c>
      <c r="D31" s="77">
        <f>IF(INDEX(Undirviðmið!$G$6:$G$105,ROW()-6)="Starfsbundinn",INDEX(Undirviðmið!$E$6:$E$105,ROW()-6),"")</f>
        <v/>
      </c>
      <c r="E31" s="77">
        <f>IF(INDEX(Undirviðmið!$G$6:$G$105,ROW()-6)="Starfsbundinn",INDEX(Undirviðmið!$F$6:$F$105,ROW()-6),"")</f>
        <v/>
      </c>
      <c r="F31" s="77">
        <f>IF(INDEX(Undirviðmið!$G$6:$G$105,ROW()-6)="Starfsbundinn",IFERROR(INDEX(Undirviðmið!$E$6:$E$105,ROW()-6)*KVARDI,""),"")</f>
        <v/>
      </c>
      <c r="G31" s="66" t="n"/>
      <c r="H31" s="78">
        <f>IF(OR(INDEX(Undirviðmið!$G$6:$G$105,ROW()-6)&lt;&gt;"Starfsbundinn",G31="",$E31="",$D31=""),"",ROUND(G31/$E31*$D31*KVARDI,2))</f>
        <v/>
      </c>
      <c r="I31" s="66" t="n"/>
      <c r="J31" s="78">
        <f>IF(OR(INDEX(Undirviðmið!$G$6:$G$105,ROW()-6)&lt;&gt;"Starfsbundinn",I31="",$E31="",$D31=""),"",ROUND(I31/$E31*$D31*KVARDI,2))</f>
        <v/>
      </c>
      <c r="K31" s="66" t="n"/>
      <c r="L31" s="78">
        <f>IF(OR(INDEX(Undirviðmið!$G$6:$G$105,ROW()-6)&lt;&gt;"Starfsbundinn",K31="",$E31="",$D31=""),"",ROUND(K31/$E31*$D31*KVARDI,2))</f>
        <v/>
      </c>
      <c r="M31" s="66" t="n"/>
      <c r="N31" s="78">
        <f>IF(OR(INDEX(Undirviðmið!$G$6:$G$105,ROW()-6)&lt;&gt;"Starfsbundinn",M31="",$E31="",$D31=""),"",ROUND(M31/$E31*$D31*KVARDI,2))</f>
        <v/>
      </c>
      <c r="O31" s="66" t="n"/>
      <c r="P31" s="78">
        <f>IF(OR(INDEX(Undirviðmið!$G$6:$G$105,ROW()-6)&lt;&gt;"Starfsbundinn",O31="",$E31="",$D31=""),"",ROUND(O31/$E31*$D31*KVARDI,2))</f>
        <v/>
      </c>
      <c r="Q31" s="66" t="n"/>
      <c r="R31" s="78">
        <f>IF(OR(INDEX(Undirviðmið!$G$6:$G$105,ROW()-6)&lt;&gt;"Starfsbundinn",Q31="",$E31="",$D31=""),"",ROUND(Q31/$E31*$D31*KVARDI,2))</f>
        <v/>
      </c>
      <c r="S31" s="66" t="n"/>
      <c r="T31" s="78">
        <f>IF(OR(INDEX(Undirviðmið!$G$6:$G$105,ROW()-6)&lt;&gt;"Starfsbundinn",S31="",$E31="",$D31=""),"",ROUND(S31/$E31*$D31*KVARDI,2))</f>
        <v/>
      </c>
      <c r="U31" s="66" t="n"/>
      <c r="V31" s="78">
        <f>IF(OR(INDEX(Undirviðmið!$G$6:$G$105,ROW()-6)&lt;&gt;"Starfsbundinn",U31="",$E31="",$D31=""),"",ROUND(U31/$E31*$D31*KVARDI,2))</f>
        <v/>
      </c>
      <c r="W31" s="66" t="n"/>
      <c r="X31" s="78">
        <f>IF(OR(INDEX(Undirviðmið!$G$6:$G$105,ROW()-6)&lt;&gt;"Starfsbundinn",W31="",$E31="",$D31=""),"",ROUND(W31/$E31*$D31*KVARDI,2))</f>
        <v/>
      </c>
      <c r="Y31" s="66" t="n"/>
      <c r="Z31" s="78">
        <f>IF(OR(INDEX(Undirviðmið!$G$6:$G$105,ROW()-6)&lt;&gt;"Starfsbundinn",Y31="",$E31="",$D31=""),"",ROUND(Y31/$E31*$D31*KVARDI,2))</f>
        <v/>
      </c>
      <c r="AA31" s="66" t="n"/>
      <c r="AB31" s="78">
        <f>IF(OR(INDEX(Undirviðmið!$G$6:$G$105,ROW()-6)&lt;&gt;"Starfsbundinn",AA31="",$E31="",$D31=""),"",ROUND(AA31/$E31*$D31*KVARDI,2))</f>
        <v/>
      </c>
      <c r="AC31" s="66" t="n"/>
      <c r="AD31" s="78">
        <f>IF(OR(INDEX(Undirviðmið!$G$6:$G$105,ROW()-6)&lt;&gt;"Starfsbundinn",AC31="",$E31="",$D31=""),"",ROUND(AC31/$E31*$D31*KVARDI,2))</f>
        <v/>
      </c>
      <c r="AE31" s="66" t="n"/>
      <c r="AF31" s="78">
        <f>IF(OR(INDEX(Undirviðmið!$G$6:$G$105,ROW()-6)&lt;&gt;"Starfsbundinn",AE31="",$E31="",$D31=""),"",ROUND(AE31/$E31*$D31*KVARDI,2))</f>
        <v/>
      </c>
      <c r="AG31" s="66" t="n"/>
      <c r="AH31" s="78">
        <f>IF(OR(INDEX(Undirviðmið!$G$6:$G$105,ROW()-6)&lt;&gt;"Starfsbundinn",AG31="",$E31="",$D31=""),"",ROUND(AG31/$E31*$D31*KVARDI,2))</f>
        <v/>
      </c>
      <c r="AI31" s="66" t="n"/>
      <c r="AJ31" s="78">
        <f>IF(OR(INDEX(Undirviðmið!$G$6:$G$105,ROW()-6)&lt;&gt;"Starfsbundinn",AI31="",$E31="",$D31=""),"",ROUND(AI31/$E31*$D31*KVARDI,2))</f>
        <v/>
      </c>
      <c r="AK31" s="66" t="n"/>
      <c r="AL31" s="78">
        <f>IF(OR(INDEX(Undirviðmið!$G$6:$G$105,ROW()-6)&lt;&gt;"Starfsbundinn",AK31="",$E31="",$D31=""),"",ROUND(AK31/$E31*$D31*KVARDI,2))</f>
        <v/>
      </c>
      <c r="AM31" s="66" t="n"/>
      <c r="AN31" s="78">
        <f>IF(OR(INDEX(Undirviðmið!$G$6:$G$105,ROW()-6)&lt;&gt;"Starfsbundinn",AM31="",$E31="",$D31=""),"",ROUND(AM31/$E31*$D31*KVARDI,2))</f>
        <v/>
      </c>
      <c r="AO31" s="66" t="n"/>
      <c r="AP31" s="78">
        <f>IF(OR(INDEX(Undirviðmið!$G$6:$G$105,ROW()-6)&lt;&gt;"Starfsbundinn",AO31="",$E31="",$D31=""),"",ROUND(AO31/$E31*$D31*KVARDI,2))</f>
        <v/>
      </c>
      <c r="AQ31" s="66" t="n"/>
      <c r="AR31" s="78">
        <f>IF(OR(INDEX(Undirviðmið!$G$6:$G$105,ROW()-6)&lt;&gt;"Starfsbundinn",AQ31="",$E31="",$D31=""),"",ROUND(AQ31/$E31*$D31*KVARDI,2))</f>
        <v/>
      </c>
      <c r="AS31" s="66" t="n"/>
      <c r="AT31" s="78">
        <f>IF(OR(INDEX(Undirviðmið!$G$6:$G$105,ROW()-6)&lt;&gt;"Starfsbundinn",AS31="",$E31="",$D31=""),"",ROUND(AS31/$E31*$D31*KVARDI,2))</f>
        <v/>
      </c>
      <c r="AU31" s="66" t="n"/>
      <c r="AV31" s="78">
        <f>IF(OR(INDEX(Undirviðmið!$G$6:$G$105,ROW()-6)&lt;&gt;"Starfsbundinn",AU31="",$E31="",$D31=""),"",ROUND(AU31/$E31*$D31*KVARDI,2))</f>
        <v/>
      </c>
      <c r="AW31" s="66" t="n"/>
      <c r="AX31" s="78">
        <f>IF(OR(INDEX(Undirviðmið!$G$6:$G$105,ROW()-6)&lt;&gt;"Starfsbundinn",AW31="",$E31="",$D31=""),"",ROUND(AW31/$E31*$D31*KVARDI,2))</f>
        <v/>
      </c>
      <c r="AY31" s="66" t="n"/>
      <c r="AZ31" s="78">
        <f>IF(OR(INDEX(Undirviðmið!$G$6:$G$105,ROW()-6)&lt;&gt;"Starfsbundinn",AY31="",$E31="",$D31=""),"",ROUND(AY31/$E31*$D31*KVARDI,2))</f>
        <v/>
      </c>
      <c r="BA31" s="66" t="n"/>
      <c r="BB31" s="78">
        <f>IF(OR(INDEX(Undirviðmið!$G$6:$G$105,ROW()-6)&lt;&gt;"Starfsbundinn",BA31="",$E31="",$D31=""),"",ROUND(BA31/$E31*$D31*KVARDI,2))</f>
        <v/>
      </c>
      <c r="BC31" s="66" t="n"/>
      <c r="BD31" s="78">
        <f>IF(OR(INDEX(Undirviðmið!$G$6:$G$105,ROW()-6)&lt;&gt;"Starfsbundinn",BC31="",$E31="",$D31=""),"",ROUND(BC31/$E31*$D31*KVARDI,2))</f>
        <v/>
      </c>
      <c r="BE31" s="66" t="n"/>
      <c r="BF31" s="78">
        <f>IF(OR(INDEX(Undirviðmið!$G$6:$G$105,ROW()-6)&lt;&gt;"Starfsbundinn",BE31="",$E31="",$D31=""),"",ROUND(BE31/$E31*$D31*KVARDI,2))</f>
        <v/>
      </c>
      <c r="BG31" s="66" t="n"/>
      <c r="BH31" s="78">
        <f>IF(OR(INDEX(Undirviðmið!$G$6:$G$105,ROW()-6)&lt;&gt;"Starfsbundinn",BG31="",$E31="",$D31=""),"",ROUND(BG31/$E31*$D31*KVARDI,2))</f>
        <v/>
      </c>
      <c r="BI31" s="66" t="n"/>
      <c r="BJ31" s="78">
        <f>IF(OR(INDEX(Undirviðmið!$G$6:$G$105,ROW()-6)&lt;&gt;"Starfsbundinn",BI31="",$E31="",$D31=""),"",ROUND(BI31/$E31*$D31*KVARDI,2))</f>
        <v/>
      </c>
      <c r="BK31" s="66" t="n"/>
      <c r="BL31" s="78">
        <f>IF(OR(INDEX(Undirviðmið!$G$6:$G$105,ROW()-6)&lt;&gt;"Starfsbundinn",BK31="",$E31="",$D31=""),"",ROUND(BK31/$E31*$D31*KVARDI,2))</f>
        <v/>
      </c>
      <c r="BM31" s="66" t="n"/>
      <c r="BN31" s="78">
        <f>IF(OR(INDEX(Undirviðmið!$G$6:$G$105,ROW()-6)&lt;&gt;"Starfsbundinn",BM31="",$E31="",$D31=""),"",ROUND(BM31/$E31*$D31*KVARDI,2))</f>
        <v/>
      </c>
      <c r="BO31" s="66" t="n"/>
      <c r="BP31" s="78">
        <f>IF(OR(INDEX(Undirviðmið!$G$6:$G$105,ROW()-6)&lt;&gt;"Starfsbundinn",BO31="",$E31="",$D31=""),"",ROUND(BO31/$E31*$D31*KVARDI,2))</f>
        <v/>
      </c>
      <c r="BQ31" s="66" t="n"/>
      <c r="BR31" s="78">
        <f>IF(OR(INDEX(Undirviðmið!$G$6:$G$105,ROW()-6)&lt;&gt;"Starfsbundinn",BQ31="",$E31="",$D31=""),"",ROUND(BQ31/$E31*$D31*KVARDI,2))</f>
        <v/>
      </c>
      <c r="BS31" s="66" t="n"/>
      <c r="BT31" s="78">
        <f>IF(OR(INDEX(Undirviðmið!$G$6:$G$105,ROW()-6)&lt;&gt;"Starfsbundinn",BS31="",$E31="",$D31=""),"",ROUND(BS31/$E31*$D31*KVARDI,2))</f>
        <v/>
      </c>
      <c r="BU31" s="66" t="n"/>
      <c r="BV31" s="78">
        <f>IF(OR(INDEX(Undirviðmið!$G$6:$G$105,ROW()-6)&lt;&gt;"Starfsbundinn",BU31="",$E31="",$D31=""),"",ROUND(BU31/$E31*$D31*KVARDI,2))</f>
        <v/>
      </c>
      <c r="BW31" s="66" t="n"/>
      <c r="BX31" s="78">
        <f>IF(OR(INDEX(Undirviðmið!$G$6:$G$105,ROW()-6)&lt;&gt;"Starfsbundinn",BW31="",$E31="",$D31=""),"",ROUND(BW31/$E31*$D31*KVARDI,2))</f>
        <v/>
      </c>
      <c r="BY31" s="66" t="n"/>
      <c r="BZ31" s="78">
        <f>IF(OR(INDEX(Undirviðmið!$G$6:$G$105,ROW()-6)&lt;&gt;"Starfsbundinn",BY31="",$E31="",$D31=""),"",ROUND(BY31/$E31*$D31*KVARDI,2))</f>
        <v/>
      </c>
      <c r="CA31" s="66" t="n"/>
      <c r="CB31" s="78">
        <f>IF(OR(INDEX(Undirviðmið!$G$6:$G$105,ROW()-6)&lt;&gt;"Starfsbundinn",CA31="",$E31="",$D31=""),"",ROUND(CA31/$E31*$D31*KVARDI,2))</f>
        <v/>
      </c>
      <c r="CC31" s="66" t="n"/>
      <c r="CD31" s="78">
        <f>IF(OR(INDEX(Undirviðmið!$G$6:$G$105,ROW()-6)&lt;&gt;"Starfsbundinn",CC31="",$E31="",$D31=""),"",ROUND(CC31/$E31*$D31*KVARDI,2))</f>
        <v/>
      </c>
      <c r="CE31" s="66" t="n"/>
      <c r="CF31" s="78">
        <f>IF(OR(INDEX(Undirviðmið!$G$6:$G$105,ROW()-6)&lt;&gt;"Starfsbundinn",CE31="",$E31="",$D31=""),"",ROUND(CE31/$E31*$D31*KVARDI,2))</f>
        <v/>
      </c>
      <c r="CG31" s="66" t="n"/>
      <c r="CH31" s="78">
        <f>IF(OR(INDEX(Undirviðmið!$G$6:$G$105,ROW()-6)&lt;&gt;"Starfsbundinn",CG31="",$E31="",$D31=""),"",ROUND(CG31/$E31*$D31*KVARDI,2))</f>
        <v/>
      </c>
      <c r="CI31" s="66" t="n"/>
      <c r="CJ31" s="78">
        <f>IF(OR(INDEX(Undirviðmið!$G$6:$G$105,ROW()-6)&lt;&gt;"Starfsbundinn",CI31="",$E31="",$D31=""),"",ROUND(CI31/$E31*$D31*KVARDI,2))</f>
        <v/>
      </c>
      <c r="CK31" s="66" t="n"/>
      <c r="CL31" s="78">
        <f>IF(OR(INDEX(Undirviðmið!$G$6:$G$105,ROW()-6)&lt;&gt;"Starfsbundinn",CK31="",$E31="",$D31=""),"",ROUND(CK31/$E31*$D31*KVARDI,2))</f>
        <v/>
      </c>
      <c r="CM31" s="66" t="n"/>
      <c r="CN31" s="78">
        <f>IF(OR(INDEX(Undirviðmið!$G$6:$G$105,ROW()-6)&lt;&gt;"Starfsbundinn",CM31="",$E31="",$D31=""),"",ROUND(CM31/$E31*$D31*KVARDI,2))</f>
        <v/>
      </c>
      <c r="CO31" s="66" t="n"/>
      <c r="CP31" s="78">
        <f>IF(OR(INDEX(Undirviðmið!$G$6:$G$105,ROW()-6)&lt;&gt;"Starfsbundinn",CO31="",$E31="",$D31=""),"",ROUND(CO31/$E31*$D31*KVARDI,2))</f>
        <v/>
      </c>
      <c r="CQ31" s="66" t="n"/>
      <c r="CR31" s="78">
        <f>IF(OR(INDEX(Undirviðmið!$G$6:$G$105,ROW()-6)&lt;&gt;"Starfsbundinn",CQ31="",$E31="",$D31=""),"",ROUND(CQ31/$E31*$D31*KVARDI,2))</f>
        <v/>
      </c>
      <c r="CS31" s="66" t="n"/>
      <c r="CT31" s="78">
        <f>IF(OR(INDEX(Undirviðmið!$G$6:$G$105,ROW()-6)&lt;&gt;"Starfsbundinn",CS31="",$E31="",$D31=""),"",ROUND(CS31/$E31*$D31*KVARDI,2))</f>
        <v/>
      </c>
      <c r="CU31" s="66" t="n"/>
      <c r="CV31" s="78">
        <f>IF(OR(INDEX(Undirviðmið!$G$6:$G$105,ROW()-6)&lt;&gt;"Starfsbundinn",CU31="",$E31="",$D31=""),"",ROUND(CU31/$E31*$D31*KVARDI,2))</f>
        <v/>
      </c>
      <c r="CW31" s="66" t="n"/>
      <c r="CX31" s="78">
        <f>IF(OR(INDEX(Undirviðmið!$G$6:$G$105,ROW()-6)&lt;&gt;"Starfsbundinn",CW31="",$E31="",$D31=""),"",ROUND(CW31/$E31*$D31*KVARDI,2))</f>
        <v/>
      </c>
      <c r="CY31" s="66" t="n"/>
      <c r="CZ31" s="78">
        <f>IF(OR(INDEX(Undirviðmið!$G$6:$G$105,ROW()-6)&lt;&gt;"Starfsbundinn",CY31="",$E31="",$D31=""),"",ROUND(CY31/$E31*$D31*KVARDI,2))</f>
        <v/>
      </c>
      <c r="DA31" s="66" t="n"/>
      <c r="DB31" s="78">
        <f>IF(OR(INDEX(Undirviðmið!$G$6:$G$105,ROW()-6)&lt;&gt;"Starfsbundinn",DA31="",$E31="",$D31=""),"",ROUND(DA31/$E31*$D31*KVARDI,2))</f>
        <v/>
      </c>
      <c r="DC31" s="66" t="n"/>
      <c r="DD31" s="78">
        <f>IF(OR(INDEX(Undirviðmið!$G$6:$G$105,ROW()-6)&lt;&gt;"Starfsbundinn",DC31="",$E31="",$D31=""),"",ROUND(DC31/$E31*$D31*KVARDI,2))</f>
        <v/>
      </c>
      <c r="DE31" s="66" t="n"/>
      <c r="DF31" s="78">
        <f>IF(OR(INDEX(Undirviðmið!$G$6:$G$105,ROW()-6)&lt;&gt;"Starfsbundinn",DE31="",$E31="",$D31=""),"",ROUND(DE31/$E31*$D31*KVARDI,2))</f>
        <v/>
      </c>
      <c r="DG31" s="66" t="n"/>
      <c r="DH31" s="78">
        <f>IF(OR(INDEX(Undirviðmið!$G$6:$G$105,ROW()-6)&lt;&gt;"Starfsbundinn",DG31="",$E31="",$D31=""),"",ROUND(DG31/$E31*$D31*KVARDI,2))</f>
        <v/>
      </c>
      <c r="DI31" s="66" t="n"/>
      <c r="DJ31" s="78">
        <f>IF(OR(INDEX(Undirviðmið!$G$6:$G$105,ROW()-6)&lt;&gt;"Starfsbundinn",DI31="",$E31="",$D31=""),"",ROUND(DI31/$E31*$D31*KVARDI,2))</f>
        <v/>
      </c>
      <c r="DK31" s="66" t="n"/>
      <c r="DL31" s="78">
        <f>IF(OR(INDEX(Undirviðmið!$G$6:$G$105,ROW()-6)&lt;&gt;"Starfsbundinn",DK31="",$E31="",$D31=""),"",ROUND(DK31/$E31*$D31*KVARDI,2))</f>
        <v/>
      </c>
      <c r="DM31" s="66" t="n"/>
      <c r="DN31" s="78">
        <f>IF(OR(INDEX(Undirviðmið!$G$6:$G$105,ROW()-6)&lt;&gt;"Starfsbundinn",DM31="",$E31="",$D31=""),"",ROUND(DM31/$E31*$D31*KVARDI,2))</f>
        <v/>
      </c>
      <c r="DO31" s="66" t="n"/>
      <c r="DP31" s="78">
        <f>IF(OR(INDEX(Undirviðmið!$G$6:$G$105,ROW()-6)&lt;&gt;"Starfsbundinn",DO31="",$E31="",$D31=""),"",ROUND(DO31/$E31*$D31*KVARDI,2))</f>
        <v/>
      </c>
      <c r="DQ31" s="66" t="n"/>
      <c r="DR31" s="78">
        <f>IF(OR(INDEX(Undirviðmið!$G$6:$G$105,ROW()-6)&lt;&gt;"Starfsbundinn",DQ31="",$E31="",$D31=""),"",ROUND(DQ31/$E31*$D31*KVARDI,2))</f>
        <v/>
      </c>
      <c r="DS31" s="66" t="n"/>
      <c r="DT31" s="78">
        <f>IF(OR(INDEX(Undirviðmið!$G$6:$G$105,ROW()-6)&lt;&gt;"Starfsbundinn",DS31="",$E31="",$D31=""),"",ROUND(DS31/$E31*$D31*KVARDI,2))</f>
        <v/>
      </c>
      <c r="DU31" s="66" t="n"/>
      <c r="DV31" s="78">
        <f>IF(OR(INDEX(Undirviðmið!$G$6:$G$105,ROW()-6)&lt;&gt;"Starfsbundinn",DU31="",$E31="",$D31=""),"",ROUND(DU31/$E31*$D31*KVARDI,2))</f>
        <v/>
      </c>
      <c r="DW31" s="66" t="n"/>
      <c r="DX31" s="78">
        <f>IF(OR(INDEX(Undirviðmið!$G$6:$G$105,ROW()-6)&lt;&gt;"Starfsbundinn",DW31="",$E31="",$D31=""),"",ROUND(DW31/$E31*$D31*KVARDI,2))</f>
        <v/>
      </c>
      <c r="DY31" s="66" t="n"/>
      <c r="DZ31" s="78">
        <f>IF(OR(INDEX(Undirviðmið!$G$6:$G$105,ROW()-6)&lt;&gt;"Starfsbundinn",DY31="",$E31="",$D31=""),"",ROUND(DY31/$E31*$D31*KVARDI,2))</f>
        <v/>
      </c>
      <c r="EA31" s="66" t="n"/>
      <c r="EB31" s="78">
        <f>IF(OR(INDEX(Undirviðmið!$G$6:$G$105,ROW()-6)&lt;&gt;"Starfsbundinn",EA31="",$E31="",$D31=""),"",ROUND(EA31/$E31*$D31*KVARDI,2))</f>
        <v/>
      </c>
      <c r="EC31" s="66" t="n"/>
      <c r="ED31" s="78">
        <f>IF(OR(INDEX(Undirviðmið!$G$6:$G$105,ROW()-6)&lt;&gt;"Starfsbundinn",EC31="",$E31="",$D31=""),"",ROUND(EC31/$E31*$D31*KVARDI,2))</f>
        <v/>
      </c>
      <c r="EE31" s="66" t="n"/>
      <c r="EF31" s="78">
        <f>IF(OR(INDEX(Undirviðmið!$G$6:$G$105,ROW()-6)&lt;&gt;"Starfsbundinn",EE31="",$E31="",$D31=""),"",ROUND(EE31/$E31*$D31*KVARDI,2))</f>
        <v/>
      </c>
      <c r="EG31" s="66" t="n"/>
      <c r="EH31" s="78">
        <f>IF(OR(INDEX(Undirviðmið!$G$6:$G$105,ROW()-6)&lt;&gt;"Starfsbundinn",EG31="",$E31="",$D31=""),"",ROUND(EG31/$E31*$D31*KVARDI,2))</f>
        <v/>
      </c>
      <c r="EI31" s="66" t="n"/>
      <c r="EJ31" s="78">
        <f>IF(OR(INDEX(Undirviðmið!$G$6:$G$105,ROW()-6)&lt;&gt;"Starfsbundinn",EI31="",$E31="",$D31=""),"",ROUND(EI31/$E31*$D31*KVARDI,2))</f>
        <v/>
      </c>
      <c r="EK31" s="66" t="n"/>
      <c r="EL31" s="78">
        <f>IF(OR(INDEX(Undirviðmið!$G$6:$G$105,ROW()-6)&lt;&gt;"Starfsbundinn",EK31="",$E31="",$D31=""),"",ROUND(EK31/$E31*$D31*KVARDI,2))</f>
        <v/>
      </c>
      <c r="EM31" s="66" t="n"/>
      <c r="EN31" s="78">
        <f>IF(OR(INDEX(Undirviðmið!$G$6:$G$105,ROW()-6)&lt;&gt;"Starfsbundinn",EM31="",$E31="",$D31=""),"",ROUND(EM31/$E31*$D31*KVARDI,2))</f>
        <v/>
      </c>
      <c r="EO31" s="66" t="n"/>
      <c r="EP31" s="78">
        <f>IF(OR(INDEX(Undirviðmið!$G$6:$G$105,ROW()-6)&lt;&gt;"Starfsbundinn",EO31="",$E31="",$D31=""),"",ROUND(EO31/$E31*$D31*KVARDI,2))</f>
        <v/>
      </c>
      <c r="EQ31" s="66" t="n"/>
      <c r="ER31" s="78">
        <f>IF(OR(INDEX(Undirviðmið!$G$6:$G$105,ROW()-6)&lt;&gt;"Starfsbundinn",EQ31="",$E31="",$D31=""),"",ROUND(EQ31/$E31*$D31*KVARDI,2))</f>
        <v/>
      </c>
      <c r="ES31" s="66" t="n"/>
      <c r="ET31" s="78">
        <f>IF(OR(INDEX(Undirviðmið!$G$6:$G$105,ROW()-6)&lt;&gt;"Starfsbundinn",ES31="",$E31="",$D31=""),"",ROUND(ES31/$E31*$D31*KVARDI,2))</f>
        <v/>
      </c>
      <c r="EU31" s="66" t="n"/>
      <c r="EV31" s="78">
        <f>IF(OR(INDEX(Undirviðmið!$G$6:$G$105,ROW()-6)&lt;&gt;"Starfsbundinn",EU31="",$E31="",$D31=""),"",ROUND(EU31/$E31*$D31*KVARDI,2))</f>
        <v/>
      </c>
      <c r="EW31" s="66" t="n"/>
      <c r="EX31" s="78">
        <f>IF(OR(INDEX(Undirviðmið!$G$6:$G$105,ROW()-6)&lt;&gt;"Starfsbundinn",EW31="",$E31="",$D31=""),"",ROUND(EW31/$E31*$D31*KVARDI,2))</f>
        <v/>
      </c>
      <c r="EY31" s="66" t="n"/>
      <c r="EZ31" s="78">
        <f>IF(OR(INDEX(Undirviðmið!$G$6:$G$105,ROW()-6)&lt;&gt;"Starfsbundinn",EY31="",$E31="",$D31=""),"",ROUND(EY31/$E31*$D31*KVARDI,2))</f>
        <v/>
      </c>
      <c r="FA31" s="66" t="n"/>
      <c r="FB31" s="78">
        <f>IF(OR(INDEX(Undirviðmið!$G$6:$G$105,ROW()-6)&lt;&gt;"Starfsbundinn",FA31="",$E31="",$D31=""),"",ROUND(FA31/$E31*$D31*KVARDI,2))</f>
        <v/>
      </c>
      <c r="FC31" s="66" t="n"/>
      <c r="FD31" s="78">
        <f>IF(OR(INDEX(Undirviðmið!$G$6:$G$105,ROW()-6)&lt;&gt;"Starfsbundinn",FC31="",$E31="",$D31=""),"",ROUND(FC31/$E31*$D31*KVARDI,2))</f>
        <v/>
      </c>
      <c r="FE31" s="66" t="n"/>
      <c r="FF31" s="78">
        <f>IF(OR(INDEX(Undirviðmið!$G$6:$G$105,ROW()-6)&lt;&gt;"Starfsbundinn",FE31="",$E31="",$D31=""),"",ROUND(FE31/$E31*$D31*KVARDI,2))</f>
        <v/>
      </c>
      <c r="FG31" s="66" t="n"/>
      <c r="FH31" s="78">
        <f>IF(OR(INDEX(Undirviðmið!$G$6:$G$105,ROW()-6)&lt;&gt;"Starfsbundinn",FG31="",$E31="",$D31=""),"",ROUND(FG31/$E31*$D31*KVARDI,2))</f>
        <v/>
      </c>
      <c r="FI31" s="66" t="n"/>
      <c r="FJ31" s="78">
        <f>IF(OR(INDEX(Undirviðmið!$G$6:$G$105,ROW()-6)&lt;&gt;"Starfsbundinn",FI31="",$E31="",$D31=""),"",ROUND(FI31/$E31*$D31*KVARDI,2))</f>
        <v/>
      </c>
      <c r="FK31" s="66" t="n"/>
      <c r="FL31" s="78">
        <f>IF(OR(INDEX(Undirviðmið!$G$6:$G$105,ROW()-6)&lt;&gt;"Starfsbundinn",FK31="",$E31="",$D31=""),"",ROUND(FK31/$E31*$D31*KVARDI,2))</f>
        <v/>
      </c>
      <c r="FM31" s="66" t="n"/>
      <c r="FN31" s="78">
        <f>IF(OR(INDEX(Undirviðmið!$G$6:$G$105,ROW()-6)&lt;&gt;"Starfsbundinn",FM31="",$E31="",$D31=""),"",ROUND(FM31/$E31*$D31*KVARDI,2))</f>
        <v/>
      </c>
      <c r="FO31" s="66" t="n"/>
      <c r="FP31" s="78">
        <f>IF(OR(INDEX(Undirviðmið!$G$6:$G$105,ROW()-6)&lt;&gt;"Starfsbundinn",FO31="",$E31="",$D31=""),"",ROUND(FO31/$E31*$D31*KVARDI,2))</f>
        <v/>
      </c>
      <c r="FQ31" s="66" t="n"/>
      <c r="FR31" s="78">
        <f>IF(OR(INDEX(Undirviðmið!$G$6:$G$105,ROW()-6)&lt;&gt;"Starfsbundinn",FQ31="",$E31="",$D31=""),"",ROUND(FQ31/$E31*$D31*KVARDI,2))</f>
        <v/>
      </c>
      <c r="FS31" s="66" t="n"/>
      <c r="FT31" s="78">
        <f>IF(OR(INDEX(Undirviðmið!$G$6:$G$105,ROW()-6)&lt;&gt;"Starfsbundinn",FS31="",$E31="",$D31=""),"",ROUND(FS31/$E31*$D31*KVARDI,2))</f>
        <v/>
      </c>
      <c r="FU31" s="66" t="n"/>
      <c r="FV31" s="78">
        <f>IF(OR(INDEX(Undirviðmið!$G$6:$G$105,ROW()-6)&lt;&gt;"Starfsbundinn",FU31="",$E31="",$D31=""),"",ROUND(FU31/$E31*$D31*KVARDI,2))</f>
        <v/>
      </c>
      <c r="FW31" s="66" t="n"/>
      <c r="FX31" s="78">
        <f>IF(OR(INDEX(Undirviðmið!$G$6:$G$105,ROW()-6)&lt;&gt;"Starfsbundinn",FW31="",$E31="",$D31=""),"",ROUND(FW31/$E31*$D31*KVARDI,2))</f>
        <v/>
      </c>
      <c r="FY31" s="66" t="n"/>
      <c r="FZ31" s="78">
        <f>IF(OR(INDEX(Undirviðmið!$G$6:$G$105,ROW()-6)&lt;&gt;"Starfsbundinn",FY31="",$E31="",$D31=""),"",ROUND(FY31/$E31*$D31*KVARDI,2))</f>
        <v/>
      </c>
      <c r="GA31" s="66" t="n"/>
      <c r="GB31" s="78">
        <f>IF(OR(INDEX(Undirviðmið!$G$6:$G$105,ROW()-6)&lt;&gt;"Starfsbundinn",GA31="",$E31="",$D31=""),"",ROUND(GA31/$E31*$D31*KVARDI,2))</f>
        <v/>
      </c>
      <c r="GC31" s="66" t="n"/>
      <c r="GD31" s="78">
        <f>IF(OR(INDEX(Undirviðmið!$G$6:$G$105,ROW()-6)&lt;&gt;"Starfsbundinn",GC31="",$E31="",$D31=""),"",ROUND(GC31/$E31*$D31*KVARDI,2))</f>
        <v/>
      </c>
      <c r="GE31" s="66" t="n"/>
      <c r="GF31" s="78">
        <f>IF(OR(INDEX(Undirviðmið!$G$6:$G$105,ROW()-6)&lt;&gt;"Starfsbundinn",GE31="",$E31="",$D31=""),"",ROUND(GE31/$E31*$D31*KVARDI,2))</f>
        <v/>
      </c>
      <c r="GG31" s="66" t="n"/>
      <c r="GH31" s="78">
        <f>IF(OR(INDEX(Undirviðmið!$G$6:$G$105,ROW()-6)&lt;&gt;"Starfsbundinn",GG31="",$E31="",$D31=""),"",ROUND(GG31/$E31*$D31*KVARDI,2))</f>
        <v/>
      </c>
      <c r="GI31" s="66" t="n"/>
      <c r="GJ31" s="78">
        <f>IF(OR(INDEX(Undirviðmið!$G$6:$G$105,ROW()-6)&lt;&gt;"Starfsbundinn",GI31="",$E31="",$D31=""),"",ROUND(GI31/$E31*$D31*KVARDI,2))</f>
        <v/>
      </c>
      <c r="GK31" s="66" t="n"/>
      <c r="GL31" s="78">
        <f>IF(OR(INDEX(Undirviðmið!$G$6:$G$105,ROW()-6)&lt;&gt;"Starfsbundinn",GK31="",$E31="",$D31=""),"",ROUND(GK31/$E31*$D31*KVARDI,2))</f>
        <v/>
      </c>
      <c r="GM31" s="66" t="n"/>
      <c r="GN31" s="78">
        <f>IF(OR(INDEX(Undirviðmið!$G$6:$G$105,ROW()-6)&lt;&gt;"Starfsbundinn",GM31="",$E31="",$D31=""),"",ROUND(GM31/$E31*$D31*KVARDI,2))</f>
        <v/>
      </c>
      <c r="GO31" s="66" t="n"/>
      <c r="GP31" s="78">
        <f>IF(OR(INDEX(Undirviðmið!$G$6:$G$105,ROW()-6)&lt;&gt;"Starfsbundinn",GO31="",$E31="",$D31=""),"",ROUND(GO31/$E31*$D31*KVARDI,2))</f>
        <v/>
      </c>
      <c r="GQ31" s="66" t="n"/>
      <c r="GR31" s="78">
        <f>IF(OR(INDEX(Undirviðmið!$G$6:$G$105,ROW()-6)&lt;&gt;"Starfsbundinn",GQ31="",$E31="",$D31=""),"",ROUND(GQ31/$E31*$D31*KVARDI,2))</f>
        <v/>
      </c>
      <c r="GS31" s="66" t="n"/>
      <c r="GT31" s="78">
        <f>IF(OR(INDEX(Undirviðmið!$G$6:$G$105,ROW()-6)&lt;&gt;"Starfsbundinn",GS31="",$E31="",$D31=""),"",ROUND(GS31/$E31*$D31*KVARDI,2))</f>
        <v/>
      </c>
      <c r="GU31" s="66" t="n"/>
      <c r="GV31" s="78">
        <f>IF(OR(INDEX(Undirviðmið!$G$6:$G$105,ROW()-6)&lt;&gt;"Starfsbundinn",GU31="",$E31="",$D31=""),"",ROUND(GU31/$E31*$D31*KVARDI,2))</f>
        <v/>
      </c>
      <c r="GW31" s="66" t="n"/>
      <c r="GX31" s="78">
        <f>IF(OR(INDEX(Undirviðmið!$G$6:$G$105,ROW()-6)&lt;&gt;"Starfsbundinn",GW31="",$E31="",$D31=""),"",ROUND(GW31/$E31*$D31*KVARDI,2))</f>
        <v/>
      </c>
    </row>
    <row r="32" ht="15" customHeight="1" s="47">
      <c r="B32" s="67">
        <f>IF(INDEX(Undirviðmið!$G$6:$G$105,ROW()-6)="Starfsbundinn",INDEX(Undirviðmið!$B$6:$B$105,ROW()-6),"")</f>
        <v/>
      </c>
      <c r="C32" s="67">
        <f>IF(INDEX(Undirviðmið!$G$6:$G$105,ROW()-6)="Starfsbundinn",INDEX(Undirviðmið!$C$6:$C$105,ROW()-6),"")</f>
        <v/>
      </c>
      <c r="D32" s="77">
        <f>IF(INDEX(Undirviðmið!$G$6:$G$105,ROW()-6)="Starfsbundinn",INDEX(Undirviðmið!$E$6:$E$105,ROW()-6),"")</f>
        <v/>
      </c>
      <c r="E32" s="77">
        <f>IF(INDEX(Undirviðmið!$G$6:$G$105,ROW()-6)="Starfsbundinn",INDEX(Undirviðmið!$F$6:$F$105,ROW()-6),"")</f>
        <v/>
      </c>
      <c r="F32" s="77">
        <f>IF(INDEX(Undirviðmið!$G$6:$G$105,ROW()-6)="Starfsbundinn",IFERROR(INDEX(Undirviðmið!$E$6:$E$105,ROW()-6)*KVARDI,""),"")</f>
        <v/>
      </c>
      <c r="G32" s="66" t="n"/>
      <c r="H32" s="78">
        <f>IF(OR(INDEX(Undirviðmið!$G$6:$G$105,ROW()-6)&lt;&gt;"Starfsbundinn",G32="",$E32="",$D32=""),"",ROUND(G32/$E32*$D32*KVARDI,2))</f>
        <v/>
      </c>
      <c r="I32" s="66" t="n"/>
      <c r="J32" s="78">
        <f>IF(OR(INDEX(Undirviðmið!$G$6:$G$105,ROW()-6)&lt;&gt;"Starfsbundinn",I32="",$E32="",$D32=""),"",ROUND(I32/$E32*$D32*KVARDI,2))</f>
        <v/>
      </c>
      <c r="K32" s="66" t="n"/>
      <c r="L32" s="78">
        <f>IF(OR(INDEX(Undirviðmið!$G$6:$G$105,ROW()-6)&lt;&gt;"Starfsbundinn",K32="",$E32="",$D32=""),"",ROUND(K32/$E32*$D32*KVARDI,2))</f>
        <v/>
      </c>
      <c r="M32" s="66" t="n"/>
      <c r="N32" s="78">
        <f>IF(OR(INDEX(Undirviðmið!$G$6:$G$105,ROW()-6)&lt;&gt;"Starfsbundinn",M32="",$E32="",$D32=""),"",ROUND(M32/$E32*$D32*KVARDI,2))</f>
        <v/>
      </c>
      <c r="O32" s="66" t="n"/>
      <c r="P32" s="78">
        <f>IF(OR(INDEX(Undirviðmið!$G$6:$G$105,ROW()-6)&lt;&gt;"Starfsbundinn",O32="",$E32="",$D32=""),"",ROUND(O32/$E32*$D32*KVARDI,2))</f>
        <v/>
      </c>
      <c r="Q32" s="66" t="n"/>
      <c r="R32" s="78">
        <f>IF(OR(INDEX(Undirviðmið!$G$6:$G$105,ROW()-6)&lt;&gt;"Starfsbundinn",Q32="",$E32="",$D32=""),"",ROUND(Q32/$E32*$D32*KVARDI,2))</f>
        <v/>
      </c>
      <c r="S32" s="66" t="n"/>
      <c r="T32" s="78">
        <f>IF(OR(INDEX(Undirviðmið!$G$6:$G$105,ROW()-6)&lt;&gt;"Starfsbundinn",S32="",$E32="",$D32=""),"",ROUND(S32/$E32*$D32*KVARDI,2))</f>
        <v/>
      </c>
      <c r="U32" s="66" t="n"/>
      <c r="V32" s="78">
        <f>IF(OR(INDEX(Undirviðmið!$G$6:$G$105,ROW()-6)&lt;&gt;"Starfsbundinn",U32="",$E32="",$D32=""),"",ROUND(U32/$E32*$D32*KVARDI,2))</f>
        <v/>
      </c>
      <c r="W32" s="66" t="n"/>
      <c r="X32" s="78">
        <f>IF(OR(INDEX(Undirviðmið!$G$6:$G$105,ROW()-6)&lt;&gt;"Starfsbundinn",W32="",$E32="",$D32=""),"",ROUND(W32/$E32*$D32*KVARDI,2))</f>
        <v/>
      </c>
      <c r="Y32" s="66" t="n"/>
      <c r="Z32" s="78">
        <f>IF(OR(INDEX(Undirviðmið!$G$6:$G$105,ROW()-6)&lt;&gt;"Starfsbundinn",Y32="",$E32="",$D32=""),"",ROUND(Y32/$E32*$D32*KVARDI,2))</f>
        <v/>
      </c>
      <c r="AA32" s="66" t="n"/>
      <c r="AB32" s="78">
        <f>IF(OR(INDEX(Undirviðmið!$G$6:$G$105,ROW()-6)&lt;&gt;"Starfsbundinn",AA32="",$E32="",$D32=""),"",ROUND(AA32/$E32*$D32*KVARDI,2))</f>
        <v/>
      </c>
      <c r="AC32" s="66" t="n"/>
      <c r="AD32" s="78">
        <f>IF(OR(INDEX(Undirviðmið!$G$6:$G$105,ROW()-6)&lt;&gt;"Starfsbundinn",AC32="",$E32="",$D32=""),"",ROUND(AC32/$E32*$D32*KVARDI,2))</f>
        <v/>
      </c>
      <c r="AE32" s="66" t="n"/>
      <c r="AF32" s="78">
        <f>IF(OR(INDEX(Undirviðmið!$G$6:$G$105,ROW()-6)&lt;&gt;"Starfsbundinn",AE32="",$E32="",$D32=""),"",ROUND(AE32/$E32*$D32*KVARDI,2))</f>
        <v/>
      </c>
      <c r="AG32" s="66" t="n"/>
      <c r="AH32" s="78">
        <f>IF(OR(INDEX(Undirviðmið!$G$6:$G$105,ROW()-6)&lt;&gt;"Starfsbundinn",AG32="",$E32="",$D32=""),"",ROUND(AG32/$E32*$D32*KVARDI,2))</f>
        <v/>
      </c>
      <c r="AI32" s="66" t="n"/>
      <c r="AJ32" s="78">
        <f>IF(OR(INDEX(Undirviðmið!$G$6:$G$105,ROW()-6)&lt;&gt;"Starfsbundinn",AI32="",$E32="",$D32=""),"",ROUND(AI32/$E32*$D32*KVARDI,2))</f>
        <v/>
      </c>
      <c r="AK32" s="66" t="n"/>
      <c r="AL32" s="78">
        <f>IF(OR(INDEX(Undirviðmið!$G$6:$G$105,ROW()-6)&lt;&gt;"Starfsbundinn",AK32="",$E32="",$D32=""),"",ROUND(AK32/$E32*$D32*KVARDI,2))</f>
        <v/>
      </c>
      <c r="AM32" s="66" t="n"/>
      <c r="AN32" s="78">
        <f>IF(OR(INDEX(Undirviðmið!$G$6:$G$105,ROW()-6)&lt;&gt;"Starfsbundinn",AM32="",$E32="",$D32=""),"",ROUND(AM32/$E32*$D32*KVARDI,2))</f>
        <v/>
      </c>
      <c r="AO32" s="66" t="n"/>
      <c r="AP32" s="78">
        <f>IF(OR(INDEX(Undirviðmið!$G$6:$G$105,ROW()-6)&lt;&gt;"Starfsbundinn",AO32="",$E32="",$D32=""),"",ROUND(AO32/$E32*$D32*KVARDI,2))</f>
        <v/>
      </c>
      <c r="AQ32" s="66" t="n"/>
      <c r="AR32" s="78">
        <f>IF(OR(INDEX(Undirviðmið!$G$6:$G$105,ROW()-6)&lt;&gt;"Starfsbundinn",AQ32="",$E32="",$D32=""),"",ROUND(AQ32/$E32*$D32*KVARDI,2))</f>
        <v/>
      </c>
      <c r="AS32" s="66" t="n"/>
      <c r="AT32" s="78">
        <f>IF(OR(INDEX(Undirviðmið!$G$6:$G$105,ROW()-6)&lt;&gt;"Starfsbundinn",AS32="",$E32="",$D32=""),"",ROUND(AS32/$E32*$D32*KVARDI,2))</f>
        <v/>
      </c>
      <c r="AU32" s="66" t="n"/>
      <c r="AV32" s="78">
        <f>IF(OR(INDEX(Undirviðmið!$G$6:$G$105,ROW()-6)&lt;&gt;"Starfsbundinn",AU32="",$E32="",$D32=""),"",ROUND(AU32/$E32*$D32*KVARDI,2))</f>
        <v/>
      </c>
      <c r="AW32" s="66" t="n"/>
      <c r="AX32" s="78">
        <f>IF(OR(INDEX(Undirviðmið!$G$6:$G$105,ROW()-6)&lt;&gt;"Starfsbundinn",AW32="",$E32="",$D32=""),"",ROUND(AW32/$E32*$D32*KVARDI,2))</f>
        <v/>
      </c>
      <c r="AY32" s="66" t="n"/>
      <c r="AZ32" s="78">
        <f>IF(OR(INDEX(Undirviðmið!$G$6:$G$105,ROW()-6)&lt;&gt;"Starfsbundinn",AY32="",$E32="",$D32=""),"",ROUND(AY32/$E32*$D32*KVARDI,2))</f>
        <v/>
      </c>
      <c r="BA32" s="66" t="n"/>
      <c r="BB32" s="78">
        <f>IF(OR(INDEX(Undirviðmið!$G$6:$G$105,ROW()-6)&lt;&gt;"Starfsbundinn",BA32="",$E32="",$D32=""),"",ROUND(BA32/$E32*$D32*KVARDI,2))</f>
        <v/>
      </c>
      <c r="BC32" s="66" t="n"/>
      <c r="BD32" s="78">
        <f>IF(OR(INDEX(Undirviðmið!$G$6:$G$105,ROW()-6)&lt;&gt;"Starfsbundinn",BC32="",$E32="",$D32=""),"",ROUND(BC32/$E32*$D32*KVARDI,2))</f>
        <v/>
      </c>
      <c r="BE32" s="66" t="n"/>
      <c r="BF32" s="78">
        <f>IF(OR(INDEX(Undirviðmið!$G$6:$G$105,ROW()-6)&lt;&gt;"Starfsbundinn",BE32="",$E32="",$D32=""),"",ROUND(BE32/$E32*$D32*KVARDI,2))</f>
        <v/>
      </c>
      <c r="BG32" s="66" t="n"/>
      <c r="BH32" s="78">
        <f>IF(OR(INDEX(Undirviðmið!$G$6:$G$105,ROW()-6)&lt;&gt;"Starfsbundinn",BG32="",$E32="",$D32=""),"",ROUND(BG32/$E32*$D32*KVARDI,2))</f>
        <v/>
      </c>
      <c r="BI32" s="66" t="n"/>
      <c r="BJ32" s="78">
        <f>IF(OR(INDEX(Undirviðmið!$G$6:$G$105,ROW()-6)&lt;&gt;"Starfsbundinn",BI32="",$E32="",$D32=""),"",ROUND(BI32/$E32*$D32*KVARDI,2))</f>
        <v/>
      </c>
      <c r="BK32" s="66" t="n"/>
      <c r="BL32" s="78">
        <f>IF(OR(INDEX(Undirviðmið!$G$6:$G$105,ROW()-6)&lt;&gt;"Starfsbundinn",BK32="",$E32="",$D32=""),"",ROUND(BK32/$E32*$D32*KVARDI,2))</f>
        <v/>
      </c>
      <c r="BM32" s="66" t="n"/>
      <c r="BN32" s="78">
        <f>IF(OR(INDEX(Undirviðmið!$G$6:$G$105,ROW()-6)&lt;&gt;"Starfsbundinn",BM32="",$E32="",$D32=""),"",ROUND(BM32/$E32*$D32*KVARDI,2))</f>
        <v/>
      </c>
      <c r="BO32" s="66" t="n"/>
      <c r="BP32" s="78">
        <f>IF(OR(INDEX(Undirviðmið!$G$6:$G$105,ROW()-6)&lt;&gt;"Starfsbundinn",BO32="",$E32="",$D32=""),"",ROUND(BO32/$E32*$D32*KVARDI,2))</f>
        <v/>
      </c>
      <c r="BQ32" s="66" t="n"/>
      <c r="BR32" s="78">
        <f>IF(OR(INDEX(Undirviðmið!$G$6:$G$105,ROW()-6)&lt;&gt;"Starfsbundinn",BQ32="",$E32="",$D32=""),"",ROUND(BQ32/$E32*$D32*KVARDI,2))</f>
        <v/>
      </c>
      <c r="BS32" s="66" t="n"/>
      <c r="BT32" s="78">
        <f>IF(OR(INDEX(Undirviðmið!$G$6:$G$105,ROW()-6)&lt;&gt;"Starfsbundinn",BS32="",$E32="",$D32=""),"",ROUND(BS32/$E32*$D32*KVARDI,2))</f>
        <v/>
      </c>
      <c r="BU32" s="66" t="n"/>
      <c r="BV32" s="78">
        <f>IF(OR(INDEX(Undirviðmið!$G$6:$G$105,ROW()-6)&lt;&gt;"Starfsbundinn",BU32="",$E32="",$D32=""),"",ROUND(BU32/$E32*$D32*KVARDI,2))</f>
        <v/>
      </c>
      <c r="BW32" s="66" t="n"/>
      <c r="BX32" s="78">
        <f>IF(OR(INDEX(Undirviðmið!$G$6:$G$105,ROW()-6)&lt;&gt;"Starfsbundinn",BW32="",$E32="",$D32=""),"",ROUND(BW32/$E32*$D32*KVARDI,2))</f>
        <v/>
      </c>
      <c r="BY32" s="66" t="n"/>
      <c r="BZ32" s="78">
        <f>IF(OR(INDEX(Undirviðmið!$G$6:$G$105,ROW()-6)&lt;&gt;"Starfsbundinn",BY32="",$E32="",$D32=""),"",ROUND(BY32/$E32*$D32*KVARDI,2))</f>
        <v/>
      </c>
      <c r="CA32" s="66" t="n"/>
      <c r="CB32" s="78">
        <f>IF(OR(INDEX(Undirviðmið!$G$6:$G$105,ROW()-6)&lt;&gt;"Starfsbundinn",CA32="",$E32="",$D32=""),"",ROUND(CA32/$E32*$D32*KVARDI,2))</f>
        <v/>
      </c>
      <c r="CC32" s="66" t="n"/>
      <c r="CD32" s="78">
        <f>IF(OR(INDEX(Undirviðmið!$G$6:$G$105,ROW()-6)&lt;&gt;"Starfsbundinn",CC32="",$E32="",$D32=""),"",ROUND(CC32/$E32*$D32*KVARDI,2))</f>
        <v/>
      </c>
      <c r="CE32" s="66" t="n"/>
      <c r="CF32" s="78">
        <f>IF(OR(INDEX(Undirviðmið!$G$6:$G$105,ROW()-6)&lt;&gt;"Starfsbundinn",CE32="",$E32="",$D32=""),"",ROUND(CE32/$E32*$D32*KVARDI,2))</f>
        <v/>
      </c>
      <c r="CG32" s="66" t="n"/>
      <c r="CH32" s="78">
        <f>IF(OR(INDEX(Undirviðmið!$G$6:$G$105,ROW()-6)&lt;&gt;"Starfsbundinn",CG32="",$E32="",$D32=""),"",ROUND(CG32/$E32*$D32*KVARDI,2))</f>
        <v/>
      </c>
      <c r="CI32" s="66" t="n"/>
      <c r="CJ32" s="78">
        <f>IF(OR(INDEX(Undirviðmið!$G$6:$G$105,ROW()-6)&lt;&gt;"Starfsbundinn",CI32="",$E32="",$D32=""),"",ROUND(CI32/$E32*$D32*KVARDI,2))</f>
        <v/>
      </c>
      <c r="CK32" s="66" t="n"/>
      <c r="CL32" s="78">
        <f>IF(OR(INDEX(Undirviðmið!$G$6:$G$105,ROW()-6)&lt;&gt;"Starfsbundinn",CK32="",$E32="",$D32=""),"",ROUND(CK32/$E32*$D32*KVARDI,2))</f>
        <v/>
      </c>
      <c r="CM32" s="66" t="n"/>
      <c r="CN32" s="78">
        <f>IF(OR(INDEX(Undirviðmið!$G$6:$G$105,ROW()-6)&lt;&gt;"Starfsbundinn",CM32="",$E32="",$D32=""),"",ROUND(CM32/$E32*$D32*KVARDI,2))</f>
        <v/>
      </c>
      <c r="CO32" s="66" t="n"/>
      <c r="CP32" s="78">
        <f>IF(OR(INDEX(Undirviðmið!$G$6:$G$105,ROW()-6)&lt;&gt;"Starfsbundinn",CO32="",$E32="",$D32=""),"",ROUND(CO32/$E32*$D32*KVARDI,2))</f>
        <v/>
      </c>
      <c r="CQ32" s="66" t="n"/>
      <c r="CR32" s="78">
        <f>IF(OR(INDEX(Undirviðmið!$G$6:$G$105,ROW()-6)&lt;&gt;"Starfsbundinn",CQ32="",$E32="",$D32=""),"",ROUND(CQ32/$E32*$D32*KVARDI,2))</f>
        <v/>
      </c>
      <c r="CS32" s="66" t="n"/>
      <c r="CT32" s="78">
        <f>IF(OR(INDEX(Undirviðmið!$G$6:$G$105,ROW()-6)&lt;&gt;"Starfsbundinn",CS32="",$E32="",$D32=""),"",ROUND(CS32/$E32*$D32*KVARDI,2))</f>
        <v/>
      </c>
      <c r="CU32" s="66" t="n"/>
      <c r="CV32" s="78">
        <f>IF(OR(INDEX(Undirviðmið!$G$6:$G$105,ROW()-6)&lt;&gt;"Starfsbundinn",CU32="",$E32="",$D32=""),"",ROUND(CU32/$E32*$D32*KVARDI,2))</f>
        <v/>
      </c>
      <c r="CW32" s="66" t="n"/>
      <c r="CX32" s="78">
        <f>IF(OR(INDEX(Undirviðmið!$G$6:$G$105,ROW()-6)&lt;&gt;"Starfsbundinn",CW32="",$E32="",$D32=""),"",ROUND(CW32/$E32*$D32*KVARDI,2))</f>
        <v/>
      </c>
      <c r="CY32" s="66" t="n"/>
      <c r="CZ32" s="78">
        <f>IF(OR(INDEX(Undirviðmið!$G$6:$G$105,ROW()-6)&lt;&gt;"Starfsbundinn",CY32="",$E32="",$D32=""),"",ROUND(CY32/$E32*$D32*KVARDI,2))</f>
        <v/>
      </c>
      <c r="DA32" s="66" t="n"/>
      <c r="DB32" s="78">
        <f>IF(OR(INDEX(Undirviðmið!$G$6:$G$105,ROW()-6)&lt;&gt;"Starfsbundinn",DA32="",$E32="",$D32=""),"",ROUND(DA32/$E32*$D32*KVARDI,2))</f>
        <v/>
      </c>
      <c r="DC32" s="66" t="n"/>
      <c r="DD32" s="78">
        <f>IF(OR(INDEX(Undirviðmið!$G$6:$G$105,ROW()-6)&lt;&gt;"Starfsbundinn",DC32="",$E32="",$D32=""),"",ROUND(DC32/$E32*$D32*KVARDI,2))</f>
        <v/>
      </c>
      <c r="DE32" s="66" t="n"/>
      <c r="DF32" s="78">
        <f>IF(OR(INDEX(Undirviðmið!$G$6:$G$105,ROW()-6)&lt;&gt;"Starfsbundinn",DE32="",$E32="",$D32=""),"",ROUND(DE32/$E32*$D32*KVARDI,2))</f>
        <v/>
      </c>
      <c r="DG32" s="66" t="n"/>
      <c r="DH32" s="78">
        <f>IF(OR(INDEX(Undirviðmið!$G$6:$G$105,ROW()-6)&lt;&gt;"Starfsbundinn",DG32="",$E32="",$D32=""),"",ROUND(DG32/$E32*$D32*KVARDI,2))</f>
        <v/>
      </c>
      <c r="DI32" s="66" t="n"/>
      <c r="DJ32" s="78">
        <f>IF(OR(INDEX(Undirviðmið!$G$6:$G$105,ROW()-6)&lt;&gt;"Starfsbundinn",DI32="",$E32="",$D32=""),"",ROUND(DI32/$E32*$D32*KVARDI,2))</f>
        <v/>
      </c>
      <c r="DK32" s="66" t="n"/>
      <c r="DL32" s="78">
        <f>IF(OR(INDEX(Undirviðmið!$G$6:$G$105,ROW()-6)&lt;&gt;"Starfsbundinn",DK32="",$E32="",$D32=""),"",ROUND(DK32/$E32*$D32*KVARDI,2))</f>
        <v/>
      </c>
      <c r="DM32" s="66" t="n"/>
      <c r="DN32" s="78">
        <f>IF(OR(INDEX(Undirviðmið!$G$6:$G$105,ROW()-6)&lt;&gt;"Starfsbundinn",DM32="",$E32="",$D32=""),"",ROUND(DM32/$E32*$D32*KVARDI,2))</f>
        <v/>
      </c>
      <c r="DO32" s="66" t="n"/>
      <c r="DP32" s="78">
        <f>IF(OR(INDEX(Undirviðmið!$G$6:$G$105,ROW()-6)&lt;&gt;"Starfsbundinn",DO32="",$E32="",$D32=""),"",ROUND(DO32/$E32*$D32*KVARDI,2))</f>
        <v/>
      </c>
      <c r="DQ32" s="66" t="n"/>
      <c r="DR32" s="78">
        <f>IF(OR(INDEX(Undirviðmið!$G$6:$G$105,ROW()-6)&lt;&gt;"Starfsbundinn",DQ32="",$E32="",$D32=""),"",ROUND(DQ32/$E32*$D32*KVARDI,2))</f>
        <v/>
      </c>
      <c r="DS32" s="66" t="n"/>
      <c r="DT32" s="78">
        <f>IF(OR(INDEX(Undirviðmið!$G$6:$G$105,ROW()-6)&lt;&gt;"Starfsbundinn",DS32="",$E32="",$D32=""),"",ROUND(DS32/$E32*$D32*KVARDI,2))</f>
        <v/>
      </c>
      <c r="DU32" s="66" t="n"/>
      <c r="DV32" s="78">
        <f>IF(OR(INDEX(Undirviðmið!$G$6:$G$105,ROW()-6)&lt;&gt;"Starfsbundinn",DU32="",$E32="",$D32=""),"",ROUND(DU32/$E32*$D32*KVARDI,2))</f>
        <v/>
      </c>
      <c r="DW32" s="66" t="n"/>
      <c r="DX32" s="78">
        <f>IF(OR(INDEX(Undirviðmið!$G$6:$G$105,ROW()-6)&lt;&gt;"Starfsbundinn",DW32="",$E32="",$D32=""),"",ROUND(DW32/$E32*$D32*KVARDI,2))</f>
        <v/>
      </c>
      <c r="DY32" s="66" t="n"/>
      <c r="DZ32" s="78">
        <f>IF(OR(INDEX(Undirviðmið!$G$6:$G$105,ROW()-6)&lt;&gt;"Starfsbundinn",DY32="",$E32="",$D32=""),"",ROUND(DY32/$E32*$D32*KVARDI,2))</f>
        <v/>
      </c>
      <c r="EA32" s="66" t="n"/>
      <c r="EB32" s="78">
        <f>IF(OR(INDEX(Undirviðmið!$G$6:$G$105,ROW()-6)&lt;&gt;"Starfsbundinn",EA32="",$E32="",$D32=""),"",ROUND(EA32/$E32*$D32*KVARDI,2))</f>
        <v/>
      </c>
      <c r="EC32" s="66" t="n"/>
      <c r="ED32" s="78">
        <f>IF(OR(INDEX(Undirviðmið!$G$6:$G$105,ROW()-6)&lt;&gt;"Starfsbundinn",EC32="",$E32="",$D32=""),"",ROUND(EC32/$E32*$D32*KVARDI,2))</f>
        <v/>
      </c>
      <c r="EE32" s="66" t="n"/>
      <c r="EF32" s="78">
        <f>IF(OR(INDEX(Undirviðmið!$G$6:$G$105,ROW()-6)&lt;&gt;"Starfsbundinn",EE32="",$E32="",$D32=""),"",ROUND(EE32/$E32*$D32*KVARDI,2))</f>
        <v/>
      </c>
      <c r="EG32" s="66" t="n"/>
      <c r="EH32" s="78">
        <f>IF(OR(INDEX(Undirviðmið!$G$6:$G$105,ROW()-6)&lt;&gt;"Starfsbundinn",EG32="",$E32="",$D32=""),"",ROUND(EG32/$E32*$D32*KVARDI,2))</f>
        <v/>
      </c>
      <c r="EI32" s="66" t="n"/>
      <c r="EJ32" s="78">
        <f>IF(OR(INDEX(Undirviðmið!$G$6:$G$105,ROW()-6)&lt;&gt;"Starfsbundinn",EI32="",$E32="",$D32=""),"",ROUND(EI32/$E32*$D32*KVARDI,2))</f>
        <v/>
      </c>
      <c r="EK32" s="66" t="n"/>
      <c r="EL32" s="78">
        <f>IF(OR(INDEX(Undirviðmið!$G$6:$G$105,ROW()-6)&lt;&gt;"Starfsbundinn",EK32="",$E32="",$D32=""),"",ROUND(EK32/$E32*$D32*KVARDI,2))</f>
        <v/>
      </c>
      <c r="EM32" s="66" t="n"/>
      <c r="EN32" s="78">
        <f>IF(OR(INDEX(Undirviðmið!$G$6:$G$105,ROW()-6)&lt;&gt;"Starfsbundinn",EM32="",$E32="",$D32=""),"",ROUND(EM32/$E32*$D32*KVARDI,2))</f>
        <v/>
      </c>
      <c r="EO32" s="66" t="n"/>
      <c r="EP32" s="78">
        <f>IF(OR(INDEX(Undirviðmið!$G$6:$G$105,ROW()-6)&lt;&gt;"Starfsbundinn",EO32="",$E32="",$D32=""),"",ROUND(EO32/$E32*$D32*KVARDI,2))</f>
        <v/>
      </c>
      <c r="EQ32" s="66" t="n"/>
      <c r="ER32" s="78">
        <f>IF(OR(INDEX(Undirviðmið!$G$6:$G$105,ROW()-6)&lt;&gt;"Starfsbundinn",EQ32="",$E32="",$D32=""),"",ROUND(EQ32/$E32*$D32*KVARDI,2))</f>
        <v/>
      </c>
      <c r="ES32" s="66" t="n"/>
      <c r="ET32" s="78">
        <f>IF(OR(INDEX(Undirviðmið!$G$6:$G$105,ROW()-6)&lt;&gt;"Starfsbundinn",ES32="",$E32="",$D32=""),"",ROUND(ES32/$E32*$D32*KVARDI,2))</f>
        <v/>
      </c>
      <c r="EU32" s="66" t="n"/>
      <c r="EV32" s="78">
        <f>IF(OR(INDEX(Undirviðmið!$G$6:$G$105,ROW()-6)&lt;&gt;"Starfsbundinn",EU32="",$E32="",$D32=""),"",ROUND(EU32/$E32*$D32*KVARDI,2))</f>
        <v/>
      </c>
      <c r="EW32" s="66" t="n"/>
      <c r="EX32" s="78">
        <f>IF(OR(INDEX(Undirviðmið!$G$6:$G$105,ROW()-6)&lt;&gt;"Starfsbundinn",EW32="",$E32="",$D32=""),"",ROUND(EW32/$E32*$D32*KVARDI,2))</f>
        <v/>
      </c>
      <c r="EY32" s="66" t="n"/>
      <c r="EZ32" s="78">
        <f>IF(OR(INDEX(Undirviðmið!$G$6:$G$105,ROW()-6)&lt;&gt;"Starfsbundinn",EY32="",$E32="",$D32=""),"",ROUND(EY32/$E32*$D32*KVARDI,2))</f>
        <v/>
      </c>
      <c r="FA32" s="66" t="n"/>
      <c r="FB32" s="78">
        <f>IF(OR(INDEX(Undirviðmið!$G$6:$G$105,ROW()-6)&lt;&gt;"Starfsbundinn",FA32="",$E32="",$D32=""),"",ROUND(FA32/$E32*$D32*KVARDI,2))</f>
        <v/>
      </c>
      <c r="FC32" s="66" t="n"/>
      <c r="FD32" s="78">
        <f>IF(OR(INDEX(Undirviðmið!$G$6:$G$105,ROW()-6)&lt;&gt;"Starfsbundinn",FC32="",$E32="",$D32=""),"",ROUND(FC32/$E32*$D32*KVARDI,2))</f>
        <v/>
      </c>
      <c r="FE32" s="66" t="n"/>
      <c r="FF32" s="78">
        <f>IF(OR(INDEX(Undirviðmið!$G$6:$G$105,ROW()-6)&lt;&gt;"Starfsbundinn",FE32="",$E32="",$D32=""),"",ROUND(FE32/$E32*$D32*KVARDI,2))</f>
        <v/>
      </c>
      <c r="FG32" s="66" t="n"/>
      <c r="FH32" s="78">
        <f>IF(OR(INDEX(Undirviðmið!$G$6:$G$105,ROW()-6)&lt;&gt;"Starfsbundinn",FG32="",$E32="",$D32=""),"",ROUND(FG32/$E32*$D32*KVARDI,2))</f>
        <v/>
      </c>
      <c r="FI32" s="66" t="n"/>
      <c r="FJ32" s="78">
        <f>IF(OR(INDEX(Undirviðmið!$G$6:$G$105,ROW()-6)&lt;&gt;"Starfsbundinn",FI32="",$E32="",$D32=""),"",ROUND(FI32/$E32*$D32*KVARDI,2))</f>
        <v/>
      </c>
      <c r="FK32" s="66" t="n"/>
      <c r="FL32" s="78">
        <f>IF(OR(INDEX(Undirviðmið!$G$6:$G$105,ROW()-6)&lt;&gt;"Starfsbundinn",FK32="",$E32="",$D32=""),"",ROUND(FK32/$E32*$D32*KVARDI,2))</f>
        <v/>
      </c>
      <c r="FM32" s="66" t="n"/>
      <c r="FN32" s="78">
        <f>IF(OR(INDEX(Undirviðmið!$G$6:$G$105,ROW()-6)&lt;&gt;"Starfsbundinn",FM32="",$E32="",$D32=""),"",ROUND(FM32/$E32*$D32*KVARDI,2))</f>
        <v/>
      </c>
      <c r="FO32" s="66" t="n"/>
      <c r="FP32" s="78">
        <f>IF(OR(INDEX(Undirviðmið!$G$6:$G$105,ROW()-6)&lt;&gt;"Starfsbundinn",FO32="",$E32="",$D32=""),"",ROUND(FO32/$E32*$D32*KVARDI,2))</f>
        <v/>
      </c>
      <c r="FQ32" s="66" t="n"/>
      <c r="FR32" s="78">
        <f>IF(OR(INDEX(Undirviðmið!$G$6:$G$105,ROW()-6)&lt;&gt;"Starfsbundinn",FQ32="",$E32="",$D32=""),"",ROUND(FQ32/$E32*$D32*KVARDI,2))</f>
        <v/>
      </c>
      <c r="FS32" s="66" t="n"/>
      <c r="FT32" s="78">
        <f>IF(OR(INDEX(Undirviðmið!$G$6:$G$105,ROW()-6)&lt;&gt;"Starfsbundinn",FS32="",$E32="",$D32=""),"",ROUND(FS32/$E32*$D32*KVARDI,2))</f>
        <v/>
      </c>
      <c r="FU32" s="66" t="n"/>
      <c r="FV32" s="78">
        <f>IF(OR(INDEX(Undirviðmið!$G$6:$G$105,ROW()-6)&lt;&gt;"Starfsbundinn",FU32="",$E32="",$D32=""),"",ROUND(FU32/$E32*$D32*KVARDI,2))</f>
        <v/>
      </c>
      <c r="FW32" s="66" t="n"/>
      <c r="FX32" s="78">
        <f>IF(OR(INDEX(Undirviðmið!$G$6:$G$105,ROW()-6)&lt;&gt;"Starfsbundinn",FW32="",$E32="",$D32=""),"",ROUND(FW32/$E32*$D32*KVARDI,2))</f>
        <v/>
      </c>
      <c r="FY32" s="66" t="n"/>
      <c r="FZ32" s="78">
        <f>IF(OR(INDEX(Undirviðmið!$G$6:$G$105,ROW()-6)&lt;&gt;"Starfsbundinn",FY32="",$E32="",$D32=""),"",ROUND(FY32/$E32*$D32*KVARDI,2))</f>
        <v/>
      </c>
      <c r="GA32" s="66" t="n"/>
      <c r="GB32" s="78">
        <f>IF(OR(INDEX(Undirviðmið!$G$6:$G$105,ROW()-6)&lt;&gt;"Starfsbundinn",GA32="",$E32="",$D32=""),"",ROUND(GA32/$E32*$D32*KVARDI,2))</f>
        <v/>
      </c>
      <c r="GC32" s="66" t="n"/>
      <c r="GD32" s="78">
        <f>IF(OR(INDEX(Undirviðmið!$G$6:$G$105,ROW()-6)&lt;&gt;"Starfsbundinn",GC32="",$E32="",$D32=""),"",ROUND(GC32/$E32*$D32*KVARDI,2))</f>
        <v/>
      </c>
      <c r="GE32" s="66" t="n"/>
      <c r="GF32" s="78">
        <f>IF(OR(INDEX(Undirviðmið!$G$6:$G$105,ROW()-6)&lt;&gt;"Starfsbundinn",GE32="",$E32="",$D32=""),"",ROUND(GE32/$E32*$D32*KVARDI,2))</f>
        <v/>
      </c>
      <c r="GG32" s="66" t="n"/>
      <c r="GH32" s="78">
        <f>IF(OR(INDEX(Undirviðmið!$G$6:$G$105,ROW()-6)&lt;&gt;"Starfsbundinn",GG32="",$E32="",$D32=""),"",ROUND(GG32/$E32*$D32*KVARDI,2))</f>
        <v/>
      </c>
      <c r="GI32" s="66" t="n"/>
      <c r="GJ32" s="78">
        <f>IF(OR(INDEX(Undirviðmið!$G$6:$G$105,ROW()-6)&lt;&gt;"Starfsbundinn",GI32="",$E32="",$D32=""),"",ROUND(GI32/$E32*$D32*KVARDI,2))</f>
        <v/>
      </c>
      <c r="GK32" s="66" t="n"/>
      <c r="GL32" s="78">
        <f>IF(OR(INDEX(Undirviðmið!$G$6:$G$105,ROW()-6)&lt;&gt;"Starfsbundinn",GK32="",$E32="",$D32=""),"",ROUND(GK32/$E32*$D32*KVARDI,2))</f>
        <v/>
      </c>
      <c r="GM32" s="66" t="n"/>
      <c r="GN32" s="78">
        <f>IF(OR(INDEX(Undirviðmið!$G$6:$G$105,ROW()-6)&lt;&gt;"Starfsbundinn",GM32="",$E32="",$D32=""),"",ROUND(GM32/$E32*$D32*KVARDI,2))</f>
        <v/>
      </c>
      <c r="GO32" s="66" t="n"/>
      <c r="GP32" s="78">
        <f>IF(OR(INDEX(Undirviðmið!$G$6:$G$105,ROW()-6)&lt;&gt;"Starfsbundinn",GO32="",$E32="",$D32=""),"",ROUND(GO32/$E32*$D32*KVARDI,2))</f>
        <v/>
      </c>
      <c r="GQ32" s="66" t="n"/>
      <c r="GR32" s="78">
        <f>IF(OR(INDEX(Undirviðmið!$G$6:$G$105,ROW()-6)&lt;&gt;"Starfsbundinn",GQ32="",$E32="",$D32=""),"",ROUND(GQ32/$E32*$D32*KVARDI,2))</f>
        <v/>
      </c>
      <c r="GS32" s="66" t="n"/>
      <c r="GT32" s="78">
        <f>IF(OR(INDEX(Undirviðmið!$G$6:$G$105,ROW()-6)&lt;&gt;"Starfsbundinn",GS32="",$E32="",$D32=""),"",ROUND(GS32/$E32*$D32*KVARDI,2))</f>
        <v/>
      </c>
      <c r="GU32" s="66" t="n"/>
      <c r="GV32" s="78">
        <f>IF(OR(INDEX(Undirviðmið!$G$6:$G$105,ROW()-6)&lt;&gt;"Starfsbundinn",GU32="",$E32="",$D32=""),"",ROUND(GU32/$E32*$D32*KVARDI,2))</f>
        <v/>
      </c>
      <c r="GW32" s="66" t="n"/>
      <c r="GX32" s="78">
        <f>IF(OR(INDEX(Undirviðmið!$G$6:$G$105,ROW()-6)&lt;&gt;"Starfsbundinn",GW32="",$E32="",$D32=""),"",ROUND(GW32/$E32*$D32*KVARDI,2))</f>
        <v/>
      </c>
    </row>
    <row r="33" ht="15" customHeight="1" s="47">
      <c r="B33" s="67">
        <f>IF(INDEX(Undirviðmið!$G$6:$G$105,ROW()-6)="Starfsbundinn",INDEX(Undirviðmið!$B$6:$B$105,ROW()-6),"")</f>
        <v/>
      </c>
      <c r="C33" s="67">
        <f>IF(INDEX(Undirviðmið!$G$6:$G$105,ROW()-6)="Starfsbundinn",INDEX(Undirviðmið!$C$6:$C$105,ROW()-6),"")</f>
        <v/>
      </c>
      <c r="D33" s="77">
        <f>IF(INDEX(Undirviðmið!$G$6:$G$105,ROW()-6)="Starfsbundinn",INDEX(Undirviðmið!$E$6:$E$105,ROW()-6),"")</f>
        <v/>
      </c>
      <c r="E33" s="77">
        <f>IF(INDEX(Undirviðmið!$G$6:$G$105,ROW()-6)="Starfsbundinn",INDEX(Undirviðmið!$F$6:$F$105,ROW()-6),"")</f>
        <v/>
      </c>
      <c r="F33" s="77">
        <f>IF(INDEX(Undirviðmið!$G$6:$G$105,ROW()-6)="Starfsbundinn",IFERROR(INDEX(Undirviðmið!$E$6:$E$105,ROW()-6)*KVARDI,""),"")</f>
        <v/>
      </c>
      <c r="G33" s="66" t="n"/>
      <c r="H33" s="78">
        <f>IF(OR(INDEX(Undirviðmið!$G$6:$G$105,ROW()-6)&lt;&gt;"Starfsbundinn",G33="",$E33="",$D33=""),"",ROUND(G33/$E33*$D33*KVARDI,2))</f>
        <v/>
      </c>
      <c r="I33" s="66" t="n"/>
      <c r="J33" s="78">
        <f>IF(OR(INDEX(Undirviðmið!$G$6:$G$105,ROW()-6)&lt;&gt;"Starfsbundinn",I33="",$E33="",$D33=""),"",ROUND(I33/$E33*$D33*KVARDI,2))</f>
        <v/>
      </c>
      <c r="K33" s="66" t="n"/>
      <c r="L33" s="78">
        <f>IF(OR(INDEX(Undirviðmið!$G$6:$G$105,ROW()-6)&lt;&gt;"Starfsbundinn",K33="",$E33="",$D33=""),"",ROUND(K33/$E33*$D33*KVARDI,2))</f>
        <v/>
      </c>
      <c r="M33" s="66" t="n"/>
      <c r="N33" s="78">
        <f>IF(OR(INDEX(Undirviðmið!$G$6:$G$105,ROW()-6)&lt;&gt;"Starfsbundinn",M33="",$E33="",$D33=""),"",ROUND(M33/$E33*$D33*KVARDI,2))</f>
        <v/>
      </c>
      <c r="O33" s="66" t="n"/>
      <c r="P33" s="78">
        <f>IF(OR(INDEX(Undirviðmið!$G$6:$G$105,ROW()-6)&lt;&gt;"Starfsbundinn",O33="",$E33="",$D33=""),"",ROUND(O33/$E33*$D33*KVARDI,2))</f>
        <v/>
      </c>
      <c r="Q33" s="66" t="n"/>
      <c r="R33" s="78">
        <f>IF(OR(INDEX(Undirviðmið!$G$6:$G$105,ROW()-6)&lt;&gt;"Starfsbundinn",Q33="",$E33="",$D33=""),"",ROUND(Q33/$E33*$D33*KVARDI,2))</f>
        <v/>
      </c>
      <c r="S33" s="66" t="n"/>
      <c r="T33" s="78">
        <f>IF(OR(INDEX(Undirviðmið!$G$6:$G$105,ROW()-6)&lt;&gt;"Starfsbundinn",S33="",$E33="",$D33=""),"",ROUND(S33/$E33*$D33*KVARDI,2))</f>
        <v/>
      </c>
      <c r="U33" s="66" t="n"/>
      <c r="V33" s="78">
        <f>IF(OR(INDEX(Undirviðmið!$G$6:$G$105,ROW()-6)&lt;&gt;"Starfsbundinn",U33="",$E33="",$D33=""),"",ROUND(U33/$E33*$D33*KVARDI,2))</f>
        <v/>
      </c>
      <c r="W33" s="66" t="n"/>
      <c r="X33" s="78">
        <f>IF(OR(INDEX(Undirviðmið!$G$6:$G$105,ROW()-6)&lt;&gt;"Starfsbundinn",W33="",$E33="",$D33=""),"",ROUND(W33/$E33*$D33*KVARDI,2))</f>
        <v/>
      </c>
      <c r="Y33" s="66" t="n"/>
      <c r="Z33" s="78">
        <f>IF(OR(INDEX(Undirviðmið!$G$6:$G$105,ROW()-6)&lt;&gt;"Starfsbundinn",Y33="",$E33="",$D33=""),"",ROUND(Y33/$E33*$D33*KVARDI,2))</f>
        <v/>
      </c>
      <c r="AA33" s="66" t="n"/>
      <c r="AB33" s="78">
        <f>IF(OR(INDEX(Undirviðmið!$G$6:$G$105,ROW()-6)&lt;&gt;"Starfsbundinn",AA33="",$E33="",$D33=""),"",ROUND(AA33/$E33*$D33*KVARDI,2))</f>
        <v/>
      </c>
      <c r="AC33" s="66" t="n"/>
      <c r="AD33" s="78">
        <f>IF(OR(INDEX(Undirviðmið!$G$6:$G$105,ROW()-6)&lt;&gt;"Starfsbundinn",AC33="",$E33="",$D33=""),"",ROUND(AC33/$E33*$D33*KVARDI,2))</f>
        <v/>
      </c>
      <c r="AE33" s="66" t="n"/>
      <c r="AF33" s="78">
        <f>IF(OR(INDEX(Undirviðmið!$G$6:$G$105,ROW()-6)&lt;&gt;"Starfsbundinn",AE33="",$E33="",$D33=""),"",ROUND(AE33/$E33*$D33*KVARDI,2))</f>
        <v/>
      </c>
      <c r="AG33" s="66" t="n"/>
      <c r="AH33" s="78">
        <f>IF(OR(INDEX(Undirviðmið!$G$6:$G$105,ROW()-6)&lt;&gt;"Starfsbundinn",AG33="",$E33="",$D33=""),"",ROUND(AG33/$E33*$D33*KVARDI,2))</f>
        <v/>
      </c>
      <c r="AI33" s="66" t="n"/>
      <c r="AJ33" s="78">
        <f>IF(OR(INDEX(Undirviðmið!$G$6:$G$105,ROW()-6)&lt;&gt;"Starfsbundinn",AI33="",$E33="",$D33=""),"",ROUND(AI33/$E33*$D33*KVARDI,2))</f>
        <v/>
      </c>
      <c r="AK33" s="66" t="n"/>
      <c r="AL33" s="78">
        <f>IF(OR(INDEX(Undirviðmið!$G$6:$G$105,ROW()-6)&lt;&gt;"Starfsbundinn",AK33="",$E33="",$D33=""),"",ROUND(AK33/$E33*$D33*KVARDI,2))</f>
        <v/>
      </c>
      <c r="AM33" s="66" t="n"/>
      <c r="AN33" s="78">
        <f>IF(OR(INDEX(Undirviðmið!$G$6:$G$105,ROW()-6)&lt;&gt;"Starfsbundinn",AM33="",$E33="",$D33=""),"",ROUND(AM33/$E33*$D33*KVARDI,2))</f>
        <v/>
      </c>
      <c r="AO33" s="66" t="n"/>
      <c r="AP33" s="78">
        <f>IF(OR(INDEX(Undirviðmið!$G$6:$G$105,ROW()-6)&lt;&gt;"Starfsbundinn",AO33="",$E33="",$D33=""),"",ROUND(AO33/$E33*$D33*KVARDI,2))</f>
        <v/>
      </c>
      <c r="AQ33" s="66" t="n"/>
      <c r="AR33" s="78">
        <f>IF(OR(INDEX(Undirviðmið!$G$6:$G$105,ROW()-6)&lt;&gt;"Starfsbundinn",AQ33="",$E33="",$D33=""),"",ROUND(AQ33/$E33*$D33*KVARDI,2))</f>
        <v/>
      </c>
      <c r="AS33" s="66" t="n"/>
      <c r="AT33" s="78">
        <f>IF(OR(INDEX(Undirviðmið!$G$6:$G$105,ROW()-6)&lt;&gt;"Starfsbundinn",AS33="",$E33="",$D33=""),"",ROUND(AS33/$E33*$D33*KVARDI,2))</f>
        <v/>
      </c>
      <c r="AU33" s="66" t="n"/>
      <c r="AV33" s="78">
        <f>IF(OR(INDEX(Undirviðmið!$G$6:$G$105,ROW()-6)&lt;&gt;"Starfsbundinn",AU33="",$E33="",$D33=""),"",ROUND(AU33/$E33*$D33*KVARDI,2))</f>
        <v/>
      </c>
      <c r="AW33" s="66" t="n"/>
      <c r="AX33" s="78">
        <f>IF(OR(INDEX(Undirviðmið!$G$6:$G$105,ROW()-6)&lt;&gt;"Starfsbundinn",AW33="",$E33="",$D33=""),"",ROUND(AW33/$E33*$D33*KVARDI,2))</f>
        <v/>
      </c>
      <c r="AY33" s="66" t="n"/>
      <c r="AZ33" s="78">
        <f>IF(OR(INDEX(Undirviðmið!$G$6:$G$105,ROW()-6)&lt;&gt;"Starfsbundinn",AY33="",$E33="",$D33=""),"",ROUND(AY33/$E33*$D33*KVARDI,2))</f>
        <v/>
      </c>
      <c r="BA33" s="66" t="n"/>
      <c r="BB33" s="78">
        <f>IF(OR(INDEX(Undirviðmið!$G$6:$G$105,ROW()-6)&lt;&gt;"Starfsbundinn",BA33="",$E33="",$D33=""),"",ROUND(BA33/$E33*$D33*KVARDI,2))</f>
        <v/>
      </c>
      <c r="BC33" s="66" t="n"/>
      <c r="BD33" s="78">
        <f>IF(OR(INDEX(Undirviðmið!$G$6:$G$105,ROW()-6)&lt;&gt;"Starfsbundinn",BC33="",$E33="",$D33=""),"",ROUND(BC33/$E33*$D33*KVARDI,2))</f>
        <v/>
      </c>
      <c r="BE33" s="66" t="n"/>
      <c r="BF33" s="78">
        <f>IF(OR(INDEX(Undirviðmið!$G$6:$G$105,ROW()-6)&lt;&gt;"Starfsbundinn",BE33="",$E33="",$D33=""),"",ROUND(BE33/$E33*$D33*KVARDI,2))</f>
        <v/>
      </c>
      <c r="BG33" s="66" t="n"/>
      <c r="BH33" s="78">
        <f>IF(OR(INDEX(Undirviðmið!$G$6:$G$105,ROW()-6)&lt;&gt;"Starfsbundinn",BG33="",$E33="",$D33=""),"",ROUND(BG33/$E33*$D33*KVARDI,2))</f>
        <v/>
      </c>
      <c r="BI33" s="66" t="n"/>
      <c r="BJ33" s="78">
        <f>IF(OR(INDEX(Undirviðmið!$G$6:$G$105,ROW()-6)&lt;&gt;"Starfsbundinn",BI33="",$E33="",$D33=""),"",ROUND(BI33/$E33*$D33*KVARDI,2))</f>
        <v/>
      </c>
      <c r="BK33" s="66" t="n"/>
      <c r="BL33" s="78">
        <f>IF(OR(INDEX(Undirviðmið!$G$6:$G$105,ROW()-6)&lt;&gt;"Starfsbundinn",BK33="",$E33="",$D33=""),"",ROUND(BK33/$E33*$D33*KVARDI,2))</f>
        <v/>
      </c>
      <c r="BM33" s="66" t="n"/>
      <c r="BN33" s="78">
        <f>IF(OR(INDEX(Undirviðmið!$G$6:$G$105,ROW()-6)&lt;&gt;"Starfsbundinn",BM33="",$E33="",$D33=""),"",ROUND(BM33/$E33*$D33*KVARDI,2))</f>
        <v/>
      </c>
      <c r="BO33" s="66" t="n"/>
      <c r="BP33" s="78">
        <f>IF(OR(INDEX(Undirviðmið!$G$6:$G$105,ROW()-6)&lt;&gt;"Starfsbundinn",BO33="",$E33="",$D33=""),"",ROUND(BO33/$E33*$D33*KVARDI,2))</f>
        <v/>
      </c>
      <c r="BQ33" s="66" t="n"/>
      <c r="BR33" s="78">
        <f>IF(OR(INDEX(Undirviðmið!$G$6:$G$105,ROW()-6)&lt;&gt;"Starfsbundinn",BQ33="",$E33="",$D33=""),"",ROUND(BQ33/$E33*$D33*KVARDI,2))</f>
        <v/>
      </c>
      <c r="BS33" s="66" t="n"/>
      <c r="BT33" s="78">
        <f>IF(OR(INDEX(Undirviðmið!$G$6:$G$105,ROW()-6)&lt;&gt;"Starfsbundinn",BS33="",$E33="",$D33=""),"",ROUND(BS33/$E33*$D33*KVARDI,2))</f>
        <v/>
      </c>
      <c r="BU33" s="66" t="n"/>
      <c r="BV33" s="78">
        <f>IF(OR(INDEX(Undirviðmið!$G$6:$G$105,ROW()-6)&lt;&gt;"Starfsbundinn",BU33="",$E33="",$D33=""),"",ROUND(BU33/$E33*$D33*KVARDI,2))</f>
        <v/>
      </c>
      <c r="BW33" s="66" t="n"/>
      <c r="BX33" s="78">
        <f>IF(OR(INDEX(Undirviðmið!$G$6:$G$105,ROW()-6)&lt;&gt;"Starfsbundinn",BW33="",$E33="",$D33=""),"",ROUND(BW33/$E33*$D33*KVARDI,2))</f>
        <v/>
      </c>
      <c r="BY33" s="66" t="n"/>
      <c r="BZ33" s="78">
        <f>IF(OR(INDEX(Undirviðmið!$G$6:$G$105,ROW()-6)&lt;&gt;"Starfsbundinn",BY33="",$E33="",$D33=""),"",ROUND(BY33/$E33*$D33*KVARDI,2))</f>
        <v/>
      </c>
      <c r="CA33" s="66" t="n"/>
      <c r="CB33" s="78">
        <f>IF(OR(INDEX(Undirviðmið!$G$6:$G$105,ROW()-6)&lt;&gt;"Starfsbundinn",CA33="",$E33="",$D33=""),"",ROUND(CA33/$E33*$D33*KVARDI,2))</f>
        <v/>
      </c>
      <c r="CC33" s="66" t="n"/>
      <c r="CD33" s="78">
        <f>IF(OR(INDEX(Undirviðmið!$G$6:$G$105,ROW()-6)&lt;&gt;"Starfsbundinn",CC33="",$E33="",$D33=""),"",ROUND(CC33/$E33*$D33*KVARDI,2))</f>
        <v/>
      </c>
      <c r="CE33" s="66" t="n"/>
      <c r="CF33" s="78">
        <f>IF(OR(INDEX(Undirviðmið!$G$6:$G$105,ROW()-6)&lt;&gt;"Starfsbundinn",CE33="",$E33="",$D33=""),"",ROUND(CE33/$E33*$D33*KVARDI,2))</f>
        <v/>
      </c>
      <c r="CG33" s="66" t="n"/>
      <c r="CH33" s="78">
        <f>IF(OR(INDEX(Undirviðmið!$G$6:$G$105,ROW()-6)&lt;&gt;"Starfsbundinn",CG33="",$E33="",$D33=""),"",ROUND(CG33/$E33*$D33*KVARDI,2))</f>
        <v/>
      </c>
      <c r="CI33" s="66" t="n"/>
      <c r="CJ33" s="78">
        <f>IF(OR(INDEX(Undirviðmið!$G$6:$G$105,ROW()-6)&lt;&gt;"Starfsbundinn",CI33="",$E33="",$D33=""),"",ROUND(CI33/$E33*$D33*KVARDI,2))</f>
        <v/>
      </c>
      <c r="CK33" s="66" t="n"/>
      <c r="CL33" s="78">
        <f>IF(OR(INDEX(Undirviðmið!$G$6:$G$105,ROW()-6)&lt;&gt;"Starfsbundinn",CK33="",$E33="",$D33=""),"",ROUND(CK33/$E33*$D33*KVARDI,2))</f>
        <v/>
      </c>
      <c r="CM33" s="66" t="n"/>
      <c r="CN33" s="78">
        <f>IF(OR(INDEX(Undirviðmið!$G$6:$G$105,ROW()-6)&lt;&gt;"Starfsbundinn",CM33="",$E33="",$D33=""),"",ROUND(CM33/$E33*$D33*KVARDI,2))</f>
        <v/>
      </c>
      <c r="CO33" s="66" t="n"/>
      <c r="CP33" s="78">
        <f>IF(OR(INDEX(Undirviðmið!$G$6:$G$105,ROW()-6)&lt;&gt;"Starfsbundinn",CO33="",$E33="",$D33=""),"",ROUND(CO33/$E33*$D33*KVARDI,2))</f>
        <v/>
      </c>
      <c r="CQ33" s="66" t="n"/>
      <c r="CR33" s="78">
        <f>IF(OR(INDEX(Undirviðmið!$G$6:$G$105,ROW()-6)&lt;&gt;"Starfsbundinn",CQ33="",$E33="",$D33=""),"",ROUND(CQ33/$E33*$D33*KVARDI,2))</f>
        <v/>
      </c>
      <c r="CS33" s="66" t="n"/>
      <c r="CT33" s="78">
        <f>IF(OR(INDEX(Undirviðmið!$G$6:$G$105,ROW()-6)&lt;&gt;"Starfsbundinn",CS33="",$E33="",$D33=""),"",ROUND(CS33/$E33*$D33*KVARDI,2))</f>
        <v/>
      </c>
      <c r="CU33" s="66" t="n"/>
      <c r="CV33" s="78">
        <f>IF(OR(INDEX(Undirviðmið!$G$6:$G$105,ROW()-6)&lt;&gt;"Starfsbundinn",CU33="",$E33="",$D33=""),"",ROUND(CU33/$E33*$D33*KVARDI,2))</f>
        <v/>
      </c>
      <c r="CW33" s="66" t="n"/>
      <c r="CX33" s="78">
        <f>IF(OR(INDEX(Undirviðmið!$G$6:$G$105,ROW()-6)&lt;&gt;"Starfsbundinn",CW33="",$E33="",$D33=""),"",ROUND(CW33/$E33*$D33*KVARDI,2))</f>
        <v/>
      </c>
      <c r="CY33" s="66" t="n"/>
      <c r="CZ33" s="78">
        <f>IF(OR(INDEX(Undirviðmið!$G$6:$G$105,ROW()-6)&lt;&gt;"Starfsbundinn",CY33="",$E33="",$D33=""),"",ROUND(CY33/$E33*$D33*KVARDI,2))</f>
        <v/>
      </c>
      <c r="DA33" s="66" t="n"/>
      <c r="DB33" s="78">
        <f>IF(OR(INDEX(Undirviðmið!$G$6:$G$105,ROW()-6)&lt;&gt;"Starfsbundinn",DA33="",$E33="",$D33=""),"",ROUND(DA33/$E33*$D33*KVARDI,2))</f>
        <v/>
      </c>
      <c r="DC33" s="66" t="n"/>
      <c r="DD33" s="78">
        <f>IF(OR(INDEX(Undirviðmið!$G$6:$G$105,ROW()-6)&lt;&gt;"Starfsbundinn",DC33="",$E33="",$D33=""),"",ROUND(DC33/$E33*$D33*KVARDI,2))</f>
        <v/>
      </c>
      <c r="DE33" s="66" t="n"/>
      <c r="DF33" s="78">
        <f>IF(OR(INDEX(Undirviðmið!$G$6:$G$105,ROW()-6)&lt;&gt;"Starfsbundinn",DE33="",$E33="",$D33=""),"",ROUND(DE33/$E33*$D33*KVARDI,2))</f>
        <v/>
      </c>
      <c r="DG33" s="66" t="n"/>
      <c r="DH33" s="78">
        <f>IF(OR(INDEX(Undirviðmið!$G$6:$G$105,ROW()-6)&lt;&gt;"Starfsbundinn",DG33="",$E33="",$D33=""),"",ROUND(DG33/$E33*$D33*KVARDI,2))</f>
        <v/>
      </c>
      <c r="DI33" s="66" t="n"/>
      <c r="DJ33" s="78">
        <f>IF(OR(INDEX(Undirviðmið!$G$6:$G$105,ROW()-6)&lt;&gt;"Starfsbundinn",DI33="",$E33="",$D33=""),"",ROUND(DI33/$E33*$D33*KVARDI,2))</f>
        <v/>
      </c>
      <c r="DK33" s="66" t="n"/>
      <c r="DL33" s="78">
        <f>IF(OR(INDEX(Undirviðmið!$G$6:$G$105,ROW()-6)&lt;&gt;"Starfsbundinn",DK33="",$E33="",$D33=""),"",ROUND(DK33/$E33*$D33*KVARDI,2))</f>
        <v/>
      </c>
      <c r="DM33" s="66" t="n"/>
      <c r="DN33" s="78">
        <f>IF(OR(INDEX(Undirviðmið!$G$6:$G$105,ROW()-6)&lt;&gt;"Starfsbundinn",DM33="",$E33="",$D33=""),"",ROUND(DM33/$E33*$D33*KVARDI,2))</f>
        <v/>
      </c>
      <c r="DO33" s="66" t="n"/>
      <c r="DP33" s="78">
        <f>IF(OR(INDEX(Undirviðmið!$G$6:$G$105,ROW()-6)&lt;&gt;"Starfsbundinn",DO33="",$E33="",$D33=""),"",ROUND(DO33/$E33*$D33*KVARDI,2))</f>
        <v/>
      </c>
      <c r="DQ33" s="66" t="n"/>
      <c r="DR33" s="78">
        <f>IF(OR(INDEX(Undirviðmið!$G$6:$G$105,ROW()-6)&lt;&gt;"Starfsbundinn",DQ33="",$E33="",$D33=""),"",ROUND(DQ33/$E33*$D33*KVARDI,2))</f>
        <v/>
      </c>
      <c r="DS33" s="66" t="n"/>
      <c r="DT33" s="78">
        <f>IF(OR(INDEX(Undirviðmið!$G$6:$G$105,ROW()-6)&lt;&gt;"Starfsbundinn",DS33="",$E33="",$D33=""),"",ROUND(DS33/$E33*$D33*KVARDI,2))</f>
        <v/>
      </c>
      <c r="DU33" s="66" t="n"/>
      <c r="DV33" s="78">
        <f>IF(OR(INDEX(Undirviðmið!$G$6:$G$105,ROW()-6)&lt;&gt;"Starfsbundinn",DU33="",$E33="",$D33=""),"",ROUND(DU33/$E33*$D33*KVARDI,2))</f>
        <v/>
      </c>
      <c r="DW33" s="66" t="n"/>
      <c r="DX33" s="78">
        <f>IF(OR(INDEX(Undirviðmið!$G$6:$G$105,ROW()-6)&lt;&gt;"Starfsbundinn",DW33="",$E33="",$D33=""),"",ROUND(DW33/$E33*$D33*KVARDI,2))</f>
        <v/>
      </c>
      <c r="DY33" s="66" t="n"/>
      <c r="DZ33" s="78">
        <f>IF(OR(INDEX(Undirviðmið!$G$6:$G$105,ROW()-6)&lt;&gt;"Starfsbundinn",DY33="",$E33="",$D33=""),"",ROUND(DY33/$E33*$D33*KVARDI,2))</f>
        <v/>
      </c>
      <c r="EA33" s="66" t="n"/>
      <c r="EB33" s="78">
        <f>IF(OR(INDEX(Undirviðmið!$G$6:$G$105,ROW()-6)&lt;&gt;"Starfsbundinn",EA33="",$E33="",$D33=""),"",ROUND(EA33/$E33*$D33*KVARDI,2))</f>
        <v/>
      </c>
      <c r="EC33" s="66" t="n"/>
      <c r="ED33" s="78">
        <f>IF(OR(INDEX(Undirviðmið!$G$6:$G$105,ROW()-6)&lt;&gt;"Starfsbundinn",EC33="",$E33="",$D33=""),"",ROUND(EC33/$E33*$D33*KVARDI,2))</f>
        <v/>
      </c>
      <c r="EE33" s="66" t="n"/>
      <c r="EF33" s="78">
        <f>IF(OR(INDEX(Undirviðmið!$G$6:$G$105,ROW()-6)&lt;&gt;"Starfsbundinn",EE33="",$E33="",$D33=""),"",ROUND(EE33/$E33*$D33*KVARDI,2))</f>
        <v/>
      </c>
      <c r="EG33" s="66" t="n"/>
      <c r="EH33" s="78">
        <f>IF(OR(INDEX(Undirviðmið!$G$6:$G$105,ROW()-6)&lt;&gt;"Starfsbundinn",EG33="",$E33="",$D33=""),"",ROUND(EG33/$E33*$D33*KVARDI,2))</f>
        <v/>
      </c>
      <c r="EI33" s="66" t="n"/>
      <c r="EJ33" s="78">
        <f>IF(OR(INDEX(Undirviðmið!$G$6:$G$105,ROW()-6)&lt;&gt;"Starfsbundinn",EI33="",$E33="",$D33=""),"",ROUND(EI33/$E33*$D33*KVARDI,2))</f>
        <v/>
      </c>
      <c r="EK33" s="66" t="n"/>
      <c r="EL33" s="78">
        <f>IF(OR(INDEX(Undirviðmið!$G$6:$G$105,ROW()-6)&lt;&gt;"Starfsbundinn",EK33="",$E33="",$D33=""),"",ROUND(EK33/$E33*$D33*KVARDI,2))</f>
        <v/>
      </c>
      <c r="EM33" s="66" t="n"/>
      <c r="EN33" s="78">
        <f>IF(OR(INDEX(Undirviðmið!$G$6:$G$105,ROW()-6)&lt;&gt;"Starfsbundinn",EM33="",$E33="",$D33=""),"",ROUND(EM33/$E33*$D33*KVARDI,2))</f>
        <v/>
      </c>
      <c r="EO33" s="66" t="n"/>
      <c r="EP33" s="78">
        <f>IF(OR(INDEX(Undirviðmið!$G$6:$G$105,ROW()-6)&lt;&gt;"Starfsbundinn",EO33="",$E33="",$D33=""),"",ROUND(EO33/$E33*$D33*KVARDI,2))</f>
        <v/>
      </c>
      <c r="EQ33" s="66" t="n"/>
      <c r="ER33" s="78">
        <f>IF(OR(INDEX(Undirviðmið!$G$6:$G$105,ROW()-6)&lt;&gt;"Starfsbundinn",EQ33="",$E33="",$D33=""),"",ROUND(EQ33/$E33*$D33*KVARDI,2))</f>
        <v/>
      </c>
      <c r="ES33" s="66" t="n"/>
      <c r="ET33" s="78">
        <f>IF(OR(INDEX(Undirviðmið!$G$6:$G$105,ROW()-6)&lt;&gt;"Starfsbundinn",ES33="",$E33="",$D33=""),"",ROUND(ES33/$E33*$D33*KVARDI,2))</f>
        <v/>
      </c>
      <c r="EU33" s="66" t="n"/>
      <c r="EV33" s="78">
        <f>IF(OR(INDEX(Undirviðmið!$G$6:$G$105,ROW()-6)&lt;&gt;"Starfsbundinn",EU33="",$E33="",$D33=""),"",ROUND(EU33/$E33*$D33*KVARDI,2))</f>
        <v/>
      </c>
      <c r="EW33" s="66" t="n"/>
      <c r="EX33" s="78">
        <f>IF(OR(INDEX(Undirviðmið!$G$6:$G$105,ROW()-6)&lt;&gt;"Starfsbundinn",EW33="",$E33="",$D33=""),"",ROUND(EW33/$E33*$D33*KVARDI,2))</f>
        <v/>
      </c>
      <c r="EY33" s="66" t="n"/>
      <c r="EZ33" s="78">
        <f>IF(OR(INDEX(Undirviðmið!$G$6:$G$105,ROW()-6)&lt;&gt;"Starfsbundinn",EY33="",$E33="",$D33=""),"",ROUND(EY33/$E33*$D33*KVARDI,2))</f>
        <v/>
      </c>
      <c r="FA33" s="66" t="n"/>
      <c r="FB33" s="78">
        <f>IF(OR(INDEX(Undirviðmið!$G$6:$G$105,ROW()-6)&lt;&gt;"Starfsbundinn",FA33="",$E33="",$D33=""),"",ROUND(FA33/$E33*$D33*KVARDI,2))</f>
        <v/>
      </c>
      <c r="FC33" s="66" t="n"/>
      <c r="FD33" s="78">
        <f>IF(OR(INDEX(Undirviðmið!$G$6:$G$105,ROW()-6)&lt;&gt;"Starfsbundinn",FC33="",$E33="",$D33=""),"",ROUND(FC33/$E33*$D33*KVARDI,2))</f>
        <v/>
      </c>
      <c r="FE33" s="66" t="n"/>
      <c r="FF33" s="78">
        <f>IF(OR(INDEX(Undirviðmið!$G$6:$G$105,ROW()-6)&lt;&gt;"Starfsbundinn",FE33="",$E33="",$D33=""),"",ROUND(FE33/$E33*$D33*KVARDI,2))</f>
        <v/>
      </c>
      <c r="FG33" s="66" t="n"/>
      <c r="FH33" s="78">
        <f>IF(OR(INDEX(Undirviðmið!$G$6:$G$105,ROW()-6)&lt;&gt;"Starfsbundinn",FG33="",$E33="",$D33=""),"",ROUND(FG33/$E33*$D33*KVARDI,2))</f>
        <v/>
      </c>
      <c r="FI33" s="66" t="n"/>
      <c r="FJ33" s="78">
        <f>IF(OR(INDEX(Undirviðmið!$G$6:$G$105,ROW()-6)&lt;&gt;"Starfsbundinn",FI33="",$E33="",$D33=""),"",ROUND(FI33/$E33*$D33*KVARDI,2))</f>
        <v/>
      </c>
      <c r="FK33" s="66" t="n"/>
      <c r="FL33" s="78">
        <f>IF(OR(INDEX(Undirviðmið!$G$6:$G$105,ROW()-6)&lt;&gt;"Starfsbundinn",FK33="",$E33="",$D33=""),"",ROUND(FK33/$E33*$D33*KVARDI,2))</f>
        <v/>
      </c>
      <c r="FM33" s="66" t="n"/>
      <c r="FN33" s="78">
        <f>IF(OR(INDEX(Undirviðmið!$G$6:$G$105,ROW()-6)&lt;&gt;"Starfsbundinn",FM33="",$E33="",$D33=""),"",ROUND(FM33/$E33*$D33*KVARDI,2))</f>
        <v/>
      </c>
      <c r="FO33" s="66" t="n"/>
      <c r="FP33" s="78">
        <f>IF(OR(INDEX(Undirviðmið!$G$6:$G$105,ROW()-6)&lt;&gt;"Starfsbundinn",FO33="",$E33="",$D33=""),"",ROUND(FO33/$E33*$D33*KVARDI,2))</f>
        <v/>
      </c>
      <c r="FQ33" s="66" t="n"/>
      <c r="FR33" s="78">
        <f>IF(OR(INDEX(Undirviðmið!$G$6:$G$105,ROW()-6)&lt;&gt;"Starfsbundinn",FQ33="",$E33="",$D33=""),"",ROUND(FQ33/$E33*$D33*KVARDI,2))</f>
        <v/>
      </c>
      <c r="FS33" s="66" t="n"/>
      <c r="FT33" s="78">
        <f>IF(OR(INDEX(Undirviðmið!$G$6:$G$105,ROW()-6)&lt;&gt;"Starfsbundinn",FS33="",$E33="",$D33=""),"",ROUND(FS33/$E33*$D33*KVARDI,2))</f>
        <v/>
      </c>
      <c r="FU33" s="66" t="n"/>
      <c r="FV33" s="78">
        <f>IF(OR(INDEX(Undirviðmið!$G$6:$G$105,ROW()-6)&lt;&gt;"Starfsbundinn",FU33="",$E33="",$D33=""),"",ROUND(FU33/$E33*$D33*KVARDI,2))</f>
        <v/>
      </c>
      <c r="FW33" s="66" t="n"/>
      <c r="FX33" s="78">
        <f>IF(OR(INDEX(Undirviðmið!$G$6:$G$105,ROW()-6)&lt;&gt;"Starfsbundinn",FW33="",$E33="",$D33=""),"",ROUND(FW33/$E33*$D33*KVARDI,2))</f>
        <v/>
      </c>
      <c r="FY33" s="66" t="n"/>
      <c r="FZ33" s="78">
        <f>IF(OR(INDEX(Undirviðmið!$G$6:$G$105,ROW()-6)&lt;&gt;"Starfsbundinn",FY33="",$E33="",$D33=""),"",ROUND(FY33/$E33*$D33*KVARDI,2))</f>
        <v/>
      </c>
      <c r="GA33" s="66" t="n"/>
      <c r="GB33" s="78">
        <f>IF(OR(INDEX(Undirviðmið!$G$6:$G$105,ROW()-6)&lt;&gt;"Starfsbundinn",GA33="",$E33="",$D33=""),"",ROUND(GA33/$E33*$D33*KVARDI,2))</f>
        <v/>
      </c>
      <c r="GC33" s="66" t="n"/>
      <c r="GD33" s="78">
        <f>IF(OR(INDEX(Undirviðmið!$G$6:$G$105,ROW()-6)&lt;&gt;"Starfsbundinn",GC33="",$E33="",$D33=""),"",ROUND(GC33/$E33*$D33*KVARDI,2))</f>
        <v/>
      </c>
      <c r="GE33" s="66" t="n"/>
      <c r="GF33" s="78">
        <f>IF(OR(INDEX(Undirviðmið!$G$6:$G$105,ROW()-6)&lt;&gt;"Starfsbundinn",GE33="",$E33="",$D33=""),"",ROUND(GE33/$E33*$D33*KVARDI,2))</f>
        <v/>
      </c>
      <c r="GG33" s="66" t="n"/>
      <c r="GH33" s="78">
        <f>IF(OR(INDEX(Undirviðmið!$G$6:$G$105,ROW()-6)&lt;&gt;"Starfsbundinn",GG33="",$E33="",$D33=""),"",ROUND(GG33/$E33*$D33*KVARDI,2))</f>
        <v/>
      </c>
      <c r="GI33" s="66" t="n"/>
      <c r="GJ33" s="78">
        <f>IF(OR(INDEX(Undirviðmið!$G$6:$G$105,ROW()-6)&lt;&gt;"Starfsbundinn",GI33="",$E33="",$D33=""),"",ROUND(GI33/$E33*$D33*KVARDI,2))</f>
        <v/>
      </c>
      <c r="GK33" s="66" t="n"/>
      <c r="GL33" s="78">
        <f>IF(OR(INDEX(Undirviðmið!$G$6:$G$105,ROW()-6)&lt;&gt;"Starfsbundinn",GK33="",$E33="",$D33=""),"",ROUND(GK33/$E33*$D33*KVARDI,2))</f>
        <v/>
      </c>
      <c r="GM33" s="66" t="n"/>
      <c r="GN33" s="78">
        <f>IF(OR(INDEX(Undirviðmið!$G$6:$G$105,ROW()-6)&lt;&gt;"Starfsbundinn",GM33="",$E33="",$D33=""),"",ROUND(GM33/$E33*$D33*KVARDI,2))</f>
        <v/>
      </c>
      <c r="GO33" s="66" t="n"/>
      <c r="GP33" s="78">
        <f>IF(OR(INDEX(Undirviðmið!$G$6:$G$105,ROW()-6)&lt;&gt;"Starfsbundinn",GO33="",$E33="",$D33=""),"",ROUND(GO33/$E33*$D33*KVARDI,2))</f>
        <v/>
      </c>
      <c r="GQ33" s="66" t="n"/>
      <c r="GR33" s="78">
        <f>IF(OR(INDEX(Undirviðmið!$G$6:$G$105,ROW()-6)&lt;&gt;"Starfsbundinn",GQ33="",$E33="",$D33=""),"",ROUND(GQ33/$E33*$D33*KVARDI,2))</f>
        <v/>
      </c>
      <c r="GS33" s="66" t="n"/>
      <c r="GT33" s="78">
        <f>IF(OR(INDEX(Undirviðmið!$G$6:$G$105,ROW()-6)&lt;&gt;"Starfsbundinn",GS33="",$E33="",$D33=""),"",ROUND(GS33/$E33*$D33*KVARDI,2))</f>
        <v/>
      </c>
      <c r="GU33" s="66" t="n"/>
      <c r="GV33" s="78">
        <f>IF(OR(INDEX(Undirviðmið!$G$6:$G$105,ROW()-6)&lt;&gt;"Starfsbundinn",GU33="",$E33="",$D33=""),"",ROUND(GU33/$E33*$D33*KVARDI,2))</f>
        <v/>
      </c>
      <c r="GW33" s="66" t="n"/>
      <c r="GX33" s="78">
        <f>IF(OR(INDEX(Undirviðmið!$G$6:$G$105,ROW()-6)&lt;&gt;"Starfsbundinn",GW33="",$E33="",$D33=""),"",ROUND(GW33/$E33*$D33*KVARDI,2))</f>
        <v/>
      </c>
    </row>
    <row r="34" ht="15" customHeight="1" s="47">
      <c r="B34" s="67">
        <f>IF(INDEX(Undirviðmið!$G$6:$G$105,ROW()-6)="Starfsbundinn",INDEX(Undirviðmið!$B$6:$B$105,ROW()-6),"")</f>
        <v/>
      </c>
      <c r="C34" s="67">
        <f>IF(INDEX(Undirviðmið!$G$6:$G$105,ROW()-6)="Starfsbundinn",INDEX(Undirviðmið!$C$6:$C$105,ROW()-6),"")</f>
        <v/>
      </c>
      <c r="D34" s="77">
        <f>IF(INDEX(Undirviðmið!$G$6:$G$105,ROW()-6)="Starfsbundinn",INDEX(Undirviðmið!$E$6:$E$105,ROW()-6),"")</f>
        <v/>
      </c>
      <c r="E34" s="77">
        <f>IF(INDEX(Undirviðmið!$G$6:$G$105,ROW()-6)="Starfsbundinn",INDEX(Undirviðmið!$F$6:$F$105,ROW()-6),"")</f>
        <v/>
      </c>
      <c r="F34" s="77">
        <f>IF(INDEX(Undirviðmið!$G$6:$G$105,ROW()-6)="Starfsbundinn",IFERROR(INDEX(Undirviðmið!$E$6:$E$105,ROW()-6)*KVARDI,""),"")</f>
        <v/>
      </c>
      <c r="G34" s="66" t="n"/>
      <c r="H34" s="78">
        <f>IF(OR(INDEX(Undirviðmið!$G$6:$G$105,ROW()-6)&lt;&gt;"Starfsbundinn",G34="",$E34="",$D34=""),"",ROUND(G34/$E34*$D34*KVARDI,2))</f>
        <v/>
      </c>
      <c r="I34" s="66" t="n"/>
      <c r="J34" s="78">
        <f>IF(OR(INDEX(Undirviðmið!$G$6:$G$105,ROW()-6)&lt;&gt;"Starfsbundinn",I34="",$E34="",$D34=""),"",ROUND(I34/$E34*$D34*KVARDI,2))</f>
        <v/>
      </c>
      <c r="K34" s="66" t="n"/>
      <c r="L34" s="78">
        <f>IF(OR(INDEX(Undirviðmið!$G$6:$G$105,ROW()-6)&lt;&gt;"Starfsbundinn",K34="",$E34="",$D34=""),"",ROUND(K34/$E34*$D34*KVARDI,2))</f>
        <v/>
      </c>
      <c r="M34" s="66" t="n"/>
      <c r="N34" s="78">
        <f>IF(OR(INDEX(Undirviðmið!$G$6:$G$105,ROW()-6)&lt;&gt;"Starfsbundinn",M34="",$E34="",$D34=""),"",ROUND(M34/$E34*$D34*KVARDI,2))</f>
        <v/>
      </c>
      <c r="O34" s="66" t="n"/>
      <c r="P34" s="78">
        <f>IF(OR(INDEX(Undirviðmið!$G$6:$G$105,ROW()-6)&lt;&gt;"Starfsbundinn",O34="",$E34="",$D34=""),"",ROUND(O34/$E34*$D34*KVARDI,2))</f>
        <v/>
      </c>
      <c r="Q34" s="66" t="n"/>
      <c r="R34" s="78">
        <f>IF(OR(INDEX(Undirviðmið!$G$6:$G$105,ROW()-6)&lt;&gt;"Starfsbundinn",Q34="",$E34="",$D34=""),"",ROUND(Q34/$E34*$D34*KVARDI,2))</f>
        <v/>
      </c>
      <c r="S34" s="66" t="n"/>
      <c r="T34" s="78">
        <f>IF(OR(INDEX(Undirviðmið!$G$6:$G$105,ROW()-6)&lt;&gt;"Starfsbundinn",S34="",$E34="",$D34=""),"",ROUND(S34/$E34*$D34*KVARDI,2))</f>
        <v/>
      </c>
      <c r="U34" s="66" t="n"/>
      <c r="V34" s="78">
        <f>IF(OR(INDEX(Undirviðmið!$G$6:$G$105,ROW()-6)&lt;&gt;"Starfsbundinn",U34="",$E34="",$D34=""),"",ROUND(U34/$E34*$D34*KVARDI,2))</f>
        <v/>
      </c>
      <c r="W34" s="66" t="n"/>
      <c r="X34" s="78">
        <f>IF(OR(INDEX(Undirviðmið!$G$6:$G$105,ROW()-6)&lt;&gt;"Starfsbundinn",W34="",$E34="",$D34=""),"",ROUND(W34/$E34*$D34*KVARDI,2))</f>
        <v/>
      </c>
      <c r="Y34" s="66" t="n"/>
      <c r="Z34" s="78">
        <f>IF(OR(INDEX(Undirviðmið!$G$6:$G$105,ROW()-6)&lt;&gt;"Starfsbundinn",Y34="",$E34="",$D34=""),"",ROUND(Y34/$E34*$D34*KVARDI,2))</f>
        <v/>
      </c>
      <c r="AA34" s="66" t="n"/>
      <c r="AB34" s="78">
        <f>IF(OR(INDEX(Undirviðmið!$G$6:$G$105,ROW()-6)&lt;&gt;"Starfsbundinn",AA34="",$E34="",$D34=""),"",ROUND(AA34/$E34*$D34*KVARDI,2))</f>
        <v/>
      </c>
      <c r="AC34" s="66" t="n"/>
      <c r="AD34" s="78">
        <f>IF(OR(INDEX(Undirviðmið!$G$6:$G$105,ROW()-6)&lt;&gt;"Starfsbundinn",AC34="",$E34="",$D34=""),"",ROUND(AC34/$E34*$D34*KVARDI,2))</f>
        <v/>
      </c>
      <c r="AE34" s="66" t="n"/>
      <c r="AF34" s="78">
        <f>IF(OR(INDEX(Undirviðmið!$G$6:$G$105,ROW()-6)&lt;&gt;"Starfsbundinn",AE34="",$E34="",$D34=""),"",ROUND(AE34/$E34*$D34*KVARDI,2))</f>
        <v/>
      </c>
      <c r="AG34" s="66" t="n"/>
      <c r="AH34" s="78">
        <f>IF(OR(INDEX(Undirviðmið!$G$6:$G$105,ROW()-6)&lt;&gt;"Starfsbundinn",AG34="",$E34="",$D34=""),"",ROUND(AG34/$E34*$D34*KVARDI,2))</f>
        <v/>
      </c>
      <c r="AI34" s="66" t="n"/>
      <c r="AJ34" s="78">
        <f>IF(OR(INDEX(Undirviðmið!$G$6:$G$105,ROW()-6)&lt;&gt;"Starfsbundinn",AI34="",$E34="",$D34=""),"",ROUND(AI34/$E34*$D34*KVARDI,2))</f>
        <v/>
      </c>
      <c r="AK34" s="66" t="n"/>
      <c r="AL34" s="78">
        <f>IF(OR(INDEX(Undirviðmið!$G$6:$G$105,ROW()-6)&lt;&gt;"Starfsbundinn",AK34="",$E34="",$D34=""),"",ROUND(AK34/$E34*$D34*KVARDI,2))</f>
        <v/>
      </c>
      <c r="AM34" s="66" t="n"/>
      <c r="AN34" s="78">
        <f>IF(OR(INDEX(Undirviðmið!$G$6:$G$105,ROW()-6)&lt;&gt;"Starfsbundinn",AM34="",$E34="",$D34=""),"",ROUND(AM34/$E34*$D34*KVARDI,2))</f>
        <v/>
      </c>
      <c r="AO34" s="66" t="n"/>
      <c r="AP34" s="78">
        <f>IF(OR(INDEX(Undirviðmið!$G$6:$G$105,ROW()-6)&lt;&gt;"Starfsbundinn",AO34="",$E34="",$D34=""),"",ROUND(AO34/$E34*$D34*KVARDI,2))</f>
        <v/>
      </c>
      <c r="AQ34" s="66" t="n"/>
      <c r="AR34" s="78">
        <f>IF(OR(INDEX(Undirviðmið!$G$6:$G$105,ROW()-6)&lt;&gt;"Starfsbundinn",AQ34="",$E34="",$D34=""),"",ROUND(AQ34/$E34*$D34*KVARDI,2))</f>
        <v/>
      </c>
      <c r="AS34" s="66" t="n"/>
      <c r="AT34" s="78">
        <f>IF(OR(INDEX(Undirviðmið!$G$6:$G$105,ROW()-6)&lt;&gt;"Starfsbundinn",AS34="",$E34="",$D34=""),"",ROUND(AS34/$E34*$D34*KVARDI,2))</f>
        <v/>
      </c>
      <c r="AU34" s="66" t="n"/>
      <c r="AV34" s="78">
        <f>IF(OR(INDEX(Undirviðmið!$G$6:$G$105,ROW()-6)&lt;&gt;"Starfsbundinn",AU34="",$E34="",$D34=""),"",ROUND(AU34/$E34*$D34*KVARDI,2))</f>
        <v/>
      </c>
      <c r="AW34" s="66" t="n"/>
      <c r="AX34" s="78">
        <f>IF(OR(INDEX(Undirviðmið!$G$6:$G$105,ROW()-6)&lt;&gt;"Starfsbundinn",AW34="",$E34="",$D34=""),"",ROUND(AW34/$E34*$D34*KVARDI,2))</f>
        <v/>
      </c>
      <c r="AY34" s="66" t="n"/>
      <c r="AZ34" s="78">
        <f>IF(OR(INDEX(Undirviðmið!$G$6:$G$105,ROW()-6)&lt;&gt;"Starfsbundinn",AY34="",$E34="",$D34=""),"",ROUND(AY34/$E34*$D34*KVARDI,2))</f>
        <v/>
      </c>
      <c r="BA34" s="66" t="n"/>
      <c r="BB34" s="78">
        <f>IF(OR(INDEX(Undirviðmið!$G$6:$G$105,ROW()-6)&lt;&gt;"Starfsbundinn",BA34="",$E34="",$D34=""),"",ROUND(BA34/$E34*$D34*KVARDI,2))</f>
        <v/>
      </c>
      <c r="BC34" s="66" t="n"/>
      <c r="BD34" s="78">
        <f>IF(OR(INDEX(Undirviðmið!$G$6:$G$105,ROW()-6)&lt;&gt;"Starfsbundinn",BC34="",$E34="",$D34=""),"",ROUND(BC34/$E34*$D34*KVARDI,2))</f>
        <v/>
      </c>
      <c r="BE34" s="66" t="n"/>
      <c r="BF34" s="78">
        <f>IF(OR(INDEX(Undirviðmið!$G$6:$G$105,ROW()-6)&lt;&gt;"Starfsbundinn",BE34="",$E34="",$D34=""),"",ROUND(BE34/$E34*$D34*KVARDI,2))</f>
        <v/>
      </c>
      <c r="BG34" s="66" t="n"/>
      <c r="BH34" s="78">
        <f>IF(OR(INDEX(Undirviðmið!$G$6:$G$105,ROW()-6)&lt;&gt;"Starfsbundinn",BG34="",$E34="",$D34=""),"",ROUND(BG34/$E34*$D34*KVARDI,2))</f>
        <v/>
      </c>
      <c r="BI34" s="66" t="n"/>
      <c r="BJ34" s="78">
        <f>IF(OR(INDEX(Undirviðmið!$G$6:$G$105,ROW()-6)&lt;&gt;"Starfsbundinn",BI34="",$E34="",$D34=""),"",ROUND(BI34/$E34*$D34*KVARDI,2))</f>
        <v/>
      </c>
      <c r="BK34" s="66" t="n"/>
      <c r="BL34" s="78">
        <f>IF(OR(INDEX(Undirviðmið!$G$6:$G$105,ROW()-6)&lt;&gt;"Starfsbundinn",BK34="",$E34="",$D34=""),"",ROUND(BK34/$E34*$D34*KVARDI,2))</f>
        <v/>
      </c>
      <c r="BM34" s="66" t="n"/>
      <c r="BN34" s="78">
        <f>IF(OR(INDEX(Undirviðmið!$G$6:$G$105,ROW()-6)&lt;&gt;"Starfsbundinn",BM34="",$E34="",$D34=""),"",ROUND(BM34/$E34*$D34*KVARDI,2))</f>
        <v/>
      </c>
      <c r="BO34" s="66" t="n"/>
      <c r="BP34" s="78">
        <f>IF(OR(INDEX(Undirviðmið!$G$6:$G$105,ROW()-6)&lt;&gt;"Starfsbundinn",BO34="",$E34="",$D34=""),"",ROUND(BO34/$E34*$D34*KVARDI,2))</f>
        <v/>
      </c>
      <c r="BQ34" s="66" t="n"/>
      <c r="BR34" s="78">
        <f>IF(OR(INDEX(Undirviðmið!$G$6:$G$105,ROW()-6)&lt;&gt;"Starfsbundinn",BQ34="",$E34="",$D34=""),"",ROUND(BQ34/$E34*$D34*KVARDI,2))</f>
        <v/>
      </c>
      <c r="BS34" s="66" t="n"/>
      <c r="BT34" s="78">
        <f>IF(OR(INDEX(Undirviðmið!$G$6:$G$105,ROW()-6)&lt;&gt;"Starfsbundinn",BS34="",$E34="",$D34=""),"",ROUND(BS34/$E34*$D34*KVARDI,2))</f>
        <v/>
      </c>
      <c r="BU34" s="66" t="n"/>
      <c r="BV34" s="78">
        <f>IF(OR(INDEX(Undirviðmið!$G$6:$G$105,ROW()-6)&lt;&gt;"Starfsbundinn",BU34="",$E34="",$D34=""),"",ROUND(BU34/$E34*$D34*KVARDI,2))</f>
        <v/>
      </c>
      <c r="BW34" s="66" t="n"/>
      <c r="BX34" s="78">
        <f>IF(OR(INDEX(Undirviðmið!$G$6:$G$105,ROW()-6)&lt;&gt;"Starfsbundinn",BW34="",$E34="",$D34=""),"",ROUND(BW34/$E34*$D34*KVARDI,2))</f>
        <v/>
      </c>
      <c r="BY34" s="66" t="n"/>
      <c r="BZ34" s="78">
        <f>IF(OR(INDEX(Undirviðmið!$G$6:$G$105,ROW()-6)&lt;&gt;"Starfsbundinn",BY34="",$E34="",$D34=""),"",ROUND(BY34/$E34*$D34*KVARDI,2))</f>
        <v/>
      </c>
      <c r="CA34" s="66" t="n"/>
      <c r="CB34" s="78">
        <f>IF(OR(INDEX(Undirviðmið!$G$6:$G$105,ROW()-6)&lt;&gt;"Starfsbundinn",CA34="",$E34="",$D34=""),"",ROUND(CA34/$E34*$D34*KVARDI,2))</f>
        <v/>
      </c>
      <c r="CC34" s="66" t="n"/>
      <c r="CD34" s="78">
        <f>IF(OR(INDEX(Undirviðmið!$G$6:$G$105,ROW()-6)&lt;&gt;"Starfsbundinn",CC34="",$E34="",$D34=""),"",ROUND(CC34/$E34*$D34*KVARDI,2))</f>
        <v/>
      </c>
      <c r="CE34" s="66" t="n"/>
      <c r="CF34" s="78">
        <f>IF(OR(INDEX(Undirviðmið!$G$6:$G$105,ROW()-6)&lt;&gt;"Starfsbundinn",CE34="",$E34="",$D34=""),"",ROUND(CE34/$E34*$D34*KVARDI,2))</f>
        <v/>
      </c>
      <c r="CG34" s="66" t="n"/>
      <c r="CH34" s="78">
        <f>IF(OR(INDEX(Undirviðmið!$G$6:$G$105,ROW()-6)&lt;&gt;"Starfsbundinn",CG34="",$E34="",$D34=""),"",ROUND(CG34/$E34*$D34*KVARDI,2))</f>
        <v/>
      </c>
      <c r="CI34" s="66" t="n"/>
      <c r="CJ34" s="78">
        <f>IF(OR(INDEX(Undirviðmið!$G$6:$G$105,ROW()-6)&lt;&gt;"Starfsbundinn",CI34="",$E34="",$D34=""),"",ROUND(CI34/$E34*$D34*KVARDI,2))</f>
        <v/>
      </c>
      <c r="CK34" s="66" t="n"/>
      <c r="CL34" s="78">
        <f>IF(OR(INDEX(Undirviðmið!$G$6:$G$105,ROW()-6)&lt;&gt;"Starfsbundinn",CK34="",$E34="",$D34=""),"",ROUND(CK34/$E34*$D34*KVARDI,2))</f>
        <v/>
      </c>
      <c r="CM34" s="66" t="n"/>
      <c r="CN34" s="78">
        <f>IF(OR(INDEX(Undirviðmið!$G$6:$G$105,ROW()-6)&lt;&gt;"Starfsbundinn",CM34="",$E34="",$D34=""),"",ROUND(CM34/$E34*$D34*KVARDI,2))</f>
        <v/>
      </c>
      <c r="CO34" s="66" t="n"/>
      <c r="CP34" s="78">
        <f>IF(OR(INDEX(Undirviðmið!$G$6:$G$105,ROW()-6)&lt;&gt;"Starfsbundinn",CO34="",$E34="",$D34=""),"",ROUND(CO34/$E34*$D34*KVARDI,2))</f>
        <v/>
      </c>
      <c r="CQ34" s="66" t="n"/>
      <c r="CR34" s="78">
        <f>IF(OR(INDEX(Undirviðmið!$G$6:$G$105,ROW()-6)&lt;&gt;"Starfsbundinn",CQ34="",$E34="",$D34=""),"",ROUND(CQ34/$E34*$D34*KVARDI,2))</f>
        <v/>
      </c>
      <c r="CS34" s="66" t="n"/>
      <c r="CT34" s="78">
        <f>IF(OR(INDEX(Undirviðmið!$G$6:$G$105,ROW()-6)&lt;&gt;"Starfsbundinn",CS34="",$E34="",$D34=""),"",ROUND(CS34/$E34*$D34*KVARDI,2))</f>
        <v/>
      </c>
      <c r="CU34" s="66" t="n"/>
      <c r="CV34" s="78">
        <f>IF(OR(INDEX(Undirviðmið!$G$6:$G$105,ROW()-6)&lt;&gt;"Starfsbundinn",CU34="",$E34="",$D34=""),"",ROUND(CU34/$E34*$D34*KVARDI,2))</f>
        <v/>
      </c>
      <c r="CW34" s="66" t="n"/>
      <c r="CX34" s="78">
        <f>IF(OR(INDEX(Undirviðmið!$G$6:$G$105,ROW()-6)&lt;&gt;"Starfsbundinn",CW34="",$E34="",$D34=""),"",ROUND(CW34/$E34*$D34*KVARDI,2))</f>
        <v/>
      </c>
      <c r="CY34" s="66" t="n"/>
      <c r="CZ34" s="78">
        <f>IF(OR(INDEX(Undirviðmið!$G$6:$G$105,ROW()-6)&lt;&gt;"Starfsbundinn",CY34="",$E34="",$D34=""),"",ROUND(CY34/$E34*$D34*KVARDI,2))</f>
        <v/>
      </c>
      <c r="DA34" s="66" t="n"/>
      <c r="DB34" s="78">
        <f>IF(OR(INDEX(Undirviðmið!$G$6:$G$105,ROW()-6)&lt;&gt;"Starfsbundinn",DA34="",$E34="",$D34=""),"",ROUND(DA34/$E34*$D34*KVARDI,2))</f>
        <v/>
      </c>
      <c r="DC34" s="66" t="n"/>
      <c r="DD34" s="78">
        <f>IF(OR(INDEX(Undirviðmið!$G$6:$G$105,ROW()-6)&lt;&gt;"Starfsbundinn",DC34="",$E34="",$D34=""),"",ROUND(DC34/$E34*$D34*KVARDI,2))</f>
        <v/>
      </c>
      <c r="DE34" s="66" t="n"/>
      <c r="DF34" s="78">
        <f>IF(OR(INDEX(Undirviðmið!$G$6:$G$105,ROW()-6)&lt;&gt;"Starfsbundinn",DE34="",$E34="",$D34=""),"",ROUND(DE34/$E34*$D34*KVARDI,2))</f>
        <v/>
      </c>
      <c r="DG34" s="66" t="n"/>
      <c r="DH34" s="78">
        <f>IF(OR(INDEX(Undirviðmið!$G$6:$G$105,ROW()-6)&lt;&gt;"Starfsbundinn",DG34="",$E34="",$D34=""),"",ROUND(DG34/$E34*$D34*KVARDI,2))</f>
        <v/>
      </c>
      <c r="DI34" s="66" t="n"/>
      <c r="DJ34" s="78">
        <f>IF(OR(INDEX(Undirviðmið!$G$6:$G$105,ROW()-6)&lt;&gt;"Starfsbundinn",DI34="",$E34="",$D34=""),"",ROUND(DI34/$E34*$D34*KVARDI,2))</f>
        <v/>
      </c>
      <c r="DK34" s="66" t="n"/>
      <c r="DL34" s="78">
        <f>IF(OR(INDEX(Undirviðmið!$G$6:$G$105,ROW()-6)&lt;&gt;"Starfsbundinn",DK34="",$E34="",$D34=""),"",ROUND(DK34/$E34*$D34*KVARDI,2))</f>
        <v/>
      </c>
      <c r="DM34" s="66" t="n"/>
      <c r="DN34" s="78">
        <f>IF(OR(INDEX(Undirviðmið!$G$6:$G$105,ROW()-6)&lt;&gt;"Starfsbundinn",DM34="",$E34="",$D34=""),"",ROUND(DM34/$E34*$D34*KVARDI,2))</f>
        <v/>
      </c>
      <c r="DO34" s="66" t="n"/>
      <c r="DP34" s="78">
        <f>IF(OR(INDEX(Undirviðmið!$G$6:$G$105,ROW()-6)&lt;&gt;"Starfsbundinn",DO34="",$E34="",$D34=""),"",ROUND(DO34/$E34*$D34*KVARDI,2))</f>
        <v/>
      </c>
      <c r="DQ34" s="66" t="n"/>
      <c r="DR34" s="78">
        <f>IF(OR(INDEX(Undirviðmið!$G$6:$G$105,ROW()-6)&lt;&gt;"Starfsbundinn",DQ34="",$E34="",$D34=""),"",ROUND(DQ34/$E34*$D34*KVARDI,2))</f>
        <v/>
      </c>
      <c r="DS34" s="66" t="n"/>
      <c r="DT34" s="78">
        <f>IF(OR(INDEX(Undirviðmið!$G$6:$G$105,ROW()-6)&lt;&gt;"Starfsbundinn",DS34="",$E34="",$D34=""),"",ROUND(DS34/$E34*$D34*KVARDI,2))</f>
        <v/>
      </c>
      <c r="DU34" s="66" t="n"/>
      <c r="DV34" s="78">
        <f>IF(OR(INDEX(Undirviðmið!$G$6:$G$105,ROW()-6)&lt;&gt;"Starfsbundinn",DU34="",$E34="",$D34=""),"",ROUND(DU34/$E34*$D34*KVARDI,2))</f>
        <v/>
      </c>
      <c r="DW34" s="66" t="n"/>
      <c r="DX34" s="78">
        <f>IF(OR(INDEX(Undirviðmið!$G$6:$G$105,ROW()-6)&lt;&gt;"Starfsbundinn",DW34="",$E34="",$D34=""),"",ROUND(DW34/$E34*$D34*KVARDI,2))</f>
        <v/>
      </c>
      <c r="DY34" s="66" t="n"/>
      <c r="DZ34" s="78">
        <f>IF(OR(INDEX(Undirviðmið!$G$6:$G$105,ROW()-6)&lt;&gt;"Starfsbundinn",DY34="",$E34="",$D34=""),"",ROUND(DY34/$E34*$D34*KVARDI,2))</f>
        <v/>
      </c>
      <c r="EA34" s="66" t="n"/>
      <c r="EB34" s="78">
        <f>IF(OR(INDEX(Undirviðmið!$G$6:$G$105,ROW()-6)&lt;&gt;"Starfsbundinn",EA34="",$E34="",$D34=""),"",ROUND(EA34/$E34*$D34*KVARDI,2))</f>
        <v/>
      </c>
      <c r="EC34" s="66" t="n"/>
      <c r="ED34" s="78">
        <f>IF(OR(INDEX(Undirviðmið!$G$6:$G$105,ROW()-6)&lt;&gt;"Starfsbundinn",EC34="",$E34="",$D34=""),"",ROUND(EC34/$E34*$D34*KVARDI,2))</f>
        <v/>
      </c>
      <c r="EE34" s="66" t="n"/>
      <c r="EF34" s="78">
        <f>IF(OR(INDEX(Undirviðmið!$G$6:$G$105,ROW()-6)&lt;&gt;"Starfsbundinn",EE34="",$E34="",$D34=""),"",ROUND(EE34/$E34*$D34*KVARDI,2))</f>
        <v/>
      </c>
      <c r="EG34" s="66" t="n"/>
      <c r="EH34" s="78">
        <f>IF(OR(INDEX(Undirviðmið!$G$6:$G$105,ROW()-6)&lt;&gt;"Starfsbundinn",EG34="",$E34="",$D34=""),"",ROUND(EG34/$E34*$D34*KVARDI,2))</f>
        <v/>
      </c>
      <c r="EI34" s="66" t="n"/>
      <c r="EJ34" s="78">
        <f>IF(OR(INDEX(Undirviðmið!$G$6:$G$105,ROW()-6)&lt;&gt;"Starfsbundinn",EI34="",$E34="",$D34=""),"",ROUND(EI34/$E34*$D34*KVARDI,2))</f>
        <v/>
      </c>
      <c r="EK34" s="66" t="n"/>
      <c r="EL34" s="78">
        <f>IF(OR(INDEX(Undirviðmið!$G$6:$G$105,ROW()-6)&lt;&gt;"Starfsbundinn",EK34="",$E34="",$D34=""),"",ROUND(EK34/$E34*$D34*KVARDI,2))</f>
        <v/>
      </c>
      <c r="EM34" s="66" t="n"/>
      <c r="EN34" s="78">
        <f>IF(OR(INDEX(Undirviðmið!$G$6:$G$105,ROW()-6)&lt;&gt;"Starfsbundinn",EM34="",$E34="",$D34=""),"",ROUND(EM34/$E34*$D34*KVARDI,2))</f>
        <v/>
      </c>
      <c r="EO34" s="66" t="n"/>
      <c r="EP34" s="78">
        <f>IF(OR(INDEX(Undirviðmið!$G$6:$G$105,ROW()-6)&lt;&gt;"Starfsbundinn",EO34="",$E34="",$D34=""),"",ROUND(EO34/$E34*$D34*KVARDI,2))</f>
        <v/>
      </c>
      <c r="EQ34" s="66" t="n"/>
      <c r="ER34" s="78">
        <f>IF(OR(INDEX(Undirviðmið!$G$6:$G$105,ROW()-6)&lt;&gt;"Starfsbundinn",EQ34="",$E34="",$D34=""),"",ROUND(EQ34/$E34*$D34*KVARDI,2))</f>
        <v/>
      </c>
      <c r="ES34" s="66" t="n"/>
      <c r="ET34" s="78">
        <f>IF(OR(INDEX(Undirviðmið!$G$6:$G$105,ROW()-6)&lt;&gt;"Starfsbundinn",ES34="",$E34="",$D34=""),"",ROUND(ES34/$E34*$D34*KVARDI,2))</f>
        <v/>
      </c>
      <c r="EU34" s="66" t="n"/>
      <c r="EV34" s="78">
        <f>IF(OR(INDEX(Undirviðmið!$G$6:$G$105,ROW()-6)&lt;&gt;"Starfsbundinn",EU34="",$E34="",$D34=""),"",ROUND(EU34/$E34*$D34*KVARDI,2))</f>
        <v/>
      </c>
      <c r="EW34" s="66" t="n"/>
      <c r="EX34" s="78">
        <f>IF(OR(INDEX(Undirviðmið!$G$6:$G$105,ROW()-6)&lt;&gt;"Starfsbundinn",EW34="",$E34="",$D34=""),"",ROUND(EW34/$E34*$D34*KVARDI,2))</f>
        <v/>
      </c>
      <c r="EY34" s="66" t="n"/>
      <c r="EZ34" s="78">
        <f>IF(OR(INDEX(Undirviðmið!$G$6:$G$105,ROW()-6)&lt;&gt;"Starfsbundinn",EY34="",$E34="",$D34=""),"",ROUND(EY34/$E34*$D34*KVARDI,2))</f>
        <v/>
      </c>
      <c r="FA34" s="66" t="n"/>
      <c r="FB34" s="78">
        <f>IF(OR(INDEX(Undirviðmið!$G$6:$G$105,ROW()-6)&lt;&gt;"Starfsbundinn",FA34="",$E34="",$D34=""),"",ROUND(FA34/$E34*$D34*KVARDI,2))</f>
        <v/>
      </c>
      <c r="FC34" s="66" t="n"/>
      <c r="FD34" s="78">
        <f>IF(OR(INDEX(Undirviðmið!$G$6:$G$105,ROW()-6)&lt;&gt;"Starfsbundinn",FC34="",$E34="",$D34=""),"",ROUND(FC34/$E34*$D34*KVARDI,2))</f>
        <v/>
      </c>
      <c r="FE34" s="66" t="n"/>
      <c r="FF34" s="78">
        <f>IF(OR(INDEX(Undirviðmið!$G$6:$G$105,ROW()-6)&lt;&gt;"Starfsbundinn",FE34="",$E34="",$D34=""),"",ROUND(FE34/$E34*$D34*KVARDI,2))</f>
        <v/>
      </c>
      <c r="FG34" s="66" t="n"/>
      <c r="FH34" s="78">
        <f>IF(OR(INDEX(Undirviðmið!$G$6:$G$105,ROW()-6)&lt;&gt;"Starfsbundinn",FG34="",$E34="",$D34=""),"",ROUND(FG34/$E34*$D34*KVARDI,2))</f>
        <v/>
      </c>
      <c r="FI34" s="66" t="n"/>
      <c r="FJ34" s="78">
        <f>IF(OR(INDEX(Undirviðmið!$G$6:$G$105,ROW()-6)&lt;&gt;"Starfsbundinn",FI34="",$E34="",$D34=""),"",ROUND(FI34/$E34*$D34*KVARDI,2))</f>
        <v/>
      </c>
      <c r="FK34" s="66" t="n"/>
      <c r="FL34" s="78">
        <f>IF(OR(INDEX(Undirviðmið!$G$6:$G$105,ROW()-6)&lt;&gt;"Starfsbundinn",FK34="",$E34="",$D34=""),"",ROUND(FK34/$E34*$D34*KVARDI,2))</f>
        <v/>
      </c>
      <c r="FM34" s="66" t="n"/>
      <c r="FN34" s="78">
        <f>IF(OR(INDEX(Undirviðmið!$G$6:$G$105,ROW()-6)&lt;&gt;"Starfsbundinn",FM34="",$E34="",$D34=""),"",ROUND(FM34/$E34*$D34*KVARDI,2))</f>
        <v/>
      </c>
      <c r="FO34" s="66" t="n"/>
      <c r="FP34" s="78">
        <f>IF(OR(INDEX(Undirviðmið!$G$6:$G$105,ROW()-6)&lt;&gt;"Starfsbundinn",FO34="",$E34="",$D34=""),"",ROUND(FO34/$E34*$D34*KVARDI,2))</f>
        <v/>
      </c>
      <c r="FQ34" s="66" t="n"/>
      <c r="FR34" s="78">
        <f>IF(OR(INDEX(Undirviðmið!$G$6:$G$105,ROW()-6)&lt;&gt;"Starfsbundinn",FQ34="",$E34="",$D34=""),"",ROUND(FQ34/$E34*$D34*KVARDI,2))</f>
        <v/>
      </c>
      <c r="FS34" s="66" t="n"/>
      <c r="FT34" s="78">
        <f>IF(OR(INDEX(Undirviðmið!$G$6:$G$105,ROW()-6)&lt;&gt;"Starfsbundinn",FS34="",$E34="",$D34=""),"",ROUND(FS34/$E34*$D34*KVARDI,2))</f>
        <v/>
      </c>
      <c r="FU34" s="66" t="n"/>
      <c r="FV34" s="78">
        <f>IF(OR(INDEX(Undirviðmið!$G$6:$G$105,ROW()-6)&lt;&gt;"Starfsbundinn",FU34="",$E34="",$D34=""),"",ROUND(FU34/$E34*$D34*KVARDI,2))</f>
        <v/>
      </c>
      <c r="FW34" s="66" t="n"/>
      <c r="FX34" s="78">
        <f>IF(OR(INDEX(Undirviðmið!$G$6:$G$105,ROW()-6)&lt;&gt;"Starfsbundinn",FW34="",$E34="",$D34=""),"",ROUND(FW34/$E34*$D34*KVARDI,2))</f>
        <v/>
      </c>
      <c r="FY34" s="66" t="n"/>
      <c r="FZ34" s="78">
        <f>IF(OR(INDEX(Undirviðmið!$G$6:$G$105,ROW()-6)&lt;&gt;"Starfsbundinn",FY34="",$E34="",$D34=""),"",ROUND(FY34/$E34*$D34*KVARDI,2))</f>
        <v/>
      </c>
      <c r="GA34" s="66" t="n"/>
      <c r="GB34" s="78">
        <f>IF(OR(INDEX(Undirviðmið!$G$6:$G$105,ROW()-6)&lt;&gt;"Starfsbundinn",GA34="",$E34="",$D34=""),"",ROUND(GA34/$E34*$D34*KVARDI,2))</f>
        <v/>
      </c>
      <c r="GC34" s="66" t="n"/>
      <c r="GD34" s="78">
        <f>IF(OR(INDEX(Undirviðmið!$G$6:$G$105,ROW()-6)&lt;&gt;"Starfsbundinn",GC34="",$E34="",$D34=""),"",ROUND(GC34/$E34*$D34*KVARDI,2))</f>
        <v/>
      </c>
      <c r="GE34" s="66" t="n"/>
      <c r="GF34" s="78">
        <f>IF(OR(INDEX(Undirviðmið!$G$6:$G$105,ROW()-6)&lt;&gt;"Starfsbundinn",GE34="",$E34="",$D34=""),"",ROUND(GE34/$E34*$D34*KVARDI,2))</f>
        <v/>
      </c>
      <c r="GG34" s="66" t="n"/>
      <c r="GH34" s="78">
        <f>IF(OR(INDEX(Undirviðmið!$G$6:$G$105,ROW()-6)&lt;&gt;"Starfsbundinn",GG34="",$E34="",$D34=""),"",ROUND(GG34/$E34*$D34*KVARDI,2))</f>
        <v/>
      </c>
      <c r="GI34" s="66" t="n"/>
      <c r="GJ34" s="78">
        <f>IF(OR(INDEX(Undirviðmið!$G$6:$G$105,ROW()-6)&lt;&gt;"Starfsbundinn",GI34="",$E34="",$D34=""),"",ROUND(GI34/$E34*$D34*KVARDI,2))</f>
        <v/>
      </c>
      <c r="GK34" s="66" t="n"/>
      <c r="GL34" s="78">
        <f>IF(OR(INDEX(Undirviðmið!$G$6:$G$105,ROW()-6)&lt;&gt;"Starfsbundinn",GK34="",$E34="",$D34=""),"",ROUND(GK34/$E34*$D34*KVARDI,2))</f>
        <v/>
      </c>
      <c r="GM34" s="66" t="n"/>
      <c r="GN34" s="78">
        <f>IF(OR(INDEX(Undirviðmið!$G$6:$G$105,ROW()-6)&lt;&gt;"Starfsbundinn",GM34="",$E34="",$D34=""),"",ROUND(GM34/$E34*$D34*KVARDI,2))</f>
        <v/>
      </c>
      <c r="GO34" s="66" t="n"/>
      <c r="GP34" s="78">
        <f>IF(OR(INDEX(Undirviðmið!$G$6:$G$105,ROW()-6)&lt;&gt;"Starfsbundinn",GO34="",$E34="",$D34=""),"",ROUND(GO34/$E34*$D34*KVARDI,2))</f>
        <v/>
      </c>
      <c r="GQ34" s="66" t="n"/>
      <c r="GR34" s="78">
        <f>IF(OR(INDEX(Undirviðmið!$G$6:$G$105,ROW()-6)&lt;&gt;"Starfsbundinn",GQ34="",$E34="",$D34=""),"",ROUND(GQ34/$E34*$D34*KVARDI,2))</f>
        <v/>
      </c>
      <c r="GS34" s="66" t="n"/>
      <c r="GT34" s="78">
        <f>IF(OR(INDEX(Undirviðmið!$G$6:$G$105,ROW()-6)&lt;&gt;"Starfsbundinn",GS34="",$E34="",$D34=""),"",ROUND(GS34/$E34*$D34*KVARDI,2))</f>
        <v/>
      </c>
      <c r="GU34" s="66" t="n"/>
      <c r="GV34" s="78">
        <f>IF(OR(INDEX(Undirviðmið!$G$6:$G$105,ROW()-6)&lt;&gt;"Starfsbundinn",GU34="",$E34="",$D34=""),"",ROUND(GU34/$E34*$D34*KVARDI,2))</f>
        <v/>
      </c>
      <c r="GW34" s="66" t="n"/>
      <c r="GX34" s="78">
        <f>IF(OR(INDEX(Undirviðmið!$G$6:$G$105,ROW()-6)&lt;&gt;"Starfsbundinn",GW34="",$E34="",$D34=""),"",ROUND(GW34/$E34*$D34*KVARDI,2))</f>
        <v/>
      </c>
    </row>
    <row r="35" ht="15" customHeight="1" s="47">
      <c r="B35" s="67">
        <f>IF(INDEX(Undirviðmið!$G$6:$G$105,ROW()-6)="Starfsbundinn",INDEX(Undirviðmið!$B$6:$B$105,ROW()-6),"")</f>
        <v/>
      </c>
      <c r="C35" s="67">
        <f>IF(INDEX(Undirviðmið!$G$6:$G$105,ROW()-6)="Starfsbundinn",INDEX(Undirviðmið!$C$6:$C$105,ROW()-6),"")</f>
        <v/>
      </c>
      <c r="D35" s="77">
        <f>IF(INDEX(Undirviðmið!$G$6:$G$105,ROW()-6)="Starfsbundinn",INDEX(Undirviðmið!$E$6:$E$105,ROW()-6),"")</f>
        <v/>
      </c>
      <c r="E35" s="77">
        <f>IF(INDEX(Undirviðmið!$G$6:$G$105,ROW()-6)="Starfsbundinn",INDEX(Undirviðmið!$F$6:$F$105,ROW()-6),"")</f>
        <v/>
      </c>
      <c r="F35" s="77">
        <f>IF(INDEX(Undirviðmið!$G$6:$G$105,ROW()-6)="Starfsbundinn",IFERROR(INDEX(Undirviðmið!$E$6:$E$105,ROW()-6)*KVARDI,""),"")</f>
        <v/>
      </c>
      <c r="G35" s="66" t="n"/>
      <c r="H35" s="78">
        <f>IF(OR(INDEX(Undirviðmið!$G$6:$G$105,ROW()-6)&lt;&gt;"Starfsbundinn",G35="",$E35="",$D35=""),"",ROUND(G35/$E35*$D35*KVARDI,2))</f>
        <v/>
      </c>
      <c r="I35" s="66" t="n"/>
      <c r="J35" s="78">
        <f>IF(OR(INDEX(Undirviðmið!$G$6:$G$105,ROW()-6)&lt;&gt;"Starfsbundinn",I35="",$E35="",$D35=""),"",ROUND(I35/$E35*$D35*KVARDI,2))</f>
        <v/>
      </c>
      <c r="K35" s="66" t="n"/>
      <c r="L35" s="78">
        <f>IF(OR(INDEX(Undirviðmið!$G$6:$G$105,ROW()-6)&lt;&gt;"Starfsbundinn",K35="",$E35="",$D35=""),"",ROUND(K35/$E35*$D35*KVARDI,2))</f>
        <v/>
      </c>
      <c r="M35" s="66" t="n"/>
      <c r="N35" s="78">
        <f>IF(OR(INDEX(Undirviðmið!$G$6:$G$105,ROW()-6)&lt;&gt;"Starfsbundinn",M35="",$E35="",$D35=""),"",ROUND(M35/$E35*$D35*KVARDI,2))</f>
        <v/>
      </c>
      <c r="O35" s="66" t="n"/>
      <c r="P35" s="78">
        <f>IF(OR(INDEX(Undirviðmið!$G$6:$G$105,ROW()-6)&lt;&gt;"Starfsbundinn",O35="",$E35="",$D35=""),"",ROUND(O35/$E35*$D35*KVARDI,2))</f>
        <v/>
      </c>
      <c r="Q35" s="66" t="n"/>
      <c r="R35" s="78">
        <f>IF(OR(INDEX(Undirviðmið!$G$6:$G$105,ROW()-6)&lt;&gt;"Starfsbundinn",Q35="",$E35="",$D35=""),"",ROUND(Q35/$E35*$D35*KVARDI,2))</f>
        <v/>
      </c>
      <c r="S35" s="66" t="n"/>
      <c r="T35" s="78">
        <f>IF(OR(INDEX(Undirviðmið!$G$6:$G$105,ROW()-6)&lt;&gt;"Starfsbundinn",S35="",$E35="",$D35=""),"",ROUND(S35/$E35*$D35*KVARDI,2))</f>
        <v/>
      </c>
      <c r="U35" s="66" t="n"/>
      <c r="V35" s="78">
        <f>IF(OR(INDEX(Undirviðmið!$G$6:$G$105,ROW()-6)&lt;&gt;"Starfsbundinn",U35="",$E35="",$D35=""),"",ROUND(U35/$E35*$D35*KVARDI,2))</f>
        <v/>
      </c>
      <c r="W35" s="66" t="n"/>
      <c r="X35" s="78">
        <f>IF(OR(INDEX(Undirviðmið!$G$6:$G$105,ROW()-6)&lt;&gt;"Starfsbundinn",W35="",$E35="",$D35=""),"",ROUND(W35/$E35*$D35*KVARDI,2))</f>
        <v/>
      </c>
      <c r="Y35" s="66" t="n"/>
      <c r="Z35" s="78">
        <f>IF(OR(INDEX(Undirviðmið!$G$6:$G$105,ROW()-6)&lt;&gt;"Starfsbundinn",Y35="",$E35="",$D35=""),"",ROUND(Y35/$E35*$D35*KVARDI,2))</f>
        <v/>
      </c>
      <c r="AA35" s="66" t="n"/>
      <c r="AB35" s="78">
        <f>IF(OR(INDEX(Undirviðmið!$G$6:$G$105,ROW()-6)&lt;&gt;"Starfsbundinn",AA35="",$E35="",$D35=""),"",ROUND(AA35/$E35*$D35*KVARDI,2))</f>
        <v/>
      </c>
      <c r="AC35" s="66" t="n"/>
      <c r="AD35" s="78">
        <f>IF(OR(INDEX(Undirviðmið!$G$6:$G$105,ROW()-6)&lt;&gt;"Starfsbundinn",AC35="",$E35="",$D35=""),"",ROUND(AC35/$E35*$D35*KVARDI,2))</f>
        <v/>
      </c>
      <c r="AE35" s="66" t="n"/>
      <c r="AF35" s="78">
        <f>IF(OR(INDEX(Undirviðmið!$G$6:$G$105,ROW()-6)&lt;&gt;"Starfsbundinn",AE35="",$E35="",$D35=""),"",ROUND(AE35/$E35*$D35*KVARDI,2))</f>
        <v/>
      </c>
      <c r="AG35" s="66" t="n"/>
      <c r="AH35" s="78">
        <f>IF(OR(INDEX(Undirviðmið!$G$6:$G$105,ROW()-6)&lt;&gt;"Starfsbundinn",AG35="",$E35="",$D35=""),"",ROUND(AG35/$E35*$D35*KVARDI,2))</f>
        <v/>
      </c>
      <c r="AI35" s="66" t="n"/>
      <c r="AJ35" s="78">
        <f>IF(OR(INDEX(Undirviðmið!$G$6:$G$105,ROW()-6)&lt;&gt;"Starfsbundinn",AI35="",$E35="",$D35=""),"",ROUND(AI35/$E35*$D35*KVARDI,2))</f>
        <v/>
      </c>
      <c r="AK35" s="66" t="n"/>
      <c r="AL35" s="78">
        <f>IF(OR(INDEX(Undirviðmið!$G$6:$G$105,ROW()-6)&lt;&gt;"Starfsbundinn",AK35="",$E35="",$D35=""),"",ROUND(AK35/$E35*$D35*KVARDI,2))</f>
        <v/>
      </c>
      <c r="AM35" s="66" t="n"/>
      <c r="AN35" s="78">
        <f>IF(OR(INDEX(Undirviðmið!$G$6:$G$105,ROW()-6)&lt;&gt;"Starfsbundinn",AM35="",$E35="",$D35=""),"",ROUND(AM35/$E35*$D35*KVARDI,2))</f>
        <v/>
      </c>
      <c r="AO35" s="66" t="n"/>
      <c r="AP35" s="78">
        <f>IF(OR(INDEX(Undirviðmið!$G$6:$G$105,ROW()-6)&lt;&gt;"Starfsbundinn",AO35="",$E35="",$D35=""),"",ROUND(AO35/$E35*$D35*KVARDI,2))</f>
        <v/>
      </c>
      <c r="AQ35" s="66" t="n"/>
      <c r="AR35" s="78">
        <f>IF(OR(INDEX(Undirviðmið!$G$6:$G$105,ROW()-6)&lt;&gt;"Starfsbundinn",AQ35="",$E35="",$D35=""),"",ROUND(AQ35/$E35*$D35*KVARDI,2))</f>
        <v/>
      </c>
      <c r="AS35" s="66" t="n"/>
      <c r="AT35" s="78">
        <f>IF(OR(INDEX(Undirviðmið!$G$6:$G$105,ROW()-6)&lt;&gt;"Starfsbundinn",AS35="",$E35="",$D35=""),"",ROUND(AS35/$E35*$D35*KVARDI,2))</f>
        <v/>
      </c>
      <c r="AU35" s="66" t="n"/>
      <c r="AV35" s="78">
        <f>IF(OR(INDEX(Undirviðmið!$G$6:$G$105,ROW()-6)&lt;&gt;"Starfsbundinn",AU35="",$E35="",$D35=""),"",ROUND(AU35/$E35*$D35*KVARDI,2))</f>
        <v/>
      </c>
      <c r="AW35" s="66" t="n"/>
      <c r="AX35" s="78">
        <f>IF(OR(INDEX(Undirviðmið!$G$6:$G$105,ROW()-6)&lt;&gt;"Starfsbundinn",AW35="",$E35="",$D35=""),"",ROUND(AW35/$E35*$D35*KVARDI,2))</f>
        <v/>
      </c>
      <c r="AY35" s="66" t="n"/>
      <c r="AZ35" s="78">
        <f>IF(OR(INDEX(Undirviðmið!$G$6:$G$105,ROW()-6)&lt;&gt;"Starfsbundinn",AY35="",$E35="",$D35=""),"",ROUND(AY35/$E35*$D35*KVARDI,2))</f>
        <v/>
      </c>
      <c r="BA35" s="66" t="n"/>
      <c r="BB35" s="78">
        <f>IF(OR(INDEX(Undirviðmið!$G$6:$G$105,ROW()-6)&lt;&gt;"Starfsbundinn",BA35="",$E35="",$D35=""),"",ROUND(BA35/$E35*$D35*KVARDI,2))</f>
        <v/>
      </c>
      <c r="BC35" s="66" t="n"/>
      <c r="BD35" s="78">
        <f>IF(OR(INDEX(Undirviðmið!$G$6:$G$105,ROW()-6)&lt;&gt;"Starfsbundinn",BC35="",$E35="",$D35=""),"",ROUND(BC35/$E35*$D35*KVARDI,2))</f>
        <v/>
      </c>
      <c r="BE35" s="66" t="n"/>
      <c r="BF35" s="78">
        <f>IF(OR(INDEX(Undirviðmið!$G$6:$G$105,ROW()-6)&lt;&gt;"Starfsbundinn",BE35="",$E35="",$D35=""),"",ROUND(BE35/$E35*$D35*KVARDI,2))</f>
        <v/>
      </c>
      <c r="BG35" s="66" t="n"/>
      <c r="BH35" s="78">
        <f>IF(OR(INDEX(Undirviðmið!$G$6:$G$105,ROW()-6)&lt;&gt;"Starfsbundinn",BG35="",$E35="",$D35=""),"",ROUND(BG35/$E35*$D35*KVARDI,2))</f>
        <v/>
      </c>
      <c r="BI35" s="66" t="n"/>
      <c r="BJ35" s="78">
        <f>IF(OR(INDEX(Undirviðmið!$G$6:$G$105,ROW()-6)&lt;&gt;"Starfsbundinn",BI35="",$E35="",$D35=""),"",ROUND(BI35/$E35*$D35*KVARDI,2))</f>
        <v/>
      </c>
      <c r="BK35" s="66" t="n"/>
      <c r="BL35" s="78">
        <f>IF(OR(INDEX(Undirviðmið!$G$6:$G$105,ROW()-6)&lt;&gt;"Starfsbundinn",BK35="",$E35="",$D35=""),"",ROUND(BK35/$E35*$D35*KVARDI,2))</f>
        <v/>
      </c>
      <c r="BM35" s="66" t="n"/>
      <c r="BN35" s="78">
        <f>IF(OR(INDEX(Undirviðmið!$G$6:$G$105,ROW()-6)&lt;&gt;"Starfsbundinn",BM35="",$E35="",$D35=""),"",ROUND(BM35/$E35*$D35*KVARDI,2))</f>
        <v/>
      </c>
      <c r="BO35" s="66" t="n"/>
      <c r="BP35" s="78">
        <f>IF(OR(INDEX(Undirviðmið!$G$6:$G$105,ROW()-6)&lt;&gt;"Starfsbundinn",BO35="",$E35="",$D35=""),"",ROUND(BO35/$E35*$D35*KVARDI,2))</f>
        <v/>
      </c>
      <c r="BQ35" s="66" t="n"/>
      <c r="BR35" s="78">
        <f>IF(OR(INDEX(Undirviðmið!$G$6:$G$105,ROW()-6)&lt;&gt;"Starfsbundinn",BQ35="",$E35="",$D35=""),"",ROUND(BQ35/$E35*$D35*KVARDI,2))</f>
        <v/>
      </c>
      <c r="BS35" s="66" t="n"/>
      <c r="BT35" s="78">
        <f>IF(OR(INDEX(Undirviðmið!$G$6:$G$105,ROW()-6)&lt;&gt;"Starfsbundinn",BS35="",$E35="",$D35=""),"",ROUND(BS35/$E35*$D35*KVARDI,2))</f>
        <v/>
      </c>
      <c r="BU35" s="66" t="n"/>
      <c r="BV35" s="78">
        <f>IF(OR(INDEX(Undirviðmið!$G$6:$G$105,ROW()-6)&lt;&gt;"Starfsbundinn",BU35="",$E35="",$D35=""),"",ROUND(BU35/$E35*$D35*KVARDI,2))</f>
        <v/>
      </c>
      <c r="BW35" s="66" t="n"/>
      <c r="BX35" s="78">
        <f>IF(OR(INDEX(Undirviðmið!$G$6:$G$105,ROW()-6)&lt;&gt;"Starfsbundinn",BW35="",$E35="",$D35=""),"",ROUND(BW35/$E35*$D35*KVARDI,2))</f>
        <v/>
      </c>
      <c r="BY35" s="66" t="n"/>
      <c r="BZ35" s="78">
        <f>IF(OR(INDEX(Undirviðmið!$G$6:$G$105,ROW()-6)&lt;&gt;"Starfsbundinn",BY35="",$E35="",$D35=""),"",ROUND(BY35/$E35*$D35*KVARDI,2))</f>
        <v/>
      </c>
      <c r="CA35" s="66" t="n"/>
      <c r="CB35" s="78">
        <f>IF(OR(INDEX(Undirviðmið!$G$6:$G$105,ROW()-6)&lt;&gt;"Starfsbundinn",CA35="",$E35="",$D35=""),"",ROUND(CA35/$E35*$D35*KVARDI,2))</f>
        <v/>
      </c>
      <c r="CC35" s="66" t="n"/>
      <c r="CD35" s="78">
        <f>IF(OR(INDEX(Undirviðmið!$G$6:$G$105,ROW()-6)&lt;&gt;"Starfsbundinn",CC35="",$E35="",$D35=""),"",ROUND(CC35/$E35*$D35*KVARDI,2))</f>
        <v/>
      </c>
      <c r="CE35" s="66" t="n"/>
      <c r="CF35" s="78">
        <f>IF(OR(INDEX(Undirviðmið!$G$6:$G$105,ROW()-6)&lt;&gt;"Starfsbundinn",CE35="",$E35="",$D35=""),"",ROUND(CE35/$E35*$D35*KVARDI,2))</f>
        <v/>
      </c>
      <c r="CG35" s="66" t="n"/>
      <c r="CH35" s="78">
        <f>IF(OR(INDEX(Undirviðmið!$G$6:$G$105,ROW()-6)&lt;&gt;"Starfsbundinn",CG35="",$E35="",$D35=""),"",ROUND(CG35/$E35*$D35*KVARDI,2))</f>
        <v/>
      </c>
      <c r="CI35" s="66" t="n"/>
      <c r="CJ35" s="78">
        <f>IF(OR(INDEX(Undirviðmið!$G$6:$G$105,ROW()-6)&lt;&gt;"Starfsbundinn",CI35="",$E35="",$D35=""),"",ROUND(CI35/$E35*$D35*KVARDI,2))</f>
        <v/>
      </c>
      <c r="CK35" s="66" t="n"/>
      <c r="CL35" s="78">
        <f>IF(OR(INDEX(Undirviðmið!$G$6:$G$105,ROW()-6)&lt;&gt;"Starfsbundinn",CK35="",$E35="",$D35=""),"",ROUND(CK35/$E35*$D35*KVARDI,2))</f>
        <v/>
      </c>
      <c r="CM35" s="66" t="n"/>
      <c r="CN35" s="78">
        <f>IF(OR(INDEX(Undirviðmið!$G$6:$G$105,ROW()-6)&lt;&gt;"Starfsbundinn",CM35="",$E35="",$D35=""),"",ROUND(CM35/$E35*$D35*KVARDI,2))</f>
        <v/>
      </c>
      <c r="CO35" s="66" t="n"/>
      <c r="CP35" s="78">
        <f>IF(OR(INDEX(Undirviðmið!$G$6:$G$105,ROW()-6)&lt;&gt;"Starfsbundinn",CO35="",$E35="",$D35=""),"",ROUND(CO35/$E35*$D35*KVARDI,2))</f>
        <v/>
      </c>
      <c r="CQ35" s="66" t="n"/>
      <c r="CR35" s="78">
        <f>IF(OR(INDEX(Undirviðmið!$G$6:$G$105,ROW()-6)&lt;&gt;"Starfsbundinn",CQ35="",$E35="",$D35=""),"",ROUND(CQ35/$E35*$D35*KVARDI,2))</f>
        <v/>
      </c>
      <c r="CS35" s="66" t="n"/>
      <c r="CT35" s="78">
        <f>IF(OR(INDEX(Undirviðmið!$G$6:$G$105,ROW()-6)&lt;&gt;"Starfsbundinn",CS35="",$E35="",$D35=""),"",ROUND(CS35/$E35*$D35*KVARDI,2))</f>
        <v/>
      </c>
      <c r="CU35" s="66" t="n"/>
      <c r="CV35" s="78">
        <f>IF(OR(INDEX(Undirviðmið!$G$6:$G$105,ROW()-6)&lt;&gt;"Starfsbundinn",CU35="",$E35="",$D35=""),"",ROUND(CU35/$E35*$D35*KVARDI,2))</f>
        <v/>
      </c>
      <c r="CW35" s="66" t="n"/>
      <c r="CX35" s="78">
        <f>IF(OR(INDEX(Undirviðmið!$G$6:$G$105,ROW()-6)&lt;&gt;"Starfsbundinn",CW35="",$E35="",$D35=""),"",ROUND(CW35/$E35*$D35*KVARDI,2))</f>
        <v/>
      </c>
      <c r="CY35" s="66" t="n"/>
      <c r="CZ35" s="78">
        <f>IF(OR(INDEX(Undirviðmið!$G$6:$G$105,ROW()-6)&lt;&gt;"Starfsbundinn",CY35="",$E35="",$D35=""),"",ROUND(CY35/$E35*$D35*KVARDI,2))</f>
        <v/>
      </c>
      <c r="DA35" s="66" t="n"/>
      <c r="DB35" s="78">
        <f>IF(OR(INDEX(Undirviðmið!$G$6:$G$105,ROW()-6)&lt;&gt;"Starfsbundinn",DA35="",$E35="",$D35=""),"",ROUND(DA35/$E35*$D35*KVARDI,2))</f>
        <v/>
      </c>
      <c r="DC35" s="66" t="n"/>
      <c r="DD35" s="78">
        <f>IF(OR(INDEX(Undirviðmið!$G$6:$G$105,ROW()-6)&lt;&gt;"Starfsbundinn",DC35="",$E35="",$D35=""),"",ROUND(DC35/$E35*$D35*KVARDI,2))</f>
        <v/>
      </c>
      <c r="DE35" s="66" t="n"/>
      <c r="DF35" s="78">
        <f>IF(OR(INDEX(Undirviðmið!$G$6:$G$105,ROW()-6)&lt;&gt;"Starfsbundinn",DE35="",$E35="",$D35=""),"",ROUND(DE35/$E35*$D35*KVARDI,2))</f>
        <v/>
      </c>
      <c r="DG35" s="66" t="n"/>
      <c r="DH35" s="78">
        <f>IF(OR(INDEX(Undirviðmið!$G$6:$G$105,ROW()-6)&lt;&gt;"Starfsbundinn",DG35="",$E35="",$D35=""),"",ROUND(DG35/$E35*$D35*KVARDI,2))</f>
        <v/>
      </c>
      <c r="DI35" s="66" t="n"/>
      <c r="DJ35" s="78">
        <f>IF(OR(INDEX(Undirviðmið!$G$6:$G$105,ROW()-6)&lt;&gt;"Starfsbundinn",DI35="",$E35="",$D35=""),"",ROUND(DI35/$E35*$D35*KVARDI,2))</f>
        <v/>
      </c>
      <c r="DK35" s="66" t="n"/>
      <c r="DL35" s="78">
        <f>IF(OR(INDEX(Undirviðmið!$G$6:$G$105,ROW()-6)&lt;&gt;"Starfsbundinn",DK35="",$E35="",$D35=""),"",ROUND(DK35/$E35*$D35*KVARDI,2))</f>
        <v/>
      </c>
      <c r="DM35" s="66" t="n"/>
      <c r="DN35" s="78">
        <f>IF(OR(INDEX(Undirviðmið!$G$6:$G$105,ROW()-6)&lt;&gt;"Starfsbundinn",DM35="",$E35="",$D35=""),"",ROUND(DM35/$E35*$D35*KVARDI,2))</f>
        <v/>
      </c>
      <c r="DO35" s="66" t="n"/>
      <c r="DP35" s="78">
        <f>IF(OR(INDEX(Undirviðmið!$G$6:$G$105,ROW()-6)&lt;&gt;"Starfsbundinn",DO35="",$E35="",$D35=""),"",ROUND(DO35/$E35*$D35*KVARDI,2))</f>
        <v/>
      </c>
      <c r="DQ35" s="66" t="n"/>
      <c r="DR35" s="78">
        <f>IF(OR(INDEX(Undirviðmið!$G$6:$G$105,ROW()-6)&lt;&gt;"Starfsbundinn",DQ35="",$E35="",$D35=""),"",ROUND(DQ35/$E35*$D35*KVARDI,2))</f>
        <v/>
      </c>
      <c r="DS35" s="66" t="n"/>
      <c r="DT35" s="78">
        <f>IF(OR(INDEX(Undirviðmið!$G$6:$G$105,ROW()-6)&lt;&gt;"Starfsbundinn",DS35="",$E35="",$D35=""),"",ROUND(DS35/$E35*$D35*KVARDI,2))</f>
        <v/>
      </c>
      <c r="DU35" s="66" t="n"/>
      <c r="DV35" s="78">
        <f>IF(OR(INDEX(Undirviðmið!$G$6:$G$105,ROW()-6)&lt;&gt;"Starfsbundinn",DU35="",$E35="",$D35=""),"",ROUND(DU35/$E35*$D35*KVARDI,2))</f>
        <v/>
      </c>
      <c r="DW35" s="66" t="n"/>
      <c r="DX35" s="78">
        <f>IF(OR(INDEX(Undirviðmið!$G$6:$G$105,ROW()-6)&lt;&gt;"Starfsbundinn",DW35="",$E35="",$D35=""),"",ROUND(DW35/$E35*$D35*KVARDI,2))</f>
        <v/>
      </c>
      <c r="DY35" s="66" t="n"/>
      <c r="DZ35" s="78">
        <f>IF(OR(INDEX(Undirviðmið!$G$6:$G$105,ROW()-6)&lt;&gt;"Starfsbundinn",DY35="",$E35="",$D35=""),"",ROUND(DY35/$E35*$D35*KVARDI,2))</f>
        <v/>
      </c>
      <c r="EA35" s="66" t="n"/>
      <c r="EB35" s="78">
        <f>IF(OR(INDEX(Undirviðmið!$G$6:$G$105,ROW()-6)&lt;&gt;"Starfsbundinn",EA35="",$E35="",$D35=""),"",ROUND(EA35/$E35*$D35*KVARDI,2))</f>
        <v/>
      </c>
      <c r="EC35" s="66" t="n"/>
      <c r="ED35" s="78">
        <f>IF(OR(INDEX(Undirviðmið!$G$6:$G$105,ROW()-6)&lt;&gt;"Starfsbundinn",EC35="",$E35="",$D35=""),"",ROUND(EC35/$E35*$D35*KVARDI,2))</f>
        <v/>
      </c>
      <c r="EE35" s="66" t="n"/>
      <c r="EF35" s="78">
        <f>IF(OR(INDEX(Undirviðmið!$G$6:$G$105,ROW()-6)&lt;&gt;"Starfsbundinn",EE35="",$E35="",$D35=""),"",ROUND(EE35/$E35*$D35*KVARDI,2))</f>
        <v/>
      </c>
      <c r="EG35" s="66" t="n"/>
      <c r="EH35" s="78">
        <f>IF(OR(INDEX(Undirviðmið!$G$6:$G$105,ROW()-6)&lt;&gt;"Starfsbundinn",EG35="",$E35="",$D35=""),"",ROUND(EG35/$E35*$D35*KVARDI,2))</f>
        <v/>
      </c>
      <c r="EI35" s="66" t="n"/>
      <c r="EJ35" s="78">
        <f>IF(OR(INDEX(Undirviðmið!$G$6:$G$105,ROW()-6)&lt;&gt;"Starfsbundinn",EI35="",$E35="",$D35=""),"",ROUND(EI35/$E35*$D35*KVARDI,2))</f>
        <v/>
      </c>
      <c r="EK35" s="66" t="n"/>
      <c r="EL35" s="78">
        <f>IF(OR(INDEX(Undirviðmið!$G$6:$G$105,ROW()-6)&lt;&gt;"Starfsbundinn",EK35="",$E35="",$D35=""),"",ROUND(EK35/$E35*$D35*KVARDI,2))</f>
        <v/>
      </c>
      <c r="EM35" s="66" t="n"/>
      <c r="EN35" s="78">
        <f>IF(OR(INDEX(Undirviðmið!$G$6:$G$105,ROW()-6)&lt;&gt;"Starfsbundinn",EM35="",$E35="",$D35=""),"",ROUND(EM35/$E35*$D35*KVARDI,2))</f>
        <v/>
      </c>
      <c r="EO35" s="66" t="n"/>
      <c r="EP35" s="78">
        <f>IF(OR(INDEX(Undirviðmið!$G$6:$G$105,ROW()-6)&lt;&gt;"Starfsbundinn",EO35="",$E35="",$D35=""),"",ROUND(EO35/$E35*$D35*KVARDI,2))</f>
        <v/>
      </c>
      <c r="EQ35" s="66" t="n"/>
      <c r="ER35" s="78">
        <f>IF(OR(INDEX(Undirviðmið!$G$6:$G$105,ROW()-6)&lt;&gt;"Starfsbundinn",EQ35="",$E35="",$D35=""),"",ROUND(EQ35/$E35*$D35*KVARDI,2))</f>
        <v/>
      </c>
      <c r="ES35" s="66" t="n"/>
      <c r="ET35" s="78">
        <f>IF(OR(INDEX(Undirviðmið!$G$6:$G$105,ROW()-6)&lt;&gt;"Starfsbundinn",ES35="",$E35="",$D35=""),"",ROUND(ES35/$E35*$D35*KVARDI,2))</f>
        <v/>
      </c>
      <c r="EU35" s="66" t="n"/>
      <c r="EV35" s="78">
        <f>IF(OR(INDEX(Undirviðmið!$G$6:$G$105,ROW()-6)&lt;&gt;"Starfsbundinn",EU35="",$E35="",$D35=""),"",ROUND(EU35/$E35*$D35*KVARDI,2))</f>
        <v/>
      </c>
      <c r="EW35" s="66" t="n"/>
      <c r="EX35" s="78">
        <f>IF(OR(INDEX(Undirviðmið!$G$6:$G$105,ROW()-6)&lt;&gt;"Starfsbundinn",EW35="",$E35="",$D35=""),"",ROUND(EW35/$E35*$D35*KVARDI,2))</f>
        <v/>
      </c>
      <c r="EY35" s="66" t="n"/>
      <c r="EZ35" s="78">
        <f>IF(OR(INDEX(Undirviðmið!$G$6:$G$105,ROW()-6)&lt;&gt;"Starfsbundinn",EY35="",$E35="",$D35=""),"",ROUND(EY35/$E35*$D35*KVARDI,2))</f>
        <v/>
      </c>
      <c r="FA35" s="66" t="n"/>
      <c r="FB35" s="78">
        <f>IF(OR(INDEX(Undirviðmið!$G$6:$G$105,ROW()-6)&lt;&gt;"Starfsbundinn",FA35="",$E35="",$D35=""),"",ROUND(FA35/$E35*$D35*KVARDI,2))</f>
        <v/>
      </c>
      <c r="FC35" s="66" t="n"/>
      <c r="FD35" s="78">
        <f>IF(OR(INDEX(Undirviðmið!$G$6:$G$105,ROW()-6)&lt;&gt;"Starfsbundinn",FC35="",$E35="",$D35=""),"",ROUND(FC35/$E35*$D35*KVARDI,2))</f>
        <v/>
      </c>
      <c r="FE35" s="66" t="n"/>
      <c r="FF35" s="78">
        <f>IF(OR(INDEX(Undirviðmið!$G$6:$G$105,ROW()-6)&lt;&gt;"Starfsbundinn",FE35="",$E35="",$D35=""),"",ROUND(FE35/$E35*$D35*KVARDI,2))</f>
        <v/>
      </c>
      <c r="FG35" s="66" t="n"/>
      <c r="FH35" s="78">
        <f>IF(OR(INDEX(Undirviðmið!$G$6:$G$105,ROW()-6)&lt;&gt;"Starfsbundinn",FG35="",$E35="",$D35=""),"",ROUND(FG35/$E35*$D35*KVARDI,2))</f>
        <v/>
      </c>
      <c r="FI35" s="66" t="n"/>
      <c r="FJ35" s="78">
        <f>IF(OR(INDEX(Undirviðmið!$G$6:$G$105,ROW()-6)&lt;&gt;"Starfsbundinn",FI35="",$E35="",$D35=""),"",ROUND(FI35/$E35*$D35*KVARDI,2))</f>
        <v/>
      </c>
      <c r="FK35" s="66" t="n"/>
      <c r="FL35" s="78">
        <f>IF(OR(INDEX(Undirviðmið!$G$6:$G$105,ROW()-6)&lt;&gt;"Starfsbundinn",FK35="",$E35="",$D35=""),"",ROUND(FK35/$E35*$D35*KVARDI,2))</f>
        <v/>
      </c>
      <c r="FM35" s="66" t="n"/>
      <c r="FN35" s="78">
        <f>IF(OR(INDEX(Undirviðmið!$G$6:$G$105,ROW()-6)&lt;&gt;"Starfsbundinn",FM35="",$E35="",$D35=""),"",ROUND(FM35/$E35*$D35*KVARDI,2))</f>
        <v/>
      </c>
      <c r="FO35" s="66" t="n"/>
      <c r="FP35" s="78">
        <f>IF(OR(INDEX(Undirviðmið!$G$6:$G$105,ROW()-6)&lt;&gt;"Starfsbundinn",FO35="",$E35="",$D35=""),"",ROUND(FO35/$E35*$D35*KVARDI,2))</f>
        <v/>
      </c>
      <c r="FQ35" s="66" t="n"/>
      <c r="FR35" s="78">
        <f>IF(OR(INDEX(Undirviðmið!$G$6:$G$105,ROW()-6)&lt;&gt;"Starfsbundinn",FQ35="",$E35="",$D35=""),"",ROUND(FQ35/$E35*$D35*KVARDI,2))</f>
        <v/>
      </c>
      <c r="FS35" s="66" t="n"/>
      <c r="FT35" s="78">
        <f>IF(OR(INDEX(Undirviðmið!$G$6:$G$105,ROW()-6)&lt;&gt;"Starfsbundinn",FS35="",$E35="",$D35=""),"",ROUND(FS35/$E35*$D35*KVARDI,2))</f>
        <v/>
      </c>
      <c r="FU35" s="66" t="n"/>
      <c r="FV35" s="78">
        <f>IF(OR(INDEX(Undirviðmið!$G$6:$G$105,ROW()-6)&lt;&gt;"Starfsbundinn",FU35="",$E35="",$D35=""),"",ROUND(FU35/$E35*$D35*KVARDI,2))</f>
        <v/>
      </c>
      <c r="FW35" s="66" t="n"/>
      <c r="FX35" s="78">
        <f>IF(OR(INDEX(Undirviðmið!$G$6:$G$105,ROW()-6)&lt;&gt;"Starfsbundinn",FW35="",$E35="",$D35=""),"",ROUND(FW35/$E35*$D35*KVARDI,2))</f>
        <v/>
      </c>
      <c r="FY35" s="66" t="n"/>
      <c r="FZ35" s="78">
        <f>IF(OR(INDEX(Undirviðmið!$G$6:$G$105,ROW()-6)&lt;&gt;"Starfsbundinn",FY35="",$E35="",$D35=""),"",ROUND(FY35/$E35*$D35*KVARDI,2))</f>
        <v/>
      </c>
      <c r="GA35" s="66" t="n"/>
      <c r="GB35" s="78">
        <f>IF(OR(INDEX(Undirviðmið!$G$6:$G$105,ROW()-6)&lt;&gt;"Starfsbundinn",GA35="",$E35="",$D35=""),"",ROUND(GA35/$E35*$D35*KVARDI,2))</f>
        <v/>
      </c>
      <c r="GC35" s="66" t="n"/>
      <c r="GD35" s="78">
        <f>IF(OR(INDEX(Undirviðmið!$G$6:$G$105,ROW()-6)&lt;&gt;"Starfsbundinn",GC35="",$E35="",$D35=""),"",ROUND(GC35/$E35*$D35*KVARDI,2))</f>
        <v/>
      </c>
      <c r="GE35" s="66" t="n"/>
      <c r="GF35" s="78">
        <f>IF(OR(INDEX(Undirviðmið!$G$6:$G$105,ROW()-6)&lt;&gt;"Starfsbundinn",GE35="",$E35="",$D35=""),"",ROUND(GE35/$E35*$D35*KVARDI,2))</f>
        <v/>
      </c>
      <c r="GG35" s="66" t="n"/>
      <c r="GH35" s="78">
        <f>IF(OR(INDEX(Undirviðmið!$G$6:$G$105,ROW()-6)&lt;&gt;"Starfsbundinn",GG35="",$E35="",$D35=""),"",ROUND(GG35/$E35*$D35*KVARDI,2))</f>
        <v/>
      </c>
      <c r="GI35" s="66" t="n"/>
      <c r="GJ35" s="78">
        <f>IF(OR(INDEX(Undirviðmið!$G$6:$G$105,ROW()-6)&lt;&gt;"Starfsbundinn",GI35="",$E35="",$D35=""),"",ROUND(GI35/$E35*$D35*KVARDI,2))</f>
        <v/>
      </c>
      <c r="GK35" s="66" t="n"/>
      <c r="GL35" s="78">
        <f>IF(OR(INDEX(Undirviðmið!$G$6:$G$105,ROW()-6)&lt;&gt;"Starfsbundinn",GK35="",$E35="",$D35=""),"",ROUND(GK35/$E35*$D35*KVARDI,2))</f>
        <v/>
      </c>
      <c r="GM35" s="66" t="n"/>
      <c r="GN35" s="78">
        <f>IF(OR(INDEX(Undirviðmið!$G$6:$G$105,ROW()-6)&lt;&gt;"Starfsbundinn",GM35="",$E35="",$D35=""),"",ROUND(GM35/$E35*$D35*KVARDI,2))</f>
        <v/>
      </c>
      <c r="GO35" s="66" t="n"/>
      <c r="GP35" s="78">
        <f>IF(OR(INDEX(Undirviðmið!$G$6:$G$105,ROW()-6)&lt;&gt;"Starfsbundinn",GO35="",$E35="",$D35=""),"",ROUND(GO35/$E35*$D35*KVARDI,2))</f>
        <v/>
      </c>
      <c r="GQ35" s="66" t="n"/>
      <c r="GR35" s="78">
        <f>IF(OR(INDEX(Undirviðmið!$G$6:$G$105,ROW()-6)&lt;&gt;"Starfsbundinn",GQ35="",$E35="",$D35=""),"",ROUND(GQ35/$E35*$D35*KVARDI,2))</f>
        <v/>
      </c>
      <c r="GS35" s="66" t="n"/>
      <c r="GT35" s="78">
        <f>IF(OR(INDEX(Undirviðmið!$G$6:$G$105,ROW()-6)&lt;&gt;"Starfsbundinn",GS35="",$E35="",$D35=""),"",ROUND(GS35/$E35*$D35*KVARDI,2))</f>
        <v/>
      </c>
      <c r="GU35" s="66" t="n"/>
      <c r="GV35" s="78">
        <f>IF(OR(INDEX(Undirviðmið!$G$6:$G$105,ROW()-6)&lt;&gt;"Starfsbundinn",GU35="",$E35="",$D35=""),"",ROUND(GU35/$E35*$D35*KVARDI,2))</f>
        <v/>
      </c>
      <c r="GW35" s="66" t="n"/>
      <c r="GX35" s="78">
        <f>IF(OR(INDEX(Undirviðmið!$G$6:$G$105,ROW()-6)&lt;&gt;"Starfsbundinn",GW35="",$E35="",$D35=""),"",ROUND(GW35/$E35*$D35*KVARDI,2))</f>
        <v/>
      </c>
    </row>
    <row r="36" ht="15" customHeight="1" s="47">
      <c r="B36" s="67">
        <f>IF(INDEX(Undirviðmið!$G$6:$G$105,ROW()-6)="Starfsbundinn",INDEX(Undirviðmið!$B$6:$B$105,ROW()-6),"")</f>
        <v/>
      </c>
      <c r="C36" s="67">
        <f>IF(INDEX(Undirviðmið!$G$6:$G$105,ROW()-6)="Starfsbundinn",INDEX(Undirviðmið!$C$6:$C$105,ROW()-6),"")</f>
        <v/>
      </c>
      <c r="D36" s="77">
        <f>IF(INDEX(Undirviðmið!$G$6:$G$105,ROW()-6)="Starfsbundinn",INDEX(Undirviðmið!$E$6:$E$105,ROW()-6),"")</f>
        <v/>
      </c>
      <c r="E36" s="77">
        <f>IF(INDEX(Undirviðmið!$G$6:$G$105,ROW()-6)="Starfsbundinn",INDEX(Undirviðmið!$F$6:$F$105,ROW()-6),"")</f>
        <v/>
      </c>
      <c r="F36" s="77">
        <f>IF(INDEX(Undirviðmið!$G$6:$G$105,ROW()-6)="Starfsbundinn",IFERROR(INDEX(Undirviðmið!$E$6:$E$105,ROW()-6)*KVARDI,""),"")</f>
        <v/>
      </c>
      <c r="G36" s="66" t="n"/>
      <c r="H36" s="78">
        <f>IF(OR(INDEX(Undirviðmið!$G$6:$G$105,ROW()-6)&lt;&gt;"Starfsbundinn",G36="",$E36="",$D36=""),"",ROUND(G36/$E36*$D36*KVARDI,2))</f>
        <v/>
      </c>
      <c r="I36" s="66" t="n"/>
      <c r="J36" s="78">
        <f>IF(OR(INDEX(Undirviðmið!$G$6:$G$105,ROW()-6)&lt;&gt;"Starfsbundinn",I36="",$E36="",$D36=""),"",ROUND(I36/$E36*$D36*KVARDI,2))</f>
        <v/>
      </c>
      <c r="K36" s="66" t="n"/>
      <c r="L36" s="78">
        <f>IF(OR(INDEX(Undirviðmið!$G$6:$G$105,ROW()-6)&lt;&gt;"Starfsbundinn",K36="",$E36="",$D36=""),"",ROUND(K36/$E36*$D36*KVARDI,2))</f>
        <v/>
      </c>
      <c r="M36" s="66" t="n"/>
      <c r="N36" s="78">
        <f>IF(OR(INDEX(Undirviðmið!$G$6:$G$105,ROW()-6)&lt;&gt;"Starfsbundinn",M36="",$E36="",$D36=""),"",ROUND(M36/$E36*$D36*KVARDI,2))</f>
        <v/>
      </c>
      <c r="O36" s="66" t="n"/>
      <c r="P36" s="78">
        <f>IF(OR(INDEX(Undirviðmið!$G$6:$G$105,ROW()-6)&lt;&gt;"Starfsbundinn",O36="",$E36="",$D36=""),"",ROUND(O36/$E36*$D36*KVARDI,2))</f>
        <v/>
      </c>
      <c r="Q36" s="66" t="n"/>
      <c r="R36" s="78">
        <f>IF(OR(INDEX(Undirviðmið!$G$6:$G$105,ROW()-6)&lt;&gt;"Starfsbundinn",Q36="",$E36="",$D36=""),"",ROUND(Q36/$E36*$D36*KVARDI,2))</f>
        <v/>
      </c>
      <c r="S36" s="66" t="n"/>
      <c r="T36" s="78">
        <f>IF(OR(INDEX(Undirviðmið!$G$6:$G$105,ROW()-6)&lt;&gt;"Starfsbundinn",S36="",$E36="",$D36=""),"",ROUND(S36/$E36*$D36*KVARDI,2))</f>
        <v/>
      </c>
      <c r="U36" s="66" t="n"/>
      <c r="V36" s="78">
        <f>IF(OR(INDEX(Undirviðmið!$G$6:$G$105,ROW()-6)&lt;&gt;"Starfsbundinn",U36="",$E36="",$D36=""),"",ROUND(U36/$E36*$D36*KVARDI,2))</f>
        <v/>
      </c>
      <c r="W36" s="66" t="n"/>
      <c r="X36" s="78">
        <f>IF(OR(INDEX(Undirviðmið!$G$6:$G$105,ROW()-6)&lt;&gt;"Starfsbundinn",W36="",$E36="",$D36=""),"",ROUND(W36/$E36*$D36*KVARDI,2))</f>
        <v/>
      </c>
      <c r="Y36" s="66" t="n"/>
      <c r="Z36" s="78">
        <f>IF(OR(INDEX(Undirviðmið!$G$6:$G$105,ROW()-6)&lt;&gt;"Starfsbundinn",Y36="",$E36="",$D36=""),"",ROUND(Y36/$E36*$D36*KVARDI,2))</f>
        <v/>
      </c>
      <c r="AA36" s="66" t="n"/>
      <c r="AB36" s="78">
        <f>IF(OR(INDEX(Undirviðmið!$G$6:$G$105,ROW()-6)&lt;&gt;"Starfsbundinn",AA36="",$E36="",$D36=""),"",ROUND(AA36/$E36*$D36*KVARDI,2))</f>
        <v/>
      </c>
      <c r="AC36" s="66" t="n"/>
      <c r="AD36" s="78">
        <f>IF(OR(INDEX(Undirviðmið!$G$6:$G$105,ROW()-6)&lt;&gt;"Starfsbundinn",AC36="",$E36="",$D36=""),"",ROUND(AC36/$E36*$D36*KVARDI,2))</f>
        <v/>
      </c>
      <c r="AE36" s="66" t="n"/>
      <c r="AF36" s="78">
        <f>IF(OR(INDEX(Undirviðmið!$G$6:$G$105,ROW()-6)&lt;&gt;"Starfsbundinn",AE36="",$E36="",$D36=""),"",ROUND(AE36/$E36*$D36*KVARDI,2))</f>
        <v/>
      </c>
      <c r="AG36" s="66" t="n"/>
      <c r="AH36" s="78">
        <f>IF(OR(INDEX(Undirviðmið!$G$6:$G$105,ROW()-6)&lt;&gt;"Starfsbundinn",AG36="",$E36="",$D36=""),"",ROUND(AG36/$E36*$D36*KVARDI,2))</f>
        <v/>
      </c>
      <c r="AI36" s="66" t="n"/>
      <c r="AJ36" s="78">
        <f>IF(OR(INDEX(Undirviðmið!$G$6:$G$105,ROW()-6)&lt;&gt;"Starfsbundinn",AI36="",$E36="",$D36=""),"",ROUND(AI36/$E36*$D36*KVARDI,2))</f>
        <v/>
      </c>
      <c r="AK36" s="66" t="n"/>
      <c r="AL36" s="78">
        <f>IF(OR(INDEX(Undirviðmið!$G$6:$G$105,ROW()-6)&lt;&gt;"Starfsbundinn",AK36="",$E36="",$D36=""),"",ROUND(AK36/$E36*$D36*KVARDI,2))</f>
        <v/>
      </c>
      <c r="AM36" s="66" t="n"/>
      <c r="AN36" s="78">
        <f>IF(OR(INDEX(Undirviðmið!$G$6:$G$105,ROW()-6)&lt;&gt;"Starfsbundinn",AM36="",$E36="",$D36=""),"",ROUND(AM36/$E36*$D36*KVARDI,2))</f>
        <v/>
      </c>
      <c r="AO36" s="66" t="n"/>
      <c r="AP36" s="78">
        <f>IF(OR(INDEX(Undirviðmið!$G$6:$G$105,ROW()-6)&lt;&gt;"Starfsbundinn",AO36="",$E36="",$D36=""),"",ROUND(AO36/$E36*$D36*KVARDI,2))</f>
        <v/>
      </c>
      <c r="AQ36" s="66" t="n"/>
      <c r="AR36" s="78">
        <f>IF(OR(INDEX(Undirviðmið!$G$6:$G$105,ROW()-6)&lt;&gt;"Starfsbundinn",AQ36="",$E36="",$D36=""),"",ROUND(AQ36/$E36*$D36*KVARDI,2))</f>
        <v/>
      </c>
      <c r="AS36" s="66" t="n"/>
      <c r="AT36" s="78">
        <f>IF(OR(INDEX(Undirviðmið!$G$6:$G$105,ROW()-6)&lt;&gt;"Starfsbundinn",AS36="",$E36="",$D36=""),"",ROUND(AS36/$E36*$D36*KVARDI,2))</f>
        <v/>
      </c>
      <c r="AU36" s="66" t="n"/>
      <c r="AV36" s="78">
        <f>IF(OR(INDEX(Undirviðmið!$G$6:$G$105,ROW()-6)&lt;&gt;"Starfsbundinn",AU36="",$E36="",$D36=""),"",ROUND(AU36/$E36*$D36*KVARDI,2))</f>
        <v/>
      </c>
      <c r="AW36" s="66" t="n"/>
      <c r="AX36" s="78">
        <f>IF(OR(INDEX(Undirviðmið!$G$6:$G$105,ROW()-6)&lt;&gt;"Starfsbundinn",AW36="",$E36="",$D36=""),"",ROUND(AW36/$E36*$D36*KVARDI,2))</f>
        <v/>
      </c>
      <c r="AY36" s="66" t="n"/>
      <c r="AZ36" s="78">
        <f>IF(OR(INDEX(Undirviðmið!$G$6:$G$105,ROW()-6)&lt;&gt;"Starfsbundinn",AY36="",$E36="",$D36=""),"",ROUND(AY36/$E36*$D36*KVARDI,2))</f>
        <v/>
      </c>
      <c r="BA36" s="66" t="n"/>
      <c r="BB36" s="78">
        <f>IF(OR(INDEX(Undirviðmið!$G$6:$G$105,ROW()-6)&lt;&gt;"Starfsbundinn",BA36="",$E36="",$D36=""),"",ROUND(BA36/$E36*$D36*KVARDI,2))</f>
        <v/>
      </c>
      <c r="BC36" s="66" t="n"/>
      <c r="BD36" s="78">
        <f>IF(OR(INDEX(Undirviðmið!$G$6:$G$105,ROW()-6)&lt;&gt;"Starfsbundinn",BC36="",$E36="",$D36=""),"",ROUND(BC36/$E36*$D36*KVARDI,2))</f>
        <v/>
      </c>
      <c r="BE36" s="66" t="n"/>
      <c r="BF36" s="78">
        <f>IF(OR(INDEX(Undirviðmið!$G$6:$G$105,ROW()-6)&lt;&gt;"Starfsbundinn",BE36="",$E36="",$D36=""),"",ROUND(BE36/$E36*$D36*KVARDI,2))</f>
        <v/>
      </c>
      <c r="BG36" s="66" t="n"/>
      <c r="BH36" s="78">
        <f>IF(OR(INDEX(Undirviðmið!$G$6:$G$105,ROW()-6)&lt;&gt;"Starfsbundinn",BG36="",$E36="",$D36=""),"",ROUND(BG36/$E36*$D36*KVARDI,2))</f>
        <v/>
      </c>
      <c r="BI36" s="66" t="n"/>
      <c r="BJ36" s="78">
        <f>IF(OR(INDEX(Undirviðmið!$G$6:$G$105,ROW()-6)&lt;&gt;"Starfsbundinn",BI36="",$E36="",$D36=""),"",ROUND(BI36/$E36*$D36*KVARDI,2))</f>
        <v/>
      </c>
      <c r="BK36" s="66" t="n"/>
      <c r="BL36" s="78">
        <f>IF(OR(INDEX(Undirviðmið!$G$6:$G$105,ROW()-6)&lt;&gt;"Starfsbundinn",BK36="",$E36="",$D36=""),"",ROUND(BK36/$E36*$D36*KVARDI,2))</f>
        <v/>
      </c>
      <c r="BM36" s="66" t="n"/>
      <c r="BN36" s="78">
        <f>IF(OR(INDEX(Undirviðmið!$G$6:$G$105,ROW()-6)&lt;&gt;"Starfsbundinn",BM36="",$E36="",$D36=""),"",ROUND(BM36/$E36*$D36*KVARDI,2))</f>
        <v/>
      </c>
      <c r="BO36" s="66" t="n"/>
      <c r="BP36" s="78">
        <f>IF(OR(INDEX(Undirviðmið!$G$6:$G$105,ROW()-6)&lt;&gt;"Starfsbundinn",BO36="",$E36="",$D36=""),"",ROUND(BO36/$E36*$D36*KVARDI,2))</f>
        <v/>
      </c>
      <c r="BQ36" s="66" t="n"/>
      <c r="BR36" s="78">
        <f>IF(OR(INDEX(Undirviðmið!$G$6:$G$105,ROW()-6)&lt;&gt;"Starfsbundinn",BQ36="",$E36="",$D36=""),"",ROUND(BQ36/$E36*$D36*KVARDI,2))</f>
        <v/>
      </c>
      <c r="BS36" s="66" t="n"/>
      <c r="BT36" s="78">
        <f>IF(OR(INDEX(Undirviðmið!$G$6:$G$105,ROW()-6)&lt;&gt;"Starfsbundinn",BS36="",$E36="",$D36=""),"",ROUND(BS36/$E36*$D36*KVARDI,2))</f>
        <v/>
      </c>
      <c r="BU36" s="66" t="n"/>
      <c r="BV36" s="78">
        <f>IF(OR(INDEX(Undirviðmið!$G$6:$G$105,ROW()-6)&lt;&gt;"Starfsbundinn",BU36="",$E36="",$D36=""),"",ROUND(BU36/$E36*$D36*KVARDI,2))</f>
        <v/>
      </c>
      <c r="BW36" s="66" t="n"/>
      <c r="BX36" s="78">
        <f>IF(OR(INDEX(Undirviðmið!$G$6:$G$105,ROW()-6)&lt;&gt;"Starfsbundinn",BW36="",$E36="",$D36=""),"",ROUND(BW36/$E36*$D36*KVARDI,2))</f>
        <v/>
      </c>
      <c r="BY36" s="66" t="n"/>
      <c r="BZ36" s="78">
        <f>IF(OR(INDEX(Undirviðmið!$G$6:$G$105,ROW()-6)&lt;&gt;"Starfsbundinn",BY36="",$E36="",$D36=""),"",ROUND(BY36/$E36*$D36*KVARDI,2))</f>
        <v/>
      </c>
      <c r="CA36" s="66" t="n"/>
      <c r="CB36" s="78">
        <f>IF(OR(INDEX(Undirviðmið!$G$6:$G$105,ROW()-6)&lt;&gt;"Starfsbundinn",CA36="",$E36="",$D36=""),"",ROUND(CA36/$E36*$D36*KVARDI,2))</f>
        <v/>
      </c>
      <c r="CC36" s="66" t="n"/>
      <c r="CD36" s="78">
        <f>IF(OR(INDEX(Undirviðmið!$G$6:$G$105,ROW()-6)&lt;&gt;"Starfsbundinn",CC36="",$E36="",$D36=""),"",ROUND(CC36/$E36*$D36*KVARDI,2))</f>
        <v/>
      </c>
      <c r="CE36" s="66" t="n"/>
      <c r="CF36" s="78">
        <f>IF(OR(INDEX(Undirviðmið!$G$6:$G$105,ROW()-6)&lt;&gt;"Starfsbundinn",CE36="",$E36="",$D36=""),"",ROUND(CE36/$E36*$D36*KVARDI,2))</f>
        <v/>
      </c>
      <c r="CG36" s="66" t="n"/>
      <c r="CH36" s="78">
        <f>IF(OR(INDEX(Undirviðmið!$G$6:$G$105,ROW()-6)&lt;&gt;"Starfsbundinn",CG36="",$E36="",$D36=""),"",ROUND(CG36/$E36*$D36*KVARDI,2))</f>
        <v/>
      </c>
      <c r="CI36" s="66" t="n"/>
      <c r="CJ36" s="78">
        <f>IF(OR(INDEX(Undirviðmið!$G$6:$G$105,ROW()-6)&lt;&gt;"Starfsbundinn",CI36="",$E36="",$D36=""),"",ROUND(CI36/$E36*$D36*KVARDI,2))</f>
        <v/>
      </c>
      <c r="CK36" s="66" t="n"/>
      <c r="CL36" s="78">
        <f>IF(OR(INDEX(Undirviðmið!$G$6:$G$105,ROW()-6)&lt;&gt;"Starfsbundinn",CK36="",$E36="",$D36=""),"",ROUND(CK36/$E36*$D36*KVARDI,2))</f>
        <v/>
      </c>
      <c r="CM36" s="66" t="n"/>
      <c r="CN36" s="78">
        <f>IF(OR(INDEX(Undirviðmið!$G$6:$G$105,ROW()-6)&lt;&gt;"Starfsbundinn",CM36="",$E36="",$D36=""),"",ROUND(CM36/$E36*$D36*KVARDI,2))</f>
        <v/>
      </c>
      <c r="CO36" s="66" t="n"/>
      <c r="CP36" s="78">
        <f>IF(OR(INDEX(Undirviðmið!$G$6:$G$105,ROW()-6)&lt;&gt;"Starfsbundinn",CO36="",$E36="",$D36=""),"",ROUND(CO36/$E36*$D36*KVARDI,2))</f>
        <v/>
      </c>
      <c r="CQ36" s="66" t="n"/>
      <c r="CR36" s="78">
        <f>IF(OR(INDEX(Undirviðmið!$G$6:$G$105,ROW()-6)&lt;&gt;"Starfsbundinn",CQ36="",$E36="",$D36=""),"",ROUND(CQ36/$E36*$D36*KVARDI,2))</f>
        <v/>
      </c>
      <c r="CS36" s="66" t="n"/>
      <c r="CT36" s="78">
        <f>IF(OR(INDEX(Undirviðmið!$G$6:$G$105,ROW()-6)&lt;&gt;"Starfsbundinn",CS36="",$E36="",$D36=""),"",ROUND(CS36/$E36*$D36*KVARDI,2))</f>
        <v/>
      </c>
      <c r="CU36" s="66" t="n"/>
      <c r="CV36" s="78">
        <f>IF(OR(INDEX(Undirviðmið!$G$6:$G$105,ROW()-6)&lt;&gt;"Starfsbundinn",CU36="",$E36="",$D36=""),"",ROUND(CU36/$E36*$D36*KVARDI,2))</f>
        <v/>
      </c>
      <c r="CW36" s="66" t="n"/>
      <c r="CX36" s="78">
        <f>IF(OR(INDEX(Undirviðmið!$G$6:$G$105,ROW()-6)&lt;&gt;"Starfsbundinn",CW36="",$E36="",$D36=""),"",ROUND(CW36/$E36*$D36*KVARDI,2))</f>
        <v/>
      </c>
      <c r="CY36" s="66" t="n"/>
      <c r="CZ36" s="78">
        <f>IF(OR(INDEX(Undirviðmið!$G$6:$G$105,ROW()-6)&lt;&gt;"Starfsbundinn",CY36="",$E36="",$D36=""),"",ROUND(CY36/$E36*$D36*KVARDI,2))</f>
        <v/>
      </c>
      <c r="DA36" s="66" t="n"/>
      <c r="DB36" s="78">
        <f>IF(OR(INDEX(Undirviðmið!$G$6:$G$105,ROW()-6)&lt;&gt;"Starfsbundinn",DA36="",$E36="",$D36=""),"",ROUND(DA36/$E36*$D36*KVARDI,2))</f>
        <v/>
      </c>
      <c r="DC36" s="66" t="n"/>
      <c r="DD36" s="78">
        <f>IF(OR(INDEX(Undirviðmið!$G$6:$G$105,ROW()-6)&lt;&gt;"Starfsbundinn",DC36="",$E36="",$D36=""),"",ROUND(DC36/$E36*$D36*KVARDI,2))</f>
        <v/>
      </c>
      <c r="DE36" s="66" t="n"/>
      <c r="DF36" s="78">
        <f>IF(OR(INDEX(Undirviðmið!$G$6:$G$105,ROW()-6)&lt;&gt;"Starfsbundinn",DE36="",$E36="",$D36=""),"",ROUND(DE36/$E36*$D36*KVARDI,2))</f>
        <v/>
      </c>
      <c r="DG36" s="66" t="n"/>
      <c r="DH36" s="78">
        <f>IF(OR(INDEX(Undirviðmið!$G$6:$G$105,ROW()-6)&lt;&gt;"Starfsbundinn",DG36="",$E36="",$D36=""),"",ROUND(DG36/$E36*$D36*KVARDI,2))</f>
        <v/>
      </c>
      <c r="DI36" s="66" t="n"/>
      <c r="DJ36" s="78">
        <f>IF(OR(INDEX(Undirviðmið!$G$6:$G$105,ROW()-6)&lt;&gt;"Starfsbundinn",DI36="",$E36="",$D36=""),"",ROUND(DI36/$E36*$D36*KVARDI,2))</f>
        <v/>
      </c>
      <c r="DK36" s="66" t="n"/>
      <c r="DL36" s="78">
        <f>IF(OR(INDEX(Undirviðmið!$G$6:$G$105,ROW()-6)&lt;&gt;"Starfsbundinn",DK36="",$E36="",$D36=""),"",ROUND(DK36/$E36*$D36*KVARDI,2))</f>
        <v/>
      </c>
      <c r="DM36" s="66" t="n"/>
      <c r="DN36" s="78">
        <f>IF(OR(INDEX(Undirviðmið!$G$6:$G$105,ROW()-6)&lt;&gt;"Starfsbundinn",DM36="",$E36="",$D36=""),"",ROUND(DM36/$E36*$D36*KVARDI,2))</f>
        <v/>
      </c>
      <c r="DO36" s="66" t="n"/>
      <c r="DP36" s="78">
        <f>IF(OR(INDEX(Undirviðmið!$G$6:$G$105,ROW()-6)&lt;&gt;"Starfsbundinn",DO36="",$E36="",$D36=""),"",ROUND(DO36/$E36*$D36*KVARDI,2))</f>
        <v/>
      </c>
      <c r="DQ36" s="66" t="n"/>
      <c r="DR36" s="78">
        <f>IF(OR(INDEX(Undirviðmið!$G$6:$G$105,ROW()-6)&lt;&gt;"Starfsbundinn",DQ36="",$E36="",$D36=""),"",ROUND(DQ36/$E36*$D36*KVARDI,2))</f>
        <v/>
      </c>
      <c r="DS36" s="66" t="n"/>
      <c r="DT36" s="78">
        <f>IF(OR(INDEX(Undirviðmið!$G$6:$G$105,ROW()-6)&lt;&gt;"Starfsbundinn",DS36="",$E36="",$D36=""),"",ROUND(DS36/$E36*$D36*KVARDI,2))</f>
        <v/>
      </c>
      <c r="DU36" s="66" t="n"/>
      <c r="DV36" s="78">
        <f>IF(OR(INDEX(Undirviðmið!$G$6:$G$105,ROW()-6)&lt;&gt;"Starfsbundinn",DU36="",$E36="",$D36=""),"",ROUND(DU36/$E36*$D36*KVARDI,2))</f>
        <v/>
      </c>
      <c r="DW36" s="66" t="n"/>
      <c r="DX36" s="78">
        <f>IF(OR(INDEX(Undirviðmið!$G$6:$G$105,ROW()-6)&lt;&gt;"Starfsbundinn",DW36="",$E36="",$D36=""),"",ROUND(DW36/$E36*$D36*KVARDI,2))</f>
        <v/>
      </c>
      <c r="DY36" s="66" t="n"/>
      <c r="DZ36" s="78">
        <f>IF(OR(INDEX(Undirviðmið!$G$6:$G$105,ROW()-6)&lt;&gt;"Starfsbundinn",DY36="",$E36="",$D36=""),"",ROUND(DY36/$E36*$D36*KVARDI,2))</f>
        <v/>
      </c>
      <c r="EA36" s="66" t="n"/>
      <c r="EB36" s="78">
        <f>IF(OR(INDEX(Undirviðmið!$G$6:$G$105,ROW()-6)&lt;&gt;"Starfsbundinn",EA36="",$E36="",$D36=""),"",ROUND(EA36/$E36*$D36*KVARDI,2))</f>
        <v/>
      </c>
      <c r="EC36" s="66" t="n"/>
      <c r="ED36" s="78">
        <f>IF(OR(INDEX(Undirviðmið!$G$6:$G$105,ROW()-6)&lt;&gt;"Starfsbundinn",EC36="",$E36="",$D36=""),"",ROUND(EC36/$E36*$D36*KVARDI,2))</f>
        <v/>
      </c>
      <c r="EE36" s="66" t="n"/>
      <c r="EF36" s="78">
        <f>IF(OR(INDEX(Undirviðmið!$G$6:$G$105,ROW()-6)&lt;&gt;"Starfsbundinn",EE36="",$E36="",$D36=""),"",ROUND(EE36/$E36*$D36*KVARDI,2))</f>
        <v/>
      </c>
      <c r="EG36" s="66" t="n"/>
      <c r="EH36" s="78">
        <f>IF(OR(INDEX(Undirviðmið!$G$6:$G$105,ROW()-6)&lt;&gt;"Starfsbundinn",EG36="",$E36="",$D36=""),"",ROUND(EG36/$E36*$D36*KVARDI,2))</f>
        <v/>
      </c>
      <c r="EI36" s="66" t="n"/>
      <c r="EJ36" s="78">
        <f>IF(OR(INDEX(Undirviðmið!$G$6:$G$105,ROW()-6)&lt;&gt;"Starfsbundinn",EI36="",$E36="",$D36=""),"",ROUND(EI36/$E36*$D36*KVARDI,2))</f>
        <v/>
      </c>
      <c r="EK36" s="66" t="n"/>
      <c r="EL36" s="78">
        <f>IF(OR(INDEX(Undirviðmið!$G$6:$G$105,ROW()-6)&lt;&gt;"Starfsbundinn",EK36="",$E36="",$D36=""),"",ROUND(EK36/$E36*$D36*KVARDI,2))</f>
        <v/>
      </c>
      <c r="EM36" s="66" t="n"/>
      <c r="EN36" s="78">
        <f>IF(OR(INDEX(Undirviðmið!$G$6:$G$105,ROW()-6)&lt;&gt;"Starfsbundinn",EM36="",$E36="",$D36=""),"",ROUND(EM36/$E36*$D36*KVARDI,2))</f>
        <v/>
      </c>
      <c r="EO36" s="66" t="n"/>
      <c r="EP36" s="78">
        <f>IF(OR(INDEX(Undirviðmið!$G$6:$G$105,ROW()-6)&lt;&gt;"Starfsbundinn",EO36="",$E36="",$D36=""),"",ROUND(EO36/$E36*$D36*KVARDI,2))</f>
        <v/>
      </c>
      <c r="EQ36" s="66" t="n"/>
      <c r="ER36" s="78">
        <f>IF(OR(INDEX(Undirviðmið!$G$6:$G$105,ROW()-6)&lt;&gt;"Starfsbundinn",EQ36="",$E36="",$D36=""),"",ROUND(EQ36/$E36*$D36*KVARDI,2))</f>
        <v/>
      </c>
      <c r="ES36" s="66" t="n"/>
      <c r="ET36" s="78">
        <f>IF(OR(INDEX(Undirviðmið!$G$6:$G$105,ROW()-6)&lt;&gt;"Starfsbundinn",ES36="",$E36="",$D36=""),"",ROUND(ES36/$E36*$D36*KVARDI,2))</f>
        <v/>
      </c>
      <c r="EU36" s="66" t="n"/>
      <c r="EV36" s="78">
        <f>IF(OR(INDEX(Undirviðmið!$G$6:$G$105,ROW()-6)&lt;&gt;"Starfsbundinn",EU36="",$E36="",$D36=""),"",ROUND(EU36/$E36*$D36*KVARDI,2))</f>
        <v/>
      </c>
      <c r="EW36" s="66" t="n"/>
      <c r="EX36" s="78">
        <f>IF(OR(INDEX(Undirviðmið!$G$6:$G$105,ROW()-6)&lt;&gt;"Starfsbundinn",EW36="",$E36="",$D36=""),"",ROUND(EW36/$E36*$D36*KVARDI,2))</f>
        <v/>
      </c>
      <c r="EY36" s="66" t="n"/>
      <c r="EZ36" s="78">
        <f>IF(OR(INDEX(Undirviðmið!$G$6:$G$105,ROW()-6)&lt;&gt;"Starfsbundinn",EY36="",$E36="",$D36=""),"",ROUND(EY36/$E36*$D36*KVARDI,2))</f>
        <v/>
      </c>
      <c r="FA36" s="66" t="n"/>
      <c r="FB36" s="78">
        <f>IF(OR(INDEX(Undirviðmið!$G$6:$G$105,ROW()-6)&lt;&gt;"Starfsbundinn",FA36="",$E36="",$D36=""),"",ROUND(FA36/$E36*$D36*KVARDI,2))</f>
        <v/>
      </c>
      <c r="FC36" s="66" t="n"/>
      <c r="FD36" s="78">
        <f>IF(OR(INDEX(Undirviðmið!$G$6:$G$105,ROW()-6)&lt;&gt;"Starfsbundinn",FC36="",$E36="",$D36=""),"",ROUND(FC36/$E36*$D36*KVARDI,2))</f>
        <v/>
      </c>
      <c r="FE36" s="66" t="n"/>
      <c r="FF36" s="78">
        <f>IF(OR(INDEX(Undirviðmið!$G$6:$G$105,ROW()-6)&lt;&gt;"Starfsbundinn",FE36="",$E36="",$D36=""),"",ROUND(FE36/$E36*$D36*KVARDI,2))</f>
        <v/>
      </c>
      <c r="FG36" s="66" t="n"/>
      <c r="FH36" s="78">
        <f>IF(OR(INDEX(Undirviðmið!$G$6:$G$105,ROW()-6)&lt;&gt;"Starfsbundinn",FG36="",$E36="",$D36=""),"",ROUND(FG36/$E36*$D36*KVARDI,2))</f>
        <v/>
      </c>
      <c r="FI36" s="66" t="n"/>
      <c r="FJ36" s="78">
        <f>IF(OR(INDEX(Undirviðmið!$G$6:$G$105,ROW()-6)&lt;&gt;"Starfsbundinn",FI36="",$E36="",$D36=""),"",ROUND(FI36/$E36*$D36*KVARDI,2))</f>
        <v/>
      </c>
      <c r="FK36" s="66" t="n"/>
      <c r="FL36" s="78">
        <f>IF(OR(INDEX(Undirviðmið!$G$6:$G$105,ROW()-6)&lt;&gt;"Starfsbundinn",FK36="",$E36="",$D36=""),"",ROUND(FK36/$E36*$D36*KVARDI,2))</f>
        <v/>
      </c>
      <c r="FM36" s="66" t="n"/>
      <c r="FN36" s="78">
        <f>IF(OR(INDEX(Undirviðmið!$G$6:$G$105,ROW()-6)&lt;&gt;"Starfsbundinn",FM36="",$E36="",$D36=""),"",ROUND(FM36/$E36*$D36*KVARDI,2))</f>
        <v/>
      </c>
      <c r="FO36" s="66" t="n"/>
      <c r="FP36" s="78">
        <f>IF(OR(INDEX(Undirviðmið!$G$6:$G$105,ROW()-6)&lt;&gt;"Starfsbundinn",FO36="",$E36="",$D36=""),"",ROUND(FO36/$E36*$D36*KVARDI,2))</f>
        <v/>
      </c>
      <c r="FQ36" s="66" t="n"/>
      <c r="FR36" s="78">
        <f>IF(OR(INDEX(Undirviðmið!$G$6:$G$105,ROW()-6)&lt;&gt;"Starfsbundinn",FQ36="",$E36="",$D36=""),"",ROUND(FQ36/$E36*$D36*KVARDI,2))</f>
        <v/>
      </c>
      <c r="FS36" s="66" t="n"/>
      <c r="FT36" s="78">
        <f>IF(OR(INDEX(Undirviðmið!$G$6:$G$105,ROW()-6)&lt;&gt;"Starfsbundinn",FS36="",$E36="",$D36=""),"",ROUND(FS36/$E36*$D36*KVARDI,2))</f>
        <v/>
      </c>
      <c r="FU36" s="66" t="n"/>
      <c r="FV36" s="78">
        <f>IF(OR(INDEX(Undirviðmið!$G$6:$G$105,ROW()-6)&lt;&gt;"Starfsbundinn",FU36="",$E36="",$D36=""),"",ROUND(FU36/$E36*$D36*KVARDI,2))</f>
        <v/>
      </c>
      <c r="FW36" s="66" t="n"/>
      <c r="FX36" s="78">
        <f>IF(OR(INDEX(Undirviðmið!$G$6:$G$105,ROW()-6)&lt;&gt;"Starfsbundinn",FW36="",$E36="",$D36=""),"",ROUND(FW36/$E36*$D36*KVARDI,2))</f>
        <v/>
      </c>
      <c r="FY36" s="66" t="n"/>
      <c r="FZ36" s="78">
        <f>IF(OR(INDEX(Undirviðmið!$G$6:$G$105,ROW()-6)&lt;&gt;"Starfsbundinn",FY36="",$E36="",$D36=""),"",ROUND(FY36/$E36*$D36*KVARDI,2))</f>
        <v/>
      </c>
      <c r="GA36" s="66" t="n"/>
      <c r="GB36" s="78">
        <f>IF(OR(INDEX(Undirviðmið!$G$6:$G$105,ROW()-6)&lt;&gt;"Starfsbundinn",GA36="",$E36="",$D36=""),"",ROUND(GA36/$E36*$D36*KVARDI,2))</f>
        <v/>
      </c>
      <c r="GC36" s="66" t="n"/>
      <c r="GD36" s="78">
        <f>IF(OR(INDEX(Undirviðmið!$G$6:$G$105,ROW()-6)&lt;&gt;"Starfsbundinn",GC36="",$E36="",$D36=""),"",ROUND(GC36/$E36*$D36*KVARDI,2))</f>
        <v/>
      </c>
      <c r="GE36" s="66" t="n"/>
      <c r="GF36" s="78">
        <f>IF(OR(INDEX(Undirviðmið!$G$6:$G$105,ROW()-6)&lt;&gt;"Starfsbundinn",GE36="",$E36="",$D36=""),"",ROUND(GE36/$E36*$D36*KVARDI,2))</f>
        <v/>
      </c>
      <c r="GG36" s="66" t="n"/>
      <c r="GH36" s="78">
        <f>IF(OR(INDEX(Undirviðmið!$G$6:$G$105,ROW()-6)&lt;&gt;"Starfsbundinn",GG36="",$E36="",$D36=""),"",ROUND(GG36/$E36*$D36*KVARDI,2))</f>
        <v/>
      </c>
      <c r="GI36" s="66" t="n"/>
      <c r="GJ36" s="78">
        <f>IF(OR(INDEX(Undirviðmið!$G$6:$G$105,ROW()-6)&lt;&gt;"Starfsbundinn",GI36="",$E36="",$D36=""),"",ROUND(GI36/$E36*$D36*KVARDI,2))</f>
        <v/>
      </c>
      <c r="GK36" s="66" t="n"/>
      <c r="GL36" s="78">
        <f>IF(OR(INDEX(Undirviðmið!$G$6:$G$105,ROW()-6)&lt;&gt;"Starfsbundinn",GK36="",$E36="",$D36=""),"",ROUND(GK36/$E36*$D36*KVARDI,2))</f>
        <v/>
      </c>
      <c r="GM36" s="66" t="n"/>
      <c r="GN36" s="78">
        <f>IF(OR(INDEX(Undirviðmið!$G$6:$G$105,ROW()-6)&lt;&gt;"Starfsbundinn",GM36="",$E36="",$D36=""),"",ROUND(GM36/$E36*$D36*KVARDI,2))</f>
        <v/>
      </c>
      <c r="GO36" s="66" t="n"/>
      <c r="GP36" s="78">
        <f>IF(OR(INDEX(Undirviðmið!$G$6:$G$105,ROW()-6)&lt;&gt;"Starfsbundinn",GO36="",$E36="",$D36=""),"",ROUND(GO36/$E36*$D36*KVARDI,2))</f>
        <v/>
      </c>
      <c r="GQ36" s="66" t="n"/>
      <c r="GR36" s="78">
        <f>IF(OR(INDEX(Undirviðmið!$G$6:$G$105,ROW()-6)&lt;&gt;"Starfsbundinn",GQ36="",$E36="",$D36=""),"",ROUND(GQ36/$E36*$D36*KVARDI,2))</f>
        <v/>
      </c>
      <c r="GS36" s="66" t="n"/>
      <c r="GT36" s="78">
        <f>IF(OR(INDEX(Undirviðmið!$G$6:$G$105,ROW()-6)&lt;&gt;"Starfsbundinn",GS36="",$E36="",$D36=""),"",ROUND(GS36/$E36*$D36*KVARDI,2))</f>
        <v/>
      </c>
      <c r="GU36" s="66" t="n"/>
      <c r="GV36" s="78">
        <f>IF(OR(INDEX(Undirviðmið!$G$6:$G$105,ROW()-6)&lt;&gt;"Starfsbundinn",GU36="",$E36="",$D36=""),"",ROUND(GU36/$E36*$D36*KVARDI,2))</f>
        <v/>
      </c>
      <c r="GW36" s="66" t="n"/>
      <c r="GX36" s="78">
        <f>IF(OR(INDEX(Undirviðmið!$G$6:$G$105,ROW()-6)&lt;&gt;"Starfsbundinn",GW36="",$E36="",$D36=""),"",ROUND(GW36/$E36*$D36*KVARDI,2))</f>
        <v/>
      </c>
    </row>
    <row r="37" ht="15" customHeight="1" s="47">
      <c r="B37" s="67">
        <f>IF(INDEX(Undirviðmið!$G$6:$G$105,ROW()-6)="Starfsbundinn",INDEX(Undirviðmið!$B$6:$B$105,ROW()-6),"")</f>
        <v/>
      </c>
      <c r="C37" s="67">
        <f>IF(INDEX(Undirviðmið!$G$6:$G$105,ROW()-6)="Starfsbundinn",INDEX(Undirviðmið!$C$6:$C$105,ROW()-6),"")</f>
        <v/>
      </c>
      <c r="D37" s="77">
        <f>IF(INDEX(Undirviðmið!$G$6:$G$105,ROW()-6)="Starfsbundinn",INDEX(Undirviðmið!$E$6:$E$105,ROW()-6),"")</f>
        <v/>
      </c>
      <c r="E37" s="77">
        <f>IF(INDEX(Undirviðmið!$G$6:$G$105,ROW()-6)="Starfsbundinn",INDEX(Undirviðmið!$F$6:$F$105,ROW()-6),"")</f>
        <v/>
      </c>
      <c r="F37" s="77">
        <f>IF(INDEX(Undirviðmið!$G$6:$G$105,ROW()-6)="Starfsbundinn",IFERROR(INDEX(Undirviðmið!$E$6:$E$105,ROW()-6)*KVARDI,""),"")</f>
        <v/>
      </c>
      <c r="G37" s="66" t="n"/>
      <c r="H37" s="78">
        <f>IF(OR(INDEX(Undirviðmið!$G$6:$G$105,ROW()-6)&lt;&gt;"Starfsbundinn",G37="",$E37="",$D37=""),"",ROUND(G37/$E37*$D37*KVARDI,2))</f>
        <v/>
      </c>
      <c r="I37" s="66" t="n"/>
      <c r="J37" s="78">
        <f>IF(OR(INDEX(Undirviðmið!$G$6:$G$105,ROW()-6)&lt;&gt;"Starfsbundinn",I37="",$E37="",$D37=""),"",ROUND(I37/$E37*$D37*KVARDI,2))</f>
        <v/>
      </c>
      <c r="K37" s="66" t="n"/>
      <c r="L37" s="78">
        <f>IF(OR(INDEX(Undirviðmið!$G$6:$G$105,ROW()-6)&lt;&gt;"Starfsbundinn",K37="",$E37="",$D37=""),"",ROUND(K37/$E37*$D37*KVARDI,2))</f>
        <v/>
      </c>
      <c r="M37" s="66" t="n"/>
      <c r="N37" s="78">
        <f>IF(OR(INDEX(Undirviðmið!$G$6:$G$105,ROW()-6)&lt;&gt;"Starfsbundinn",M37="",$E37="",$D37=""),"",ROUND(M37/$E37*$D37*KVARDI,2))</f>
        <v/>
      </c>
      <c r="O37" s="66" t="n"/>
      <c r="P37" s="78">
        <f>IF(OR(INDEX(Undirviðmið!$G$6:$G$105,ROW()-6)&lt;&gt;"Starfsbundinn",O37="",$E37="",$D37=""),"",ROUND(O37/$E37*$D37*KVARDI,2))</f>
        <v/>
      </c>
      <c r="Q37" s="66" t="n"/>
      <c r="R37" s="78">
        <f>IF(OR(INDEX(Undirviðmið!$G$6:$G$105,ROW()-6)&lt;&gt;"Starfsbundinn",Q37="",$E37="",$D37=""),"",ROUND(Q37/$E37*$D37*KVARDI,2))</f>
        <v/>
      </c>
      <c r="S37" s="66" t="n"/>
      <c r="T37" s="78">
        <f>IF(OR(INDEX(Undirviðmið!$G$6:$G$105,ROW()-6)&lt;&gt;"Starfsbundinn",S37="",$E37="",$D37=""),"",ROUND(S37/$E37*$D37*KVARDI,2))</f>
        <v/>
      </c>
      <c r="U37" s="66" t="n"/>
      <c r="V37" s="78">
        <f>IF(OR(INDEX(Undirviðmið!$G$6:$G$105,ROW()-6)&lt;&gt;"Starfsbundinn",U37="",$E37="",$D37=""),"",ROUND(U37/$E37*$D37*KVARDI,2))</f>
        <v/>
      </c>
      <c r="W37" s="66" t="n"/>
      <c r="X37" s="78">
        <f>IF(OR(INDEX(Undirviðmið!$G$6:$G$105,ROW()-6)&lt;&gt;"Starfsbundinn",W37="",$E37="",$D37=""),"",ROUND(W37/$E37*$D37*KVARDI,2))</f>
        <v/>
      </c>
      <c r="Y37" s="66" t="n"/>
      <c r="Z37" s="78">
        <f>IF(OR(INDEX(Undirviðmið!$G$6:$G$105,ROW()-6)&lt;&gt;"Starfsbundinn",Y37="",$E37="",$D37=""),"",ROUND(Y37/$E37*$D37*KVARDI,2))</f>
        <v/>
      </c>
      <c r="AA37" s="66" t="n"/>
      <c r="AB37" s="78">
        <f>IF(OR(INDEX(Undirviðmið!$G$6:$G$105,ROW()-6)&lt;&gt;"Starfsbundinn",AA37="",$E37="",$D37=""),"",ROUND(AA37/$E37*$D37*KVARDI,2))</f>
        <v/>
      </c>
      <c r="AC37" s="66" t="n"/>
      <c r="AD37" s="78">
        <f>IF(OR(INDEX(Undirviðmið!$G$6:$G$105,ROW()-6)&lt;&gt;"Starfsbundinn",AC37="",$E37="",$D37=""),"",ROUND(AC37/$E37*$D37*KVARDI,2))</f>
        <v/>
      </c>
      <c r="AE37" s="66" t="n"/>
      <c r="AF37" s="78">
        <f>IF(OR(INDEX(Undirviðmið!$G$6:$G$105,ROW()-6)&lt;&gt;"Starfsbundinn",AE37="",$E37="",$D37=""),"",ROUND(AE37/$E37*$D37*KVARDI,2))</f>
        <v/>
      </c>
      <c r="AG37" s="66" t="n"/>
      <c r="AH37" s="78">
        <f>IF(OR(INDEX(Undirviðmið!$G$6:$G$105,ROW()-6)&lt;&gt;"Starfsbundinn",AG37="",$E37="",$D37=""),"",ROUND(AG37/$E37*$D37*KVARDI,2))</f>
        <v/>
      </c>
      <c r="AI37" s="66" t="n"/>
      <c r="AJ37" s="78">
        <f>IF(OR(INDEX(Undirviðmið!$G$6:$G$105,ROW()-6)&lt;&gt;"Starfsbundinn",AI37="",$E37="",$D37=""),"",ROUND(AI37/$E37*$D37*KVARDI,2))</f>
        <v/>
      </c>
      <c r="AK37" s="66" t="n"/>
      <c r="AL37" s="78">
        <f>IF(OR(INDEX(Undirviðmið!$G$6:$G$105,ROW()-6)&lt;&gt;"Starfsbundinn",AK37="",$E37="",$D37=""),"",ROUND(AK37/$E37*$D37*KVARDI,2))</f>
        <v/>
      </c>
      <c r="AM37" s="66" t="n"/>
      <c r="AN37" s="78">
        <f>IF(OR(INDEX(Undirviðmið!$G$6:$G$105,ROW()-6)&lt;&gt;"Starfsbundinn",AM37="",$E37="",$D37=""),"",ROUND(AM37/$E37*$D37*KVARDI,2))</f>
        <v/>
      </c>
      <c r="AO37" s="66" t="n"/>
      <c r="AP37" s="78">
        <f>IF(OR(INDEX(Undirviðmið!$G$6:$G$105,ROW()-6)&lt;&gt;"Starfsbundinn",AO37="",$E37="",$D37=""),"",ROUND(AO37/$E37*$D37*KVARDI,2))</f>
        <v/>
      </c>
      <c r="AQ37" s="66" t="n"/>
      <c r="AR37" s="78">
        <f>IF(OR(INDEX(Undirviðmið!$G$6:$G$105,ROW()-6)&lt;&gt;"Starfsbundinn",AQ37="",$E37="",$D37=""),"",ROUND(AQ37/$E37*$D37*KVARDI,2))</f>
        <v/>
      </c>
      <c r="AS37" s="66" t="n"/>
      <c r="AT37" s="78">
        <f>IF(OR(INDEX(Undirviðmið!$G$6:$G$105,ROW()-6)&lt;&gt;"Starfsbundinn",AS37="",$E37="",$D37=""),"",ROUND(AS37/$E37*$D37*KVARDI,2))</f>
        <v/>
      </c>
      <c r="AU37" s="66" t="n"/>
      <c r="AV37" s="78">
        <f>IF(OR(INDEX(Undirviðmið!$G$6:$G$105,ROW()-6)&lt;&gt;"Starfsbundinn",AU37="",$E37="",$D37=""),"",ROUND(AU37/$E37*$D37*KVARDI,2))</f>
        <v/>
      </c>
      <c r="AW37" s="66" t="n"/>
      <c r="AX37" s="78">
        <f>IF(OR(INDEX(Undirviðmið!$G$6:$G$105,ROW()-6)&lt;&gt;"Starfsbundinn",AW37="",$E37="",$D37=""),"",ROUND(AW37/$E37*$D37*KVARDI,2))</f>
        <v/>
      </c>
      <c r="AY37" s="66" t="n"/>
      <c r="AZ37" s="78">
        <f>IF(OR(INDEX(Undirviðmið!$G$6:$G$105,ROW()-6)&lt;&gt;"Starfsbundinn",AY37="",$E37="",$D37=""),"",ROUND(AY37/$E37*$D37*KVARDI,2))</f>
        <v/>
      </c>
      <c r="BA37" s="66" t="n"/>
      <c r="BB37" s="78">
        <f>IF(OR(INDEX(Undirviðmið!$G$6:$G$105,ROW()-6)&lt;&gt;"Starfsbundinn",BA37="",$E37="",$D37=""),"",ROUND(BA37/$E37*$D37*KVARDI,2))</f>
        <v/>
      </c>
      <c r="BC37" s="66" t="n"/>
      <c r="BD37" s="78">
        <f>IF(OR(INDEX(Undirviðmið!$G$6:$G$105,ROW()-6)&lt;&gt;"Starfsbundinn",BC37="",$E37="",$D37=""),"",ROUND(BC37/$E37*$D37*KVARDI,2))</f>
        <v/>
      </c>
      <c r="BE37" s="66" t="n"/>
      <c r="BF37" s="78">
        <f>IF(OR(INDEX(Undirviðmið!$G$6:$G$105,ROW()-6)&lt;&gt;"Starfsbundinn",BE37="",$E37="",$D37=""),"",ROUND(BE37/$E37*$D37*KVARDI,2))</f>
        <v/>
      </c>
      <c r="BG37" s="66" t="n"/>
      <c r="BH37" s="78">
        <f>IF(OR(INDEX(Undirviðmið!$G$6:$G$105,ROW()-6)&lt;&gt;"Starfsbundinn",BG37="",$E37="",$D37=""),"",ROUND(BG37/$E37*$D37*KVARDI,2))</f>
        <v/>
      </c>
      <c r="BI37" s="66" t="n"/>
      <c r="BJ37" s="78">
        <f>IF(OR(INDEX(Undirviðmið!$G$6:$G$105,ROW()-6)&lt;&gt;"Starfsbundinn",BI37="",$E37="",$D37=""),"",ROUND(BI37/$E37*$D37*KVARDI,2))</f>
        <v/>
      </c>
      <c r="BK37" s="66" t="n"/>
      <c r="BL37" s="78">
        <f>IF(OR(INDEX(Undirviðmið!$G$6:$G$105,ROW()-6)&lt;&gt;"Starfsbundinn",BK37="",$E37="",$D37=""),"",ROUND(BK37/$E37*$D37*KVARDI,2))</f>
        <v/>
      </c>
      <c r="BM37" s="66" t="n"/>
      <c r="BN37" s="78">
        <f>IF(OR(INDEX(Undirviðmið!$G$6:$G$105,ROW()-6)&lt;&gt;"Starfsbundinn",BM37="",$E37="",$D37=""),"",ROUND(BM37/$E37*$D37*KVARDI,2))</f>
        <v/>
      </c>
      <c r="BO37" s="66" t="n"/>
      <c r="BP37" s="78">
        <f>IF(OR(INDEX(Undirviðmið!$G$6:$G$105,ROW()-6)&lt;&gt;"Starfsbundinn",BO37="",$E37="",$D37=""),"",ROUND(BO37/$E37*$D37*KVARDI,2))</f>
        <v/>
      </c>
      <c r="BQ37" s="66" t="n"/>
      <c r="BR37" s="78">
        <f>IF(OR(INDEX(Undirviðmið!$G$6:$G$105,ROW()-6)&lt;&gt;"Starfsbundinn",BQ37="",$E37="",$D37=""),"",ROUND(BQ37/$E37*$D37*KVARDI,2))</f>
        <v/>
      </c>
      <c r="BS37" s="66" t="n"/>
      <c r="BT37" s="78">
        <f>IF(OR(INDEX(Undirviðmið!$G$6:$G$105,ROW()-6)&lt;&gt;"Starfsbundinn",BS37="",$E37="",$D37=""),"",ROUND(BS37/$E37*$D37*KVARDI,2))</f>
        <v/>
      </c>
      <c r="BU37" s="66" t="n"/>
      <c r="BV37" s="78">
        <f>IF(OR(INDEX(Undirviðmið!$G$6:$G$105,ROW()-6)&lt;&gt;"Starfsbundinn",BU37="",$E37="",$D37=""),"",ROUND(BU37/$E37*$D37*KVARDI,2))</f>
        <v/>
      </c>
      <c r="BW37" s="66" t="n"/>
      <c r="BX37" s="78">
        <f>IF(OR(INDEX(Undirviðmið!$G$6:$G$105,ROW()-6)&lt;&gt;"Starfsbundinn",BW37="",$E37="",$D37=""),"",ROUND(BW37/$E37*$D37*KVARDI,2))</f>
        <v/>
      </c>
      <c r="BY37" s="66" t="n"/>
      <c r="BZ37" s="78">
        <f>IF(OR(INDEX(Undirviðmið!$G$6:$G$105,ROW()-6)&lt;&gt;"Starfsbundinn",BY37="",$E37="",$D37=""),"",ROUND(BY37/$E37*$D37*KVARDI,2))</f>
        <v/>
      </c>
      <c r="CA37" s="66" t="n"/>
      <c r="CB37" s="78">
        <f>IF(OR(INDEX(Undirviðmið!$G$6:$G$105,ROW()-6)&lt;&gt;"Starfsbundinn",CA37="",$E37="",$D37=""),"",ROUND(CA37/$E37*$D37*KVARDI,2))</f>
        <v/>
      </c>
      <c r="CC37" s="66" t="n"/>
      <c r="CD37" s="78">
        <f>IF(OR(INDEX(Undirviðmið!$G$6:$G$105,ROW()-6)&lt;&gt;"Starfsbundinn",CC37="",$E37="",$D37=""),"",ROUND(CC37/$E37*$D37*KVARDI,2))</f>
        <v/>
      </c>
      <c r="CE37" s="66" t="n"/>
      <c r="CF37" s="78">
        <f>IF(OR(INDEX(Undirviðmið!$G$6:$G$105,ROW()-6)&lt;&gt;"Starfsbundinn",CE37="",$E37="",$D37=""),"",ROUND(CE37/$E37*$D37*KVARDI,2))</f>
        <v/>
      </c>
      <c r="CG37" s="66" t="n"/>
      <c r="CH37" s="78">
        <f>IF(OR(INDEX(Undirviðmið!$G$6:$G$105,ROW()-6)&lt;&gt;"Starfsbundinn",CG37="",$E37="",$D37=""),"",ROUND(CG37/$E37*$D37*KVARDI,2))</f>
        <v/>
      </c>
      <c r="CI37" s="66" t="n"/>
      <c r="CJ37" s="78">
        <f>IF(OR(INDEX(Undirviðmið!$G$6:$G$105,ROW()-6)&lt;&gt;"Starfsbundinn",CI37="",$E37="",$D37=""),"",ROUND(CI37/$E37*$D37*KVARDI,2))</f>
        <v/>
      </c>
      <c r="CK37" s="66" t="n"/>
      <c r="CL37" s="78">
        <f>IF(OR(INDEX(Undirviðmið!$G$6:$G$105,ROW()-6)&lt;&gt;"Starfsbundinn",CK37="",$E37="",$D37=""),"",ROUND(CK37/$E37*$D37*KVARDI,2))</f>
        <v/>
      </c>
      <c r="CM37" s="66" t="n"/>
      <c r="CN37" s="78">
        <f>IF(OR(INDEX(Undirviðmið!$G$6:$G$105,ROW()-6)&lt;&gt;"Starfsbundinn",CM37="",$E37="",$D37=""),"",ROUND(CM37/$E37*$D37*KVARDI,2))</f>
        <v/>
      </c>
      <c r="CO37" s="66" t="n"/>
      <c r="CP37" s="78">
        <f>IF(OR(INDEX(Undirviðmið!$G$6:$G$105,ROW()-6)&lt;&gt;"Starfsbundinn",CO37="",$E37="",$D37=""),"",ROUND(CO37/$E37*$D37*KVARDI,2))</f>
        <v/>
      </c>
      <c r="CQ37" s="66" t="n"/>
      <c r="CR37" s="78">
        <f>IF(OR(INDEX(Undirviðmið!$G$6:$G$105,ROW()-6)&lt;&gt;"Starfsbundinn",CQ37="",$E37="",$D37=""),"",ROUND(CQ37/$E37*$D37*KVARDI,2))</f>
        <v/>
      </c>
      <c r="CS37" s="66" t="n"/>
      <c r="CT37" s="78">
        <f>IF(OR(INDEX(Undirviðmið!$G$6:$G$105,ROW()-6)&lt;&gt;"Starfsbundinn",CS37="",$E37="",$D37=""),"",ROUND(CS37/$E37*$D37*KVARDI,2))</f>
        <v/>
      </c>
      <c r="CU37" s="66" t="n"/>
      <c r="CV37" s="78">
        <f>IF(OR(INDEX(Undirviðmið!$G$6:$G$105,ROW()-6)&lt;&gt;"Starfsbundinn",CU37="",$E37="",$D37=""),"",ROUND(CU37/$E37*$D37*KVARDI,2))</f>
        <v/>
      </c>
      <c r="CW37" s="66" t="n"/>
      <c r="CX37" s="78">
        <f>IF(OR(INDEX(Undirviðmið!$G$6:$G$105,ROW()-6)&lt;&gt;"Starfsbundinn",CW37="",$E37="",$D37=""),"",ROUND(CW37/$E37*$D37*KVARDI,2))</f>
        <v/>
      </c>
      <c r="CY37" s="66" t="n"/>
      <c r="CZ37" s="78">
        <f>IF(OR(INDEX(Undirviðmið!$G$6:$G$105,ROW()-6)&lt;&gt;"Starfsbundinn",CY37="",$E37="",$D37=""),"",ROUND(CY37/$E37*$D37*KVARDI,2))</f>
        <v/>
      </c>
      <c r="DA37" s="66" t="n"/>
      <c r="DB37" s="78">
        <f>IF(OR(INDEX(Undirviðmið!$G$6:$G$105,ROW()-6)&lt;&gt;"Starfsbundinn",DA37="",$E37="",$D37=""),"",ROUND(DA37/$E37*$D37*KVARDI,2))</f>
        <v/>
      </c>
      <c r="DC37" s="66" t="n"/>
      <c r="DD37" s="78">
        <f>IF(OR(INDEX(Undirviðmið!$G$6:$G$105,ROW()-6)&lt;&gt;"Starfsbundinn",DC37="",$E37="",$D37=""),"",ROUND(DC37/$E37*$D37*KVARDI,2))</f>
        <v/>
      </c>
      <c r="DE37" s="66" t="n"/>
      <c r="DF37" s="78">
        <f>IF(OR(INDEX(Undirviðmið!$G$6:$G$105,ROW()-6)&lt;&gt;"Starfsbundinn",DE37="",$E37="",$D37=""),"",ROUND(DE37/$E37*$D37*KVARDI,2))</f>
        <v/>
      </c>
      <c r="DG37" s="66" t="n"/>
      <c r="DH37" s="78">
        <f>IF(OR(INDEX(Undirviðmið!$G$6:$G$105,ROW()-6)&lt;&gt;"Starfsbundinn",DG37="",$E37="",$D37=""),"",ROUND(DG37/$E37*$D37*KVARDI,2))</f>
        <v/>
      </c>
      <c r="DI37" s="66" t="n"/>
      <c r="DJ37" s="78">
        <f>IF(OR(INDEX(Undirviðmið!$G$6:$G$105,ROW()-6)&lt;&gt;"Starfsbundinn",DI37="",$E37="",$D37=""),"",ROUND(DI37/$E37*$D37*KVARDI,2))</f>
        <v/>
      </c>
      <c r="DK37" s="66" t="n"/>
      <c r="DL37" s="78">
        <f>IF(OR(INDEX(Undirviðmið!$G$6:$G$105,ROW()-6)&lt;&gt;"Starfsbundinn",DK37="",$E37="",$D37=""),"",ROUND(DK37/$E37*$D37*KVARDI,2))</f>
        <v/>
      </c>
      <c r="DM37" s="66" t="n"/>
      <c r="DN37" s="78">
        <f>IF(OR(INDEX(Undirviðmið!$G$6:$G$105,ROW()-6)&lt;&gt;"Starfsbundinn",DM37="",$E37="",$D37=""),"",ROUND(DM37/$E37*$D37*KVARDI,2))</f>
        <v/>
      </c>
      <c r="DO37" s="66" t="n"/>
      <c r="DP37" s="78">
        <f>IF(OR(INDEX(Undirviðmið!$G$6:$G$105,ROW()-6)&lt;&gt;"Starfsbundinn",DO37="",$E37="",$D37=""),"",ROUND(DO37/$E37*$D37*KVARDI,2))</f>
        <v/>
      </c>
      <c r="DQ37" s="66" t="n"/>
      <c r="DR37" s="78">
        <f>IF(OR(INDEX(Undirviðmið!$G$6:$G$105,ROW()-6)&lt;&gt;"Starfsbundinn",DQ37="",$E37="",$D37=""),"",ROUND(DQ37/$E37*$D37*KVARDI,2))</f>
        <v/>
      </c>
      <c r="DS37" s="66" t="n"/>
      <c r="DT37" s="78">
        <f>IF(OR(INDEX(Undirviðmið!$G$6:$G$105,ROW()-6)&lt;&gt;"Starfsbundinn",DS37="",$E37="",$D37=""),"",ROUND(DS37/$E37*$D37*KVARDI,2))</f>
        <v/>
      </c>
      <c r="DU37" s="66" t="n"/>
      <c r="DV37" s="78">
        <f>IF(OR(INDEX(Undirviðmið!$G$6:$G$105,ROW()-6)&lt;&gt;"Starfsbundinn",DU37="",$E37="",$D37=""),"",ROUND(DU37/$E37*$D37*KVARDI,2))</f>
        <v/>
      </c>
      <c r="DW37" s="66" t="n"/>
      <c r="DX37" s="78">
        <f>IF(OR(INDEX(Undirviðmið!$G$6:$G$105,ROW()-6)&lt;&gt;"Starfsbundinn",DW37="",$E37="",$D37=""),"",ROUND(DW37/$E37*$D37*KVARDI,2))</f>
        <v/>
      </c>
      <c r="DY37" s="66" t="n"/>
      <c r="DZ37" s="78">
        <f>IF(OR(INDEX(Undirviðmið!$G$6:$G$105,ROW()-6)&lt;&gt;"Starfsbundinn",DY37="",$E37="",$D37=""),"",ROUND(DY37/$E37*$D37*KVARDI,2))</f>
        <v/>
      </c>
      <c r="EA37" s="66" t="n"/>
      <c r="EB37" s="78">
        <f>IF(OR(INDEX(Undirviðmið!$G$6:$G$105,ROW()-6)&lt;&gt;"Starfsbundinn",EA37="",$E37="",$D37=""),"",ROUND(EA37/$E37*$D37*KVARDI,2))</f>
        <v/>
      </c>
      <c r="EC37" s="66" t="n"/>
      <c r="ED37" s="78">
        <f>IF(OR(INDEX(Undirviðmið!$G$6:$G$105,ROW()-6)&lt;&gt;"Starfsbundinn",EC37="",$E37="",$D37=""),"",ROUND(EC37/$E37*$D37*KVARDI,2))</f>
        <v/>
      </c>
      <c r="EE37" s="66" t="n"/>
      <c r="EF37" s="78">
        <f>IF(OR(INDEX(Undirviðmið!$G$6:$G$105,ROW()-6)&lt;&gt;"Starfsbundinn",EE37="",$E37="",$D37=""),"",ROUND(EE37/$E37*$D37*KVARDI,2))</f>
        <v/>
      </c>
      <c r="EG37" s="66" t="n"/>
      <c r="EH37" s="78">
        <f>IF(OR(INDEX(Undirviðmið!$G$6:$G$105,ROW()-6)&lt;&gt;"Starfsbundinn",EG37="",$E37="",$D37=""),"",ROUND(EG37/$E37*$D37*KVARDI,2))</f>
        <v/>
      </c>
      <c r="EI37" s="66" t="n"/>
      <c r="EJ37" s="78">
        <f>IF(OR(INDEX(Undirviðmið!$G$6:$G$105,ROW()-6)&lt;&gt;"Starfsbundinn",EI37="",$E37="",$D37=""),"",ROUND(EI37/$E37*$D37*KVARDI,2))</f>
        <v/>
      </c>
      <c r="EK37" s="66" t="n"/>
      <c r="EL37" s="78">
        <f>IF(OR(INDEX(Undirviðmið!$G$6:$G$105,ROW()-6)&lt;&gt;"Starfsbundinn",EK37="",$E37="",$D37=""),"",ROUND(EK37/$E37*$D37*KVARDI,2))</f>
        <v/>
      </c>
      <c r="EM37" s="66" t="n"/>
      <c r="EN37" s="78">
        <f>IF(OR(INDEX(Undirviðmið!$G$6:$G$105,ROW()-6)&lt;&gt;"Starfsbundinn",EM37="",$E37="",$D37=""),"",ROUND(EM37/$E37*$D37*KVARDI,2))</f>
        <v/>
      </c>
      <c r="EO37" s="66" t="n"/>
      <c r="EP37" s="78">
        <f>IF(OR(INDEX(Undirviðmið!$G$6:$G$105,ROW()-6)&lt;&gt;"Starfsbundinn",EO37="",$E37="",$D37=""),"",ROUND(EO37/$E37*$D37*KVARDI,2))</f>
        <v/>
      </c>
      <c r="EQ37" s="66" t="n"/>
      <c r="ER37" s="78">
        <f>IF(OR(INDEX(Undirviðmið!$G$6:$G$105,ROW()-6)&lt;&gt;"Starfsbundinn",EQ37="",$E37="",$D37=""),"",ROUND(EQ37/$E37*$D37*KVARDI,2))</f>
        <v/>
      </c>
      <c r="ES37" s="66" t="n"/>
      <c r="ET37" s="78">
        <f>IF(OR(INDEX(Undirviðmið!$G$6:$G$105,ROW()-6)&lt;&gt;"Starfsbundinn",ES37="",$E37="",$D37=""),"",ROUND(ES37/$E37*$D37*KVARDI,2))</f>
        <v/>
      </c>
      <c r="EU37" s="66" t="n"/>
      <c r="EV37" s="78">
        <f>IF(OR(INDEX(Undirviðmið!$G$6:$G$105,ROW()-6)&lt;&gt;"Starfsbundinn",EU37="",$E37="",$D37=""),"",ROUND(EU37/$E37*$D37*KVARDI,2))</f>
        <v/>
      </c>
      <c r="EW37" s="66" t="n"/>
      <c r="EX37" s="78">
        <f>IF(OR(INDEX(Undirviðmið!$G$6:$G$105,ROW()-6)&lt;&gt;"Starfsbundinn",EW37="",$E37="",$D37=""),"",ROUND(EW37/$E37*$D37*KVARDI,2))</f>
        <v/>
      </c>
      <c r="EY37" s="66" t="n"/>
      <c r="EZ37" s="78">
        <f>IF(OR(INDEX(Undirviðmið!$G$6:$G$105,ROW()-6)&lt;&gt;"Starfsbundinn",EY37="",$E37="",$D37=""),"",ROUND(EY37/$E37*$D37*KVARDI,2))</f>
        <v/>
      </c>
      <c r="FA37" s="66" t="n"/>
      <c r="FB37" s="78">
        <f>IF(OR(INDEX(Undirviðmið!$G$6:$G$105,ROW()-6)&lt;&gt;"Starfsbundinn",FA37="",$E37="",$D37=""),"",ROUND(FA37/$E37*$D37*KVARDI,2))</f>
        <v/>
      </c>
      <c r="FC37" s="66" t="n"/>
      <c r="FD37" s="78">
        <f>IF(OR(INDEX(Undirviðmið!$G$6:$G$105,ROW()-6)&lt;&gt;"Starfsbundinn",FC37="",$E37="",$D37=""),"",ROUND(FC37/$E37*$D37*KVARDI,2))</f>
        <v/>
      </c>
      <c r="FE37" s="66" t="n"/>
      <c r="FF37" s="78">
        <f>IF(OR(INDEX(Undirviðmið!$G$6:$G$105,ROW()-6)&lt;&gt;"Starfsbundinn",FE37="",$E37="",$D37=""),"",ROUND(FE37/$E37*$D37*KVARDI,2))</f>
        <v/>
      </c>
      <c r="FG37" s="66" t="n"/>
      <c r="FH37" s="78">
        <f>IF(OR(INDEX(Undirviðmið!$G$6:$G$105,ROW()-6)&lt;&gt;"Starfsbundinn",FG37="",$E37="",$D37=""),"",ROUND(FG37/$E37*$D37*KVARDI,2))</f>
        <v/>
      </c>
      <c r="FI37" s="66" t="n"/>
      <c r="FJ37" s="78">
        <f>IF(OR(INDEX(Undirviðmið!$G$6:$G$105,ROW()-6)&lt;&gt;"Starfsbundinn",FI37="",$E37="",$D37=""),"",ROUND(FI37/$E37*$D37*KVARDI,2))</f>
        <v/>
      </c>
      <c r="FK37" s="66" t="n"/>
      <c r="FL37" s="78">
        <f>IF(OR(INDEX(Undirviðmið!$G$6:$G$105,ROW()-6)&lt;&gt;"Starfsbundinn",FK37="",$E37="",$D37=""),"",ROUND(FK37/$E37*$D37*KVARDI,2))</f>
        <v/>
      </c>
      <c r="FM37" s="66" t="n"/>
      <c r="FN37" s="78">
        <f>IF(OR(INDEX(Undirviðmið!$G$6:$G$105,ROW()-6)&lt;&gt;"Starfsbundinn",FM37="",$E37="",$D37=""),"",ROUND(FM37/$E37*$D37*KVARDI,2))</f>
        <v/>
      </c>
      <c r="FO37" s="66" t="n"/>
      <c r="FP37" s="78">
        <f>IF(OR(INDEX(Undirviðmið!$G$6:$G$105,ROW()-6)&lt;&gt;"Starfsbundinn",FO37="",$E37="",$D37=""),"",ROUND(FO37/$E37*$D37*KVARDI,2))</f>
        <v/>
      </c>
      <c r="FQ37" s="66" t="n"/>
      <c r="FR37" s="78">
        <f>IF(OR(INDEX(Undirviðmið!$G$6:$G$105,ROW()-6)&lt;&gt;"Starfsbundinn",FQ37="",$E37="",$D37=""),"",ROUND(FQ37/$E37*$D37*KVARDI,2))</f>
        <v/>
      </c>
      <c r="FS37" s="66" t="n"/>
      <c r="FT37" s="78">
        <f>IF(OR(INDEX(Undirviðmið!$G$6:$G$105,ROW()-6)&lt;&gt;"Starfsbundinn",FS37="",$E37="",$D37=""),"",ROUND(FS37/$E37*$D37*KVARDI,2))</f>
        <v/>
      </c>
      <c r="FU37" s="66" t="n"/>
      <c r="FV37" s="78">
        <f>IF(OR(INDEX(Undirviðmið!$G$6:$G$105,ROW()-6)&lt;&gt;"Starfsbundinn",FU37="",$E37="",$D37=""),"",ROUND(FU37/$E37*$D37*KVARDI,2))</f>
        <v/>
      </c>
      <c r="FW37" s="66" t="n"/>
      <c r="FX37" s="78">
        <f>IF(OR(INDEX(Undirviðmið!$G$6:$G$105,ROW()-6)&lt;&gt;"Starfsbundinn",FW37="",$E37="",$D37=""),"",ROUND(FW37/$E37*$D37*KVARDI,2))</f>
        <v/>
      </c>
      <c r="FY37" s="66" t="n"/>
      <c r="FZ37" s="78">
        <f>IF(OR(INDEX(Undirviðmið!$G$6:$G$105,ROW()-6)&lt;&gt;"Starfsbundinn",FY37="",$E37="",$D37=""),"",ROUND(FY37/$E37*$D37*KVARDI,2))</f>
        <v/>
      </c>
      <c r="GA37" s="66" t="n"/>
      <c r="GB37" s="78">
        <f>IF(OR(INDEX(Undirviðmið!$G$6:$G$105,ROW()-6)&lt;&gt;"Starfsbundinn",GA37="",$E37="",$D37=""),"",ROUND(GA37/$E37*$D37*KVARDI,2))</f>
        <v/>
      </c>
      <c r="GC37" s="66" t="n"/>
      <c r="GD37" s="78">
        <f>IF(OR(INDEX(Undirviðmið!$G$6:$G$105,ROW()-6)&lt;&gt;"Starfsbundinn",GC37="",$E37="",$D37=""),"",ROUND(GC37/$E37*$D37*KVARDI,2))</f>
        <v/>
      </c>
      <c r="GE37" s="66" t="n"/>
      <c r="GF37" s="78">
        <f>IF(OR(INDEX(Undirviðmið!$G$6:$G$105,ROW()-6)&lt;&gt;"Starfsbundinn",GE37="",$E37="",$D37=""),"",ROUND(GE37/$E37*$D37*KVARDI,2))</f>
        <v/>
      </c>
      <c r="GG37" s="66" t="n"/>
      <c r="GH37" s="78">
        <f>IF(OR(INDEX(Undirviðmið!$G$6:$G$105,ROW()-6)&lt;&gt;"Starfsbundinn",GG37="",$E37="",$D37=""),"",ROUND(GG37/$E37*$D37*KVARDI,2))</f>
        <v/>
      </c>
      <c r="GI37" s="66" t="n"/>
      <c r="GJ37" s="78">
        <f>IF(OR(INDEX(Undirviðmið!$G$6:$G$105,ROW()-6)&lt;&gt;"Starfsbundinn",GI37="",$E37="",$D37=""),"",ROUND(GI37/$E37*$D37*KVARDI,2))</f>
        <v/>
      </c>
      <c r="GK37" s="66" t="n"/>
      <c r="GL37" s="78">
        <f>IF(OR(INDEX(Undirviðmið!$G$6:$G$105,ROW()-6)&lt;&gt;"Starfsbundinn",GK37="",$E37="",$D37=""),"",ROUND(GK37/$E37*$D37*KVARDI,2))</f>
        <v/>
      </c>
      <c r="GM37" s="66" t="n"/>
      <c r="GN37" s="78">
        <f>IF(OR(INDEX(Undirviðmið!$G$6:$G$105,ROW()-6)&lt;&gt;"Starfsbundinn",GM37="",$E37="",$D37=""),"",ROUND(GM37/$E37*$D37*KVARDI,2))</f>
        <v/>
      </c>
      <c r="GO37" s="66" t="n"/>
      <c r="GP37" s="78">
        <f>IF(OR(INDEX(Undirviðmið!$G$6:$G$105,ROW()-6)&lt;&gt;"Starfsbundinn",GO37="",$E37="",$D37=""),"",ROUND(GO37/$E37*$D37*KVARDI,2))</f>
        <v/>
      </c>
      <c r="GQ37" s="66" t="n"/>
      <c r="GR37" s="78">
        <f>IF(OR(INDEX(Undirviðmið!$G$6:$G$105,ROW()-6)&lt;&gt;"Starfsbundinn",GQ37="",$E37="",$D37=""),"",ROUND(GQ37/$E37*$D37*KVARDI,2))</f>
        <v/>
      </c>
      <c r="GS37" s="66" t="n"/>
      <c r="GT37" s="78">
        <f>IF(OR(INDEX(Undirviðmið!$G$6:$G$105,ROW()-6)&lt;&gt;"Starfsbundinn",GS37="",$E37="",$D37=""),"",ROUND(GS37/$E37*$D37*KVARDI,2))</f>
        <v/>
      </c>
      <c r="GU37" s="66" t="n"/>
      <c r="GV37" s="78">
        <f>IF(OR(INDEX(Undirviðmið!$G$6:$G$105,ROW()-6)&lt;&gt;"Starfsbundinn",GU37="",$E37="",$D37=""),"",ROUND(GU37/$E37*$D37*KVARDI,2))</f>
        <v/>
      </c>
      <c r="GW37" s="66" t="n"/>
      <c r="GX37" s="78">
        <f>IF(OR(INDEX(Undirviðmið!$G$6:$G$105,ROW()-6)&lt;&gt;"Starfsbundinn",GW37="",$E37="",$D37=""),"",ROUND(GW37/$E37*$D37*KVARDI,2))</f>
        <v/>
      </c>
    </row>
    <row r="38" ht="15" customHeight="1" s="47">
      <c r="B38" s="67">
        <f>IF(INDEX(Undirviðmið!$G$6:$G$105,ROW()-6)="Starfsbundinn",INDEX(Undirviðmið!$B$6:$B$105,ROW()-6),"")</f>
        <v/>
      </c>
      <c r="C38" s="67">
        <f>IF(INDEX(Undirviðmið!$G$6:$G$105,ROW()-6)="Starfsbundinn",INDEX(Undirviðmið!$C$6:$C$105,ROW()-6),"")</f>
        <v/>
      </c>
      <c r="D38" s="77">
        <f>IF(INDEX(Undirviðmið!$G$6:$G$105,ROW()-6)="Starfsbundinn",INDEX(Undirviðmið!$E$6:$E$105,ROW()-6),"")</f>
        <v/>
      </c>
      <c r="E38" s="77">
        <f>IF(INDEX(Undirviðmið!$G$6:$G$105,ROW()-6)="Starfsbundinn",INDEX(Undirviðmið!$F$6:$F$105,ROW()-6),"")</f>
        <v/>
      </c>
      <c r="F38" s="77">
        <f>IF(INDEX(Undirviðmið!$G$6:$G$105,ROW()-6)="Starfsbundinn",IFERROR(INDEX(Undirviðmið!$E$6:$E$105,ROW()-6)*KVARDI,""),"")</f>
        <v/>
      </c>
      <c r="G38" s="66" t="n"/>
      <c r="H38" s="78">
        <f>IF(OR(INDEX(Undirviðmið!$G$6:$G$105,ROW()-6)&lt;&gt;"Starfsbundinn",G38="",$E38="",$D38=""),"",ROUND(G38/$E38*$D38*KVARDI,2))</f>
        <v/>
      </c>
      <c r="I38" s="66" t="n"/>
      <c r="J38" s="78">
        <f>IF(OR(INDEX(Undirviðmið!$G$6:$G$105,ROW()-6)&lt;&gt;"Starfsbundinn",I38="",$E38="",$D38=""),"",ROUND(I38/$E38*$D38*KVARDI,2))</f>
        <v/>
      </c>
      <c r="K38" s="66" t="n"/>
      <c r="L38" s="78">
        <f>IF(OR(INDEX(Undirviðmið!$G$6:$G$105,ROW()-6)&lt;&gt;"Starfsbundinn",K38="",$E38="",$D38=""),"",ROUND(K38/$E38*$D38*KVARDI,2))</f>
        <v/>
      </c>
      <c r="M38" s="66" t="n"/>
      <c r="N38" s="78">
        <f>IF(OR(INDEX(Undirviðmið!$G$6:$G$105,ROW()-6)&lt;&gt;"Starfsbundinn",M38="",$E38="",$D38=""),"",ROUND(M38/$E38*$D38*KVARDI,2))</f>
        <v/>
      </c>
      <c r="O38" s="66" t="n"/>
      <c r="P38" s="78">
        <f>IF(OR(INDEX(Undirviðmið!$G$6:$G$105,ROW()-6)&lt;&gt;"Starfsbundinn",O38="",$E38="",$D38=""),"",ROUND(O38/$E38*$D38*KVARDI,2))</f>
        <v/>
      </c>
      <c r="Q38" s="66" t="n"/>
      <c r="R38" s="78">
        <f>IF(OR(INDEX(Undirviðmið!$G$6:$G$105,ROW()-6)&lt;&gt;"Starfsbundinn",Q38="",$E38="",$D38=""),"",ROUND(Q38/$E38*$D38*KVARDI,2))</f>
        <v/>
      </c>
      <c r="S38" s="66" t="n"/>
      <c r="T38" s="78">
        <f>IF(OR(INDEX(Undirviðmið!$G$6:$G$105,ROW()-6)&lt;&gt;"Starfsbundinn",S38="",$E38="",$D38=""),"",ROUND(S38/$E38*$D38*KVARDI,2))</f>
        <v/>
      </c>
      <c r="U38" s="66" t="n"/>
      <c r="V38" s="78">
        <f>IF(OR(INDEX(Undirviðmið!$G$6:$G$105,ROW()-6)&lt;&gt;"Starfsbundinn",U38="",$E38="",$D38=""),"",ROUND(U38/$E38*$D38*KVARDI,2))</f>
        <v/>
      </c>
      <c r="W38" s="66" t="n"/>
      <c r="X38" s="78">
        <f>IF(OR(INDEX(Undirviðmið!$G$6:$G$105,ROW()-6)&lt;&gt;"Starfsbundinn",W38="",$E38="",$D38=""),"",ROUND(W38/$E38*$D38*KVARDI,2))</f>
        <v/>
      </c>
      <c r="Y38" s="66" t="n"/>
      <c r="Z38" s="78">
        <f>IF(OR(INDEX(Undirviðmið!$G$6:$G$105,ROW()-6)&lt;&gt;"Starfsbundinn",Y38="",$E38="",$D38=""),"",ROUND(Y38/$E38*$D38*KVARDI,2))</f>
        <v/>
      </c>
      <c r="AA38" s="66" t="n"/>
      <c r="AB38" s="78">
        <f>IF(OR(INDEX(Undirviðmið!$G$6:$G$105,ROW()-6)&lt;&gt;"Starfsbundinn",AA38="",$E38="",$D38=""),"",ROUND(AA38/$E38*$D38*KVARDI,2))</f>
        <v/>
      </c>
      <c r="AC38" s="66" t="n"/>
      <c r="AD38" s="78">
        <f>IF(OR(INDEX(Undirviðmið!$G$6:$G$105,ROW()-6)&lt;&gt;"Starfsbundinn",AC38="",$E38="",$D38=""),"",ROUND(AC38/$E38*$D38*KVARDI,2))</f>
        <v/>
      </c>
      <c r="AE38" s="66" t="n"/>
      <c r="AF38" s="78">
        <f>IF(OR(INDEX(Undirviðmið!$G$6:$G$105,ROW()-6)&lt;&gt;"Starfsbundinn",AE38="",$E38="",$D38=""),"",ROUND(AE38/$E38*$D38*KVARDI,2))</f>
        <v/>
      </c>
      <c r="AG38" s="66" t="n"/>
      <c r="AH38" s="78">
        <f>IF(OR(INDEX(Undirviðmið!$G$6:$G$105,ROW()-6)&lt;&gt;"Starfsbundinn",AG38="",$E38="",$D38=""),"",ROUND(AG38/$E38*$D38*KVARDI,2))</f>
        <v/>
      </c>
      <c r="AI38" s="66" t="n"/>
      <c r="AJ38" s="78">
        <f>IF(OR(INDEX(Undirviðmið!$G$6:$G$105,ROW()-6)&lt;&gt;"Starfsbundinn",AI38="",$E38="",$D38=""),"",ROUND(AI38/$E38*$D38*KVARDI,2))</f>
        <v/>
      </c>
      <c r="AK38" s="66" t="n"/>
      <c r="AL38" s="78">
        <f>IF(OR(INDEX(Undirviðmið!$G$6:$G$105,ROW()-6)&lt;&gt;"Starfsbundinn",AK38="",$E38="",$D38=""),"",ROUND(AK38/$E38*$D38*KVARDI,2))</f>
        <v/>
      </c>
      <c r="AM38" s="66" t="n"/>
      <c r="AN38" s="78">
        <f>IF(OR(INDEX(Undirviðmið!$G$6:$G$105,ROW()-6)&lt;&gt;"Starfsbundinn",AM38="",$E38="",$D38=""),"",ROUND(AM38/$E38*$D38*KVARDI,2))</f>
        <v/>
      </c>
      <c r="AO38" s="66" t="n"/>
      <c r="AP38" s="78">
        <f>IF(OR(INDEX(Undirviðmið!$G$6:$G$105,ROW()-6)&lt;&gt;"Starfsbundinn",AO38="",$E38="",$D38=""),"",ROUND(AO38/$E38*$D38*KVARDI,2))</f>
        <v/>
      </c>
      <c r="AQ38" s="66" t="n"/>
      <c r="AR38" s="78">
        <f>IF(OR(INDEX(Undirviðmið!$G$6:$G$105,ROW()-6)&lt;&gt;"Starfsbundinn",AQ38="",$E38="",$D38=""),"",ROUND(AQ38/$E38*$D38*KVARDI,2))</f>
        <v/>
      </c>
      <c r="AS38" s="66" t="n"/>
      <c r="AT38" s="78">
        <f>IF(OR(INDEX(Undirviðmið!$G$6:$G$105,ROW()-6)&lt;&gt;"Starfsbundinn",AS38="",$E38="",$D38=""),"",ROUND(AS38/$E38*$D38*KVARDI,2))</f>
        <v/>
      </c>
      <c r="AU38" s="66" t="n"/>
      <c r="AV38" s="78">
        <f>IF(OR(INDEX(Undirviðmið!$G$6:$G$105,ROW()-6)&lt;&gt;"Starfsbundinn",AU38="",$E38="",$D38=""),"",ROUND(AU38/$E38*$D38*KVARDI,2))</f>
        <v/>
      </c>
      <c r="AW38" s="66" t="n"/>
      <c r="AX38" s="78">
        <f>IF(OR(INDEX(Undirviðmið!$G$6:$G$105,ROW()-6)&lt;&gt;"Starfsbundinn",AW38="",$E38="",$D38=""),"",ROUND(AW38/$E38*$D38*KVARDI,2))</f>
        <v/>
      </c>
      <c r="AY38" s="66" t="n"/>
      <c r="AZ38" s="78">
        <f>IF(OR(INDEX(Undirviðmið!$G$6:$G$105,ROW()-6)&lt;&gt;"Starfsbundinn",AY38="",$E38="",$D38=""),"",ROUND(AY38/$E38*$D38*KVARDI,2))</f>
        <v/>
      </c>
      <c r="BA38" s="66" t="n"/>
      <c r="BB38" s="78">
        <f>IF(OR(INDEX(Undirviðmið!$G$6:$G$105,ROW()-6)&lt;&gt;"Starfsbundinn",BA38="",$E38="",$D38=""),"",ROUND(BA38/$E38*$D38*KVARDI,2))</f>
        <v/>
      </c>
      <c r="BC38" s="66" t="n"/>
      <c r="BD38" s="78">
        <f>IF(OR(INDEX(Undirviðmið!$G$6:$G$105,ROW()-6)&lt;&gt;"Starfsbundinn",BC38="",$E38="",$D38=""),"",ROUND(BC38/$E38*$D38*KVARDI,2))</f>
        <v/>
      </c>
      <c r="BE38" s="66" t="n"/>
      <c r="BF38" s="78">
        <f>IF(OR(INDEX(Undirviðmið!$G$6:$G$105,ROW()-6)&lt;&gt;"Starfsbundinn",BE38="",$E38="",$D38=""),"",ROUND(BE38/$E38*$D38*KVARDI,2))</f>
        <v/>
      </c>
      <c r="BG38" s="66" t="n"/>
      <c r="BH38" s="78">
        <f>IF(OR(INDEX(Undirviðmið!$G$6:$G$105,ROW()-6)&lt;&gt;"Starfsbundinn",BG38="",$E38="",$D38=""),"",ROUND(BG38/$E38*$D38*KVARDI,2))</f>
        <v/>
      </c>
      <c r="BI38" s="66" t="n"/>
      <c r="BJ38" s="78">
        <f>IF(OR(INDEX(Undirviðmið!$G$6:$G$105,ROW()-6)&lt;&gt;"Starfsbundinn",BI38="",$E38="",$D38=""),"",ROUND(BI38/$E38*$D38*KVARDI,2))</f>
        <v/>
      </c>
      <c r="BK38" s="66" t="n"/>
      <c r="BL38" s="78">
        <f>IF(OR(INDEX(Undirviðmið!$G$6:$G$105,ROW()-6)&lt;&gt;"Starfsbundinn",BK38="",$E38="",$D38=""),"",ROUND(BK38/$E38*$D38*KVARDI,2))</f>
        <v/>
      </c>
      <c r="BM38" s="66" t="n"/>
      <c r="BN38" s="78">
        <f>IF(OR(INDEX(Undirviðmið!$G$6:$G$105,ROW()-6)&lt;&gt;"Starfsbundinn",BM38="",$E38="",$D38=""),"",ROUND(BM38/$E38*$D38*KVARDI,2))</f>
        <v/>
      </c>
      <c r="BO38" s="66" t="n"/>
      <c r="BP38" s="78">
        <f>IF(OR(INDEX(Undirviðmið!$G$6:$G$105,ROW()-6)&lt;&gt;"Starfsbundinn",BO38="",$E38="",$D38=""),"",ROUND(BO38/$E38*$D38*KVARDI,2))</f>
        <v/>
      </c>
      <c r="BQ38" s="66" t="n"/>
      <c r="BR38" s="78">
        <f>IF(OR(INDEX(Undirviðmið!$G$6:$G$105,ROW()-6)&lt;&gt;"Starfsbundinn",BQ38="",$E38="",$D38=""),"",ROUND(BQ38/$E38*$D38*KVARDI,2))</f>
        <v/>
      </c>
      <c r="BS38" s="66" t="n"/>
      <c r="BT38" s="78">
        <f>IF(OR(INDEX(Undirviðmið!$G$6:$G$105,ROW()-6)&lt;&gt;"Starfsbundinn",BS38="",$E38="",$D38=""),"",ROUND(BS38/$E38*$D38*KVARDI,2))</f>
        <v/>
      </c>
      <c r="BU38" s="66" t="n"/>
      <c r="BV38" s="78">
        <f>IF(OR(INDEX(Undirviðmið!$G$6:$G$105,ROW()-6)&lt;&gt;"Starfsbundinn",BU38="",$E38="",$D38=""),"",ROUND(BU38/$E38*$D38*KVARDI,2))</f>
        <v/>
      </c>
      <c r="BW38" s="66" t="n"/>
      <c r="BX38" s="78">
        <f>IF(OR(INDEX(Undirviðmið!$G$6:$G$105,ROW()-6)&lt;&gt;"Starfsbundinn",BW38="",$E38="",$D38=""),"",ROUND(BW38/$E38*$D38*KVARDI,2))</f>
        <v/>
      </c>
      <c r="BY38" s="66" t="n"/>
      <c r="BZ38" s="78">
        <f>IF(OR(INDEX(Undirviðmið!$G$6:$G$105,ROW()-6)&lt;&gt;"Starfsbundinn",BY38="",$E38="",$D38=""),"",ROUND(BY38/$E38*$D38*KVARDI,2))</f>
        <v/>
      </c>
      <c r="CA38" s="66" t="n"/>
      <c r="CB38" s="78">
        <f>IF(OR(INDEX(Undirviðmið!$G$6:$G$105,ROW()-6)&lt;&gt;"Starfsbundinn",CA38="",$E38="",$D38=""),"",ROUND(CA38/$E38*$D38*KVARDI,2))</f>
        <v/>
      </c>
      <c r="CC38" s="66" t="n"/>
      <c r="CD38" s="78">
        <f>IF(OR(INDEX(Undirviðmið!$G$6:$G$105,ROW()-6)&lt;&gt;"Starfsbundinn",CC38="",$E38="",$D38=""),"",ROUND(CC38/$E38*$D38*KVARDI,2))</f>
        <v/>
      </c>
      <c r="CE38" s="66" t="n"/>
      <c r="CF38" s="78">
        <f>IF(OR(INDEX(Undirviðmið!$G$6:$G$105,ROW()-6)&lt;&gt;"Starfsbundinn",CE38="",$E38="",$D38=""),"",ROUND(CE38/$E38*$D38*KVARDI,2))</f>
        <v/>
      </c>
      <c r="CG38" s="66" t="n"/>
      <c r="CH38" s="78">
        <f>IF(OR(INDEX(Undirviðmið!$G$6:$G$105,ROW()-6)&lt;&gt;"Starfsbundinn",CG38="",$E38="",$D38=""),"",ROUND(CG38/$E38*$D38*KVARDI,2))</f>
        <v/>
      </c>
      <c r="CI38" s="66" t="n"/>
      <c r="CJ38" s="78">
        <f>IF(OR(INDEX(Undirviðmið!$G$6:$G$105,ROW()-6)&lt;&gt;"Starfsbundinn",CI38="",$E38="",$D38=""),"",ROUND(CI38/$E38*$D38*KVARDI,2))</f>
        <v/>
      </c>
      <c r="CK38" s="66" t="n"/>
      <c r="CL38" s="78">
        <f>IF(OR(INDEX(Undirviðmið!$G$6:$G$105,ROW()-6)&lt;&gt;"Starfsbundinn",CK38="",$E38="",$D38=""),"",ROUND(CK38/$E38*$D38*KVARDI,2))</f>
        <v/>
      </c>
      <c r="CM38" s="66" t="n"/>
      <c r="CN38" s="78">
        <f>IF(OR(INDEX(Undirviðmið!$G$6:$G$105,ROW()-6)&lt;&gt;"Starfsbundinn",CM38="",$E38="",$D38=""),"",ROUND(CM38/$E38*$D38*KVARDI,2))</f>
        <v/>
      </c>
      <c r="CO38" s="66" t="n"/>
      <c r="CP38" s="78">
        <f>IF(OR(INDEX(Undirviðmið!$G$6:$G$105,ROW()-6)&lt;&gt;"Starfsbundinn",CO38="",$E38="",$D38=""),"",ROUND(CO38/$E38*$D38*KVARDI,2))</f>
        <v/>
      </c>
      <c r="CQ38" s="66" t="n"/>
      <c r="CR38" s="78">
        <f>IF(OR(INDEX(Undirviðmið!$G$6:$G$105,ROW()-6)&lt;&gt;"Starfsbundinn",CQ38="",$E38="",$D38=""),"",ROUND(CQ38/$E38*$D38*KVARDI,2))</f>
        <v/>
      </c>
      <c r="CS38" s="66" t="n"/>
      <c r="CT38" s="78">
        <f>IF(OR(INDEX(Undirviðmið!$G$6:$G$105,ROW()-6)&lt;&gt;"Starfsbundinn",CS38="",$E38="",$D38=""),"",ROUND(CS38/$E38*$D38*KVARDI,2))</f>
        <v/>
      </c>
      <c r="CU38" s="66" t="n"/>
      <c r="CV38" s="78">
        <f>IF(OR(INDEX(Undirviðmið!$G$6:$G$105,ROW()-6)&lt;&gt;"Starfsbundinn",CU38="",$E38="",$D38=""),"",ROUND(CU38/$E38*$D38*KVARDI,2))</f>
        <v/>
      </c>
      <c r="CW38" s="66" t="n"/>
      <c r="CX38" s="78">
        <f>IF(OR(INDEX(Undirviðmið!$G$6:$G$105,ROW()-6)&lt;&gt;"Starfsbundinn",CW38="",$E38="",$D38=""),"",ROUND(CW38/$E38*$D38*KVARDI,2))</f>
        <v/>
      </c>
      <c r="CY38" s="66" t="n"/>
      <c r="CZ38" s="78">
        <f>IF(OR(INDEX(Undirviðmið!$G$6:$G$105,ROW()-6)&lt;&gt;"Starfsbundinn",CY38="",$E38="",$D38=""),"",ROUND(CY38/$E38*$D38*KVARDI,2))</f>
        <v/>
      </c>
      <c r="DA38" s="66" t="n"/>
      <c r="DB38" s="78">
        <f>IF(OR(INDEX(Undirviðmið!$G$6:$G$105,ROW()-6)&lt;&gt;"Starfsbundinn",DA38="",$E38="",$D38=""),"",ROUND(DA38/$E38*$D38*KVARDI,2))</f>
        <v/>
      </c>
      <c r="DC38" s="66" t="n"/>
      <c r="DD38" s="78">
        <f>IF(OR(INDEX(Undirviðmið!$G$6:$G$105,ROW()-6)&lt;&gt;"Starfsbundinn",DC38="",$E38="",$D38=""),"",ROUND(DC38/$E38*$D38*KVARDI,2))</f>
        <v/>
      </c>
      <c r="DE38" s="66" t="n"/>
      <c r="DF38" s="78">
        <f>IF(OR(INDEX(Undirviðmið!$G$6:$G$105,ROW()-6)&lt;&gt;"Starfsbundinn",DE38="",$E38="",$D38=""),"",ROUND(DE38/$E38*$D38*KVARDI,2))</f>
        <v/>
      </c>
      <c r="DG38" s="66" t="n"/>
      <c r="DH38" s="78">
        <f>IF(OR(INDEX(Undirviðmið!$G$6:$G$105,ROW()-6)&lt;&gt;"Starfsbundinn",DG38="",$E38="",$D38=""),"",ROUND(DG38/$E38*$D38*KVARDI,2))</f>
        <v/>
      </c>
      <c r="DI38" s="66" t="n"/>
      <c r="DJ38" s="78">
        <f>IF(OR(INDEX(Undirviðmið!$G$6:$G$105,ROW()-6)&lt;&gt;"Starfsbundinn",DI38="",$E38="",$D38=""),"",ROUND(DI38/$E38*$D38*KVARDI,2))</f>
        <v/>
      </c>
      <c r="DK38" s="66" t="n"/>
      <c r="DL38" s="78">
        <f>IF(OR(INDEX(Undirviðmið!$G$6:$G$105,ROW()-6)&lt;&gt;"Starfsbundinn",DK38="",$E38="",$D38=""),"",ROUND(DK38/$E38*$D38*KVARDI,2))</f>
        <v/>
      </c>
      <c r="DM38" s="66" t="n"/>
      <c r="DN38" s="78">
        <f>IF(OR(INDEX(Undirviðmið!$G$6:$G$105,ROW()-6)&lt;&gt;"Starfsbundinn",DM38="",$E38="",$D38=""),"",ROUND(DM38/$E38*$D38*KVARDI,2))</f>
        <v/>
      </c>
      <c r="DO38" s="66" t="n"/>
      <c r="DP38" s="78">
        <f>IF(OR(INDEX(Undirviðmið!$G$6:$G$105,ROW()-6)&lt;&gt;"Starfsbundinn",DO38="",$E38="",$D38=""),"",ROUND(DO38/$E38*$D38*KVARDI,2))</f>
        <v/>
      </c>
      <c r="DQ38" s="66" t="n"/>
      <c r="DR38" s="78">
        <f>IF(OR(INDEX(Undirviðmið!$G$6:$G$105,ROW()-6)&lt;&gt;"Starfsbundinn",DQ38="",$E38="",$D38=""),"",ROUND(DQ38/$E38*$D38*KVARDI,2))</f>
        <v/>
      </c>
      <c r="DS38" s="66" t="n"/>
      <c r="DT38" s="78">
        <f>IF(OR(INDEX(Undirviðmið!$G$6:$G$105,ROW()-6)&lt;&gt;"Starfsbundinn",DS38="",$E38="",$D38=""),"",ROUND(DS38/$E38*$D38*KVARDI,2))</f>
        <v/>
      </c>
      <c r="DU38" s="66" t="n"/>
      <c r="DV38" s="78">
        <f>IF(OR(INDEX(Undirviðmið!$G$6:$G$105,ROW()-6)&lt;&gt;"Starfsbundinn",DU38="",$E38="",$D38=""),"",ROUND(DU38/$E38*$D38*KVARDI,2))</f>
        <v/>
      </c>
      <c r="DW38" s="66" t="n"/>
      <c r="DX38" s="78">
        <f>IF(OR(INDEX(Undirviðmið!$G$6:$G$105,ROW()-6)&lt;&gt;"Starfsbundinn",DW38="",$E38="",$D38=""),"",ROUND(DW38/$E38*$D38*KVARDI,2))</f>
        <v/>
      </c>
      <c r="DY38" s="66" t="n"/>
      <c r="DZ38" s="78">
        <f>IF(OR(INDEX(Undirviðmið!$G$6:$G$105,ROW()-6)&lt;&gt;"Starfsbundinn",DY38="",$E38="",$D38=""),"",ROUND(DY38/$E38*$D38*KVARDI,2))</f>
        <v/>
      </c>
      <c r="EA38" s="66" t="n"/>
      <c r="EB38" s="78">
        <f>IF(OR(INDEX(Undirviðmið!$G$6:$G$105,ROW()-6)&lt;&gt;"Starfsbundinn",EA38="",$E38="",$D38=""),"",ROUND(EA38/$E38*$D38*KVARDI,2))</f>
        <v/>
      </c>
      <c r="EC38" s="66" t="n"/>
      <c r="ED38" s="78">
        <f>IF(OR(INDEX(Undirviðmið!$G$6:$G$105,ROW()-6)&lt;&gt;"Starfsbundinn",EC38="",$E38="",$D38=""),"",ROUND(EC38/$E38*$D38*KVARDI,2))</f>
        <v/>
      </c>
      <c r="EE38" s="66" t="n"/>
      <c r="EF38" s="78">
        <f>IF(OR(INDEX(Undirviðmið!$G$6:$G$105,ROW()-6)&lt;&gt;"Starfsbundinn",EE38="",$E38="",$D38=""),"",ROUND(EE38/$E38*$D38*KVARDI,2))</f>
        <v/>
      </c>
      <c r="EG38" s="66" t="n"/>
      <c r="EH38" s="78">
        <f>IF(OR(INDEX(Undirviðmið!$G$6:$G$105,ROW()-6)&lt;&gt;"Starfsbundinn",EG38="",$E38="",$D38=""),"",ROUND(EG38/$E38*$D38*KVARDI,2))</f>
        <v/>
      </c>
      <c r="EI38" s="66" t="n"/>
      <c r="EJ38" s="78">
        <f>IF(OR(INDEX(Undirviðmið!$G$6:$G$105,ROW()-6)&lt;&gt;"Starfsbundinn",EI38="",$E38="",$D38=""),"",ROUND(EI38/$E38*$D38*KVARDI,2))</f>
        <v/>
      </c>
      <c r="EK38" s="66" t="n"/>
      <c r="EL38" s="78">
        <f>IF(OR(INDEX(Undirviðmið!$G$6:$G$105,ROW()-6)&lt;&gt;"Starfsbundinn",EK38="",$E38="",$D38=""),"",ROUND(EK38/$E38*$D38*KVARDI,2))</f>
        <v/>
      </c>
      <c r="EM38" s="66" t="n"/>
      <c r="EN38" s="78">
        <f>IF(OR(INDEX(Undirviðmið!$G$6:$G$105,ROW()-6)&lt;&gt;"Starfsbundinn",EM38="",$E38="",$D38=""),"",ROUND(EM38/$E38*$D38*KVARDI,2))</f>
        <v/>
      </c>
      <c r="EO38" s="66" t="n"/>
      <c r="EP38" s="78">
        <f>IF(OR(INDEX(Undirviðmið!$G$6:$G$105,ROW()-6)&lt;&gt;"Starfsbundinn",EO38="",$E38="",$D38=""),"",ROUND(EO38/$E38*$D38*KVARDI,2))</f>
        <v/>
      </c>
      <c r="EQ38" s="66" t="n"/>
      <c r="ER38" s="78">
        <f>IF(OR(INDEX(Undirviðmið!$G$6:$G$105,ROW()-6)&lt;&gt;"Starfsbundinn",EQ38="",$E38="",$D38=""),"",ROUND(EQ38/$E38*$D38*KVARDI,2))</f>
        <v/>
      </c>
      <c r="ES38" s="66" t="n"/>
      <c r="ET38" s="78">
        <f>IF(OR(INDEX(Undirviðmið!$G$6:$G$105,ROW()-6)&lt;&gt;"Starfsbundinn",ES38="",$E38="",$D38=""),"",ROUND(ES38/$E38*$D38*KVARDI,2))</f>
        <v/>
      </c>
      <c r="EU38" s="66" t="n"/>
      <c r="EV38" s="78">
        <f>IF(OR(INDEX(Undirviðmið!$G$6:$G$105,ROW()-6)&lt;&gt;"Starfsbundinn",EU38="",$E38="",$D38=""),"",ROUND(EU38/$E38*$D38*KVARDI,2))</f>
        <v/>
      </c>
      <c r="EW38" s="66" t="n"/>
      <c r="EX38" s="78">
        <f>IF(OR(INDEX(Undirviðmið!$G$6:$G$105,ROW()-6)&lt;&gt;"Starfsbundinn",EW38="",$E38="",$D38=""),"",ROUND(EW38/$E38*$D38*KVARDI,2))</f>
        <v/>
      </c>
      <c r="EY38" s="66" t="n"/>
      <c r="EZ38" s="78">
        <f>IF(OR(INDEX(Undirviðmið!$G$6:$G$105,ROW()-6)&lt;&gt;"Starfsbundinn",EY38="",$E38="",$D38=""),"",ROUND(EY38/$E38*$D38*KVARDI,2))</f>
        <v/>
      </c>
      <c r="FA38" s="66" t="n"/>
      <c r="FB38" s="78">
        <f>IF(OR(INDEX(Undirviðmið!$G$6:$G$105,ROW()-6)&lt;&gt;"Starfsbundinn",FA38="",$E38="",$D38=""),"",ROUND(FA38/$E38*$D38*KVARDI,2))</f>
        <v/>
      </c>
      <c r="FC38" s="66" t="n"/>
      <c r="FD38" s="78">
        <f>IF(OR(INDEX(Undirviðmið!$G$6:$G$105,ROW()-6)&lt;&gt;"Starfsbundinn",FC38="",$E38="",$D38=""),"",ROUND(FC38/$E38*$D38*KVARDI,2))</f>
        <v/>
      </c>
      <c r="FE38" s="66" t="n"/>
      <c r="FF38" s="78">
        <f>IF(OR(INDEX(Undirviðmið!$G$6:$G$105,ROW()-6)&lt;&gt;"Starfsbundinn",FE38="",$E38="",$D38=""),"",ROUND(FE38/$E38*$D38*KVARDI,2))</f>
        <v/>
      </c>
      <c r="FG38" s="66" t="n"/>
      <c r="FH38" s="78">
        <f>IF(OR(INDEX(Undirviðmið!$G$6:$G$105,ROW()-6)&lt;&gt;"Starfsbundinn",FG38="",$E38="",$D38=""),"",ROUND(FG38/$E38*$D38*KVARDI,2))</f>
        <v/>
      </c>
      <c r="FI38" s="66" t="n"/>
      <c r="FJ38" s="78">
        <f>IF(OR(INDEX(Undirviðmið!$G$6:$G$105,ROW()-6)&lt;&gt;"Starfsbundinn",FI38="",$E38="",$D38=""),"",ROUND(FI38/$E38*$D38*KVARDI,2))</f>
        <v/>
      </c>
      <c r="FK38" s="66" t="n"/>
      <c r="FL38" s="78">
        <f>IF(OR(INDEX(Undirviðmið!$G$6:$G$105,ROW()-6)&lt;&gt;"Starfsbundinn",FK38="",$E38="",$D38=""),"",ROUND(FK38/$E38*$D38*KVARDI,2))</f>
        <v/>
      </c>
      <c r="FM38" s="66" t="n"/>
      <c r="FN38" s="78">
        <f>IF(OR(INDEX(Undirviðmið!$G$6:$G$105,ROW()-6)&lt;&gt;"Starfsbundinn",FM38="",$E38="",$D38=""),"",ROUND(FM38/$E38*$D38*KVARDI,2))</f>
        <v/>
      </c>
      <c r="FO38" s="66" t="n"/>
      <c r="FP38" s="78">
        <f>IF(OR(INDEX(Undirviðmið!$G$6:$G$105,ROW()-6)&lt;&gt;"Starfsbundinn",FO38="",$E38="",$D38=""),"",ROUND(FO38/$E38*$D38*KVARDI,2))</f>
        <v/>
      </c>
      <c r="FQ38" s="66" t="n"/>
      <c r="FR38" s="78">
        <f>IF(OR(INDEX(Undirviðmið!$G$6:$G$105,ROW()-6)&lt;&gt;"Starfsbundinn",FQ38="",$E38="",$D38=""),"",ROUND(FQ38/$E38*$D38*KVARDI,2))</f>
        <v/>
      </c>
      <c r="FS38" s="66" t="n"/>
      <c r="FT38" s="78">
        <f>IF(OR(INDEX(Undirviðmið!$G$6:$G$105,ROW()-6)&lt;&gt;"Starfsbundinn",FS38="",$E38="",$D38=""),"",ROUND(FS38/$E38*$D38*KVARDI,2))</f>
        <v/>
      </c>
      <c r="FU38" s="66" t="n"/>
      <c r="FV38" s="78">
        <f>IF(OR(INDEX(Undirviðmið!$G$6:$G$105,ROW()-6)&lt;&gt;"Starfsbundinn",FU38="",$E38="",$D38=""),"",ROUND(FU38/$E38*$D38*KVARDI,2))</f>
        <v/>
      </c>
      <c r="FW38" s="66" t="n"/>
      <c r="FX38" s="78">
        <f>IF(OR(INDEX(Undirviðmið!$G$6:$G$105,ROW()-6)&lt;&gt;"Starfsbundinn",FW38="",$E38="",$D38=""),"",ROUND(FW38/$E38*$D38*KVARDI,2))</f>
        <v/>
      </c>
      <c r="FY38" s="66" t="n"/>
      <c r="FZ38" s="78">
        <f>IF(OR(INDEX(Undirviðmið!$G$6:$G$105,ROW()-6)&lt;&gt;"Starfsbundinn",FY38="",$E38="",$D38=""),"",ROUND(FY38/$E38*$D38*KVARDI,2))</f>
        <v/>
      </c>
      <c r="GA38" s="66" t="n"/>
      <c r="GB38" s="78">
        <f>IF(OR(INDEX(Undirviðmið!$G$6:$G$105,ROW()-6)&lt;&gt;"Starfsbundinn",GA38="",$E38="",$D38=""),"",ROUND(GA38/$E38*$D38*KVARDI,2))</f>
        <v/>
      </c>
      <c r="GC38" s="66" t="n"/>
      <c r="GD38" s="78">
        <f>IF(OR(INDEX(Undirviðmið!$G$6:$G$105,ROW()-6)&lt;&gt;"Starfsbundinn",GC38="",$E38="",$D38=""),"",ROUND(GC38/$E38*$D38*KVARDI,2))</f>
        <v/>
      </c>
      <c r="GE38" s="66" t="n"/>
      <c r="GF38" s="78">
        <f>IF(OR(INDEX(Undirviðmið!$G$6:$G$105,ROW()-6)&lt;&gt;"Starfsbundinn",GE38="",$E38="",$D38=""),"",ROUND(GE38/$E38*$D38*KVARDI,2))</f>
        <v/>
      </c>
      <c r="GG38" s="66" t="n"/>
      <c r="GH38" s="78">
        <f>IF(OR(INDEX(Undirviðmið!$G$6:$G$105,ROW()-6)&lt;&gt;"Starfsbundinn",GG38="",$E38="",$D38=""),"",ROUND(GG38/$E38*$D38*KVARDI,2))</f>
        <v/>
      </c>
      <c r="GI38" s="66" t="n"/>
      <c r="GJ38" s="78">
        <f>IF(OR(INDEX(Undirviðmið!$G$6:$G$105,ROW()-6)&lt;&gt;"Starfsbundinn",GI38="",$E38="",$D38=""),"",ROUND(GI38/$E38*$D38*KVARDI,2))</f>
        <v/>
      </c>
      <c r="GK38" s="66" t="n"/>
      <c r="GL38" s="78">
        <f>IF(OR(INDEX(Undirviðmið!$G$6:$G$105,ROW()-6)&lt;&gt;"Starfsbundinn",GK38="",$E38="",$D38=""),"",ROUND(GK38/$E38*$D38*KVARDI,2))</f>
        <v/>
      </c>
      <c r="GM38" s="66" t="n"/>
      <c r="GN38" s="78">
        <f>IF(OR(INDEX(Undirviðmið!$G$6:$G$105,ROW()-6)&lt;&gt;"Starfsbundinn",GM38="",$E38="",$D38=""),"",ROUND(GM38/$E38*$D38*KVARDI,2))</f>
        <v/>
      </c>
      <c r="GO38" s="66" t="n"/>
      <c r="GP38" s="78">
        <f>IF(OR(INDEX(Undirviðmið!$G$6:$G$105,ROW()-6)&lt;&gt;"Starfsbundinn",GO38="",$E38="",$D38=""),"",ROUND(GO38/$E38*$D38*KVARDI,2))</f>
        <v/>
      </c>
      <c r="GQ38" s="66" t="n"/>
      <c r="GR38" s="78">
        <f>IF(OR(INDEX(Undirviðmið!$G$6:$G$105,ROW()-6)&lt;&gt;"Starfsbundinn",GQ38="",$E38="",$D38=""),"",ROUND(GQ38/$E38*$D38*KVARDI,2))</f>
        <v/>
      </c>
      <c r="GS38" s="66" t="n"/>
      <c r="GT38" s="78">
        <f>IF(OR(INDEX(Undirviðmið!$G$6:$G$105,ROW()-6)&lt;&gt;"Starfsbundinn",GS38="",$E38="",$D38=""),"",ROUND(GS38/$E38*$D38*KVARDI,2))</f>
        <v/>
      </c>
      <c r="GU38" s="66" t="n"/>
      <c r="GV38" s="78">
        <f>IF(OR(INDEX(Undirviðmið!$G$6:$G$105,ROW()-6)&lt;&gt;"Starfsbundinn",GU38="",$E38="",$D38=""),"",ROUND(GU38/$E38*$D38*KVARDI,2))</f>
        <v/>
      </c>
      <c r="GW38" s="66" t="n"/>
      <c r="GX38" s="78">
        <f>IF(OR(INDEX(Undirviðmið!$G$6:$G$105,ROW()-6)&lt;&gt;"Starfsbundinn",GW38="",$E38="",$D38=""),"",ROUND(GW38/$E38*$D38*KVARDI,2))</f>
        <v/>
      </c>
    </row>
    <row r="39" ht="15" customHeight="1" s="47">
      <c r="B39" s="67">
        <f>IF(INDEX(Undirviðmið!$G$6:$G$105,ROW()-6)="Starfsbundinn",INDEX(Undirviðmið!$B$6:$B$105,ROW()-6),"")</f>
        <v/>
      </c>
      <c r="C39" s="67">
        <f>IF(INDEX(Undirviðmið!$G$6:$G$105,ROW()-6)="Starfsbundinn",INDEX(Undirviðmið!$C$6:$C$105,ROW()-6),"")</f>
        <v/>
      </c>
      <c r="D39" s="77">
        <f>IF(INDEX(Undirviðmið!$G$6:$G$105,ROW()-6)="Starfsbundinn",INDEX(Undirviðmið!$E$6:$E$105,ROW()-6),"")</f>
        <v/>
      </c>
      <c r="E39" s="77">
        <f>IF(INDEX(Undirviðmið!$G$6:$G$105,ROW()-6)="Starfsbundinn",INDEX(Undirviðmið!$F$6:$F$105,ROW()-6),"")</f>
        <v/>
      </c>
      <c r="F39" s="77">
        <f>IF(INDEX(Undirviðmið!$G$6:$G$105,ROW()-6)="Starfsbundinn",IFERROR(INDEX(Undirviðmið!$E$6:$E$105,ROW()-6)*KVARDI,""),"")</f>
        <v/>
      </c>
      <c r="G39" s="66" t="n"/>
      <c r="H39" s="78">
        <f>IF(OR(INDEX(Undirviðmið!$G$6:$G$105,ROW()-6)&lt;&gt;"Starfsbundinn",G39="",$E39="",$D39=""),"",ROUND(G39/$E39*$D39*KVARDI,2))</f>
        <v/>
      </c>
      <c r="I39" s="66" t="n"/>
      <c r="J39" s="78">
        <f>IF(OR(INDEX(Undirviðmið!$G$6:$G$105,ROW()-6)&lt;&gt;"Starfsbundinn",I39="",$E39="",$D39=""),"",ROUND(I39/$E39*$D39*KVARDI,2))</f>
        <v/>
      </c>
      <c r="K39" s="66" t="n"/>
      <c r="L39" s="78">
        <f>IF(OR(INDEX(Undirviðmið!$G$6:$G$105,ROW()-6)&lt;&gt;"Starfsbundinn",K39="",$E39="",$D39=""),"",ROUND(K39/$E39*$D39*KVARDI,2))</f>
        <v/>
      </c>
      <c r="M39" s="66" t="n"/>
      <c r="N39" s="78">
        <f>IF(OR(INDEX(Undirviðmið!$G$6:$G$105,ROW()-6)&lt;&gt;"Starfsbundinn",M39="",$E39="",$D39=""),"",ROUND(M39/$E39*$D39*KVARDI,2))</f>
        <v/>
      </c>
      <c r="O39" s="66" t="n"/>
      <c r="P39" s="78">
        <f>IF(OR(INDEX(Undirviðmið!$G$6:$G$105,ROW()-6)&lt;&gt;"Starfsbundinn",O39="",$E39="",$D39=""),"",ROUND(O39/$E39*$D39*KVARDI,2))</f>
        <v/>
      </c>
      <c r="Q39" s="66" t="n"/>
      <c r="R39" s="78">
        <f>IF(OR(INDEX(Undirviðmið!$G$6:$G$105,ROW()-6)&lt;&gt;"Starfsbundinn",Q39="",$E39="",$D39=""),"",ROUND(Q39/$E39*$D39*KVARDI,2))</f>
        <v/>
      </c>
      <c r="S39" s="66" t="n"/>
      <c r="T39" s="78">
        <f>IF(OR(INDEX(Undirviðmið!$G$6:$G$105,ROW()-6)&lt;&gt;"Starfsbundinn",S39="",$E39="",$D39=""),"",ROUND(S39/$E39*$D39*KVARDI,2))</f>
        <v/>
      </c>
      <c r="U39" s="66" t="n"/>
      <c r="V39" s="78">
        <f>IF(OR(INDEX(Undirviðmið!$G$6:$G$105,ROW()-6)&lt;&gt;"Starfsbundinn",U39="",$E39="",$D39=""),"",ROUND(U39/$E39*$D39*KVARDI,2))</f>
        <v/>
      </c>
      <c r="W39" s="66" t="n"/>
      <c r="X39" s="78">
        <f>IF(OR(INDEX(Undirviðmið!$G$6:$G$105,ROW()-6)&lt;&gt;"Starfsbundinn",W39="",$E39="",$D39=""),"",ROUND(W39/$E39*$D39*KVARDI,2))</f>
        <v/>
      </c>
      <c r="Y39" s="66" t="n"/>
      <c r="Z39" s="78">
        <f>IF(OR(INDEX(Undirviðmið!$G$6:$G$105,ROW()-6)&lt;&gt;"Starfsbundinn",Y39="",$E39="",$D39=""),"",ROUND(Y39/$E39*$D39*KVARDI,2))</f>
        <v/>
      </c>
      <c r="AA39" s="66" t="n"/>
      <c r="AB39" s="78">
        <f>IF(OR(INDEX(Undirviðmið!$G$6:$G$105,ROW()-6)&lt;&gt;"Starfsbundinn",AA39="",$E39="",$D39=""),"",ROUND(AA39/$E39*$D39*KVARDI,2))</f>
        <v/>
      </c>
      <c r="AC39" s="66" t="n"/>
      <c r="AD39" s="78">
        <f>IF(OR(INDEX(Undirviðmið!$G$6:$G$105,ROW()-6)&lt;&gt;"Starfsbundinn",AC39="",$E39="",$D39=""),"",ROUND(AC39/$E39*$D39*KVARDI,2))</f>
        <v/>
      </c>
      <c r="AE39" s="66" t="n"/>
      <c r="AF39" s="78">
        <f>IF(OR(INDEX(Undirviðmið!$G$6:$G$105,ROW()-6)&lt;&gt;"Starfsbundinn",AE39="",$E39="",$D39=""),"",ROUND(AE39/$E39*$D39*KVARDI,2))</f>
        <v/>
      </c>
      <c r="AG39" s="66" t="n"/>
      <c r="AH39" s="78">
        <f>IF(OR(INDEX(Undirviðmið!$G$6:$G$105,ROW()-6)&lt;&gt;"Starfsbundinn",AG39="",$E39="",$D39=""),"",ROUND(AG39/$E39*$D39*KVARDI,2))</f>
        <v/>
      </c>
      <c r="AI39" s="66" t="n"/>
      <c r="AJ39" s="78">
        <f>IF(OR(INDEX(Undirviðmið!$G$6:$G$105,ROW()-6)&lt;&gt;"Starfsbundinn",AI39="",$E39="",$D39=""),"",ROUND(AI39/$E39*$D39*KVARDI,2))</f>
        <v/>
      </c>
      <c r="AK39" s="66" t="n"/>
      <c r="AL39" s="78">
        <f>IF(OR(INDEX(Undirviðmið!$G$6:$G$105,ROW()-6)&lt;&gt;"Starfsbundinn",AK39="",$E39="",$D39=""),"",ROUND(AK39/$E39*$D39*KVARDI,2))</f>
        <v/>
      </c>
      <c r="AM39" s="66" t="n"/>
      <c r="AN39" s="78">
        <f>IF(OR(INDEX(Undirviðmið!$G$6:$G$105,ROW()-6)&lt;&gt;"Starfsbundinn",AM39="",$E39="",$D39=""),"",ROUND(AM39/$E39*$D39*KVARDI,2))</f>
        <v/>
      </c>
      <c r="AO39" s="66" t="n"/>
      <c r="AP39" s="78">
        <f>IF(OR(INDEX(Undirviðmið!$G$6:$G$105,ROW()-6)&lt;&gt;"Starfsbundinn",AO39="",$E39="",$D39=""),"",ROUND(AO39/$E39*$D39*KVARDI,2))</f>
        <v/>
      </c>
      <c r="AQ39" s="66" t="n"/>
      <c r="AR39" s="78">
        <f>IF(OR(INDEX(Undirviðmið!$G$6:$G$105,ROW()-6)&lt;&gt;"Starfsbundinn",AQ39="",$E39="",$D39=""),"",ROUND(AQ39/$E39*$D39*KVARDI,2))</f>
        <v/>
      </c>
      <c r="AS39" s="66" t="n"/>
      <c r="AT39" s="78">
        <f>IF(OR(INDEX(Undirviðmið!$G$6:$G$105,ROW()-6)&lt;&gt;"Starfsbundinn",AS39="",$E39="",$D39=""),"",ROUND(AS39/$E39*$D39*KVARDI,2))</f>
        <v/>
      </c>
      <c r="AU39" s="66" t="n"/>
      <c r="AV39" s="78">
        <f>IF(OR(INDEX(Undirviðmið!$G$6:$G$105,ROW()-6)&lt;&gt;"Starfsbundinn",AU39="",$E39="",$D39=""),"",ROUND(AU39/$E39*$D39*KVARDI,2))</f>
        <v/>
      </c>
      <c r="AW39" s="66" t="n"/>
      <c r="AX39" s="78">
        <f>IF(OR(INDEX(Undirviðmið!$G$6:$G$105,ROW()-6)&lt;&gt;"Starfsbundinn",AW39="",$E39="",$D39=""),"",ROUND(AW39/$E39*$D39*KVARDI,2))</f>
        <v/>
      </c>
      <c r="AY39" s="66" t="n"/>
      <c r="AZ39" s="78">
        <f>IF(OR(INDEX(Undirviðmið!$G$6:$G$105,ROW()-6)&lt;&gt;"Starfsbundinn",AY39="",$E39="",$D39=""),"",ROUND(AY39/$E39*$D39*KVARDI,2))</f>
        <v/>
      </c>
      <c r="BA39" s="66" t="n"/>
      <c r="BB39" s="78">
        <f>IF(OR(INDEX(Undirviðmið!$G$6:$G$105,ROW()-6)&lt;&gt;"Starfsbundinn",BA39="",$E39="",$D39=""),"",ROUND(BA39/$E39*$D39*KVARDI,2))</f>
        <v/>
      </c>
      <c r="BC39" s="66" t="n"/>
      <c r="BD39" s="78">
        <f>IF(OR(INDEX(Undirviðmið!$G$6:$G$105,ROW()-6)&lt;&gt;"Starfsbundinn",BC39="",$E39="",$D39=""),"",ROUND(BC39/$E39*$D39*KVARDI,2))</f>
        <v/>
      </c>
      <c r="BE39" s="66" t="n"/>
      <c r="BF39" s="78">
        <f>IF(OR(INDEX(Undirviðmið!$G$6:$G$105,ROW()-6)&lt;&gt;"Starfsbundinn",BE39="",$E39="",$D39=""),"",ROUND(BE39/$E39*$D39*KVARDI,2))</f>
        <v/>
      </c>
      <c r="BG39" s="66" t="n"/>
      <c r="BH39" s="78">
        <f>IF(OR(INDEX(Undirviðmið!$G$6:$G$105,ROW()-6)&lt;&gt;"Starfsbundinn",BG39="",$E39="",$D39=""),"",ROUND(BG39/$E39*$D39*KVARDI,2))</f>
        <v/>
      </c>
      <c r="BI39" s="66" t="n"/>
      <c r="BJ39" s="78">
        <f>IF(OR(INDEX(Undirviðmið!$G$6:$G$105,ROW()-6)&lt;&gt;"Starfsbundinn",BI39="",$E39="",$D39=""),"",ROUND(BI39/$E39*$D39*KVARDI,2))</f>
        <v/>
      </c>
      <c r="BK39" s="66" t="n"/>
      <c r="BL39" s="78">
        <f>IF(OR(INDEX(Undirviðmið!$G$6:$G$105,ROW()-6)&lt;&gt;"Starfsbundinn",BK39="",$E39="",$D39=""),"",ROUND(BK39/$E39*$D39*KVARDI,2))</f>
        <v/>
      </c>
      <c r="BM39" s="66" t="n"/>
      <c r="BN39" s="78">
        <f>IF(OR(INDEX(Undirviðmið!$G$6:$G$105,ROW()-6)&lt;&gt;"Starfsbundinn",BM39="",$E39="",$D39=""),"",ROUND(BM39/$E39*$D39*KVARDI,2))</f>
        <v/>
      </c>
      <c r="BO39" s="66" t="n"/>
      <c r="BP39" s="78">
        <f>IF(OR(INDEX(Undirviðmið!$G$6:$G$105,ROW()-6)&lt;&gt;"Starfsbundinn",BO39="",$E39="",$D39=""),"",ROUND(BO39/$E39*$D39*KVARDI,2))</f>
        <v/>
      </c>
      <c r="BQ39" s="66" t="n"/>
      <c r="BR39" s="78">
        <f>IF(OR(INDEX(Undirviðmið!$G$6:$G$105,ROW()-6)&lt;&gt;"Starfsbundinn",BQ39="",$E39="",$D39=""),"",ROUND(BQ39/$E39*$D39*KVARDI,2))</f>
        <v/>
      </c>
      <c r="BS39" s="66" t="n"/>
      <c r="BT39" s="78">
        <f>IF(OR(INDEX(Undirviðmið!$G$6:$G$105,ROW()-6)&lt;&gt;"Starfsbundinn",BS39="",$E39="",$D39=""),"",ROUND(BS39/$E39*$D39*KVARDI,2))</f>
        <v/>
      </c>
      <c r="BU39" s="66" t="n"/>
      <c r="BV39" s="78">
        <f>IF(OR(INDEX(Undirviðmið!$G$6:$G$105,ROW()-6)&lt;&gt;"Starfsbundinn",BU39="",$E39="",$D39=""),"",ROUND(BU39/$E39*$D39*KVARDI,2))</f>
        <v/>
      </c>
      <c r="BW39" s="66" t="n"/>
      <c r="BX39" s="78">
        <f>IF(OR(INDEX(Undirviðmið!$G$6:$G$105,ROW()-6)&lt;&gt;"Starfsbundinn",BW39="",$E39="",$D39=""),"",ROUND(BW39/$E39*$D39*KVARDI,2))</f>
        <v/>
      </c>
      <c r="BY39" s="66" t="n"/>
      <c r="BZ39" s="78">
        <f>IF(OR(INDEX(Undirviðmið!$G$6:$G$105,ROW()-6)&lt;&gt;"Starfsbundinn",BY39="",$E39="",$D39=""),"",ROUND(BY39/$E39*$D39*KVARDI,2))</f>
        <v/>
      </c>
      <c r="CA39" s="66" t="n"/>
      <c r="CB39" s="78">
        <f>IF(OR(INDEX(Undirviðmið!$G$6:$G$105,ROW()-6)&lt;&gt;"Starfsbundinn",CA39="",$E39="",$D39=""),"",ROUND(CA39/$E39*$D39*KVARDI,2))</f>
        <v/>
      </c>
      <c r="CC39" s="66" t="n"/>
      <c r="CD39" s="78">
        <f>IF(OR(INDEX(Undirviðmið!$G$6:$G$105,ROW()-6)&lt;&gt;"Starfsbundinn",CC39="",$E39="",$D39=""),"",ROUND(CC39/$E39*$D39*KVARDI,2))</f>
        <v/>
      </c>
      <c r="CE39" s="66" t="n"/>
      <c r="CF39" s="78">
        <f>IF(OR(INDEX(Undirviðmið!$G$6:$G$105,ROW()-6)&lt;&gt;"Starfsbundinn",CE39="",$E39="",$D39=""),"",ROUND(CE39/$E39*$D39*KVARDI,2))</f>
        <v/>
      </c>
      <c r="CG39" s="66" t="n"/>
      <c r="CH39" s="78">
        <f>IF(OR(INDEX(Undirviðmið!$G$6:$G$105,ROW()-6)&lt;&gt;"Starfsbundinn",CG39="",$E39="",$D39=""),"",ROUND(CG39/$E39*$D39*KVARDI,2))</f>
        <v/>
      </c>
      <c r="CI39" s="66" t="n"/>
      <c r="CJ39" s="78">
        <f>IF(OR(INDEX(Undirviðmið!$G$6:$G$105,ROW()-6)&lt;&gt;"Starfsbundinn",CI39="",$E39="",$D39=""),"",ROUND(CI39/$E39*$D39*KVARDI,2))</f>
        <v/>
      </c>
      <c r="CK39" s="66" t="n"/>
      <c r="CL39" s="78">
        <f>IF(OR(INDEX(Undirviðmið!$G$6:$G$105,ROW()-6)&lt;&gt;"Starfsbundinn",CK39="",$E39="",$D39=""),"",ROUND(CK39/$E39*$D39*KVARDI,2))</f>
        <v/>
      </c>
      <c r="CM39" s="66" t="n"/>
      <c r="CN39" s="78">
        <f>IF(OR(INDEX(Undirviðmið!$G$6:$G$105,ROW()-6)&lt;&gt;"Starfsbundinn",CM39="",$E39="",$D39=""),"",ROUND(CM39/$E39*$D39*KVARDI,2))</f>
        <v/>
      </c>
      <c r="CO39" s="66" t="n"/>
      <c r="CP39" s="78">
        <f>IF(OR(INDEX(Undirviðmið!$G$6:$G$105,ROW()-6)&lt;&gt;"Starfsbundinn",CO39="",$E39="",$D39=""),"",ROUND(CO39/$E39*$D39*KVARDI,2))</f>
        <v/>
      </c>
      <c r="CQ39" s="66" t="n"/>
      <c r="CR39" s="78">
        <f>IF(OR(INDEX(Undirviðmið!$G$6:$G$105,ROW()-6)&lt;&gt;"Starfsbundinn",CQ39="",$E39="",$D39=""),"",ROUND(CQ39/$E39*$D39*KVARDI,2))</f>
        <v/>
      </c>
      <c r="CS39" s="66" t="n"/>
      <c r="CT39" s="78">
        <f>IF(OR(INDEX(Undirviðmið!$G$6:$G$105,ROW()-6)&lt;&gt;"Starfsbundinn",CS39="",$E39="",$D39=""),"",ROUND(CS39/$E39*$D39*KVARDI,2))</f>
        <v/>
      </c>
      <c r="CU39" s="66" t="n"/>
      <c r="CV39" s="78">
        <f>IF(OR(INDEX(Undirviðmið!$G$6:$G$105,ROW()-6)&lt;&gt;"Starfsbundinn",CU39="",$E39="",$D39=""),"",ROUND(CU39/$E39*$D39*KVARDI,2))</f>
        <v/>
      </c>
      <c r="CW39" s="66" t="n"/>
      <c r="CX39" s="78">
        <f>IF(OR(INDEX(Undirviðmið!$G$6:$G$105,ROW()-6)&lt;&gt;"Starfsbundinn",CW39="",$E39="",$D39=""),"",ROUND(CW39/$E39*$D39*KVARDI,2))</f>
        <v/>
      </c>
      <c r="CY39" s="66" t="n"/>
      <c r="CZ39" s="78">
        <f>IF(OR(INDEX(Undirviðmið!$G$6:$G$105,ROW()-6)&lt;&gt;"Starfsbundinn",CY39="",$E39="",$D39=""),"",ROUND(CY39/$E39*$D39*KVARDI,2))</f>
        <v/>
      </c>
      <c r="DA39" s="66" t="n"/>
      <c r="DB39" s="78">
        <f>IF(OR(INDEX(Undirviðmið!$G$6:$G$105,ROW()-6)&lt;&gt;"Starfsbundinn",DA39="",$E39="",$D39=""),"",ROUND(DA39/$E39*$D39*KVARDI,2))</f>
        <v/>
      </c>
      <c r="DC39" s="66" t="n"/>
      <c r="DD39" s="78">
        <f>IF(OR(INDEX(Undirviðmið!$G$6:$G$105,ROW()-6)&lt;&gt;"Starfsbundinn",DC39="",$E39="",$D39=""),"",ROUND(DC39/$E39*$D39*KVARDI,2))</f>
        <v/>
      </c>
      <c r="DE39" s="66" t="n"/>
      <c r="DF39" s="78">
        <f>IF(OR(INDEX(Undirviðmið!$G$6:$G$105,ROW()-6)&lt;&gt;"Starfsbundinn",DE39="",$E39="",$D39=""),"",ROUND(DE39/$E39*$D39*KVARDI,2))</f>
        <v/>
      </c>
      <c r="DG39" s="66" t="n"/>
      <c r="DH39" s="78">
        <f>IF(OR(INDEX(Undirviðmið!$G$6:$G$105,ROW()-6)&lt;&gt;"Starfsbundinn",DG39="",$E39="",$D39=""),"",ROUND(DG39/$E39*$D39*KVARDI,2))</f>
        <v/>
      </c>
      <c r="DI39" s="66" t="n"/>
      <c r="DJ39" s="78">
        <f>IF(OR(INDEX(Undirviðmið!$G$6:$G$105,ROW()-6)&lt;&gt;"Starfsbundinn",DI39="",$E39="",$D39=""),"",ROUND(DI39/$E39*$D39*KVARDI,2))</f>
        <v/>
      </c>
      <c r="DK39" s="66" t="n"/>
      <c r="DL39" s="78">
        <f>IF(OR(INDEX(Undirviðmið!$G$6:$G$105,ROW()-6)&lt;&gt;"Starfsbundinn",DK39="",$E39="",$D39=""),"",ROUND(DK39/$E39*$D39*KVARDI,2))</f>
        <v/>
      </c>
      <c r="DM39" s="66" t="n"/>
      <c r="DN39" s="78">
        <f>IF(OR(INDEX(Undirviðmið!$G$6:$G$105,ROW()-6)&lt;&gt;"Starfsbundinn",DM39="",$E39="",$D39=""),"",ROUND(DM39/$E39*$D39*KVARDI,2))</f>
        <v/>
      </c>
      <c r="DO39" s="66" t="n"/>
      <c r="DP39" s="78">
        <f>IF(OR(INDEX(Undirviðmið!$G$6:$G$105,ROW()-6)&lt;&gt;"Starfsbundinn",DO39="",$E39="",$D39=""),"",ROUND(DO39/$E39*$D39*KVARDI,2))</f>
        <v/>
      </c>
      <c r="DQ39" s="66" t="n"/>
      <c r="DR39" s="78">
        <f>IF(OR(INDEX(Undirviðmið!$G$6:$G$105,ROW()-6)&lt;&gt;"Starfsbundinn",DQ39="",$E39="",$D39=""),"",ROUND(DQ39/$E39*$D39*KVARDI,2))</f>
        <v/>
      </c>
      <c r="DS39" s="66" t="n"/>
      <c r="DT39" s="78">
        <f>IF(OR(INDEX(Undirviðmið!$G$6:$G$105,ROW()-6)&lt;&gt;"Starfsbundinn",DS39="",$E39="",$D39=""),"",ROUND(DS39/$E39*$D39*KVARDI,2))</f>
        <v/>
      </c>
      <c r="DU39" s="66" t="n"/>
      <c r="DV39" s="78">
        <f>IF(OR(INDEX(Undirviðmið!$G$6:$G$105,ROW()-6)&lt;&gt;"Starfsbundinn",DU39="",$E39="",$D39=""),"",ROUND(DU39/$E39*$D39*KVARDI,2))</f>
        <v/>
      </c>
      <c r="DW39" s="66" t="n"/>
      <c r="DX39" s="78">
        <f>IF(OR(INDEX(Undirviðmið!$G$6:$G$105,ROW()-6)&lt;&gt;"Starfsbundinn",DW39="",$E39="",$D39=""),"",ROUND(DW39/$E39*$D39*KVARDI,2))</f>
        <v/>
      </c>
      <c r="DY39" s="66" t="n"/>
      <c r="DZ39" s="78">
        <f>IF(OR(INDEX(Undirviðmið!$G$6:$G$105,ROW()-6)&lt;&gt;"Starfsbundinn",DY39="",$E39="",$D39=""),"",ROUND(DY39/$E39*$D39*KVARDI,2))</f>
        <v/>
      </c>
      <c r="EA39" s="66" t="n"/>
      <c r="EB39" s="78">
        <f>IF(OR(INDEX(Undirviðmið!$G$6:$G$105,ROW()-6)&lt;&gt;"Starfsbundinn",EA39="",$E39="",$D39=""),"",ROUND(EA39/$E39*$D39*KVARDI,2))</f>
        <v/>
      </c>
      <c r="EC39" s="66" t="n"/>
      <c r="ED39" s="78">
        <f>IF(OR(INDEX(Undirviðmið!$G$6:$G$105,ROW()-6)&lt;&gt;"Starfsbundinn",EC39="",$E39="",$D39=""),"",ROUND(EC39/$E39*$D39*KVARDI,2))</f>
        <v/>
      </c>
      <c r="EE39" s="66" t="n"/>
      <c r="EF39" s="78">
        <f>IF(OR(INDEX(Undirviðmið!$G$6:$G$105,ROW()-6)&lt;&gt;"Starfsbundinn",EE39="",$E39="",$D39=""),"",ROUND(EE39/$E39*$D39*KVARDI,2))</f>
        <v/>
      </c>
      <c r="EG39" s="66" t="n"/>
      <c r="EH39" s="78">
        <f>IF(OR(INDEX(Undirviðmið!$G$6:$G$105,ROW()-6)&lt;&gt;"Starfsbundinn",EG39="",$E39="",$D39=""),"",ROUND(EG39/$E39*$D39*KVARDI,2))</f>
        <v/>
      </c>
      <c r="EI39" s="66" t="n"/>
      <c r="EJ39" s="78">
        <f>IF(OR(INDEX(Undirviðmið!$G$6:$G$105,ROW()-6)&lt;&gt;"Starfsbundinn",EI39="",$E39="",$D39=""),"",ROUND(EI39/$E39*$D39*KVARDI,2))</f>
        <v/>
      </c>
      <c r="EK39" s="66" t="n"/>
      <c r="EL39" s="78">
        <f>IF(OR(INDEX(Undirviðmið!$G$6:$G$105,ROW()-6)&lt;&gt;"Starfsbundinn",EK39="",$E39="",$D39=""),"",ROUND(EK39/$E39*$D39*KVARDI,2))</f>
        <v/>
      </c>
      <c r="EM39" s="66" t="n"/>
      <c r="EN39" s="78">
        <f>IF(OR(INDEX(Undirviðmið!$G$6:$G$105,ROW()-6)&lt;&gt;"Starfsbundinn",EM39="",$E39="",$D39=""),"",ROUND(EM39/$E39*$D39*KVARDI,2))</f>
        <v/>
      </c>
      <c r="EO39" s="66" t="n"/>
      <c r="EP39" s="78">
        <f>IF(OR(INDEX(Undirviðmið!$G$6:$G$105,ROW()-6)&lt;&gt;"Starfsbundinn",EO39="",$E39="",$D39=""),"",ROUND(EO39/$E39*$D39*KVARDI,2))</f>
        <v/>
      </c>
      <c r="EQ39" s="66" t="n"/>
      <c r="ER39" s="78">
        <f>IF(OR(INDEX(Undirviðmið!$G$6:$G$105,ROW()-6)&lt;&gt;"Starfsbundinn",EQ39="",$E39="",$D39=""),"",ROUND(EQ39/$E39*$D39*KVARDI,2))</f>
        <v/>
      </c>
      <c r="ES39" s="66" t="n"/>
      <c r="ET39" s="78">
        <f>IF(OR(INDEX(Undirviðmið!$G$6:$G$105,ROW()-6)&lt;&gt;"Starfsbundinn",ES39="",$E39="",$D39=""),"",ROUND(ES39/$E39*$D39*KVARDI,2))</f>
        <v/>
      </c>
      <c r="EU39" s="66" t="n"/>
      <c r="EV39" s="78">
        <f>IF(OR(INDEX(Undirviðmið!$G$6:$G$105,ROW()-6)&lt;&gt;"Starfsbundinn",EU39="",$E39="",$D39=""),"",ROUND(EU39/$E39*$D39*KVARDI,2))</f>
        <v/>
      </c>
      <c r="EW39" s="66" t="n"/>
      <c r="EX39" s="78">
        <f>IF(OR(INDEX(Undirviðmið!$G$6:$G$105,ROW()-6)&lt;&gt;"Starfsbundinn",EW39="",$E39="",$D39=""),"",ROUND(EW39/$E39*$D39*KVARDI,2))</f>
        <v/>
      </c>
      <c r="EY39" s="66" t="n"/>
      <c r="EZ39" s="78">
        <f>IF(OR(INDEX(Undirviðmið!$G$6:$G$105,ROW()-6)&lt;&gt;"Starfsbundinn",EY39="",$E39="",$D39=""),"",ROUND(EY39/$E39*$D39*KVARDI,2))</f>
        <v/>
      </c>
      <c r="FA39" s="66" t="n"/>
      <c r="FB39" s="78">
        <f>IF(OR(INDEX(Undirviðmið!$G$6:$G$105,ROW()-6)&lt;&gt;"Starfsbundinn",FA39="",$E39="",$D39=""),"",ROUND(FA39/$E39*$D39*KVARDI,2))</f>
        <v/>
      </c>
      <c r="FC39" s="66" t="n"/>
      <c r="FD39" s="78">
        <f>IF(OR(INDEX(Undirviðmið!$G$6:$G$105,ROW()-6)&lt;&gt;"Starfsbundinn",FC39="",$E39="",$D39=""),"",ROUND(FC39/$E39*$D39*KVARDI,2))</f>
        <v/>
      </c>
      <c r="FE39" s="66" t="n"/>
      <c r="FF39" s="78">
        <f>IF(OR(INDEX(Undirviðmið!$G$6:$G$105,ROW()-6)&lt;&gt;"Starfsbundinn",FE39="",$E39="",$D39=""),"",ROUND(FE39/$E39*$D39*KVARDI,2))</f>
        <v/>
      </c>
      <c r="FG39" s="66" t="n"/>
      <c r="FH39" s="78">
        <f>IF(OR(INDEX(Undirviðmið!$G$6:$G$105,ROW()-6)&lt;&gt;"Starfsbundinn",FG39="",$E39="",$D39=""),"",ROUND(FG39/$E39*$D39*KVARDI,2))</f>
        <v/>
      </c>
      <c r="FI39" s="66" t="n"/>
      <c r="FJ39" s="78">
        <f>IF(OR(INDEX(Undirviðmið!$G$6:$G$105,ROW()-6)&lt;&gt;"Starfsbundinn",FI39="",$E39="",$D39=""),"",ROUND(FI39/$E39*$D39*KVARDI,2))</f>
        <v/>
      </c>
      <c r="FK39" s="66" t="n"/>
      <c r="FL39" s="78">
        <f>IF(OR(INDEX(Undirviðmið!$G$6:$G$105,ROW()-6)&lt;&gt;"Starfsbundinn",FK39="",$E39="",$D39=""),"",ROUND(FK39/$E39*$D39*KVARDI,2))</f>
        <v/>
      </c>
      <c r="FM39" s="66" t="n"/>
      <c r="FN39" s="78">
        <f>IF(OR(INDEX(Undirviðmið!$G$6:$G$105,ROW()-6)&lt;&gt;"Starfsbundinn",FM39="",$E39="",$D39=""),"",ROUND(FM39/$E39*$D39*KVARDI,2))</f>
        <v/>
      </c>
      <c r="FO39" s="66" t="n"/>
      <c r="FP39" s="78">
        <f>IF(OR(INDEX(Undirviðmið!$G$6:$G$105,ROW()-6)&lt;&gt;"Starfsbundinn",FO39="",$E39="",$D39=""),"",ROUND(FO39/$E39*$D39*KVARDI,2))</f>
        <v/>
      </c>
      <c r="FQ39" s="66" t="n"/>
      <c r="FR39" s="78">
        <f>IF(OR(INDEX(Undirviðmið!$G$6:$G$105,ROW()-6)&lt;&gt;"Starfsbundinn",FQ39="",$E39="",$D39=""),"",ROUND(FQ39/$E39*$D39*KVARDI,2))</f>
        <v/>
      </c>
      <c r="FS39" s="66" t="n"/>
      <c r="FT39" s="78">
        <f>IF(OR(INDEX(Undirviðmið!$G$6:$G$105,ROW()-6)&lt;&gt;"Starfsbundinn",FS39="",$E39="",$D39=""),"",ROUND(FS39/$E39*$D39*KVARDI,2))</f>
        <v/>
      </c>
      <c r="FU39" s="66" t="n"/>
      <c r="FV39" s="78">
        <f>IF(OR(INDEX(Undirviðmið!$G$6:$G$105,ROW()-6)&lt;&gt;"Starfsbundinn",FU39="",$E39="",$D39=""),"",ROUND(FU39/$E39*$D39*KVARDI,2))</f>
        <v/>
      </c>
      <c r="FW39" s="66" t="n"/>
      <c r="FX39" s="78">
        <f>IF(OR(INDEX(Undirviðmið!$G$6:$G$105,ROW()-6)&lt;&gt;"Starfsbundinn",FW39="",$E39="",$D39=""),"",ROUND(FW39/$E39*$D39*KVARDI,2))</f>
        <v/>
      </c>
      <c r="FY39" s="66" t="n"/>
      <c r="FZ39" s="78">
        <f>IF(OR(INDEX(Undirviðmið!$G$6:$G$105,ROW()-6)&lt;&gt;"Starfsbundinn",FY39="",$E39="",$D39=""),"",ROUND(FY39/$E39*$D39*KVARDI,2))</f>
        <v/>
      </c>
      <c r="GA39" s="66" t="n"/>
      <c r="GB39" s="78">
        <f>IF(OR(INDEX(Undirviðmið!$G$6:$G$105,ROW()-6)&lt;&gt;"Starfsbundinn",GA39="",$E39="",$D39=""),"",ROUND(GA39/$E39*$D39*KVARDI,2))</f>
        <v/>
      </c>
      <c r="GC39" s="66" t="n"/>
      <c r="GD39" s="78">
        <f>IF(OR(INDEX(Undirviðmið!$G$6:$G$105,ROW()-6)&lt;&gt;"Starfsbundinn",GC39="",$E39="",$D39=""),"",ROUND(GC39/$E39*$D39*KVARDI,2))</f>
        <v/>
      </c>
      <c r="GE39" s="66" t="n"/>
      <c r="GF39" s="78">
        <f>IF(OR(INDEX(Undirviðmið!$G$6:$G$105,ROW()-6)&lt;&gt;"Starfsbundinn",GE39="",$E39="",$D39=""),"",ROUND(GE39/$E39*$D39*KVARDI,2))</f>
        <v/>
      </c>
      <c r="GG39" s="66" t="n"/>
      <c r="GH39" s="78">
        <f>IF(OR(INDEX(Undirviðmið!$G$6:$G$105,ROW()-6)&lt;&gt;"Starfsbundinn",GG39="",$E39="",$D39=""),"",ROUND(GG39/$E39*$D39*KVARDI,2))</f>
        <v/>
      </c>
      <c r="GI39" s="66" t="n"/>
      <c r="GJ39" s="78">
        <f>IF(OR(INDEX(Undirviðmið!$G$6:$G$105,ROW()-6)&lt;&gt;"Starfsbundinn",GI39="",$E39="",$D39=""),"",ROUND(GI39/$E39*$D39*KVARDI,2))</f>
        <v/>
      </c>
      <c r="GK39" s="66" t="n"/>
      <c r="GL39" s="78">
        <f>IF(OR(INDEX(Undirviðmið!$G$6:$G$105,ROW()-6)&lt;&gt;"Starfsbundinn",GK39="",$E39="",$D39=""),"",ROUND(GK39/$E39*$D39*KVARDI,2))</f>
        <v/>
      </c>
      <c r="GM39" s="66" t="n"/>
      <c r="GN39" s="78">
        <f>IF(OR(INDEX(Undirviðmið!$G$6:$G$105,ROW()-6)&lt;&gt;"Starfsbundinn",GM39="",$E39="",$D39=""),"",ROUND(GM39/$E39*$D39*KVARDI,2))</f>
        <v/>
      </c>
      <c r="GO39" s="66" t="n"/>
      <c r="GP39" s="78">
        <f>IF(OR(INDEX(Undirviðmið!$G$6:$G$105,ROW()-6)&lt;&gt;"Starfsbundinn",GO39="",$E39="",$D39=""),"",ROUND(GO39/$E39*$D39*KVARDI,2))</f>
        <v/>
      </c>
      <c r="GQ39" s="66" t="n"/>
      <c r="GR39" s="78">
        <f>IF(OR(INDEX(Undirviðmið!$G$6:$G$105,ROW()-6)&lt;&gt;"Starfsbundinn",GQ39="",$E39="",$D39=""),"",ROUND(GQ39/$E39*$D39*KVARDI,2))</f>
        <v/>
      </c>
      <c r="GS39" s="66" t="n"/>
      <c r="GT39" s="78">
        <f>IF(OR(INDEX(Undirviðmið!$G$6:$G$105,ROW()-6)&lt;&gt;"Starfsbundinn",GS39="",$E39="",$D39=""),"",ROUND(GS39/$E39*$D39*KVARDI,2))</f>
        <v/>
      </c>
      <c r="GU39" s="66" t="n"/>
      <c r="GV39" s="78">
        <f>IF(OR(INDEX(Undirviðmið!$G$6:$G$105,ROW()-6)&lt;&gt;"Starfsbundinn",GU39="",$E39="",$D39=""),"",ROUND(GU39/$E39*$D39*KVARDI,2))</f>
        <v/>
      </c>
      <c r="GW39" s="66" t="n"/>
      <c r="GX39" s="78">
        <f>IF(OR(INDEX(Undirviðmið!$G$6:$G$105,ROW()-6)&lt;&gt;"Starfsbundinn",GW39="",$E39="",$D39=""),"",ROUND(GW39/$E39*$D39*KVARDI,2))</f>
        <v/>
      </c>
    </row>
    <row r="40" ht="15" customHeight="1" s="47">
      <c r="B40" s="67">
        <f>IF(INDEX(Undirviðmið!$G$6:$G$105,ROW()-6)="Starfsbundinn",INDEX(Undirviðmið!$B$6:$B$105,ROW()-6),"")</f>
        <v/>
      </c>
      <c r="C40" s="67">
        <f>IF(INDEX(Undirviðmið!$G$6:$G$105,ROW()-6)="Starfsbundinn",INDEX(Undirviðmið!$C$6:$C$105,ROW()-6),"")</f>
        <v/>
      </c>
      <c r="D40" s="77">
        <f>IF(INDEX(Undirviðmið!$G$6:$G$105,ROW()-6)="Starfsbundinn",INDEX(Undirviðmið!$E$6:$E$105,ROW()-6),"")</f>
        <v/>
      </c>
      <c r="E40" s="77">
        <f>IF(INDEX(Undirviðmið!$G$6:$G$105,ROW()-6)="Starfsbundinn",INDEX(Undirviðmið!$F$6:$F$105,ROW()-6),"")</f>
        <v/>
      </c>
      <c r="F40" s="77">
        <f>IF(INDEX(Undirviðmið!$G$6:$G$105,ROW()-6)="Starfsbundinn",IFERROR(INDEX(Undirviðmið!$E$6:$E$105,ROW()-6)*KVARDI,""),"")</f>
        <v/>
      </c>
      <c r="G40" s="66" t="n"/>
      <c r="H40" s="78">
        <f>IF(OR(INDEX(Undirviðmið!$G$6:$G$105,ROW()-6)&lt;&gt;"Starfsbundinn",G40="",$E40="",$D40=""),"",ROUND(G40/$E40*$D40*KVARDI,2))</f>
        <v/>
      </c>
      <c r="I40" s="66" t="n"/>
      <c r="J40" s="78">
        <f>IF(OR(INDEX(Undirviðmið!$G$6:$G$105,ROW()-6)&lt;&gt;"Starfsbundinn",I40="",$E40="",$D40=""),"",ROUND(I40/$E40*$D40*KVARDI,2))</f>
        <v/>
      </c>
      <c r="K40" s="66" t="n"/>
      <c r="L40" s="78">
        <f>IF(OR(INDEX(Undirviðmið!$G$6:$G$105,ROW()-6)&lt;&gt;"Starfsbundinn",K40="",$E40="",$D40=""),"",ROUND(K40/$E40*$D40*KVARDI,2))</f>
        <v/>
      </c>
      <c r="M40" s="66" t="n"/>
      <c r="N40" s="78">
        <f>IF(OR(INDEX(Undirviðmið!$G$6:$G$105,ROW()-6)&lt;&gt;"Starfsbundinn",M40="",$E40="",$D40=""),"",ROUND(M40/$E40*$D40*KVARDI,2))</f>
        <v/>
      </c>
      <c r="O40" s="66" t="n"/>
      <c r="P40" s="78">
        <f>IF(OR(INDEX(Undirviðmið!$G$6:$G$105,ROW()-6)&lt;&gt;"Starfsbundinn",O40="",$E40="",$D40=""),"",ROUND(O40/$E40*$D40*KVARDI,2))</f>
        <v/>
      </c>
      <c r="Q40" s="66" t="n"/>
      <c r="R40" s="78">
        <f>IF(OR(INDEX(Undirviðmið!$G$6:$G$105,ROW()-6)&lt;&gt;"Starfsbundinn",Q40="",$E40="",$D40=""),"",ROUND(Q40/$E40*$D40*KVARDI,2))</f>
        <v/>
      </c>
      <c r="S40" s="66" t="n"/>
      <c r="T40" s="78">
        <f>IF(OR(INDEX(Undirviðmið!$G$6:$G$105,ROW()-6)&lt;&gt;"Starfsbundinn",S40="",$E40="",$D40=""),"",ROUND(S40/$E40*$D40*KVARDI,2))</f>
        <v/>
      </c>
      <c r="U40" s="66" t="n"/>
      <c r="V40" s="78">
        <f>IF(OR(INDEX(Undirviðmið!$G$6:$G$105,ROW()-6)&lt;&gt;"Starfsbundinn",U40="",$E40="",$D40=""),"",ROUND(U40/$E40*$D40*KVARDI,2))</f>
        <v/>
      </c>
      <c r="W40" s="66" t="n"/>
      <c r="X40" s="78">
        <f>IF(OR(INDEX(Undirviðmið!$G$6:$G$105,ROW()-6)&lt;&gt;"Starfsbundinn",W40="",$E40="",$D40=""),"",ROUND(W40/$E40*$D40*KVARDI,2))</f>
        <v/>
      </c>
      <c r="Y40" s="66" t="n"/>
      <c r="Z40" s="78">
        <f>IF(OR(INDEX(Undirviðmið!$G$6:$G$105,ROW()-6)&lt;&gt;"Starfsbundinn",Y40="",$E40="",$D40=""),"",ROUND(Y40/$E40*$D40*KVARDI,2))</f>
        <v/>
      </c>
      <c r="AA40" s="66" t="n"/>
      <c r="AB40" s="78">
        <f>IF(OR(INDEX(Undirviðmið!$G$6:$G$105,ROW()-6)&lt;&gt;"Starfsbundinn",AA40="",$E40="",$D40=""),"",ROUND(AA40/$E40*$D40*KVARDI,2))</f>
        <v/>
      </c>
      <c r="AC40" s="66" t="n"/>
      <c r="AD40" s="78">
        <f>IF(OR(INDEX(Undirviðmið!$G$6:$G$105,ROW()-6)&lt;&gt;"Starfsbundinn",AC40="",$E40="",$D40=""),"",ROUND(AC40/$E40*$D40*KVARDI,2))</f>
        <v/>
      </c>
      <c r="AE40" s="66" t="n"/>
      <c r="AF40" s="78">
        <f>IF(OR(INDEX(Undirviðmið!$G$6:$G$105,ROW()-6)&lt;&gt;"Starfsbundinn",AE40="",$E40="",$D40=""),"",ROUND(AE40/$E40*$D40*KVARDI,2))</f>
        <v/>
      </c>
      <c r="AG40" s="66" t="n"/>
      <c r="AH40" s="78">
        <f>IF(OR(INDEX(Undirviðmið!$G$6:$G$105,ROW()-6)&lt;&gt;"Starfsbundinn",AG40="",$E40="",$D40=""),"",ROUND(AG40/$E40*$D40*KVARDI,2))</f>
        <v/>
      </c>
      <c r="AI40" s="66" t="n"/>
      <c r="AJ40" s="78">
        <f>IF(OR(INDEX(Undirviðmið!$G$6:$G$105,ROW()-6)&lt;&gt;"Starfsbundinn",AI40="",$E40="",$D40=""),"",ROUND(AI40/$E40*$D40*KVARDI,2))</f>
        <v/>
      </c>
      <c r="AK40" s="66" t="n"/>
      <c r="AL40" s="78">
        <f>IF(OR(INDEX(Undirviðmið!$G$6:$G$105,ROW()-6)&lt;&gt;"Starfsbundinn",AK40="",$E40="",$D40=""),"",ROUND(AK40/$E40*$D40*KVARDI,2))</f>
        <v/>
      </c>
      <c r="AM40" s="66" t="n"/>
      <c r="AN40" s="78">
        <f>IF(OR(INDEX(Undirviðmið!$G$6:$G$105,ROW()-6)&lt;&gt;"Starfsbundinn",AM40="",$E40="",$D40=""),"",ROUND(AM40/$E40*$D40*KVARDI,2))</f>
        <v/>
      </c>
      <c r="AO40" s="66" t="n"/>
      <c r="AP40" s="78">
        <f>IF(OR(INDEX(Undirviðmið!$G$6:$G$105,ROW()-6)&lt;&gt;"Starfsbundinn",AO40="",$E40="",$D40=""),"",ROUND(AO40/$E40*$D40*KVARDI,2))</f>
        <v/>
      </c>
      <c r="AQ40" s="66" t="n"/>
      <c r="AR40" s="78">
        <f>IF(OR(INDEX(Undirviðmið!$G$6:$G$105,ROW()-6)&lt;&gt;"Starfsbundinn",AQ40="",$E40="",$D40=""),"",ROUND(AQ40/$E40*$D40*KVARDI,2))</f>
        <v/>
      </c>
      <c r="AS40" s="66" t="n"/>
      <c r="AT40" s="78">
        <f>IF(OR(INDEX(Undirviðmið!$G$6:$G$105,ROW()-6)&lt;&gt;"Starfsbundinn",AS40="",$E40="",$D40=""),"",ROUND(AS40/$E40*$D40*KVARDI,2))</f>
        <v/>
      </c>
      <c r="AU40" s="66" t="n"/>
      <c r="AV40" s="78">
        <f>IF(OR(INDEX(Undirviðmið!$G$6:$G$105,ROW()-6)&lt;&gt;"Starfsbundinn",AU40="",$E40="",$D40=""),"",ROUND(AU40/$E40*$D40*KVARDI,2))</f>
        <v/>
      </c>
      <c r="AW40" s="66" t="n"/>
      <c r="AX40" s="78">
        <f>IF(OR(INDEX(Undirviðmið!$G$6:$G$105,ROW()-6)&lt;&gt;"Starfsbundinn",AW40="",$E40="",$D40=""),"",ROUND(AW40/$E40*$D40*KVARDI,2))</f>
        <v/>
      </c>
      <c r="AY40" s="66" t="n"/>
      <c r="AZ40" s="78">
        <f>IF(OR(INDEX(Undirviðmið!$G$6:$G$105,ROW()-6)&lt;&gt;"Starfsbundinn",AY40="",$E40="",$D40=""),"",ROUND(AY40/$E40*$D40*KVARDI,2))</f>
        <v/>
      </c>
      <c r="BA40" s="66" t="n"/>
      <c r="BB40" s="78">
        <f>IF(OR(INDEX(Undirviðmið!$G$6:$G$105,ROW()-6)&lt;&gt;"Starfsbundinn",BA40="",$E40="",$D40=""),"",ROUND(BA40/$E40*$D40*KVARDI,2))</f>
        <v/>
      </c>
      <c r="BC40" s="66" t="n"/>
      <c r="BD40" s="78">
        <f>IF(OR(INDEX(Undirviðmið!$G$6:$G$105,ROW()-6)&lt;&gt;"Starfsbundinn",BC40="",$E40="",$D40=""),"",ROUND(BC40/$E40*$D40*KVARDI,2))</f>
        <v/>
      </c>
      <c r="BE40" s="66" t="n"/>
      <c r="BF40" s="78">
        <f>IF(OR(INDEX(Undirviðmið!$G$6:$G$105,ROW()-6)&lt;&gt;"Starfsbundinn",BE40="",$E40="",$D40=""),"",ROUND(BE40/$E40*$D40*KVARDI,2))</f>
        <v/>
      </c>
      <c r="BG40" s="66" t="n"/>
      <c r="BH40" s="78">
        <f>IF(OR(INDEX(Undirviðmið!$G$6:$G$105,ROW()-6)&lt;&gt;"Starfsbundinn",BG40="",$E40="",$D40=""),"",ROUND(BG40/$E40*$D40*KVARDI,2))</f>
        <v/>
      </c>
      <c r="BI40" s="66" t="n"/>
      <c r="BJ40" s="78">
        <f>IF(OR(INDEX(Undirviðmið!$G$6:$G$105,ROW()-6)&lt;&gt;"Starfsbundinn",BI40="",$E40="",$D40=""),"",ROUND(BI40/$E40*$D40*KVARDI,2))</f>
        <v/>
      </c>
      <c r="BK40" s="66" t="n"/>
      <c r="BL40" s="78">
        <f>IF(OR(INDEX(Undirviðmið!$G$6:$G$105,ROW()-6)&lt;&gt;"Starfsbundinn",BK40="",$E40="",$D40=""),"",ROUND(BK40/$E40*$D40*KVARDI,2))</f>
        <v/>
      </c>
      <c r="BM40" s="66" t="n"/>
      <c r="BN40" s="78">
        <f>IF(OR(INDEX(Undirviðmið!$G$6:$G$105,ROW()-6)&lt;&gt;"Starfsbundinn",BM40="",$E40="",$D40=""),"",ROUND(BM40/$E40*$D40*KVARDI,2))</f>
        <v/>
      </c>
      <c r="BO40" s="66" t="n"/>
      <c r="BP40" s="78">
        <f>IF(OR(INDEX(Undirviðmið!$G$6:$G$105,ROW()-6)&lt;&gt;"Starfsbundinn",BO40="",$E40="",$D40=""),"",ROUND(BO40/$E40*$D40*KVARDI,2))</f>
        <v/>
      </c>
      <c r="BQ40" s="66" t="n"/>
      <c r="BR40" s="78">
        <f>IF(OR(INDEX(Undirviðmið!$G$6:$G$105,ROW()-6)&lt;&gt;"Starfsbundinn",BQ40="",$E40="",$D40=""),"",ROUND(BQ40/$E40*$D40*KVARDI,2))</f>
        <v/>
      </c>
      <c r="BS40" s="66" t="n"/>
      <c r="BT40" s="78">
        <f>IF(OR(INDEX(Undirviðmið!$G$6:$G$105,ROW()-6)&lt;&gt;"Starfsbundinn",BS40="",$E40="",$D40=""),"",ROUND(BS40/$E40*$D40*KVARDI,2))</f>
        <v/>
      </c>
      <c r="BU40" s="66" t="n"/>
      <c r="BV40" s="78">
        <f>IF(OR(INDEX(Undirviðmið!$G$6:$G$105,ROW()-6)&lt;&gt;"Starfsbundinn",BU40="",$E40="",$D40=""),"",ROUND(BU40/$E40*$D40*KVARDI,2))</f>
        <v/>
      </c>
      <c r="BW40" s="66" t="n"/>
      <c r="BX40" s="78">
        <f>IF(OR(INDEX(Undirviðmið!$G$6:$G$105,ROW()-6)&lt;&gt;"Starfsbundinn",BW40="",$E40="",$D40=""),"",ROUND(BW40/$E40*$D40*KVARDI,2))</f>
        <v/>
      </c>
      <c r="BY40" s="66" t="n"/>
      <c r="BZ40" s="78">
        <f>IF(OR(INDEX(Undirviðmið!$G$6:$G$105,ROW()-6)&lt;&gt;"Starfsbundinn",BY40="",$E40="",$D40=""),"",ROUND(BY40/$E40*$D40*KVARDI,2))</f>
        <v/>
      </c>
      <c r="CA40" s="66" t="n"/>
      <c r="CB40" s="78">
        <f>IF(OR(INDEX(Undirviðmið!$G$6:$G$105,ROW()-6)&lt;&gt;"Starfsbundinn",CA40="",$E40="",$D40=""),"",ROUND(CA40/$E40*$D40*KVARDI,2))</f>
        <v/>
      </c>
      <c r="CC40" s="66" t="n"/>
      <c r="CD40" s="78">
        <f>IF(OR(INDEX(Undirviðmið!$G$6:$G$105,ROW()-6)&lt;&gt;"Starfsbundinn",CC40="",$E40="",$D40=""),"",ROUND(CC40/$E40*$D40*KVARDI,2))</f>
        <v/>
      </c>
      <c r="CE40" s="66" t="n"/>
      <c r="CF40" s="78">
        <f>IF(OR(INDEX(Undirviðmið!$G$6:$G$105,ROW()-6)&lt;&gt;"Starfsbundinn",CE40="",$E40="",$D40=""),"",ROUND(CE40/$E40*$D40*KVARDI,2))</f>
        <v/>
      </c>
      <c r="CG40" s="66" t="n"/>
      <c r="CH40" s="78">
        <f>IF(OR(INDEX(Undirviðmið!$G$6:$G$105,ROW()-6)&lt;&gt;"Starfsbundinn",CG40="",$E40="",$D40=""),"",ROUND(CG40/$E40*$D40*KVARDI,2))</f>
        <v/>
      </c>
      <c r="CI40" s="66" t="n"/>
      <c r="CJ40" s="78">
        <f>IF(OR(INDEX(Undirviðmið!$G$6:$G$105,ROW()-6)&lt;&gt;"Starfsbundinn",CI40="",$E40="",$D40=""),"",ROUND(CI40/$E40*$D40*KVARDI,2))</f>
        <v/>
      </c>
      <c r="CK40" s="66" t="n"/>
      <c r="CL40" s="78">
        <f>IF(OR(INDEX(Undirviðmið!$G$6:$G$105,ROW()-6)&lt;&gt;"Starfsbundinn",CK40="",$E40="",$D40=""),"",ROUND(CK40/$E40*$D40*KVARDI,2))</f>
        <v/>
      </c>
      <c r="CM40" s="66" t="n"/>
      <c r="CN40" s="78">
        <f>IF(OR(INDEX(Undirviðmið!$G$6:$G$105,ROW()-6)&lt;&gt;"Starfsbundinn",CM40="",$E40="",$D40=""),"",ROUND(CM40/$E40*$D40*KVARDI,2))</f>
        <v/>
      </c>
      <c r="CO40" s="66" t="n"/>
      <c r="CP40" s="78">
        <f>IF(OR(INDEX(Undirviðmið!$G$6:$G$105,ROW()-6)&lt;&gt;"Starfsbundinn",CO40="",$E40="",$D40=""),"",ROUND(CO40/$E40*$D40*KVARDI,2))</f>
        <v/>
      </c>
      <c r="CQ40" s="66" t="n"/>
      <c r="CR40" s="78">
        <f>IF(OR(INDEX(Undirviðmið!$G$6:$G$105,ROW()-6)&lt;&gt;"Starfsbundinn",CQ40="",$E40="",$D40=""),"",ROUND(CQ40/$E40*$D40*KVARDI,2))</f>
        <v/>
      </c>
      <c r="CS40" s="66" t="n"/>
      <c r="CT40" s="78">
        <f>IF(OR(INDEX(Undirviðmið!$G$6:$G$105,ROW()-6)&lt;&gt;"Starfsbundinn",CS40="",$E40="",$D40=""),"",ROUND(CS40/$E40*$D40*KVARDI,2))</f>
        <v/>
      </c>
      <c r="CU40" s="66" t="n"/>
      <c r="CV40" s="78">
        <f>IF(OR(INDEX(Undirviðmið!$G$6:$G$105,ROW()-6)&lt;&gt;"Starfsbundinn",CU40="",$E40="",$D40=""),"",ROUND(CU40/$E40*$D40*KVARDI,2))</f>
        <v/>
      </c>
      <c r="CW40" s="66" t="n"/>
      <c r="CX40" s="78">
        <f>IF(OR(INDEX(Undirviðmið!$G$6:$G$105,ROW()-6)&lt;&gt;"Starfsbundinn",CW40="",$E40="",$D40=""),"",ROUND(CW40/$E40*$D40*KVARDI,2))</f>
        <v/>
      </c>
      <c r="CY40" s="66" t="n"/>
      <c r="CZ40" s="78">
        <f>IF(OR(INDEX(Undirviðmið!$G$6:$G$105,ROW()-6)&lt;&gt;"Starfsbundinn",CY40="",$E40="",$D40=""),"",ROUND(CY40/$E40*$D40*KVARDI,2))</f>
        <v/>
      </c>
      <c r="DA40" s="66" t="n"/>
      <c r="DB40" s="78">
        <f>IF(OR(INDEX(Undirviðmið!$G$6:$G$105,ROW()-6)&lt;&gt;"Starfsbundinn",DA40="",$E40="",$D40=""),"",ROUND(DA40/$E40*$D40*KVARDI,2))</f>
        <v/>
      </c>
      <c r="DC40" s="66" t="n"/>
      <c r="DD40" s="78">
        <f>IF(OR(INDEX(Undirviðmið!$G$6:$G$105,ROW()-6)&lt;&gt;"Starfsbundinn",DC40="",$E40="",$D40=""),"",ROUND(DC40/$E40*$D40*KVARDI,2))</f>
        <v/>
      </c>
      <c r="DE40" s="66" t="n"/>
      <c r="DF40" s="78">
        <f>IF(OR(INDEX(Undirviðmið!$G$6:$G$105,ROW()-6)&lt;&gt;"Starfsbundinn",DE40="",$E40="",$D40=""),"",ROUND(DE40/$E40*$D40*KVARDI,2))</f>
        <v/>
      </c>
      <c r="DG40" s="66" t="n"/>
      <c r="DH40" s="78">
        <f>IF(OR(INDEX(Undirviðmið!$G$6:$G$105,ROW()-6)&lt;&gt;"Starfsbundinn",DG40="",$E40="",$D40=""),"",ROUND(DG40/$E40*$D40*KVARDI,2))</f>
        <v/>
      </c>
      <c r="DI40" s="66" t="n"/>
      <c r="DJ40" s="78">
        <f>IF(OR(INDEX(Undirviðmið!$G$6:$G$105,ROW()-6)&lt;&gt;"Starfsbundinn",DI40="",$E40="",$D40=""),"",ROUND(DI40/$E40*$D40*KVARDI,2))</f>
        <v/>
      </c>
      <c r="DK40" s="66" t="n"/>
      <c r="DL40" s="78">
        <f>IF(OR(INDEX(Undirviðmið!$G$6:$G$105,ROW()-6)&lt;&gt;"Starfsbundinn",DK40="",$E40="",$D40=""),"",ROUND(DK40/$E40*$D40*KVARDI,2))</f>
        <v/>
      </c>
      <c r="DM40" s="66" t="n"/>
      <c r="DN40" s="78">
        <f>IF(OR(INDEX(Undirviðmið!$G$6:$G$105,ROW()-6)&lt;&gt;"Starfsbundinn",DM40="",$E40="",$D40=""),"",ROUND(DM40/$E40*$D40*KVARDI,2))</f>
        <v/>
      </c>
      <c r="DO40" s="66" t="n"/>
      <c r="DP40" s="78">
        <f>IF(OR(INDEX(Undirviðmið!$G$6:$G$105,ROW()-6)&lt;&gt;"Starfsbundinn",DO40="",$E40="",$D40=""),"",ROUND(DO40/$E40*$D40*KVARDI,2))</f>
        <v/>
      </c>
      <c r="DQ40" s="66" t="n"/>
      <c r="DR40" s="78">
        <f>IF(OR(INDEX(Undirviðmið!$G$6:$G$105,ROW()-6)&lt;&gt;"Starfsbundinn",DQ40="",$E40="",$D40=""),"",ROUND(DQ40/$E40*$D40*KVARDI,2))</f>
        <v/>
      </c>
      <c r="DS40" s="66" t="n"/>
      <c r="DT40" s="78">
        <f>IF(OR(INDEX(Undirviðmið!$G$6:$G$105,ROW()-6)&lt;&gt;"Starfsbundinn",DS40="",$E40="",$D40=""),"",ROUND(DS40/$E40*$D40*KVARDI,2))</f>
        <v/>
      </c>
      <c r="DU40" s="66" t="n"/>
      <c r="DV40" s="78">
        <f>IF(OR(INDEX(Undirviðmið!$G$6:$G$105,ROW()-6)&lt;&gt;"Starfsbundinn",DU40="",$E40="",$D40=""),"",ROUND(DU40/$E40*$D40*KVARDI,2))</f>
        <v/>
      </c>
      <c r="DW40" s="66" t="n"/>
      <c r="DX40" s="78">
        <f>IF(OR(INDEX(Undirviðmið!$G$6:$G$105,ROW()-6)&lt;&gt;"Starfsbundinn",DW40="",$E40="",$D40=""),"",ROUND(DW40/$E40*$D40*KVARDI,2))</f>
        <v/>
      </c>
      <c r="DY40" s="66" t="n"/>
      <c r="DZ40" s="78">
        <f>IF(OR(INDEX(Undirviðmið!$G$6:$G$105,ROW()-6)&lt;&gt;"Starfsbundinn",DY40="",$E40="",$D40=""),"",ROUND(DY40/$E40*$D40*KVARDI,2))</f>
        <v/>
      </c>
      <c r="EA40" s="66" t="n"/>
      <c r="EB40" s="78">
        <f>IF(OR(INDEX(Undirviðmið!$G$6:$G$105,ROW()-6)&lt;&gt;"Starfsbundinn",EA40="",$E40="",$D40=""),"",ROUND(EA40/$E40*$D40*KVARDI,2))</f>
        <v/>
      </c>
      <c r="EC40" s="66" t="n"/>
      <c r="ED40" s="78">
        <f>IF(OR(INDEX(Undirviðmið!$G$6:$G$105,ROW()-6)&lt;&gt;"Starfsbundinn",EC40="",$E40="",$D40=""),"",ROUND(EC40/$E40*$D40*KVARDI,2))</f>
        <v/>
      </c>
      <c r="EE40" s="66" t="n"/>
      <c r="EF40" s="78">
        <f>IF(OR(INDEX(Undirviðmið!$G$6:$G$105,ROW()-6)&lt;&gt;"Starfsbundinn",EE40="",$E40="",$D40=""),"",ROUND(EE40/$E40*$D40*KVARDI,2))</f>
        <v/>
      </c>
      <c r="EG40" s="66" t="n"/>
      <c r="EH40" s="78">
        <f>IF(OR(INDEX(Undirviðmið!$G$6:$G$105,ROW()-6)&lt;&gt;"Starfsbundinn",EG40="",$E40="",$D40=""),"",ROUND(EG40/$E40*$D40*KVARDI,2))</f>
        <v/>
      </c>
      <c r="EI40" s="66" t="n"/>
      <c r="EJ40" s="78">
        <f>IF(OR(INDEX(Undirviðmið!$G$6:$G$105,ROW()-6)&lt;&gt;"Starfsbundinn",EI40="",$E40="",$D40=""),"",ROUND(EI40/$E40*$D40*KVARDI,2))</f>
        <v/>
      </c>
      <c r="EK40" s="66" t="n"/>
      <c r="EL40" s="78">
        <f>IF(OR(INDEX(Undirviðmið!$G$6:$G$105,ROW()-6)&lt;&gt;"Starfsbundinn",EK40="",$E40="",$D40=""),"",ROUND(EK40/$E40*$D40*KVARDI,2))</f>
        <v/>
      </c>
      <c r="EM40" s="66" t="n"/>
      <c r="EN40" s="78">
        <f>IF(OR(INDEX(Undirviðmið!$G$6:$G$105,ROW()-6)&lt;&gt;"Starfsbundinn",EM40="",$E40="",$D40=""),"",ROUND(EM40/$E40*$D40*KVARDI,2))</f>
        <v/>
      </c>
      <c r="EO40" s="66" t="n"/>
      <c r="EP40" s="78">
        <f>IF(OR(INDEX(Undirviðmið!$G$6:$G$105,ROW()-6)&lt;&gt;"Starfsbundinn",EO40="",$E40="",$D40=""),"",ROUND(EO40/$E40*$D40*KVARDI,2))</f>
        <v/>
      </c>
      <c r="EQ40" s="66" t="n"/>
      <c r="ER40" s="78">
        <f>IF(OR(INDEX(Undirviðmið!$G$6:$G$105,ROW()-6)&lt;&gt;"Starfsbundinn",EQ40="",$E40="",$D40=""),"",ROUND(EQ40/$E40*$D40*KVARDI,2))</f>
        <v/>
      </c>
      <c r="ES40" s="66" t="n"/>
      <c r="ET40" s="78">
        <f>IF(OR(INDEX(Undirviðmið!$G$6:$G$105,ROW()-6)&lt;&gt;"Starfsbundinn",ES40="",$E40="",$D40=""),"",ROUND(ES40/$E40*$D40*KVARDI,2))</f>
        <v/>
      </c>
      <c r="EU40" s="66" t="n"/>
      <c r="EV40" s="78">
        <f>IF(OR(INDEX(Undirviðmið!$G$6:$G$105,ROW()-6)&lt;&gt;"Starfsbundinn",EU40="",$E40="",$D40=""),"",ROUND(EU40/$E40*$D40*KVARDI,2))</f>
        <v/>
      </c>
      <c r="EW40" s="66" t="n"/>
      <c r="EX40" s="78">
        <f>IF(OR(INDEX(Undirviðmið!$G$6:$G$105,ROW()-6)&lt;&gt;"Starfsbundinn",EW40="",$E40="",$D40=""),"",ROUND(EW40/$E40*$D40*KVARDI,2))</f>
        <v/>
      </c>
      <c r="EY40" s="66" t="n"/>
      <c r="EZ40" s="78">
        <f>IF(OR(INDEX(Undirviðmið!$G$6:$G$105,ROW()-6)&lt;&gt;"Starfsbundinn",EY40="",$E40="",$D40=""),"",ROUND(EY40/$E40*$D40*KVARDI,2))</f>
        <v/>
      </c>
      <c r="FA40" s="66" t="n"/>
      <c r="FB40" s="78">
        <f>IF(OR(INDEX(Undirviðmið!$G$6:$G$105,ROW()-6)&lt;&gt;"Starfsbundinn",FA40="",$E40="",$D40=""),"",ROUND(FA40/$E40*$D40*KVARDI,2))</f>
        <v/>
      </c>
      <c r="FC40" s="66" t="n"/>
      <c r="FD40" s="78">
        <f>IF(OR(INDEX(Undirviðmið!$G$6:$G$105,ROW()-6)&lt;&gt;"Starfsbundinn",FC40="",$E40="",$D40=""),"",ROUND(FC40/$E40*$D40*KVARDI,2))</f>
        <v/>
      </c>
      <c r="FE40" s="66" t="n"/>
      <c r="FF40" s="78">
        <f>IF(OR(INDEX(Undirviðmið!$G$6:$G$105,ROW()-6)&lt;&gt;"Starfsbundinn",FE40="",$E40="",$D40=""),"",ROUND(FE40/$E40*$D40*KVARDI,2))</f>
        <v/>
      </c>
      <c r="FG40" s="66" t="n"/>
      <c r="FH40" s="78">
        <f>IF(OR(INDEX(Undirviðmið!$G$6:$G$105,ROW()-6)&lt;&gt;"Starfsbundinn",FG40="",$E40="",$D40=""),"",ROUND(FG40/$E40*$D40*KVARDI,2))</f>
        <v/>
      </c>
      <c r="FI40" s="66" t="n"/>
      <c r="FJ40" s="78">
        <f>IF(OR(INDEX(Undirviðmið!$G$6:$G$105,ROW()-6)&lt;&gt;"Starfsbundinn",FI40="",$E40="",$D40=""),"",ROUND(FI40/$E40*$D40*KVARDI,2))</f>
        <v/>
      </c>
      <c r="FK40" s="66" t="n"/>
      <c r="FL40" s="78">
        <f>IF(OR(INDEX(Undirviðmið!$G$6:$G$105,ROW()-6)&lt;&gt;"Starfsbundinn",FK40="",$E40="",$D40=""),"",ROUND(FK40/$E40*$D40*KVARDI,2))</f>
        <v/>
      </c>
      <c r="FM40" s="66" t="n"/>
      <c r="FN40" s="78">
        <f>IF(OR(INDEX(Undirviðmið!$G$6:$G$105,ROW()-6)&lt;&gt;"Starfsbundinn",FM40="",$E40="",$D40=""),"",ROUND(FM40/$E40*$D40*KVARDI,2))</f>
        <v/>
      </c>
      <c r="FO40" s="66" t="n"/>
      <c r="FP40" s="78">
        <f>IF(OR(INDEX(Undirviðmið!$G$6:$G$105,ROW()-6)&lt;&gt;"Starfsbundinn",FO40="",$E40="",$D40=""),"",ROUND(FO40/$E40*$D40*KVARDI,2))</f>
        <v/>
      </c>
      <c r="FQ40" s="66" t="n"/>
      <c r="FR40" s="78">
        <f>IF(OR(INDEX(Undirviðmið!$G$6:$G$105,ROW()-6)&lt;&gt;"Starfsbundinn",FQ40="",$E40="",$D40=""),"",ROUND(FQ40/$E40*$D40*KVARDI,2))</f>
        <v/>
      </c>
      <c r="FS40" s="66" t="n"/>
      <c r="FT40" s="78">
        <f>IF(OR(INDEX(Undirviðmið!$G$6:$G$105,ROW()-6)&lt;&gt;"Starfsbundinn",FS40="",$E40="",$D40=""),"",ROUND(FS40/$E40*$D40*KVARDI,2))</f>
        <v/>
      </c>
      <c r="FU40" s="66" t="n"/>
      <c r="FV40" s="78">
        <f>IF(OR(INDEX(Undirviðmið!$G$6:$G$105,ROW()-6)&lt;&gt;"Starfsbundinn",FU40="",$E40="",$D40=""),"",ROUND(FU40/$E40*$D40*KVARDI,2))</f>
        <v/>
      </c>
      <c r="FW40" s="66" t="n"/>
      <c r="FX40" s="78">
        <f>IF(OR(INDEX(Undirviðmið!$G$6:$G$105,ROW()-6)&lt;&gt;"Starfsbundinn",FW40="",$E40="",$D40=""),"",ROUND(FW40/$E40*$D40*KVARDI,2))</f>
        <v/>
      </c>
      <c r="FY40" s="66" t="n"/>
      <c r="FZ40" s="78">
        <f>IF(OR(INDEX(Undirviðmið!$G$6:$G$105,ROW()-6)&lt;&gt;"Starfsbundinn",FY40="",$E40="",$D40=""),"",ROUND(FY40/$E40*$D40*KVARDI,2))</f>
        <v/>
      </c>
      <c r="GA40" s="66" t="n"/>
      <c r="GB40" s="78">
        <f>IF(OR(INDEX(Undirviðmið!$G$6:$G$105,ROW()-6)&lt;&gt;"Starfsbundinn",GA40="",$E40="",$D40=""),"",ROUND(GA40/$E40*$D40*KVARDI,2))</f>
        <v/>
      </c>
      <c r="GC40" s="66" t="n"/>
      <c r="GD40" s="78">
        <f>IF(OR(INDEX(Undirviðmið!$G$6:$G$105,ROW()-6)&lt;&gt;"Starfsbundinn",GC40="",$E40="",$D40=""),"",ROUND(GC40/$E40*$D40*KVARDI,2))</f>
        <v/>
      </c>
      <c r="GE40" s="66" t="n"/>
      <c r="GF40" s="78">
        <f>IF(OR(INDEX(Undirviðmið!$G$6:$G$105,ROW()-6)&lt;&gt;"Starfsbundinn",GE40="",$E40="",$D40=""),"",ROUND(GE40/$E40*$D40*KVARDI,2))</f>
        <v/>
      </c>
      <c r="GG40" s="66" t="n"/>
      <c r="GH40" s="78">
        <f>IF(OR(INDEX(Undirviðmið!$G$6:$G$105,ROW()-6)&lt;&gt;"Starfsbundinn",GG40="",$E40="",$D40=""),"",ROUND(GG40/$E40*$D40*KVARDI,2))</f>
        <v/>
      </c>
      <c r="GI40" s="66" t="n"/>
      <c r="GJ40" s="78">
        <f>IF(OR(INDEX(Undirviðmið!$G$6:$G$105,ROW()-6)&lt;&gt;"Starfsbundinn",GI40="",$E40="",$D40=""),"",ROUND(GI40/$E40*$D40*KVARDI,2))</f>
        <v/>
      </c>
      <c r="GK40" s="66" t="n"/>
      <c r="GL40" s="78">
        <f>IF(OR(INDEX(Undirviðmið!$G$6:$G$105,ROW()-6)&lt;&gt;"Starfsbundinn",GK40="",$E40="",$D40=""),"",ROUND(GK40/$E40*$D40*KVARDI,2))</f>
        <v/>
      </c>
      <c r="GM40" s="66" t="n"/>
      <c r="GN40" s="78">
        <f>IF(OR(INDEX(Undirviðmið!$G$6:$G$105,ROW()-6)&lt;&gt;"Starfsbundinn",GM40="",$E40="",$D40=""),"",ROUND(GM40/$E40*$D40*KVARDI,2))</f>
        <v/>
      </c>
      <c r="GO40" s="66" t="n"/>
      <c r="GP40" s="78">
        <f>IF(OR(INDEX(Undirviðmið!$G$6:$G$105,ROW()-6)&lt;&gt;"Starfsbundinn",GO40="",$E40="",$D40=""),"",ROUND(GO40/$E40*$D40*KVARDI,2))</f>
        <v/>
      </c>
      <c r="GQ40" s="66" t="n"/>
      <c r="GR40" s="78">
        <f>IF(OR(INDEX(Undirviðmið!$G$6:$G$105,ROW()-6)&lt;&gt;"Starfsbundinn",GQ40="",$E40="",$D40=""),"",ROUND(GQ40/$E40*$D40*KVARDI,2))</f>
        <v/>
      </c>
      <c r="GS40" s="66" t="n"/>
      <c r="GT40" s="78">
        <f>IF(OR(INDEX(Undirviðmið!$G$6:$G$105,ROW()-6)&lt;&gt;"Starfsbundinn",GS40="",$E40="",$D40=""),"",ROUND(GS40/$E40*$D40*KVARDI,2))</f>
        <v/>
      </c>
      <c r="GU40" s="66" t="n"/>
      <c r="GV40" s="78">
        <f>IF(OR(INDEX(Undirviðmið!$G$6:$G$105,ROW()-6)&lt;&gt;"Starfsbundinn",GU40="",$E40="",$D40=""),"",ROUND(GU40/$E40*$D40*KVARDI,2))</f>
        <v/>
      </c>
      <c r="GW40" s="66" t="n"/>
      <c r="GX40" s="78">
        <f>IF(OR(INDEX(Undirviðmið!$G$6:$G$105,ROW()-6)&lt;&gt;"Starfsbundinn",GW40="",$E40="",$D40=""),"",ROUND(GW40/$E40*$D40*KVARDI,2))</f>
        <v/>
      </c>
    </row>
    <row r="41" ht="15" customHeight="1" s="47">
      <c r="B41" s="67">
        <f>IF(INDEX(Undirviðmið!$G$6:$G$105,ROW()-6)="Starfsbundinn",INDEX(Undirviðmið!$B$6:$B$105,ROW()-6),"")</f>
        <v/>
      </c>
      <c r="C41" s="67">
        <f>IF(INDEX(Undirviðmið!$G$6:$G$105,ROW()-6)="Starfsbundinn",INDEX(Undirviðmið!$C$6:$C$105,ROW()-6),"")</f>
        <v/>
      </c>
      <c r="D41" s="77">
        <f>IF(INDEX(Undirviðmið!$G$6:$G$105,ROW()-6)="Starfsbundinn",INDEX(Undirviðmið!$E$6:$E$105,ROW()-6),"")</f>
        <v/>
      </c>
      <c r="E41" s="77">
        <f>IF(INDEX(Undirviðmið!$G$6:$G$105,ROW()-6)="Starfsbundinn",INDEX(Undirviðmið!$F$6:$F$105,ROW()-6),"")</f>
        <v/>
      </c>
      <c r="F41" s="77">
        <f>IF(INDEX(Undirviðmið!$G$6:$G$105,ROW()-6)="Starfsbundinn",IFERROR(INDEX(Undirviðmið!$E$6:$E$105,ROW()-6)*KVARDI,""),"")</f>
        <v/>
      </c>
      <c r="G41" s="66" t="n"/>
      <c r="H41" s="78">
        <f>IF(OR(INDEX(Undirviðmið!$G$6:$G$105,ROW()-6)&lt;&gt;"Starfsbundinn",G41="",$E41="",$D41=""),"",ROUND(G41/$E41*$D41*KVARDI,2))</f>
        <v/>
      </c>
      <c r="I41" s="66" t="n"/>
      <c r="J41" s="78">
        <f>IF(OR(INDEX(Undirviðmið!$G$6:$G$105,ROW()-6)&lt;&gt;"Starfsbundinn",I41="",$E41="",$D41=""),"",ROUND(I41/$E41*$D41*KVARDI,2))</f>
        <v/>
      </c>
      <c r="K41" s="66" t="n"/>
      <c r="L41" s="78">
        <f>IF(OR(INDEX(Undirviðmið!$G$6:$G$105,ROW()-6)&lt;&gt;"Starfsbundinn",K41="",$E41="",$D41=""),"",ROUND(K41/$E41*$D41*KVARDI,2))</f>
        <v/>
      </c>
      <c r="M41" s="66" t="n"/>
      <c r="N41" s="78">
        <f>IF(OR(INDEX(Undirviðmið!$G$6:$G$105,ROW()-6)&lt;&gt;"Starfsbundinn",M41="",$E41="",$D41=""),"",ROUND(M41/$E41*$D41*KVARDI,2))</f>
        <v/>
      </c>
      <c r="O41" s="66" t="n"/>
      <c r="P41" s="78">
        <f>IF(OR(INDEX(Undirviðmið!$G$6:$G$105,ROW()-6)&lt;&gt;"Starfsbundinn",O41="",$E41="",$D41=""),"",ROUND(O41/$E41*$D41*KVARDI,2))</f>
        <v/>
      </c>
      <c r="Q41" s="66" t="n"/>
      <c r="R41" s="78">
        <f>IF(OR(INDEX(Undirviðmið!$G$6:$G$105,ROW()-6)&lt;&gt;"Starfsbundinn",Q41="",$E41="",$D41=""),"",ROUND(Q41/$E41*$D41*KVARDI,2))</f>
        <v/>
      </c>
      <c r="S41" s="66" t="n"/>
      <c r="T41" s="78">
        <f>IF(OR(INDEX(Undirviðmið!$G$6:$G$105,ROW()-6)&lt;&gt;"Starfsbundinn",S41="",$E41="",$D41=""),"",ROUND(S41/$E41*$D41*KVARDI,2))</f>
        <v/>
      </c>
      <c r="U41" s="66" t="n"/>
      <c r="V41" s="78">
        <f>IF(OR(INDEX(Undirviðmið!$G$6:$G$105,ROW()-6)&lt;&gt;"Starfsbundinn",U41="",$E41="",$D41=""),"",ROUND(U41/$E41*$D41*KVARDI,2))</f>
        <v/>
      </c>
      <c r="W41" s="66" t="n"/>
      <c r="X41" s="78">
        <f>IF(OR(INDEX(Undirviðmið!$G$6:$G$105,ROW()-6)&lt;&gt;"Starfsbundinn",W41="",$E41="",$D41=""),"",ROUND(W41/$E41*$D41*KVARDI,2))</f>
        <v/>
      </c>
      <c r="Y41" s="66" t="n"/>
      <c r="Z41" s="78">
        <f>IF(OR(INDEX(Undirviðmið!$G$6:$G$105,ROW()-6)&lt;&gt;"Starfsbundinn",Y41="",$E41="",$D41=""),"",ROUND(Y41/$E41*$D41*KVARDI,2))</f>
        <v/>
      </c>
      <c r="AA41" s="66" t="n"/>
      <c r="AB41" s="78">
        <f>IF(OR(INDEX(Undirviðmið!$G$6:$G$105,ROW()-6)&lt;&gt;"Starfsbundinn",AA41="",$E41="",$D41=""),"",ROUND(AA41/$E41*$D41*KVARDI,2))</f>
        <v/>
      </c>
      <c r="AC41" s="66" t="n"/>
      <c r="AD41" s="78">
        <f>IF(OR(INDEX(Undirviðmið!$G$6:$G$105,ROW()-6)&lt;&gt;"Starfsbundinn",AC41="",$E41="",$D41=""),"",ROUND(AC41/$E41*$D41*KVARDI,2))</f>
        <v/>
      </c>
      <c r="AE41" s="66" t="n"/>
      <c r="AF41" s="78">
        <f>IF(OR(INDEX(Undirviðmið!$G$6:$G$105,ROW()-6)&lt;&gt;"Starfsbundinn",AE41="",$E41="",$D41=""),"",ROUND(AE41/$E41*$D41*KVARDI,2))</f>
        <v/>
      </c>
      <c r="AG41" s="66" t="n"/>
      <c r="AH41" s="78">
        <f>IF(OR(INDEX(Undirviðmið!$G$6:$G$105,ROW()-6)&lt;&gt;"Starfsbundinn",AG41="",$E41="",$D41=""),"",ROUND(AG41/$E41*$D41*KVARDI,2))</f>
        <v/>
      </c>
      <c r="AI41" s="66" t="n"/>
      <c r="AJ41" s="78">
        <f>IF(OR(INDEX(Undirviðmið!$G$6:$G$105,ROW()-6)&lt;&gt;"Starfsbundinn",AI41="",$E41="",$D41=""),"",ROUND(AI41/$E41*$D41*KVARDI,2))</f>
        <v/>
      </c>
      <c r="AK41" s="66" t="n"/>
      <c r="AL41" s="78">
        <f>IF(OR(INDEX(Undirviðmið!$G$6:$G$105,ROW()-6)&lt;&gt;"Starfsbundinn",AK41="",$E41="",$D41=""),"",ROUND(AK41/$E41*$D41*KVARDI,2))</f>
        <v/>
      </c>
      <c r="AM41" s="66" t="n"/>
      <c r="AN41" s="78">
        <f>IF(OR(INDEX(Undirviðmið!$G$6:$G$105,ROW()-6)&lt;&gt;"Starfsbundinn",AM41="",$E41="",$D41=""),"",ROUND(AM41/$E41*$D41*KVARDI,2))</f>
        <v/>
      </c>
      <c r="AO41" s="66" t="n"/>
      <c r="AP41" s="78">
        <f>IF(OR(INDEX(Undirviðmið!$G$6:$G$105,ROW()-6)&lt;&gt;"Starfsbundinn",AO41="",$E41="",$D41=""),"",ROUND(AO41/$E41*$D41*KVARDI,2))</f>
        <v/>
      </c>
      <c r="AQ41" s="66" t="n"/>
      <c r="AR41" s="78">
        <f>IF(OR(INDEX(Undirviðmið!$G$6:$G$105,ROW()-6)&lt;&gt;"Starfsbundinn",AQ41="",$E41="",$D41=""),"",ROUND(AQ41/$E41*$D41*KVARDI,2))</f>
        <v/>
      </c>
      <c r="AS41" s="66" t="n"/>
      <c r="AT41" s="78">
        <f>IF(OR(INDEX(Undirviðmið!$G$6:$G$105,ROW()-6)&lt;&gt;"Starfsbundinn",AS41="",$E41="",$D41=""),"",ROUND(AS41/$E41*$D41*KVARDI,2))</f>
        <v/>
      </c>
      <c r="AU41" s="66" t="n"/>
      <c r="AV41" s="78">
        <f>IF(OR(INDEX(Undirviðmið!$G$6:$G$105,ROW()-6)&lt;&gt;"Starfsbundinn",AU41="",$E41="",$D41=""),"",ROUND(AU41/$E41*$D41*KVARDI,2))</f>
        <v/>
      </c>
      <c r="AW41" s="66" t="n"/>
      <c r="AX41" s="78">
        <f>IF(OR(INDEX(Undirviðmið!$G$6:$G$105,ROW()-6)&lt;&gt;"Starfsbundinn",AW41="",$E41="",$D41=""),"",ROUND(AW41/$E41*$D41*KVARDI,2))</f>
        <v/>
      </c>
      <c r="AY41" s="66" t="n"/>
      <c r="AZ41" s="78">
        <f>IF(OR(INDEX(Undirviðmið!$G$6:$G$105,ROW()-6)&lt;&gt;"Starfsbundinn",AY41="",$E41="",$D41=""),"",ROUND(AY41/$E41*$D41*KVARDI,2))</f>
        <v/>
      </c>
      <c r="BA41" s="66" t="n"/>
      <c r="BB41" s="78">
        <f>IF(OR(INDEX(Undirviðmið!$G$6:$G$105,ROW()-6)&lt;&gt;"Starfsbundinn",BA41="",$E41="",$D41=""),"",ROUND(BA41/$E41*$D41*KVARDI,2))</f>
        <v/>
      </c>
      <c r="BC41" s="66" t="n"/>
      <c r="BD41" s="78">
        <f>IF(OR(INDEX(Undirviðmið!$G$6:$G$105,ROW()-6)&lt;&gt;"Starfsbundinn",BC41="",$E41="",$D41=""),"",ROUND(BC41/$E41*$D41*KVARDI,2))</f>
        <v/>
      </c>
      <c r="BE41" s="66" t="n"/>
      <c r="BF41" s="78">
        <f>IF(OR(INDEX(Undirviðmið!$G$6:$G$105,ROW()-6)&lt;&gt;"Starfsbundinn",BE41="",$E41="",$D41=""),"",ROUND(BE41/$E41*$D41*KVARDI,2))</f>
        <v/>
      </c>
      <c r="BG41" s="66" t="n"/>
      <c r="BH41" s="78">
        <f>IF(OR(INDEX(Undirviðmið!$G$6:$G$105,ROW()-6)&lt;&gt;"Starfsbundinn",BG41="",$E41="",$D41=""),"",ROUND(BG41/$E41*$D41*KVARDI,2))</f>
        <v/>
      </c>
      <c r="BI41" s="66" t="n"/>
      <c r="BJ41" s="78">
        <f>IF(OR(INDEX(Undirviðmið!$G$6:$G$105,ROW()-6)&lt;&gt;"Starfsbundinn",BI41="",$E41="",$D41=""),"",ROUND(BI41/$E41*$D41*KVARDI,2))</f>
        <v/>
      </c>
      <c r="BK41" s="66" t="n"/>
      <c r="BL41" s="78">
        <f>IF(OR(INDEX(Undirviðmið!$G$6:$G$105,ROW()-6)&lt;&gt;"Starfsbundinn",BK41="",$E41="",$D41=""),"",ROUND(BK41/$E41*$D41*KVARDI,2))</f>
        <v/>
      </c>
      <c r="BM41" s="66" t="n"/>
      <c r="BN41" s="78">
        <f>IF(OR(INDEX(Undirviðmið!$G$6:$G$105,ROW()-6)&lt;&gt;"Starfsbundinn",BM41="",$E41="",$D41=""),"",ROUND(BM41/$E41*$D41*KVARDI,2))</f>
        <v/>
      </c>
      <c r="BO41" s="66" t="n"/>
      <c r="BP41" s="78">
        <f>IF(OR(INDEX(Undirviðmið!$G$6:$G$105,ROW()-6)&lt;&gt;"Starfsbundinn",BO41="",$E41="",$D41=""),"",ROUND(BO41/$E41*$D41*KVARDI,2))</f>
        <v/>
      </c>
      <c r="BQ41" s="66" t="n"/>
      <c r="BR41" s="78">
        <f>IF(OR(INDEX(Undirviðmið!$G$6:$G$105,ROW()-6)&lt;&gt;"Starfsbundinn",BQ41="",$E41="",$D41=""),"",ROUND(BQ41/$E41*$D41*KVARDI,2))</f>
        <v/>
      </c>
      <c r="BS41" s="66" t="n"/>
      <c r="BT41" s="78">
        <f>IF(OR(INDEX(Undirviðmið!$G$6:$G$105,ROW()-6)&lt;&gt;"Starfsbundinn",BS41="",$E41="",$D41=""),"",ROUND(BS41/$E41*$D41*KVARDI,2))</f>
        <v/>
      </c>
      <c r="BU41" s="66" t="n"/>
      <c r="BV41" s="78">
        <f>IF(OR(INDEX(Undirviðmið!$G$6:$G$105,ROW()-6)&lt;&gt;"Starfsbundinn",BU41="",$E41="",$D41=""),"",ROUND(BU41/$E41*$D41*KVARDI,2))</f>
        <v/>
      </c>
      <c r="BW41" s="66" t="n"/>
      <c r="BX41" s="78">
        <f>IF(OR(INDEX(Undirviðmið!$G$6:$G$105,ROW()-6)&lt;&gt;"Starfsbundinn",BW41="",$E41="",$D41=""),"",ROUND(BW41/$E41*$D41*KVARDI,2))</f>
        <v/>
      </c>
      <c r="BY41" s="66" t="n"/>
      <c r="BZ41" s="78">
        <f>IF(OR(INDEX(Undirviðmið!$G$6:$G$105,ROW()-6)&lt;&gt;"Starfsbundinn",BY41="",$E41="",$D41=""),"",ROUND(BY41/$E41*$D41*KVARDI,2))</f>
        <v/>
      </c>
      <c r="CA41" s="66" t="n"/>
      <c r="CB41" s="78">
        <f>IF(OR(INDEX(Undirviðmið!$G$6:$G$105,ROW()-6)&lt;&gt;"Starfsbundinn",CA41="",$E41="",$D41=""),"",ROUND(CA41/$E41*$D41*KVARDI,2))</f>
        <v/>
      </c>
      <c r="CC41" s="66" t="n"/>
      <c r="CD41" s="78">
        <f>IF(OR(INDEX(Undirviðmið!$G$6:$G$105,ROW()-6)&lt;&gt;"Starfsbundinn",CC41="",$E41="",$D41=""),"",ROUND(CC41/$E41*$D41*KVARDI,2))</f>
        <v/>
      </c>
      <c r="CE41" s="66" t="n"/>
      <c r="CF41" s="78">
        <f>IF(OR(INDEX(Undirviðmið!$G$6:$G$105,ROW()-6)&lt;&gt;"Starfsbundinn",CE41="",$E41="",$D41=""),"",ROUND(CE41/$E41*$D41*KVARDI,2))</f>
        <v/>
      </c>
      <c r="CG41" s="66" t="n"/>
      <c r="CH41" s="78">
        <f>IF(OR(INDEX(Undirviðmið!$G$6:$G$105,ROW()-6)&lt;&gt;"Starfsbundinn",CG41="",$E41="",$D41=""),"",ROUND(CG41/$E41*$D41*KVARDI,2))</f>
        <v/>
      </c>
      <c r="CI41" s="66" t="n"/>
      <c r="CJ41" s="78">
        <f>IF(OR(INDEX(Undirviðmið!$G$6:$G$105,ROW()-6)&lt;&gt;"Starfsbundinn",CI41="",$E41="",$D41=""),"",ROUND(CI41/$E41*$D41*KVARDI,2))</f>
        <v/>
      </c>
      <c r="CK41" s="66" t="n"/>
      <c r="CL41" s="78">
        <f>IF(OR(INDEX(Undirviðmið!$G$6:$G$105,ROW()-6)&lt;&gt;"Starfsbundinn",CK41="",$E41="",$D41=""),"",ROUND(CK41/$E41*$D41*KVARDI,2))</f>
        <v/>
      </c>
      <c r="CM41" s="66" t="n"/>
      <c r="CN41" s="78">
        <f>IF(OR(INDEX(Undirviðmið!$G$6:$G$105,ROW()-6)&lt;&gt;"Starfsbundinn",CM41="",$E41="",$D41=""),"",ROUND(CM41/$E41*$D41*KVARDI,2))</f>
        <v/>
      </c>
      <c r="CO41" s="66" t="n"/>
      <c r="CP41" s="78">
        <f>IF(OR(INDEX(Undirviðmið!$G$6:$G$105,ROW()-6)&lt;&gt;"Starfsbundinn",CO41="",$E41="",$D41=""),"",ROUND(CO41/$E41*$D41*KVARDI,2))</f>
        <v/>
      </c>
      <c r="CQ41" s="66" t="n"/>
      <c r="CR41" s="78">
        <f>IF(OR(INDEX(Undirviðmið!$G$6:$G$105,ROW()-6)&lt;&gt;"Starfsbundinn",CQ41="",$E41="",$D41=""),"",ROUND(CQ41/$E41*$D41*KVARDI,2))</f>
        <v/>
      </c>
      <c r="CS41" s="66" t="n"/>
      <c r="CT41" s="78">
        <f>IF(OR(INDEX(Undirviðmið!$G$6:$G$105,ROW()-6)&lt;&gt;"Starfsbundinn",CS41="",$E41="",$D41=""),"",ROUND(CS41/$E41*$D41*KVARDI,2))</f>
        <v/>
      </c>
      <c r="CU41" s="66" t="n"/>
      <c r="CV41" s="78">
        <f>IF(OR(INDEX(Undirviðmið!$G$6:$G$105,ROW()-6)&lt;&gt;"Starfsbundinn",CU41="",$E41="",$D41=""),"",ROUND(CU41/$E41*$D41*KVARDI,2))</f>
        <v/>
      </c>
      <c r="CW41" s="66" t="n"/>
      <c r="CX41" s="78">
        <f>IF(OR(INDEX(Undirviðmið!$G$6:$G$105,ROW()-6)&lt;&gt;"Starfsbundinn",CW41="",$E41="",$D41=""),"",ROUND(CW41/$E41*$D41*KVARDI,2))</f>
        <v/>
      </c>
      <c r="CY41" s="66" t="n"/>
      <c r="CZ41" s="78">
        <f>IF(OR(INDEX(Undirviðmið!$G$6:$G$105,ROW()-6)&lt;&gt;"Starfsbundinn",CY41="",$E41="",$D41=""),"",ROUND(CY41/$E41*$D41*KVARDI,2))</f>
        <v/>
      </c>
      <c r="DA41" s="66" t="n"/>
      <c r="DB41" s="78">
        <f>IF(OR(INDEX(Undirviðmið!$G$6:$G$105,ROW()-6)&lt;&gt;"Starfsbundinn",DA41="",$E41="",$D41=""),"",ROUND(DA41/$E41*$D41*KVARDI,2))</f>
        <v/>
      </c>
      <c r="DC41" s="66" t="n"/>
      <c r="DD41" s="78">
        <f>IF(OR(INDEX(Undirviðmið!$G$6:$G$105,ROW()-6)&lt;&gt;"Starfsbundinn",DC41="",$E41="",$D41=""),"",ROUND(DC41/$E41*$D41*KVARDI,2))</f>
        <v/>
      </c>
      <c r="DE41" s="66" t="n"/>
      <c r="DF41" s="78">
        <f>IF(OR(INDEX(Undirviðmið!$G$6:$G$105,ROW()-6)&lt;&gt;"Starfsbundinn",DE41="",$E41="",$D41=""),"",ROUND(DE41/$E41*$D41*KVARDI,2))</f>
        <v/>
      </c>
      <c r="DG41" s="66" t="n"/>
      <c r="DH41" s="78">
        <f>IF(OR(INDEX(Undirviðmið!$G$6:$G$105,ROW()-6)&lt;&gt;"Starfsbundinn",DG41="",$E41="",$D41=""),"",ROUND(DG41/$E41*$D41*KVARDI,2))</f>
        <v/>
      </c>
      <c r="DI41" s="66" t="n"/>
      <c r="DJ41" s="78">
        <f>IF(OR(INDEX(Undirviðmið!$G$6:$G$105,ROW()-6)&lt;&gt;"Starfsbundinn",DI41="",$E41="",$D41=""),"",ROUND(DI41/$E41*$D41*KVARDI,2))</f>
        <v/>
      </c>
      <c r="DK41" s="66" t="n"/>
      <c r="DL41" s="78">
        <f>IF(OR(INDEX(Undirviðmið!$G$6:$G$105,ROW()-6)&lt;&gt;"Starfsbundinn",DK41="",$E41="",$D41=""),"",ROUND(DK41/$E41*$D41*KVARDI,2))</f>
        <v/>
      </c>
      <c r="DM41" s="66" t="n"/>
      <c r="DN41" s="78">
        <f>IF(OR(INDEX(Undirviðmið!$G$6:$G$105,ROW()-6)&lt;&gt;"Starfsbundinn",DM41="",$E41="",$D41=""),"",ROUND(DM41/$E41*$D41*KVARDI,2))</f>
        <v/>
      </c>
      <c r="DO41" s="66" t="n"/>
      <c r="DP41" s="78">
        <f>IF(OR(INDEX(Undirviðmið!$G$6:$G$105,ROW()-6)&lt;&gt;"Starfsbundinn",DO41="",$E41="",$D41=""),"",ROUND(DO41/$E41*$D41*KVARDI,2))</f>
        <v/>
      </c>
      <c r="DQ41" s="66" t="n"/>
      <c r="DR41" s="78">
        <f>IF(OR(INDEX(Undirviðmið!$G$6:$G$105,ROW()-6)&lt;&gt;"Starfsbundinn",DQ41="",$E41="",$D41=""),"",ROUND(DQ41/$E41*$D41*KVARDI,2))</f>
        <v/>
      </c>
      <c r="DS41" s="66" t="n"/>
      <c r="DT41" s="78">
        <f>IF(OR(INDEX(Undirviðmið!$G$6:$G$105,ROW()-6)&lt;&gt;"Starfsbundinn",DS41="",$E41="",$D41=""),"",ROUND(DS41/$E41*$D41*KVARDI,2))</f>
        <v/>
      </c>
      <c r="DU41" s="66" t="n"/>
      <c r="DV41" s="78">
        <f>IF(OR(INDEX(Undirviðmið!$G$6:$G$105,ROW()-6)&lt;&gt;"Starfsbundinn",DU41="",$E41="",$D41=""),"",ROUND(DU41/$E41*$D41*KVARDI,2))</f>
        <v/>
      </c>
      <c r="DW41" s="66" t="n"/>
      <c r="DX41" s="78">
        <f>IF(OR(INDEX(Undirviðmið!$G$6:$G$105,ROW()-6)&lt;&gt;"Starfsbundinn",DW41="",$E41="",$D41=""),"",ROUND(DW41/$E41*$D41*KVARDI,2))</f>
        <v/>
      </c>
      <c r="DY41" s="66" t="n"/>
      <c r="DZ41" s="78">
        <f>IF(OR(INDEX(Undirviðmið!$G$6:$G$105,ROW()-6)&lt;&gt;"Starfsbundinn",DY41="",$E41="",$D41=""),"",ROUND(DY41/$E41*$D41*KVARDI,2))</f>
        <v/>
      </c>
      <c r="EA41" s="66" t="n"/>
      <c r="EB41" s="78">
        <f>IF(OR(INDEX(Undirviðmið!$G$6:$G$105,ROW()-6)&lt;&gt;"Starfsbundinn",EA41="",$E41="",$D41=""),"",ROUND(EA41/$E41*$D41*KVARDI,2))</f>
        <v/>
      </c>
      <c r="EC41" s="66" t="n"/>
      <c r="ED41" s="78">
        <f>IF(OR(INDEX(Undirviðmið!$G$6:$G$105,ROW()-6)&lt;&gt;"Starfsbundinn",EC41="",$E41="",$D41=""),"",ROUND(EC41/$E41*$D41*KVARDI,2))</f>
        <v/>
      </c>
      <c r="EE41" s="66" t="n"/>
      <c r="EF41" s="78">
        <f>IF(OR(INDEX(Undirviðmið!$G$6:$G$105,ROW()-6)&lt;&gt;"Starfsbundinn",EE41="",$E41="",$D41=""),"",ROUND(EE41/$E41*$D41*KVARDI,2))</f>
        <v/>
      </c>
      <c r="EG41" s="66" t="n"/>
      <c r="EH41" s="78">
        <f>IF(OR(INDEX(Undirviðmið!$G$6:$G$105,ROW()-6)&lt;&gt;"Starfsbundinn",EG41="",$E41="",$D41=""),"",ROUND(EG41/$E41*$D41*KVARDI,2))</f>
        <v/>
      </c>
      <c r="EI41" s="66" t="n"/>
      <c r="EJ41" s="78">
        <f>IF(OR(INDEX(Undirviðmið!$G$6:$G$105,ROW()-6)&lt;&gt;"Starfsbundinn",EI41="",$E41="",$D41=""),"",ROUND(EI41/$E41*$D41*KVARDI,2))</f>
        <v/>
      </c>
      <c r="EK41" s="66" t="n"/>
      <c r="EL41" s="78">
        <f>IF(OR(INDEX(Undirviðmið!$G$6:$G$105,ROW()-6)&lt;&gt;"Starfsbundinn",EK41="",$E41="",$D41=""),"",ROUND(EK41/$E41*$D41*KVARDI,2))</f>
        <v/>
      </c>
      <c r="EM41" s="66" t="n"/>
      <c r="EN41" s="78">
        <f>IF(OR(INDEX(Undirviðmið!$G$6:$G$105,ROW()-6)&lt;&gt;"Starfsbundinn",EM41="",$E41="",$D41=""),"",ROUND(EM41/$E41*$D41*KVARDI,2))</f>
        <v/>
      </c>
      <c r="EO41" s="66" t="n"/>
      <c r="EP41" s="78">
        <f>IF(OR(INDEX(Undirviðmið!$G$6:$G$105,ROW()-6)&lt;&gt;"Starfsbundinn",EO41="",$E41="",$D41=""),"",ROUND(EO41/$E41*$D41*KVARDI,2))</f>
        <v/>
      </c>
      <c r="EQ41" s="66" t="n"/>
      <c r="ER41" s="78">
        <f>IF(OR(INDEX(Undirviðmið!$G$6:$G$105,ROW()-6)&lt;&gt;"Starfsbundinn",EQ41="",$E41="",$D41=""),"",ROUND(EQ41/$E41*$D41*KVARDI,2))</f>
        <v/>
      </c>
      <c r="ES41" s="66" t="n"/>
      <c r="ET41" s="78">
        <f>IF(OR(INDEX(Undirviðmið!$G$6:$G$105,ROW()-6)&lt;&gt;"Starfsbundinn",ES41="",$E41="",$D41=""),"",ROUND(ES41/$E41*$D41*KVARDI,2))</f>
        <v/>
      </c>
      <c r="EU41" s="66" t="n"/>
      <c r="EV41" s="78">
        <f>IF(OR(INDEX(Undirviðmið!$G$6:$G$105,ROW()-6)&lt;&gt;"Starfsbundinn",EU41="",$E41="",$D41=""),"",ROUND(EU41/$E41*$D41*KVARDI,2))</f>
        <v/>
      </c>
      <c r="EW41" s="66" t="n"/>
      <c r="EX41" s="78">
        <f>IF(OR(INDEX(Undirviðmið!$G$6:$G$105,ROW()-6)&lt;&gt;"Starfsbundinn",EW41="",$E41="",$D41=""),"",ROUND(EW41/$E41*$D41*KVARDI,2))</f>
        <v/>
      </c>
      <c r="EY41" s="66" t="n"/>
      <c r="EZ41" s="78">
        <f>IF(OR(INDEX(Undirviðmið!$G$6:$G$105,ROW()-6)&lt;&gt;"Starfsbundinn",EY41="",$E41="",$D41=""),"",ROUND(EY41/$E41*$D41*KVARDI,2))</f>
        <v/>
      </c>
      <c r="FA41" s="66" t="n"/>
      <c r="FB41" s="78">
        <f>IF(OR(INDEX(Undirviðmið!$G$6:$G$105,ROW()-6)&lt;&gt;"Starfsbundinn",FA41="",$E41="",$D41=""),"",ROUND(FA41/$E41*$D41*KVARDI,2))</f>
        <v/>
      </c>
      <c r="FC41" s="66" t="n"/>
      <c r="FD41" s="78">
        <f>IF(OR(INDEX(Undirviðmið!$G$6:$G$105,ROW()-6)&lt;&gt;"Starfsbundinn",FC41="",$E41="",$D41=""),"",ROUND(FC41/$E41*$D41*KVARDI,2))</f>
        <v/>
      </c>
      <c r="FE41" s="66" t="n"/>
      <c r="FF41" s="78">
        <f>IF(OR(INDEX(Undirviðmið!$G$6:$G$105,ROW()-6)&lt;&gt;"Starfsbundinn",FE41="",$E41="",$D41=""),"",ROUND(FE41/$E41*$D41*KVARDI,2))</f>
        <v/>
      </c>
      <c r="FG41" s="66" t="n"/>
      <c r="FH41" s="78">
        <f>IF(OR(INDEX(Undirviðmið!$G$6:$G$105,ROW()-6)&lt;&gt;"Starfsbundinn",FG41="",$E41="",$D41=""),"",ROUND(FG41/$E41*$D41*KVARDI,2))</f>
        <v/>
      </c>
      <c r="FI41" s="66" t="n"/>
      <c r="FJ41" s="78">
        <f>IF(OR(INDEX(Undirviðmið!$G$6:$G$105,ROW()-6)&lt;&gt;"Starfsbundinn",FI41="",$E41="",$D41=""),"",ROUND(FI41/$E41*$D41*KVARDI,2))</f>
        <v/>
      </c>
      <c r="FK41" s="66" t="n"/>
      <c r="FL41" s="78">
        <f>IF(OR(INDEX(Undirviðmið!$G$6:$G$105,ROW()-6)&lt;&gt;"Starfsbundinn",FK41="",$E41="",$D41=""),"",ROUND(FK41/$E41*$D41*KVARDI,2))</f>
        <v/>
      </c>
      <c r="FM41" s="66" t="n"/>
      <c r="FN41" s="78">
        <f>IF(OR(INDEX(Undirviðmið!$G$6:$G$105,ROW()-6)&lt;&gt;"Starfsbundinn",FM41="",$E41="",$D41=""),"",ROUND(FM41/$E41*$D41*KVARDI,2))</f>
        <v/>
      </c>
      <c r="FO41" s="66" t="n"/>
      <c r="FP41" s="78">
        <f>IF(OR(INDEX(Undirviðmið!$G$6:$G$105,ROW()-6)&lt;&gt;"Starfsbundinn",FO41="",$E41="",$D41=""),"",ROUND(FO41/$E41*$D41*KVARDI,2))</f>
        <v/>
      </c>
      <c r="FQ41" s="66" t="n"/>
      <c r="FR41" s="78">
        <f>IF(OR(INDEX(Undirviðmið!$G$6:$G$105,ROW()-6)&lt;&gt;"Starfsbundinn",FQ41="",$E41="",$D41=""),"",ROUND(FQ41/$E41*$D41*KVARDI,2))</f>
        <v/>
      </c>
      <c r="FS41" s="66" t="n"/>
      <c r="FT41" s="78">
        <f>IF(OR(INDEX(Undirviðmið!$G$6:$G$105,ROW()-6)&lt;&gt;"Starfsbundinn",FS41="",$E41="",$D41=""),"",ROUND(FS41/$E41*$D41*KVARDI,2))</f>
        <v/>
      </c>
      <c r="FU41" s="66" t="n"/>
      <c r="FV41" s="78">
        <f>IF(OR(INDEX(Undirviðmið!$G$6:$G$105,ROW()-6)&lt;&gt;"Starfsbundinn",FU41="",$E41="",$D41=""),"",ROUND(FU41/$E41*$D41*KVARDI,2))</f>
        <v/>
      </c>
      <c r="FW41" s="66" t="n"/>
      <c r="FX41" s="78">
        <f>IF(OR(INDEX(Undirviðmið!$G$6:$G$105,ROW()-6)&lt;&gt;"Starfsbundinn",FW41="",$E41="",$D41=""),"",ROUND(FW41/$E41*$D41*KVARDI,2))</f>
        <v/>
      </c>
      <c r="FY41" s="66" t="n"/>
      <c r="FZ41" s="78">
        <f>IF(OR(INDEX(Undirviðmið!$G$6:$G$105,ROW()-6)&lt;&gt;"Starfsbundinn",FY41="",$E41="",$D41=""),"",ROUND(FY41/$E41*$D41*KVARDI,2))</f>
        <v/>
      </c>
      <c r="GA41" s="66" t="n"/>
      <c r="GB41" s="78">
        <f>IF(OR(INDEX(Undirviðmið!$G$6:$G$105,ROW()-6)&lt;&gt;"Starfsbundinn",GA41="",$E41="",$D41=""),"",ROUND(GA41/$E41*$D41*KVARDI,2))</f>
        <v/>
      </c>
      <c r="GC41" s="66" t="n"/>
      <c r="GD41" s="78">
        <f>IF(OR(INDEX(Undirviðmið!$G$6:$G$105,ROW()-6)&lt;&gt;"Starfsbundinn",GC41="",$E41="",$D41=""),"",ROUND(GC41/$E41*$D41*KVARDI,2))</f>
        <v/>
      </c>
      <c r="GE41" s="66" t="n"/>
      <c r="GF41" s="78">
        <f>IF(OR(INDEX(Undirviðmið!$G$6:$G$105,ROW()-6)&lt;&gt;"Starfsbundinn",GE41="",$E41="",$D41=""),"",ROUND(GE41/$E41*$D41*KVARDI,2))</f>
        <v/>
      </c>
      <c r="GG41" s="66" t="n"/>
      <c r="GH41" s="78">
        <f>IF(OR(INDEX(Undirviðmið!$G$6:$G$105,ROW()-6)&lt;&gt;"Starfsbundinn",GG41="",$E41="",$D41=""),"",ROUND(GG41/$E41*$D41*KVARDI,2))</f>
        <v/>
      </c>
      <c r="GI41" s="66" t="n"/>
      <c r="GJ41" s="78">
        <f>IF(OR(INDEX(Undirviðmið!$G$6:$G$105,ROW()-6)&lt;&gt;"Starfsbundinn",GI41="",$E41="",$D41=""),"",ROUND(GI41/$E41*$D41*KVARDI,2))</f>
        <v/>
      </c>
      <c r="GK41" s="66" t="n"/>
      <c r="GL41" s="78">
        <f>IF(OR(INDEX(Undirviðmið!$G$6:$G$105,ROW()-6)&lt;&gt;"Starfsbundinn",GK41="",$E41="",$D41=""),"",ROUND(GK41/$E41*$D41*KVARDI,2))</f>
        <v/>
      </c>
      <c r="GM41" s="66" t="n"/>
      <c r="GN41" s="78">
        <f>IF(OR(INDEX(Undirviðmið!$G$6:$G$105,ROW()-6)&lt;&gt;"Starfsbundinn",GM41="",$E41="",$D41=""),"",ROUND(GM41/$E41*$D41*KVARDI,2))</f>
        <v/>
      </c>
      <c r="GO41" s="66" t="n"/>
      <c r="GP41" s="78">
        <f>IF(OR(INDEX(Undirviðmið!$G$6:$G$105,ROW()-6)&lt;&gt;"Starfsbundinn",GO41="",$E41="",$D41=""),"",ROUND(GO41/$E41*$D41*KVARDI,2))</f>
        <v/>
      </c>
      <c r="GQ41" s="66" t="n"/>
      <c r="GR41" s="78">
        <f>IF(OR(INDEX(Undirviðmið!$G$6:$G$105,ROW()-6)&lt;&gt;"Starfsbundinn",GQ41="",$E41="",$D41=""),"",ROUND(GQ41/$E41*$D41*KVARDI,2))</f>
        <v/>
      </c>
      <c r="GS41" s="66" t="n"/>
      <c r="GT41" s="78">
        <f>IF(OR(INDEX(Undirviðmið!$G$6:$G$105,ROW()-6)&lt;&gt;"Starfsbundinn",GS41="",$E41="",$D41=""),"",ROUND(GS41/$E41*$D41*KVARDI,2))</f>
        <v/>
      </c>
      <c r="GU41" s="66" t="n"/>
      <c r="GV41" s="78">
        <f>IF(OR(INDEX(Undirviðmið!$G$6:$G$105,ROW()-6)&lt;&gt;"Starfsbundinn",GU41="",$E41="",$D41=""),"",ROUND(GU41/$E41*$D41*KVARDI,2))</f>
        <v/>
      </c>
      <c r="GW41" s="66" t="n"/>
      <c r="GX41" s="78">
        <f>IF(OR(INDEX(Undirviðmið!$G$6:$G$105,ROW()-6)&lt;&gt;"Starfsbundinn",GW41="",$E41="",$D41=""),"",ROUND(GW41/$E41*$D41*KVARDI,2))</f>
        <v/>
      </c>
    </row>
    <row r="42" ht="15" customHeight="1" s="47">
      <c r="B42" s="67">
        <f>IF(INDEX(Undirviðmið!$G$6:$G$105,ROW()-6)="Starfsbundinn",INDEX(Undirviðmið!$B$6:$B$105,ROW()-6),"")</f>
        <v/>
      </c>
      <c r="C42" s="67">
        <f>IF(INDEX(Undirviðmið!$G$6:$G$105,ROW()-6)="Starfsbundinn",INDEX(Undirviðmið!$C$6:$C$105,ROW()-6),"")</f>
        <v/>
      </c>
      <c r="D42" s="77">
        <f>IF(INDEX(Undirviðmið!$G$6:$G$105,ROW()-6)="Starfsbundinn",INDEX(Undirviðmið!$E$6:$E$105,ROW()-6),"")</f>
        <v/>
      </c>
      <c r="E42" s="77">
        <f>IF(INDEX(Undirviðmið!$G$6:$G$105,ROW()-6)="Starfsbundinn",INDEX(Undirviðmið!$F$6:$F$105,ROW()-6),"")</f>
        <v/>
      </c>
      <c r="F42" s="77">
        <f>IF(INDEX(Undirviðmið!$G$6:$G$105,ROW()-6)="Starfsbundinn",IFERROR(INDEX(Undirviðmið!$E$6:$E$105,ROW()-6)*KVARDI,""),"")</f>
        <v/>
      </c>
      <c r="G42" s="66" t="n"/>
      <c r="H42" s="78">
        <f>IF(OR(INDEX(Undirviðmið!$G$6:$G$105,ROW()-6)&lt;&gt;"Starfsbundinn",G42="",$E42="",$D42=""),"",ROUND(G42/$E42*$D42*KVARDI,2))</f>
        <v/>
      </c>
      <c r="I42" s="66" t="n"/>
      <c r="J42" s="78">
        <f>IF(OR(INDEX(Undirviðmið!$G$6:$G$105,ROW()-6)&lt;&gt;"Starfsbundinn",I42="",$E42="",$D42=""),"",ROUND(I42/$E42*$D42*KVARDI,2))</f>
        <v/>
      </c>
      <c r="K42" s="66" t="n"/>
      <c r="L42" s="78">
        <f>IF(OR(INDEX(Undirviðmið!$G$6:$G$105,ROW()-6)&lt;&gt;"Starfsbundinn",K42="",$E42="",$D42=""),"",ROUND(K42/$E42*$D42*KVARDI,2))</f>
        <v/>
      </c>
      <c r="M42" s="66" t="n"/>
      <c r="N42" s="78">
        <f>IF(OR(INDEX(Undirviðmið!$G$6:$G$105,ROW()-6)&lt;&gt;"Starfsbundinn",M42="",$E42="",$D42=""),"",ROUND(M42/$E42*$D42*KVARDI,2))</f>
        <v/>
      </c>
      <c r="O42" s="66" t="n"/>
      <c r="P42" s="78">
        <f>IF(OR(INDEX(Undirviðmið!$G$6:$G$105,ROW()-6)&lt;&gt;"Starfsbundinn",O42="",$E42="",$D42=""),"",ROUND(O42/$E42*$D42*KVARDI,2))</f>
        <v/>
      </c>
      <c r="Q42" s="66" t="n"/>
      <c r="R42" s="78">
        <f>IF(OR(INDEX(Undirviðmið!$G$6:$G$105,ROW()-6)&lt;&gt;"Starfsbundinn",Q42="",$E42="",$D42=""),"",ROUND(Q42/$E42*$D42*KVARDI,2))</f>
        <v/>
      </c>
      <c r="S42" s="66" t="n"/>
      <c r="T42" s="78">
        <f>IF(OR(INDEX(Undirviðmið!$G$6:$G$105,ROW()-6)&lt;&gt;"Starfsbundinn",S42="",$E42="",$D42=""),"",ROUND(S42/$E42*$D42*KVARDI,2))</f>
        <v/>
      </c>
      <c r="U42" s="66" t="n"/>
      <c r="V42" s="78">
        <f>IF(OR(INDEX(Undirviðmið!$G$6:$G$105,ROW()-6)&lt;&gt;"Starfsbundinn",U42="",$E42="",$D42=""),"",ROUND(U42/$E42*$D42*KVARDI,2))</f>
        <v/>
      </c>
      <c r="W42" s="66" t="n"/>
      <c r="X42" s="78">
        <f>IF(OR(INDEX(Undirviðmið!$G$6:$G$105,ROW()-6)&lt;&gt;"Starfsbundinn",W42="",$E42="",$D42=""),"",ROUND(W42/$E42*$D42*KVARDI,2))</f>
        <v/>
      </c>
      <c r="Y42" s="66" t="n"/>
      <c r="Z42" s="78">
        <f>IF(OR(INDEX(Undirviðmið!$G$6:$G$105,ROW()-6)&lt;&gt;"Starfsbundinn",Y42="",$E42="",$D42=""),"",ROUND(Y42/$E42*$D42*KVARDI,2))</f>
        <v/>
      </c>
      <c r="AA42" s="66" t="n"/>
      <c r="AB42" s="78">
        <f>IF(OR(INDEX(Undirviðmið!$G$6:$G$105,ROW()-6)&lt;&gt;"Starfsbundinn",AA42="",$E42="",$D42=""),"",ROUND(AA42/$E42*$D42*KVARDI,2))</f>
        <v/>
      </c>
      <c r="AC42" s="66" t="n"/>
      <c r="AD42" s="78">
        <f>IF(OR(INDEX(Undirviðmið!$G$6:$G$105,ROW()-6)&lt;&gt;"Starfsbundinn",AC42="",$E42="",$D42=""),"",ROUND(AC42/$E42*$D42*KVARDI,2))</f>
        <v/>
      </c>
      <c r="AE42" s="66" t="n"/>
      <c r="AF42" s="78">
        <f>IF(OR(INDEX(Undirviðmið!$G$6:$G$105,ROW()-6)&lt;&gt;"Starfsbundinn",AE42="",$E42="",$D42=""),"",ROUND(AE42/$E42*$D42*KVARDI,2))</f>
        <v/>
      </c>
      <c r="AG42" s="66" t="n"/>
      <c r="AH42" s="78">
        <f>IF(OR(INDEX(Undirviðmið!$G$6:$G$105,ROW()-6)&lt;&gt;"Starfsbundinn",AG42="",$E42="",$D42=""),"",ROUND(AG42/$E42*$D42*KVARDI,2))</f>
        <v/>
      </c>
      <c r="AI42" s="66" t="n"/>
      <c r="AJ42" s="78">
        <f>IF(OR(INDEX(Undirviðmið!$G$6:$G$105,ROW()-6)&lt;&gt;"Starfsbundinn",AI42="",$E42="",$D42=""),"",ROUND(AI42/$E42*$D42*KVARDI,2))</f>
        <v/>
      </c>
      <c r="AK42" s="66" t="n"/>
      <c r="AL42" s="78">
        <f>IF(OR(INDEX(Undirviðmið!$G$6:$G$105,ROW()-6)&lt;&gt;"Starfsbundinn",AK42="",$E42="",$D42=""),"",ROUND(AK42/$E42*$D42*KVARDI,2))</f>
        <v/>
      </c>
      <c r="AM42" s="66" t="n"/>
      <c r="AN42" s="78">
        <f>IF(OR(INDEX(Undirviðmið!$G$6:$G$105,ROW()-6)&lt;&gt;"Starfsbundinn",AM42="",$E42="",$D42=""),"",ROUND(AM42/$E42*$D42*KVARDI,2))</f>
        <v/>
      </c>
      <c r="AO42" s="66" t="n"/>
      <c r="AP42" s="78">
        <f>IF(OR(INDEX(Undirviðmið!$G$6:$G$105,ROW()-6)&lt;&gt;"Starfsbundinn",AO42="",$E42="",$D42=""),"",ROUND(AO42/$E42*$D42*KVARDI,2))</f>
        <v/>
      </c>
      <c r="AQ42" s="66" t="n"/>
      <c r="AR42" s="78">
        <f>IF(OR(INDEX(Undirviðmið!$G$6:$G$105,ROW()-6)&lt;&gt;"Starfsbundinn",AQ42="",$E42="",$D42=""),"",ROUND(AQ42/$E42*$D42*KVARDI,2))</f>
        <v/>
      </c>
      <c r="AS42" s="66" t="n"/>
      <c r="AT42" s="78">
        <f>IF(OR(INDEX(Undirviðmið!$G$6:$G$105,ROW()-6)&lt;&gt;"Starfsbundinn",AS42="",$E42="",$D42=""),"",ROUND(AS42/$E42*$D42*KVARDI,2))</f>
        <v/>
      </c>
      <c r="AU42" s="66" t="n"/>
      <c r="AV42" s="78">
        <f>IF(OR(INDEX(Undirviðmið!$G$6:$G$105,ROW()-6)&lt;&gt;"Starfsbundinn",AU42="",$E42="",$D42=""),"",ROUND(AU42/$E42*$D42*KVARDI,2))</f>
        <v/>
      </c>
      <c r="AW42" s="66" t="n"/>
      <c r="AX42" s="78">
        <f>IF(OR(INDEX(Undirviðmið!$G$6:$G$105,ROW()-6)&lt;&gt;"Starfsbundinn",AW42="",$E42="",$D42=""),"",ROUND(AW42/$E42*$D42*KVARDI,2))</f>
        <v/>
      </c>
      <c r="AY42" s="66" t="n"/>
      <c r="AZ42" s="78">
        <f>IF(OR(INDEX(Undirviðmið!$G$6:$G$105,ROW()-6)&lt;&gt;"Starfsbundinn",AY42="",$E42="",$D42=""),"",ROUND(AY42/$E42*$D42*KVARDI,2))</f>
        <v/>
      </c>
      <c r="BA42" s="66" t="n"/>
      <c r="BB42" s="78">
        <f>IF(OR(INDEX(Undirviðmið!$G$6:$G$105,ROW()-6)&lt;&gt;"Starfsbundinn",BA42="",$E42="",$D42=""),"",ROUND(BA42/$E42*$D42*KVARDI,2))</f>
        <v/>
      </c>
      <c r="BC42" s="66" t="n"/>
      <c r="BD42" s="78">
        <f>IF(OR(INDEX(Undirviðmið!$G$6:$G$105,ROW()-6)&lt;&gt;"Starfsbundinn",BC42="",$E42="",$D42=""),"",ROUND(BC42/$E42*$D42*KVARDI,2))</f>
        <v/>
      </c>
      <c r="BE42" s="66" t="n"/>
      <c r="BF42" s="78">
        <f>IF(OR(INDEX(Undirviðmið!$G$6:$G$105,ROW()-6)&lt;&gt;"Starfsbundinn",BE42="",$E42="",$D42=""),"",ROUND(BE42/$E42*$D42*KVARDI,2))</f>
        <v/>
      </c>
      <c r="BG42" s="66" t="n"/>
      <c r="BH42" s="78">
        <f>IF(OR(INDEX(Undirviðmið!$G$6:$G$105,ROW()-6)&lt;&gt;"Starfsbundinn",BG42="",$E42="",$D42=""),"",ROUND(BG42/$E42*$D42*KVARDI,2))</f>
        <v/>
      </c>
      <c r="BI42" s="66" t="n"/>
      <c r="BJ42" s="78">
        <f>IF(OR(INDEX(Undirviðmið!$G$6:$G$105,ROW()-6)&lt;&gt;"Starfsbundinn",BI42="",$E42="",$D42=""),"",ROUND(BI42/$E42*$D42*KVARDI,2))</f>
        <v/>
      </c>
      <c r="BK42" s="66" t="n"/>
      <c r="BL42" s="78">
        <f>IF(OR(INDEX(Undirviðmið!$G$6:$G$105,ROW()-6)&lt;&gt;"Starfsbundinn",BK42="",$E42="",$D42=""),"",ROUND(BK42/$E42*$D42*KVARDI,2))</f>
        <v/>
      </c>
      <c r="BM42" s="66" t="n"/>
      <c r="BN42" s="78">
        <f>IF(OR(INDEX(Undirviðmið!$G$6:$G$105,ROW()-6)&lt;&gt;"Starfsbundinn",BM42="",$E42="",$D42=""),"",ROUND(BM42/$E42*$D42*KVARDI,2))</f>
        <v/>
      </c>
      <c r="BO42" s="66" t="n"/>
      <c r="BP42" s="78">
        <f>IF(OR(INDEX(Undirviðmið!$G$6:$G$105,ROW()-6)&lt;&gt;"Starfsbundinn",BO42="",$E42="",$D42=""),"",ROUND(BO42/$E42*$D42*KVARDI,2))</f>
        <v/>
      </c>
      <c r="BQ42" s="66" t="n"/>
      <c r="BR42" s="78">
        <f>IF(OR(INDEX(Undirviðmið!$G$6:$G$105,ROW()-6)&lt;&gt;"Starfsbundinn",BQ42="",$E42="",$D42=""),"",ROUND(BQ42/$E42*$D42*KVARDI,2))</f>
        <v/>
      </c>
      <c r="BS42" s="66" t="n"/>
      <c r="BT42" s="78">
        <f>IF(OR(INDEX(Undirviðmið!$G$6:$G$105,ROW()-6)&lt;&gt;"Starfsbundinn",BS42="",$E42="",$D42=""),"",ROUND(BS42/$E42*$D42*KVARDI,2))</f>
        <v/>
      </c>
      <c r="BU42" s="66" t="n"/>
      <c r="BV42" s="78">
        <f>IF(OR(INDEX(Undirviðmið!$G$6:$G$105,ROW()-6)&lt;&gt;"Starfsbundinn",BU42="",$E42="",$D42=""),"",ROUND(BU42/$E42*$D42*KVARDI,2))</f>
        <v/>
      </c>
      <c r="BW42" s="66" t="n"/>
      <c r="BX42" s="78">
        <f>IF(OR(INDEX(Undirviðmið!$G$6:$G$105,ROW()-6)&lt;&gt;"Starfsbundinn",BW42="",$E42="",$D42=""),"",ROUND(BW42/$E42*$D42*KVARDI,2))</f>
        <v/>
      </c>
      <c r="BY42" s="66" t="n"/>
      <c r="BZ42" s="78">
        <f>IF(OR(INDEX(Undirviðmið!$G$6:$G$105,ROW()-6)&lt;&gt;"Starfsbundinn",BY42="",$E42="",$D42=""),"",ROUND(BY42/$E42*$D42*KVARDI,2))</f>
        <v/>
      </c>
      <c r="CA42" s="66" t="n"/>
      <c r="CB42" s="78">
        <f>IF(OR(INDEX(Undirviðmið!$G$6:$G$105,ROW()-6)&lt;&gt;"Starfsbundinn",CA42="",$E42="",$D42=""),"",ROUND(CA42/$E42*$D42*KVARDI,2))</f>
        <v/>
      </c>
      <c r="CC42" s="66" t="n"/>
      <c r="CD42" s="78">
        <f>IF(OR(INDEX(Undirviðmið!$G$6:$G$105,ROW()-6)&lt;&gt;"Starfsbundinn",CC42="",$E42="",$D42=""),"",ROUND(CC42/$E42*$D42*KVARDI,2))</f>
        <v/>
      </c>
      <c r="CE42" s="66" t="n"/>
      <c r="CF42" s="78">
        <f>IF(OR(INDEX(Undirviðmið!$G$6:$G$105,ROW()-6)&lt;&gt;"Starfsbundinn",CE42="",$E42="",$D42=""),"",ROUND(CE42/$E42*$D42*KVARDI,2))</f>
        <v/>
      </c>
      <c r="CG42" s="66" t="n"/>
      <c r="CH42" s="78">
        <f>IF(OR(INDEX(Undirviðmið!$G$6:$G$105,ROW()-6)&lt;&gt;"Starfsbundinn",CG42="",$E42="",$D42=""),"",ROUND(CG42/$E42*$D42*KVARDI,2))</f>
        <v/>
      </c>
      <c r="CI42" s="66" t="n"/>
      <c r="CJ42" s="78">
        <f>IF(OR(INDEX(Undirviðmið!$G$6:$G$105,ROW()-6)&lt;&gt;"Starfsbundinn",CI42="",$E42="",$D42=""),"",ROUND(CI42/$E42*$D42*KVARDI,2))</f>
        <v/>
      </c>
      <c r="CK42" s="66" t="n"/>
      <c r="CL42" s="78">
        <f>IF(OR(INDEX(Undirviðmið!$G$6:$G$105,ROW()-6)&lt;&gt;"Starfsbundinn",CK42="",$E42="",$D42=""),"",ROUND(CK42/$E42*$D42*KVARDI,2))</f>
        <v/>
      </c>
      <c r="CM42" s="66" t="n"/>
      <c r="CN42" s="78">
        <f>IF(OR(INDEX(Undirviðmið!$G$6:$G$105,ROW()-6)&lt;&gt;"Starfsbundinn",CM42="",$E42="",$D42=""),"",ROUND(CM42/$E42*$D42*KVARDI,2))</f>
        <v/>
      </c>
      <c r="CO42" s="66" t="n"/>
      <c r="CP42" s="78">
        <f>IF(OR(INDEX(Undirviðmið!$G$6:$G$105,ROW()-6)&lt;&gt;"Starfsbundinn",CO42="",$E42="",$D42=""),"",ROUND(CO42/$E42*$D42*KVARDI,2))</f>
        <v/>
      </c>
      <c r="CQ42" s="66" t="n"/>
      <c r="CR42" s="78">
        <f>IF(OR(INDEX(Undirviðmið!$G$6:$G$105,ROW()-6)&lt;&gt;"Starfsbundinn",CQ42="",$E42="",$D42=""),"",ROUND(CQ42/$E42*$D42*KVARDI,2))</f>
        <v/>
      </c>
      <c r="CS42" s="66" t="n"/>
      <c r="CT42" s="78">
        <f>IF(OR(INDEX(Undirviðmið!$G$6:$G$105,ROW()-6)&lt;&gt;"Starfsbundinn",CS42="",$E42="",$D42=""),"",ROUND(CS42/$E42*$D42*KVARDI,2))</f>
        <v/>
      </c>
      <c r="CU42" s="66" t="n"/>
      <c r="CV42" s="78">
        <f>IF(OR(INDEX(Undirviðmið!$G$6:$G$105,ROW()-6)&lt;&gt;"Starfsbundinn",CU42="",$E42="",$D42=""),"",ROUND(CU42/$E42*$D42*KVARDI,2))</f>
        <v/>
      </c>
      <c r="CW42" s="66" t="n"/>
      <c r="CX42" s="78">
        <f>IF(OR(INDEX(Undirviðmið!$G$6:$G$105,ROW()-6)&lt;&gt;"Starfsbundinn",CW42="",$E42="",$D42=""),"",ROUND(CW42/$E42*$D42*KVARDI,2))</f>
        <v/>
      </c>
      <c r="CY42" s="66" t="n"/>
      <c r="CZ42" s="78">
        <f>IF(OR(INDEX(Undirviðmið!$G$6:$G$105,ROW()-6)&lt;&gt;"Starfsbundinn",CY42="",$E42="",$D42=""),"",ROUND(CY42/$E42*$D42*KVARDI,2))</f>
        <v/>
      </c>
      <c r="DA42" s="66" t="n"/>
      <c r="DB42" s="78">
        <f>IF(OR(INDEX(Undirviðmið!$G$6:$G$105,ROW()-6)&lt;&gt;"Starfsbundinn",DA42="",$E42="",$D42=""),"",ROUND(DA42/$E42*$D42*KVARDI,2))</f>
        <v/>
      </c>
      <c r="DC42" s="66" t="n"/>
      <c r="DD42" s="78">
        <f>IF(OR(INDEX(Undirviðmið!$G$6:$G$105,ROW()-6)&lt;&gt;"Starfsbundinn",DC42="",$E42="",$D42=""),"",ROUND(DC42/$E42*$D42*KVARDI,2))</f>
        <v/>
      </c>
      <c r="DE42" s="66" t="n"/>
      <c r="DF42" s="78">
        <f>IF(OR(INDEX(Undirviðmið!$G$6:$G$105,ROW()-6)&lt;&gt;"Starfsbundinn",DE42="",$E42="",$D42=""),"",ROUND(DE42/$E42*$D42*KVARDI,2))</f>
        <v/>
      </c>
      <c r="DG42" s="66" t="n"/>
      <c r="DH42" s="78">
        <f>IF(OR(INDEX(Undirviðmið!$G$6:$G$105,ROW()-6)&lt;&gt;"Starfsbundinn",DG42="",$E42="",$D42=""),"",ROUND(DG42/$E42*$D42*KVARDI,2))</f>
        <v/>
      </c>
      <c r="DI42" s="66" t="n"/>
      <c r="DJ42" s="78">
        <f>IF(OR(INDEX(Undirviðmið!$G$6:$G$105,ROW()-6)&lt;&gt;"Starfsbundinn",DI42="",$E42="",$D42=""),"",ROUND(DI42/$E42*$D42*KVARDI,2))</f>
        <v/>
      </c>
      <c r="DK42" s="66" t="n"/>
      <c r="DL42" s="78">
        <f>IF(OR(INDEX(Undirviðmið!$G$6:$G$105,ROW()-6)&lt;&gt;"Starfsbundinn",DK42="",$E42="",$D42=""),"",ROUND(DK42/$E42*$D42*KVARDI,2))</f>
        <v/>
      </c>
      <c r="DM42" s="66" t="n"/>
      <c r="DN42" s="78">
        <f>IF(OR(INDEX(Undirviðmið!$G$6:$G$105,ROW()-6)&lt;&gt;"Starfsbundinn",DM42="",$E42="",$D42=""),"",ROUND(DM42/$E42*$D42*KVARDI,2))</f>
        <v/>
      </c>
      <c r="DO42" s="66" t="n"/>
      <c r="DP42" s="78">
        <f>IF(OR(INDEX(Undirviðmið!$G$6:$G$105,ROW()-6)&lt;&gt;"Starfsbundinn",DO42="",$E42="",$D42=""),"",ROUND(DO42/$E42*$D42*KVARDI,2))</f>
        <v/>
      </c>
      <c r="DQ42" s="66" t="n"/>
      <c r="DR42" s="78">
        <f>IF(OR(INDEX(Undirviðmið!$G$6:$G$105,ROW()-6)&lt;&gt;"Starfsbundinn",DQ42="",$E42="",$D42=""),"",ROUND(DQ42/$E42*$D42*KVARDI,2))</f>
        <v/>
      </c>
      <c r="DS42" s="66" t="n"/>
      <c r="DT42" s="78">
        <f>IF(OR(INDEX(Undirviðmið!$G$6:$G$105,ROW()-6)&lt;&gt;"Starfsbundinn",DS42="",$E42="",$D42=""),"",ROUND(DS42/$E42*$D42*KVARDI,2))</f>
        <v/>
      </c>
      <c r="DU42" s="66" t="n"/>
      <c r="DV42" s="78">
        <f>IF(OR(INDEX(Undirviðmið!$G$6:$G$105,ROW()-6)&lt;&gt;"Starfsbundinn",DU42="",$E42="",$D42=""),"",ROUND(DU42/$E42*$D42*KVARDI,2))</f>
        <v/>
      </c>
      <c r="DW42" s="66" t="n"/>
      <c r="DX42" s="78">
        <f>IF(OR(INDEX(Undirviðmið!$G$6:$G$105,ROW()-6)&lt;&gt;"Starfsbundinn",DW42="",$E42="",$D42=""),"",ROUND(DW42/$E42*$D42*KVARDI,2))</f>
        <v/>
      </c>
      <c r="DY42" s="66" t="n"/>
      <c r="DZ42" s="78">
        <f>IF(OR(INDEX(Undirviðmið!$G$6:$G$105,ROW()-6)&lt;&gt;"Starfsbundinn",DY42="",$E42="",$D42=""),"",ROUND(DY42/$E42*$D42*KVARDI,2))</f>
        <v/>
      </c>
      <c r="EA42" s="66" t="n"/>
      <c r="EB42" s="78">
        <f>IF(OR(INDEX(Undirviðmið!$G$6:$G$105,ROW()-6)&lt;&gt;"Starfsbundinn",EA42="",$E42="",$D42=""),"",ROUND(EA42/$E42*$D42*KVARDI,2))</f>
        <v/>
      </c>
      <c r="EC42" s="66" t="n"/>
      <c r="ED42" s="78">
        <f>IF(OR(INDEX(Undirviðmið!$G$6:$G$105,ROW()-6)&lt;&gt;"Starfsbundinn",EC42="",$E42="",$D42=""),"",ROUND(EC42/$E42*$D42*KVARDI,2))</f>
        <v/>
      </c>
      <c r="EE42" s="66" t="n"/>
      <c r="EF42" s="78">
        <f>IF(OR(INDEX(Undirviðmið!$G$6:$G$105,ROW()-6)&lt;&gt;"Starfsbundinn",EE42="",$E42="",$D42=""),"",ROUND(EE42/$E42*$D42*KVARDI,2))</f>
        <v/>
      </c>
      <c r="EG42" s="66" t="n"/>
      <c r="EH42" s="78">
        <f>IF(OR(INDEX(Undirviðmið!$G$6:$G$105,ROW()-6)&lt;&gt;"Starfsbundinn",EG42="",$E42="",$D42=""),"",ROUND(EG42/$E42*$D42*KVARDI,2))</f>
        <v/>
      </c>
      <c r="EI42" s="66" t="n"/>
      <c r="EJ42" s="78">
        <f>IF(OR(INDEX(Undirviðmið!$G$6:$G$105,ROW()-6)&lt;&gt;"Starfsbundinn",EI42="",$E42="",$D42=""),"",ROUND(EI42/$E42*$D42*KVARDI,2))</f>
        <v/>
      </c>
      <c r="EK42" s="66" t="n"/>
      <c r="EL42" s="78">
        <f>IF(OR(INDEX(Undirviðmið!$G$6:$G$105,ROW()-6)&lt;&gt;"Starfsbundinn",EK42="",$E42="",$D42=""),"",ROUND(EK42/$E42*$D42*KVARDI,2))</f>
        <v/>
      </c>
      <c r="EM42" s="66" t="n"/>
      <c r="EN42" s="78">
        <f>IF(OR(INDEX(Undirviðmið!$G$6:$G$105,ROW()-6)&lt;&gt;"Starfsbundinn",EM42="",$E42="",$D42=""),"",ROUND(EM42/$E42*$D42*KVARDI,2))</f>
        <v/>
      </c>
      <c r="EO42" s="66" t="n"/>
      <c r="EP42" s="78">
        <f>IF(OR(INDEX(Undirviðmið!$G$6:$G$105,ROW()-6)&lt;&gt;"Starfsbundinn",EO42="",$E42="",$D42=""),"",ROUND(EO42/$E42*$D42*KVARDI,2))</f>
        <v/>
      </c>
      <c r="EQ42" s="66" t="n"/>
      <c r="ER42" s="78">
        <f>IF(OR(INDEX(Undirviðmið!$G$6:$G$105,ROW()-6)&lt;&gt;"Starfsbundinn",EQ42="",$E42="",$D42=""),"",ROUND(EQ42/$E42*$D42*KVARDI,2))</f>
        <v/>
      </c>
      <c r="ES42" s="66" t="n"/>
      <c r="ET42" s="78">
        <f>IF(OR(INDEX(Undirviðmið!$G$6:$G$105,ROW()-6)&lt;&gt;"Starfsbundinn",ES42="",$E42="",$D42=""),"",ROUND(ES42/$E42*$D42*KVARDI,2))</f>
        <v/>
      </c>
      <c r="EU42" s="66" t="n"/>
      <c r="EV42" s="78">
        <f>IF(OR(INDEX(Undirviðmið!$G$6:$G$105,ROW()-6)&lt;&gt;"Starfsbundinn",EU42="",$E42="",$D42=""),"",ROUND(EU42/$E42*$D42*KVARDI,2))</f>
        <v/>
      </c>
      <c r="EW42" s="66" t="n"/>
      <c r="EX42" s="78">
        <f>IF(OR(INDEX(Undirviðmið!$G$6:$G$105,ROW()-6)&lt;&gt;"Starfsbundinn",EW42="",$E42="",$D42=""),"",ROUND(EW42/$E42*$D42*KVARDI,2))</f>
        <v/>
      </c>
      <c r="EY42" s="66" t="n"/>
      <c r="EZ42" s="78">
        <f>IF(OR(INDEX(Undirviðmið!$G$6:$G$105,ROW()-6)&lt;&gt;"Starfsbundinn",EY42="",$E42="",$D42=""),"",ROUND(EY42/$E42*$D42*KVARDI,2))</f>
        <v/>
      </c>
      <c r="FA42" s="66" t="n"/>
      <c r="FB42" s="78">
        <f>IF(OR(INDEX(Undirviðmið!$G$6:$G$105,ROW()-6)&lt;&gt;"Starfsbundinn",FA42="",$E42="",$D42=""),"",ROUND(FA42/$E42*$D42*KVARDI,2))</f>
        <v/>
      </c>
      <c r="FC42" s="66" t="n"/>
      <c r="FD42" s="78">
        <f>IF(OR(INDEX(Undirviðmið!$G$6:$G$105,ROW()-6)&lt;&gt;"Starfsbundinn",FC42="",$E42="",$D42=""),"",ROUND(FC42/$E42*$D42*KVARDI,2))</f>
        <v/>
      </c>
      <c r="FE42" s="66" t="n"/>
      <c r="FF42" s="78">
        <f>IF(OR(INDEX(Undirviðmið!$G$6:$G$105,ROW()-6)&lt;&gt;"Starfsbundinn",FE42="",$E42="",$D42=""),"",ROUND(FE42/$E42*$D42*KVARDI,2))</f>
        <v/>
      </c>
      <c r="FG42" s="66" t="n"/>
      <c r="FH42" s="78">
        <f>IF(OR(INDEX(Undirviðmið!$G$6:$G$105,ROW()-6)&lt;&gt;"Starfsbundinn",FG42="",$E42="",$D42=""),"",ROUND(FG42/$E42*$D42*KVARDI,2))</f>
        <v/>
      </c>
      <c r="FI42" s="66" t="n"/>
      <c r="FJ42" s="78">
        <f>IF(OR(INDEX(Undirviðmið!$G$6:$G$105,ROW()-6)&lt;&gt;"Starfsbundinn",FI42="",$E42="",$D42=""),"",ROUND(FI42/$E42*$D42*KVARDI,2))</f>
        <v/>
      </c>
      <c r="FK42" s="66" t="n"/>
      <c r="FL42" s="78">
        <f>IF(OR(INDEX(Undirviðmið!$G$6:$G$105,ROW()-6)&lt;&gt;"Starfsbundinn",FK42="",$E42="",$D42=""),"",ROUND(FK42/$E42*$D42*KVARDI,2))</f>
        <v/>
      </c>
      <c r="FM42" s="66" t="n"/>
      <c r="FN42" s="78">
        <f>IF(OR(INDEX(Undirviðmið!$G$6:$G$105,ROW()-6)&lt;&gt;"Starfsbundinn",FM42="",$E42="",$D42=""),"",ROUND(FM42/$E42*$D42*KVARDI,2))</f>
        <v/>
      </c>
      <c r="FO42" s="66" t="n"/>
      <c r="FP42" s="78">
        <f>IF(OR(INDEX(Undirviðmið!$G$6:$G$105,ROW()-6)&lt;&gt;"Starfsbundinn",FO42="",$E42="",$D42=""),"",ROUND(FO42/$E42*$D42*KVARDI,2))</f>
        <v/>
      </c>
      <c r="FQ42" s="66" t="n"/>
      <c r="FR42" s="78">
        <f>IF(OR(INDEX(Undirviðmið!$G$6:$G$105,ROW()-6)&lt;&gt;"Starfsbundinn",FQ42="",$E42="",$D42=""),"",ROUND(FQ42/$E42*$D42*KVARDI,2))</f>
        <v/>
      </c>
      <c r="FS42" s="66" t="n"/>
      <c r="FT42" s="78">
        <f>IF(OR(INDEX(Undirviðmið!$G$6:$G$105,ROW()-6)&lt;&gt;"Starfsbundinn",FS42="",$E42="",$D42=""),"",ROUND(FS42/$E42*$D42*KVARDI,2))</f>
        <v/>
      </c>
      <c r="FU42" s="66" t="n"/>
      <c r="FV42" s="78">
        <f>IF(OR(INDEX(Undirviðmið!$G$6:$G$105,ROW()-6)&lt;&gt;"Starfsbundinn",FU42="",$E42="",$D42=""),"",ROUND(FU42/$E42*$D42*KVARDI,2))</f>
        <v/>
      </c>
      <c r="FW42" s="66" t="n"/>
      <c r="FX42" s="78">
        <f>IF(OR(INDEX(Undirviðmið!$G$6:$G$105,ROW()-6)&lt;&gt;"Starfsbundinn",FW42="",$E42="",$D42=""),"",ROUND(FW42/$E42*$D42*KVARDI,2))</f>
        <v/>
      </c>
      <c r="FY42" s="66" t="n"/>
      <c r="FZ42" s="78">
        <f>IF(OR(INDEX(Undirviðmið!$G$6:$G$105,ROW()-6)&lt;&gt;"Starfsbundinn",FY42="",$E42="",$D42=""),"",ROUND(FY42/$E42*$D42*KVARDI,2))</f>
        <v/>
      </c>
      <c r="GA42" s="66" t="n"/>
      <c r="GB42" s="78">
        <f>IF(OR(INDEX(Undirviðmið!$G$6:$G$105,ROW()-6)&lt;&gt;"Starfsbundinn",GA42="",$E42="",$D42=""),"",ROUND(GA42/$E42*$D42*KVARDI,2))</f>
        <v/>
      </c>
      <c r="GC42" s="66" t="n"/>
      <c r="GD42" s="78">
        <f>IF(OR(INDEX(Undirviðmið!$G$6:$G$105,ROW()-6)&lt;&gt;"Starfsbundinn",GC42="",$E42="",$D42=""),"",ROUND(GC42/$E42*$D42*KVARDI,2))</f>
        <v/>
      </c>
      <c r="GE42" s="66" t="n"/>
      <c r="GF42" s="78">
        <f>IF(OR(INDEX(Undirviðmið!$G$6:$G$105,ROW()-6)&lt;&gt;"Starfsbundinn",GE42="",$E42="",$D42=""),"",ROUND(GE42/$E42*$D42*KVARDI,2))</f>
        <v/>
      </c>
      <c r="GG42" s="66" t="n"/>
      <c r="GH42" s="78">
        <f>IF(OR(INDEX(Undirviðmið!$G$6:$G$105,ROW()-6)&lt;&gt;"Starfsbundinn",GG42="",$E42="",$D42=""),"",ROUND(GG42/$E42*$D42*KVARDI,2))</f>
        <v/>
      </c>
      <c r="GI42" s="66" t="n"/>
      <c r="GJ42" s="78">
        <f>IF(OR(INDEX(Undirviðmið!$G$6:$G$105,ROW()-6)&lt;&gt;"Starfsbundinn",GI42="",$E42="",$D42=""),"",ROUND(GI42/$E42*$D42*KVARDI,2))</f>
        <v/>
      </c>
      <c r="GK42" s="66" t="n"/>
      <c r="GL42" s="78">
        <f>IF(OR(INDEX(Undirviðmið!$G$6:$G$105,ROW()-6)&lt;&gt;"Starfsbundinn",GK42="",$E42="",$D42=""),"",ROUND(GK42/$E42*$D42*KVARDI,2))</f>
        <v/>
      </c>
      <c r="GM42" s="66" t="n"/>
      <c r="GN42" s="78">
        <f>IF(OR(INDEX(Undirviðmið!$G$6:$G$105,ROW()-6)&lt;&gt;"Starfsbundinn",GM42="",$E42="",$D42=""),"",ROUND(GM42/$E42*$D42*KVARDI,2))</f>
        <v/>
      </c>
      <c r="GO42" s="66" t="n"/>
      <c r="GP42" s="78">
        <f>IF(OR(INDEX(Undirviðmið!$G$6:$G$105,ROW()-6)&lt;&gt;"Starfsbundinn",GO42="",$E42="",$D42=""),"",ROUND(GO42/$E42*$D42*KVARDI,2))</f>
        <v/>
      </c>
      <c r="GQ42" s="66" t="n"/>
      <c r="GR42" s="78">
        <f>IF(OR(INDEX(Undirviðmið!$G$6:$G$105,ROW()-6)&lt;&gt;"Starfsbundinn",GQ42="",$E42="",$D42=""),"",ROUND(GQ42/$E42*$D42*KVARDI,2))</f>
        <v/>
      </c>
      <c r="GS42" s="66" t="n"/>
      <c r="GT42" s="78">
        <f>IF(OR(INDEX(Undirviðmið!$G$6:$G$105,ROW()-6)&lt;&gt;"Starfsbundinn",GS42="",$E42="",$D42=""),"",ROUND(GS42/$E42*$D42*KVARDI,2))</f>
        <v/>
      </c>
      <c r="GU42" s="66" t="n"/>
      <c r="GV42" s="78">
        <f>IF(OR(INDEX(Undirviðmið!$G$6:$G$105,ROW()-6)&lt;&gt;"Starfsbundinn",GU42="",$E42="",$D42=""),"",ROUND(GU42/$E42*$D42*KVARDI,2))</f>
        <v/>
      </c>
      <c r="GW42" s="66" t="n"/>
      <c r="GX42" s="78">
        <f>IF(OR(INDEX(Undirviðmið!$G$6:$G$105,ROW()-6)&lt;&gt;"Starfsbundinn",GW42="",$E42="",$D42=""),"",ROUND(GW42/$E42*$D42*KVARDI,2))</f>
        <v/>
      </c>
    </row>
    <row r="43" ht="15" customHeight="1" s="47">
      <c r="B43" s="67">
        <f>IF(INDEX(Undirviðmið!$G$6:$G$105,ROW()-6)="Starfsbundinn",INDEX(Undirviðmið!$B$6:$B$105,ROW()-6),"")</f>
        <v/>
      </c>
      <c r="C43" s="67">
        <f>IF(INDEX(Undirviðmið!$G$6:$G$105,ROW()-6)="Starfsbundinn",INDEX(Undirviðmið!$C$6:$C$105,ROW()-6),"")</f>
        <v/>
      </c>
      <c r="D43" s="77">
        <f>IF(INDEX(Undirviðmið!$G$6:$G$105,ROW()-6)="Starfsbundinn",INDEX(Undirviðmið!$E$6:$E$105,ROW()-6),"")</f>
        <v/>
      </c>
      <c r="E43" s="77">
        <f>IF(INDEX(Undirviðmið!$G$6:$G$105,ROW()-6)="Starfsbundinn",INDEX(Undirviðmið!$F$6:$F$105,ROW()-6),"")</f>
        <v/>
      </c>
      <c r="F43" s="77">
        <f>IF(INDEX(Undirviðmið!$G$6:$G$105,ROW()-6)="Starfsbundinn",IFERROR(INDEX(Undirviðmið!$E$6:$E$105,ROW()-6)*KVARDI,""),"")</f>
        <v/>
      </c>
      <c r="G43" s="66" t="n"/>
      <c r="H43" s="78">
        <f>IF(OR(INDEX(Undirviðmið!$G$6:$G$105,ROW()-6)&lt;&gt;"Starfsbundinn",G43="",$E43="",$D43=""),"",ROUND(G43/$E43*$D43*KVARDI,2))</f>
        <v/>
      </c>
      <c r="I43" s="66" t="n"/>
      <c r="J43" s="78">
        <f>IF(OR(INDEX(Undirviðmið!$G$6:$G$105,ROW()-6)&lt;&gt;"Starfsbundinn",I43="",$E43="",$D43=""),"",ROUND(I43/$E43*$D43*KVARDI,2))</f>
        <v/>
      </c>
      <c r="K43" s="66" t="n"/>
      <c r="L43" s="78">
        <f>IF(OR(INDEX(Undirviðmið!$G$6:$G$105,ROW()-6)&lt;&gt;"Starfsbundinn",K43="",$E43="",$D43=""),"",ROUND(K43/$E43*$D43*KVARDI,2))</f>
        <v/>
      </c>
      <c r="M43" s="66" t="n"/>
      <c r="N43" s="78">
        <f>IF(OR(INDEX(Undirviðmið!$G$6:$G$105,ROW()-6)&lt;&gt;"Starfsbundinn",M43="",$E43="",$D43=""),"",ROUND(M43/$E43*$D43*KVARDI,2))</f>
        <v/>
      </c>
      <c r="O43" s="66" t="n"/>
      <c r="P43" s="78">
        <f>IF(OR(INDEX(Undirviðmið!$G$6:$G$105,ROW()-6)&lt;&gt;"Starfsbundinn",O43="",$E43="",$D43=""),"",ROUND(O43/$E43*$D43*KVARDI,2))</f>
        <v/>
      </c>
      <c r="Q43" s="66" t="n"/>
      <c r="R43" s="78">
        <f>IF(OR(INDEX(Undirviðmið!$G$6:$G$105,ROW()-6)&lt;&gt;"Starfsbundinn",Q43="",$E43="",$D43=""),"",ROUND(Q43/$E43*$D43*KVARDI,2))</f>
        <v/>
      </c>
      <c r="S43" s="66" t="n"/>
      <c r="T43" s="78">
        <f>IF(OR(INDEX(Undirviðmið!$G$6:$G$105,ROW()-6)&lt;&gt;"Starfsbundinn",S43="",$E43="",$D43=""),"",ROUND(S43/$E43*$D43*KVARDI,2))</f>
        <v/>
      </c>
      <c r="U43" s="66" t="n"/>
      <c r="V43" s="78">
        <f>IF(OR(INDEX(Undirviðmið!$G$6:$G$105,ROW()-6)&lt;&gt;"Starfsbundinn",U43="",$E43="",$D43=""),"",ROUND(U43/$E43*$D43*KVARDI,2))</f>
        <v/>
      </c>
      <c r="W43" s="66" t="n"/>
      <c r="X43" s="78">
        <f>IF(OR(INDEX(Undirviðmið!$G$6:$G$105,ROW()-6)&lt;&gt;"Starfsbundinn",W43="",$E43="",$D43=""),"",ROUND(W43/$E43*$D43*KVARDI,2))</f>
        <v/>
      </c>
      <c r="Y43" s="66" t="n"/>
      <c r="Z43" s="78">
        <f>IF(OR(INDEX(Undirviðmið!$G$6:$G$105,ROW()-6)&lt;&gt;"Starfsbundinn",Y43="",$E43="",$D43=""),"",ROUND(Y43/$E43*$D43*KVARDI,2))</f>
        <v/>
      </c>
      <c r="AA43" s="66" t="n"/>
      <c r="AB43" s="78">
        <f>IF(OR(INDEX(Undirviðmið!$G$6:$G$105,ROW()-6)&lt;&gt;"Starfsbundinn",AA43="",$E43="",$D43=""),"",ROUND(AA43/$E43*$D43*KVARDI,2))</f>
        <v/>
      </c>
      <c r="AC43" s="66" t="n"/>
      <c r="AD43" s="78">
        <f>IF(OR(INDEX(Undirviðmið!$G$6:$G$105,ROW()-6)&lt;&gt;"Starfsbundinn",AC43="",$E43="",$D43=""),"",ROUND(AC43/$E43*$D43*KVARDI,2))</f>
        <v/>
      </c>
      <c r="AE43" s="66" t="n"/>
      <c r="AF43" s="78">
        <f>IF(OR(INDEX(Undirviðmið!$G$6:$G$105,ROW()-6)&lt;&gt;"Starfsbundinn",AE43="",$E43="",$D43=""),"",ROUND(AE43/$E43*$D43*KVARDI,2))</f>
        <v/>
      </c>
      <c r="AG43" s="66" t="n"/>
      <c r="AH43" s="78">
        <f>IF(OR(INDEX(Undirviðmið!$G$6:$G$105,ROW()-6)&lt;&gt;"Starfsbundinn",AG43="",$E43="",$D43=""),"",ROUND(AG43/$E43*$D43*KVARDI,2))</f>
        <v/>
      </c>
      <c r="AI43" s="66" t="n"/>
      <c r="AJ43" s="78">
        <f>IF(OR(INDEX(Undirviðmið!$G$6:$G$105,ROW()-6)&lt;&gt;"Starfsbundinn",AI43="",$E43="",$D43=""),"",ROUND(AI43/$E43*$D43*KVARDI,2))</f>
        <v/>
      </c>
      <c r="AK43" s="66" t="n"/>
      <c r="AL43" s="78">
        <f>IF(OR(INDEX(Undirviðmið!$G$6:$G$105,ROW()-6)&lt;&gt;"Starfsbundinn",AK43="",$E43="",$D43=""),"",ROUND(AK43/$E43*$D43*KVARDI,2))</f>
        <v/>
      </c>
      <c r="AM43" s="66" t="n"/>
      <c r="AN43" s="78">
        <f>IF(OR(INDEX(Undirviðmið!$G$6:$G$105,ROW()-6)&lt;&gt;"Starfsbundinn",AM43="",$E43="",$D43=""),"",ROUND(AM43/$E43*$D43*KVARDI,2))</f>
        <v/>
      </c>
      <c r="AO43" s="66" t="n"/>
      <c r="AP43" s="78">
        <f>IF(OR(INDEX(Undirviðmið!$G$6:$G$105,ROW()-6)&lt;&gt;"Starfsbundinn",AO43="",$E43="",$D43=""),"",ROUND(AO43/$E43*$D43*KVARDI,2))</f>
        <v/>
      </c>
      <c r="AQ43" s="66" t="n"/>
      <c r="AR43" s="78">
        <f>IF(OR(INDEX(Undirviðmið!$G$6:$G$105,ROW()-6)&lt;&gt;"Starfsbundinn",AQ43="",$E43="",$D43=""),"",ROUND(AQ43/$E43*$D43*KVARDI,2))</f>
        <v/>
      </c>
      <c r="AS43" s="66" t="n"/>
      <c r="AT43" s="78">
        <f>IF(OR(INDEX(Undirviðmið!$G$6:$G$105,ROW()-6)&lt;&gt;"Starfsbundinn",AS43="",$E43="",$D43=""),"",ROUND(AS43/$E43*$D43*KVARDI,2))</f>
        <v/>
      </c>
      <c r="AU43" s="66" t="n"/>
      <c r="AV43" s="78">
        <f>IF(OR(INDEX(Undirviðmið!$G$6:$G$105,ROW()-6)&lt;&gt;"Starfsbundinn",AU43="",$E43="",$D43=""),"",ROUND(AU43/$E43*$D43*KVARDI,2))</f>
        <v/>
      </c>
      <c r="AW43" s="66" t="n"/>
      <c r="AX43" s="78">
        <f>IF(OR(INDEX(Undirviðmið!$G$6:$G$105,ROW()-6)&lt;&gt;"Starfsbundinn",AW43="",$E43="",$D43=""),"",ROUND(AW43/$E43*$D43*KVARDI,2))</f>
        <v/>
      </c>
      <c r="AY43" s="66" t="n"/>
      <c r="AZ43" s="78">
        <f>IF(OR(INDEX(Undirviðmið!$G$6:$G$105,ROW()-6)&lt;&gt;"Starfsbundinn",AY43="",$E43="",$D43=""),"",ROUND(AY43/$E43*$D43*KVARDI,2))</f>
        <v/>
      </c>
      <c r="BA43" s="66" t="n"/>
      <c r="BB43" s="78">
        <f>IF(OR(INDEX(Undirviðmið!$G$6:$G$105,ROW()-6)&lt;&gt;"Starfsbundinn",BA43="",$E43="",$D43=""),"",ROUND(BA43/$E43*$D43*KVARDI,2))</f>
        <v/>
      </c>
      <c r="BC43" s="66" t="n"/>
      <c r="BD43" s="78">
        <f>IF(OR(INDEX(Undirviðmið!$G$6:$G$105,ROW()-6)&lt;&gt;"Starfsbundinn",BC43="",$E43="",$D43=""),"",ROUND(BC43/$E43*$D43*KVARDI,2))</f>
        <v/>
      </c>
      <c r="BE43" s="66" t="n"/>
      <c r="BF43" s="78">
        <f>IF(OR(INDEX(Undirviðmið!$G$6:$G$105,ROW()-6)&lt;&gt;"Starfsbundinn",BE43="",$E43="",$D43=""),"",ROUND(BE43/$E43*$D43*KVARDI,2))</f>
        <v/>
      </c>
      <c r="BG43" s="66" t="n"/>
      <c r="BH43" s="78">
        <f>IF(OR(INDEX(Undirviðmið!$G$6:$G$105,ROW()-6)&lt;&gt;"Starfsbundinn",BG43="",$E43="",$D43=""),"",ROUND(BG43/$E43*$D43*KVARDI,2))</f>
        <v/>
      </c>
      <c r="BI43" s="66" t="n"/>
      <c r="BJ43" s="78">
        <f>IF(OR(INDEX(Undirviðmið!$G$6:$G$105,ROW()-6)&lt;&gt;"Starfsbundinn",BI43="",$E43="",$D43=""),"",ROUND(BI43/$E43*$D43*KVARDI,2))</f>
        <v/>
      </c>
      <c r="BK43" s="66" t="n"/>
      <c r="BL43" s="78">
        <f>IF(OR(INDEX(Undirviðmið!$G$6:$G$105,ROW()-6)&lt;&gt;"Starfsbundinn",BK43="",$E43="",$D43=""),"",ROUND(BK43/$E43*$D43*KVARDI,2))</f>
        <v/>
      </c>
      <c r="BM43" s="66" t="n"/>
      <c r="BN43" s="78">
        <f>IF(OR(INDEX(Undirviðmið!$G$6:$G$105,ROW()-6)&lt;&gt;"Starfsbundinn",BM43="",$E43="",$D43=""),"",ROUND(BM43/$E43*$D43*KVARDI,2))</f>
        <v/>
      </c>
      <c r="BO43" s="66" t="n"/>
      <c r="BP43" s="78">
        <f>IF(OR(INDEX(Undirviðmið!$G$6:$G$105,ROW()-6)&lt;&gt;"Starfsbundinn",BO43="",$E43="",$D43=""),"",ROUND(BO43/$E43*$D43*KVARDI,2))</f>
        <v/>
      </c>
      <c r="BQ43" s="66" t="n"/>
      <c r="BR43" s="78">
        <f>IF(OR(INDEX(Undirviðmið!$G$6:$G$105,ROW()-6)&lt;&gt;"Starfsbundinn",BQ43="",$E43="",$D43=""),"",ROUND(BQ43/$E43*$D43*KVARDI,2))</f>
        <v/>
      </c>
      <c r="BS43" s="66" t="n"/>
      <c r="BT43" s="78">
        <f>IF(OR(INDEX(Undirviðmið!$G$6:$G$105,ROW()-6)&lt;&gt;"Starfsbundinn",BS43="",$E43="",$D43=""),"",ROUND(BS43/$E43*$D43*KVARDI,2))</f>
        <v/>
      </c>
      <c r="BU43" s="66" t="n"/>
      <c r="BV43" s="78">
        <f>IF(OR(INDEX(Undirviðmið!$G$6:$G$105,ROW()-6)&lt;&gt;"Starfsbundinn",BU43="",$E43="",$D43=""),"",ROUND(BU43/$E43*$D43*KVARDI,2))</f>
        <v/>
      </c>
      <c r="BW43" s="66" t="n"/>
      <c r="BX43" s="78">
        <f>IF(OR(INDEX(Undirviðmið!$G$6:$G$105,ROW()-6)&lt;&gt;"Starfsbundinn",BW43="",$E43="",$D43=""),"",ROUND(BW43/$E43*$D43*KVARDI,2))</f>
        <v/>
      </c>
      <c r="BY43" s="66" t="n"/>
      <c r="BZ43" s="78">
        <f>IF(OR(INDEX(Undirviðmið!$G$6:$G$105,ROW()-6)&lt;&gt;"Starfsbundinn",BY43="",$E43="",$D43=""),"",ROUND(BY43/$E43*$D43*KVARDI,2))</f>
        <v/>
      </c>
      <c r="CA43" s="66" t="n"/>
      <c r="CB43" s="78">
        <f>IF(OR(INDEX(Undirviðmið!$G$6:$G$105,ROW()-6)&lt;&gt;"Starfsbundinn",CA43="",$E43="",$D43=""),"",ROUND(CA43/$E43*$D43*KVARDI,2))</f>
        <v/>
      </c>
      <c r="CC43" s="66" t="n"/>
      <c r="CD43" s="78">
        <f>IF(OR(INDEX(Undirviðmið!$G$6:$G$105,ROW()-6)&lt;&gt;"Starfsbundinn",CC43="",$E43="",$D43=""),"",ROUND(CC43/$E43*$D43*KVARDI,2))</f>
        <v/>
      </c>
      <c r="CE43" s="66" t="n"/>
      <c r="CF43" s="78">
        <f>IF(OR(INDEX(Undirviðmið!$G$6:$G$105,ROW()-6)&lt;&gt;"Starfsbundinn",CE43="",$E43="",$D43=""),"",ROUND(CE43/$E43*$D43*KVARDI,2))</f>
        <v/>
      </c>
      <c r="CG43" s="66" t="n"/>
      <c r="CH43" s="78">
        <f>IF(OR(INDEX(Undirviðmið!$G$6:$G$105,ROW()-6)&lt;&gt;"Starfsbundinn",CG43="",$E43="",$D43=""),"",ROUND(CG43/$E43*$D43*KVARDI,2))</f>
        <v/>
      </c>
      <c r="CI43" s="66" t="n"/>
      <c r="CJ43" s="78">
        <f>IF(OR(INDEX(Undirviðmið!$G$6:$G$105,ROW()-6)&lt;&gt;"Starfsbundinn",CI43="",$E43="",$D43=""),"",ROUND(CI43/$E43*$D43*KVARDI,2))</f>
        <v/>
      </c>
      <c r="CK43" s="66" t="n"/>
      <c r="CL43" s="78">
        <f>IF(OR(INDEX(Undirviðmið!$G$6:$G$105,ROW()-6)&lt;&gt;"Starfsbundinn",CK43="",$E43="",$D43=""),"",ROUND(CK43/$E43*$D43*KVARDI,2))</f>
        <v/>
      </c>
      <c r="CM43" s="66" t="n"/>
      <c r="CN43" s="78">
        <f>IF(OR(INDEX(Undirviðmið!$G$6:$G$105,ROW()-6)&lt;&gt;"Starfsbundinn",CM43="",$E43="",$D43=""),"",ROUND(CM43/$E43*$D43*KVARDI,2))</f>
        <v/>
      </c>
      <c r="CO43" s="66" t="n"/>
      <c r="CP43" s="78">
        <f>IF(OR(INDEX(Undirviðmið!$G$6:$G$105,ROW()-6)&lt;&gt;"Starfsbundinn",CO43="",$E43="",$D43=""),"",ROUND(CO43/$E43*$D43*KVARDI,2))</f>
        <v/>
      </c>
      <c r="CQ43" s="66" t="n"/>
      <c r="CR43" s="78">
        <f>IF(OR(INDEX(Undirviðmið!$G$6:$G$105,ROW()-6)&lt;&gt;"Starfsbundinn",CQ43="",$E43="",$D43=""),"",ROUND(CQ43/$E43*$D43*KVARDI,2))</f>
        <v/>
      </c>
      <c r="CS43" s="66" t="n"/>
      <c r="CT43" s="78">
        <f>IF(OR(INDEX(Undirviðmið!$G$6:$G$105,ROW()-6)&lt;&gt;"Starfsbundinn",CS43="",$E43="",$D43=""),"",ROUND(CS43/$E43*$D43*KVARDI,2))</f>
        <v/>
      </c>
      <c r="CU43" s="66" t="n"/>
      <c r="CV43" s="78">
        <f>IF(OR(INDEX(Undirviðmið!$G$6:$G$105,ROW()-6)&lt;&gt;"Starfsbundinn",CU43="",$E43="",$D43=""),"",ROUND(CU43/$E43*$D43*KVARDI,2))</f>
        <v/>
      </c>
      <c r="CW43" s="66" t="n"/>
      <c r="CX43" s="78">
        <f>IF(OR(INDEX(Undirviðmið!$G$6:$G$105,ROW()-6)&lt;&gt;"Starfsbundinn",CW43="",$E43="",$D43=""),"",ROUND(CW43/$E43*$D43*KVARDI,2))</f>
        <v/>
      </c>
      <c r="CY43" s="66" t="n"/>
      <c r="CZ43" s="78">
        <f>IF(OR(INDEX(Undirviðmið!$G$6:$G$105,ROW()-6)&lt;&gt;"Starfsbundinn",CY43="",$E43="",$D43=""),"",ROUND(CY43/$E43*$D43*KVARDI,2))</f>
        <v/>
      </c>
      <c r="DA43" s="66" t="n"/>
      <c r="DB43" s="78">
        <f>IF(OR(INDEX(Undirviðmið!$G$6:$G$105,ROW()-6)&lt;&gt;"Starfsbundinn",DA43="",$E43="",$D43=""),"",ROUND(DA43/$E43*$D43*KVARDI,2))</f>
        <v/>
      </c>
      <c r="DC43" s="66" t="n"/>
      <c r="DD43" s="78">
        <f>IF(OR(INDEX(Undirviðmið!$G$6:$G$105,ROW()-6)&lt;&gt;"Starfsbundinn",DC43="",$E43="",$D43=""),"",ROUND(DC43/$E43*$D43*KVARDI,2))</f>
        <v/>
      </c>
      <c r="DE43" s="66" t="n"/>
      <c r="DF43" s="78">
        <f>IF(OR(INDEX(Undirviðmið!$G$6:$G$105,ROW()-6)&lt;&gt;"Starfsbundinn",DE43="",$E43="",$D43=""),"",ROUND(DE43/$E43*$D43*KVARDI,2))</f>
        <v/>
      </c>
      <c r="DG43" s="66" t="n"/>
      <c r="DH43" s="78">
        <f>IF(OR(INDEX(Undirviðmið!$G$6:$G$105,ROW()-6)&lt;&gt;"Starfsbundinn",DG43="",$E43="",$D43=""),"",ROUND(DG43/$E43*$D43*KVARDI,2))</f>
        <v/>
      </c>
      <c r="DI43" s="66" t="n"/>
      <c r="DJ43" s="78">
        <f>IF(OR(INDEX(Undirviðmið!$G$6:$G$105,ROW()-6)&lt;&gt;"Starfsbundinn",DI43="",$E43="",$D43=""),"",ROUND(DI43/$E43*$D43*KVARDI,2))</f>
        <v/>
      </c>
      <c r="DK43" s="66" t="n"/>
      <c r="DL43" s="78">
        <f>IF(OR(INDEX(Undirviðmið!$G$6:$G$105,ROW()-6)&lt;&gt;"Starfsbundinn",DK43="",$E43="",$D43=""),"",ROUND(DK43/$E43*$D43*KVARDI,2))</f>
        <v/>
      </c>
      <c r="DM43" s="66" t="n"/>
      <c r="DN43" s="78">
        <f>IF(OR(INDEX(Undirviðmið!$G$6:$G$105,ROW()-6)&lt;&gt;"Starfsbundinn",DM43="",$E43="",$D43=""),"",ROUND(DM43/$E43*$D43*KVARDI,2))</f>
        <v/>
      </c>
      <c r="DO43" s="66" t="n"/>
      <c r="DP43" s="78">
        <f>IF(OR(INDEX(Undirviðmið!$G$6:$G$105,ROW()-6)&lt;&gt;"Starfsbundinn",DO43="",$E43="",$D43=""),"",ROUND(DO43/$E43*$D43*KVARDI,2))</f>
        <v/>
      </c>
      <c r="DQ43" s="66" t="n"/>
      <c r="DR43" s="78">
        <f>IF(OR(INDEX(Undirviðmið!$G$6:$G$105,ROW()-6)&lt;&gt;"Starfsbundinn",DQ43="",$E43="",$D43=""),"",ROUND(DQ43/$E43*$D43*KVARDI,2))</f>
        <v/>
      </c>
      <c r="DS43" s="66" t="n"/>
      <c r="DT43" s="78">
        <f>IF(OR(INDEX(Undirviðmið!$G$6:$G$105,ROW()-6)&lt;&gt;"Starfsbundinn",DS43="",$E43="",$D43=""),"",ROUND(DS43/$E43*$D43*KVARDI,2))</f>
        <v/>
      </c>
      <c r="DU43" s="66" t="n"/>
      <c r="DV43" s="78">
        <f>IF(OR(INDEX(Undirviðmið!$G$6:$G$105,ROW()-6)&lt;&gt;"Starfsbundinn",DU43="",$E43="",$D43=""),"",ROUND(DU43/$E43*$D43*KVARDI,2))</f>
        <v/>
      </c>
      <c r="DW43" s="66" t="n"/>
      <c r="DX43" s="78">
        <f>IF(OR(INDEX(Undirviðmið!$G$6:$G$105,ROW()-6)&lt;&gt;"Starfsbundinn",DW43="",$E43="",$D43=""),"",ROUND(DW43/$E43*$D43*KVARDI,2))</f>
        <v/>
      </c>
      <c r="DY43" s="66" t="n"/>
      <c r="DZ43" s="78">
        <f>IF(OR(INDEX(Undirviðmið!$G$6:$G$105,ROW()-6)&lt;&gt;"Starfsbundinn",DY43="",$E43="",$D43=""),"",ROUND(DY43/$E43*$D43*KVARDI,2))</f>
        <v/>
      </c>
      <c r="EA43" s="66" t="n"/>
      <c r="EB43" s="78">
        <f>IF(OR(INDEX(Undirviðmið!$G$6:$G$105,ROW()-6)&lt;&gt;"Starfsbundinn",EA43="",$E43="",$D43=""),"",ROUND(EA43/$E43*$D43*KVARDI,2))</f>
        <v/>
      </c>
      <c r="EC43" s="66" t="n"/>
      <c r="ED43" s="78">
        <f>IF(OR(INDEX(Undirviðmið!$G$6:$G$105,ROW()-6)&lt;&gt;"Starfsbundinn",EC43="",$E43="",$D43=""),"",ROUND(EC43/$E43*$D43*KVARDI,2))</f>
        <v/>
      </c>
      <c r="EE43" s="66" t="n"/>
      <c r="EF43" s="78">
        <f>IF(OR(INDEX(Undirviðmið!$G$6:$G$105,ROW()-6)&lt;&gt;"Starfsbundinn",EE43="",$E43="",$D43=""),"",ROUND(EE43/$E43*$D43*KVARDI,2))</f>
        <v/>
      </c>
      <c r="EG43" s="66" t="n"/>
      <c r="EH43" s="78">
        <f>IF(OR(INDEX(Undirviðmið!$G$6:$G$105,ROW()-6)&lt;&gt;"Starfsbundinn",EG43="",$E43="",$D43=""),"",ROUND(EG43/$E43*$D43*KVARDI,2))</f>
        <v/>
      </c>
      <c r="EI43" s="66" t="n"/>
      <c r="EJ43" s="78">
        <f>IF(OR(INDEX(Undirviðmið!$G$6:$G$105,ROW()-6)&lt;&gt;"Starfsbundinn",EI43="",$E43="",$D43=""),"",ROUND(EI43/$E43*$D43*KVARDI,2))</f>
        <v/>
      </c>
      <c r="EK43" s="66" t="n"/>
      <c r="EL43" s="78">
        <f>IF(OR(INDEX(Undirviðmið!$G$6:$G$105,ROW()-6)&lt;&gt;"Starfsbundinn",EK43="",$E43="",$D43=""),"",ROUND(EK43/$E43*$D43*KVARDI,2))</f>
        <v/>
      </c>
      <c r="EM43" s="66" t="n"/>
      <c r="EN43" s="78">
        <f>IF(OR(INDEX(Undirviðmið!$G$6:$G$105,ROW()-6)&lt;&gt;"Starfsbundinn",EM43="",$E43="",$D43=""),"",ROUND(EM43/$E43*$D43*KVARDI,2))</f>
        <v/>
      </c>
      <c r="EO43" s="66" t="n"/>
      <c r="EP43" s="78">
        <f>IF(OR(INDEX(Undirviðmið!$G$6:$G$105,ROW()-6)&lt;&gt;"Starfsbundinn",EO43="",$E43="",$D43=""),"",ROUND(EO43/$E43*$D43*KVARDI,2))</f>
        <v/>
      </c>
      <c r="EQ43" s="66" t="n"/>
      <c r="ER43" s="78">
        <f>IF(OR(INDEX(Undirviðmið!$G$6:$G$105,ROW()-6)&lt;&gt;"Starfsbundinn",EQ43="",$E43="",$D43=""),"",ROUND(EQ43/$E43*$D43*KVARDI,2))</f>
        <v/>
      </c>
      <c r="ES43" s="66" t="n"/>
      <c r="ET43" s="78">
        <f>IF(OR(INDEX(Undirviðmið!$G$6:$G$105,ROW()-6)&lt;&gt;"Starfsbundinn",ES43="",$E43="",$D43=""),"",ROUND(ES43/$E43*$D43*KVARDI,2))</f>
        <v/>
      </c>
      <c r="EU43" s="66" t="n"/>
      <c r="EV43" s="78">
        <f>IF(OR(INDEX(Undirviðmið!$G$6:$G$105,ROW()-6)&lt;&gt;"Starfsbundinn",EU43="",$E43="",$D43=""),"",ROUND(EU43/$E43*$D43*KVARDI,2))</f>
        <v/>
      </c>
      <c r="EW43" s="66" t="n"/>
      <c r="EX43" s="78">
        <f>IF(OR(INDEX(Undirviðmið!$G$6:$G$105,ROW()-6)&lt;&gt;"Starfsbundinn",EW43="",$E43="",$D43=""),"",ROUND(EW43/$E43*$D43*KVARDI,2))</f>
        <v/>
      </c>
      <c r="EY43" s="66" t="n"/>
      <c r="EZ43" s="78">
        <f>IF(OR(INDEX(Undirviðmið!$G$6:$G$105,ROW()-6)&lt;&gt;"Starfsbundinn",EY43="",$E43="",$D43=""),"",ROUND(EY43/$E43*$D43*KVARDI,2))</f>
        <v/>
      </c>
      <c r="FA43" s="66" t="n"/>
      <c r="FB43" s="78">
        <f>IF(OR(INDEX(Undirviðmið!$G$6:$G$105,ROW()-6)&lt;&gt;"Starfsbundinn",FA43="",$E43="",$D43=""),"",ROUND(FA43/$E43*$D43*KVARDI,2))</f>
        <v/>
      </c>
      <c r="FC43" s="66" t="n"/>
      <c r="FD43" s="78">
        <f>IF(OR(INDEX(Undirviðmið!$G$6:$G$105,ROW()-6)&lt;&gt;"Starfsbundinn",FC43="",$E43="",$D43=""),"",ROUND(FC43/$E43*$D43*KVARDI,2))</f>
        <v/>
      </c>
      <c r="FE43" s="66" t="n"/>
      <c r="FF43" s="78">
        <f>IF(OR(INDEX(Undirviðmið!$G$6:$G$105,ROW()-6)&lt;&gt;"Starfsbundinn",FE43="",$E43="",$D43=""),"",ROUND(FE43/$E43*$D43*KVARDI,2))</f>
        <v/>
      </c>
      <c r="FG43" s="66" t="n"/>
      <c r="FH43" s="78">
        <f>IF(OR(INDEX(Undirviðmið!$G$6:$G$105,ROW()-6)&lt;&gt;"Starfsbundinn",FG43="",$E43="",$D43=""),"",ROUND(FG43/$E43*$D43*KVARDI,2))</f>
        <v/>
      </c>
      <c r="FI43" s="66" t="n"/>
      <c r="FJ43" s="78">
        <f>IF(OR(INDEX(Undirviðmið!$G$6:$G$105,ROW()-6)&lt;&gt;"Starfsbundinn",FI43="",$E43="",$D43=""),"",ROUND(FI43/$E43*$D43*KVARDI,2))</f>
        <v/>
      </c>
      <c r="FK43" s="66" t="n"/>
      <c r="FL43" s="78">
        <f>IF(OR(INDEX(Undirviðmið!$G$6:$G$105,ROW()-6)&lt;&gt;"Starfsbundinn",FK43="",$E43="",$D43=""),"",ROUND(FK43/$E43*$D43*KVARDI,2))</f>
        <v/>
      </c>
      <c r="FM43" s="66" t="n"/>
      <c r="FN43" s="78">
        <f>IF(OR(INDEX(Undirviðmið!$G$6:$G$105,ROW()-6)&lt;&gt;"Starfsbundinn",FM43="",$E43="",$D43=""),"",ROUND(FM43/$E43*$D43*KVARDI,2))</f>
        <v/>
      </c>
      <c r="FO43" s="66" t="n"/>
      <c r="FP43" s="78">
        <f>IF(OR(INDEX(Undirviðmið!$G$6:$G$105,ROW()-6)&lt;&gt;"Starfsbundinn",FO43="",$E43="",$D43=""),"",ROUND(FO43/$E43*$D43*KVARDI,2))</f>
        <v/>
      </c>
      <c r="FQ43" s="66" t="n"/>
      <c r="FR43" s="78">
        <f>IF(OR(INDEX(Undirviðmið!$G$6:$G$105,ROW()-6)&lt;&gt;"Starfsbundinn",FQ43="",$E43="",$D43=""),"",ROUND(FQ43/$E43*$D43*KVARDI,2))</f>
        <v/>
      </c>
      <c r="FS43" s="66" t="n"/>
      <c r="FT43" s="78">
        <f>IF(OR(INDEX(Undirviðmið!$G$6:$G$105,ROW()-6)&lt;&gt;"Starfsbundinn",FS43="",$E43="",$D43=""),"",ROUND(FS43/$E43*$D43*KVARDI,2))</f>
        <v/>
      </c>
      <c r="FU43" s="66" t="n"/>
      <c r="FV43" s="78">
        <f>IF(OR(INDEX(Undirviðmið!$G$6:$G$105,ROW()-6)&lt;&gt;"Starfsbundinn",FU43="",$E43="",$D43=""),"",ROUND(FU43/$E43*$D43*KVARDI,2))</f>
        <v/>
      </c>
      <c r="FW43" s="66" t="n"/>
      <c r="FX43" s="78">
        <f>IF(OR(INDEX(Undirviðmið!$G$6:$G$105,ROW()-6)&lt;&gt;"Starfsbundinn",FW43="",$E43="",$D43=""),"",ROUND(FW43/$E43*$D43*KVARDI,2))</f>
        <v/>
      </c>
      <c r="FY43" s="66" t="n"/>
      <c r="FZ43" s="78">
        <f>IF(OR(INDEX(Undirviðmið!$G$6:$G$105,ROW()-6)&lt;&gt;"Starfsbundinn",FY43="",$E43="",$D43=""),"",ROUND(FY43/$E43*$D43*KVARDI,2))</f>
        <v/>
      </c>
      <c r="GA43" s="66" t="n"/>
      <c r="GB43" s="78">
        <f>IF(OR(INDEX(Undirviðmið!$G$6:$G$105,ROW()-6)&lt;&gt;"Starfsbundinn",GA43="",$E43="",$D43=""),"",ROUND(GA43/$E43*$D43*KVARDI,2))</f>
        <v/>
      </c>
      <c r="GC43" s="66" t="n"/>
      <c r="GD43" s="78">
        <f>IF(OR(INDEX(Undirviðmið!$G$6:$G$105,ROW()-6)&lt;&gt;"Starfsbundinn",GC43="",$E43="",$D43=""),"",ROUND(GC43/$E43*$D43*KVARDI,2))</f>
        <v/>
      </c>
      <c r="GE43" s="66" t="n"/>
      <c r="GF43" s="78">
        <f>IF(OR(INDEX(Undirviðmið!$G$6:$G$105,ROW()-6)&lt;&gt;"Starfsbundinn",GE43="",$E43="",$D43=""),"",ROUND(GE43/$E43*$D43*KVARDI,2))</f>
        <v/>
      </c>
      <c r="GG43" s="66" t="n"/>
      <c r="GH43" s="78">
        <f>IF(OR(INDEX(Undirviðmið!$G$6:$G$105,ROW()-6)&lt;&gt;"Starfsbundinn",GG43="",$E43="",$D43=""),"",ROUND(GG43/$E43*$D43*KVARDI,2))</f>
        <v/>
      </c>
      <c r="GI43" s="66" t="n"/>
      <c r="GJ43" s="78">
        <f>IF(OR(INDEX(Undirviðmið!$G$6:$G$105,ROW()-6)&lt;&gt;"Starfsbundinn",GI43="",$E43="",$D43=""),"",ROUND(GI43/$E43*$D43*KVARDI,2))</f>
        <v/>
      </c>
      <c r="GK43" s="66" t="n"/>
      <c r="GL43" s="78">
        <f>IF(OR(INDEX(Undirviðmið!$G$6:$G$105,ROW()-6)&lt;&gt;"Starfsbundinn",GK43="",$E43="",$D43=""),"",ROUND(GK43/$E43*$D43*KVARDI,2))</f>
        <v/>
      </c>
      <c r="GM43" s="66" t="n"/>
      <c r="GN43" s="78">
        <f>IF(OR(INDEX(Undirviðmið!$G$6:$G$105,ROW()-6)&lt;&gt;"Starfsbundinn",GM43="",$E43="",$D43=""),"",ROUND(GM43/$E43*$D43*KVARDI,2))</f>
        <v/>
      </c>
      <c r="GO43" s="66" t="n"/>
      <c r="GP43" s="78">
        <f>IF(OR(INDEX(Undirviðmið!$G$6:$G$105,ROW()-6)&lt;&gt;"Starfsbundinn",GO43="",$E43="",$D43=""),"",ROUND(GO43/$E43*$D43*KVARDI,2))</f>
        <v/>
      </c>
      <c r="GQ43" s="66" t="n"/>
      <c r="GR43" s="78">
        <f>IF(OR(INDEX(Undirviðmið!$G$6:$G$105,ROW()-6)&lt;&gt;"Starfsbundinn",GQ43="",$E43="",$D43=""),"",ROUND(GQ43/$E43*$D43*KVARDI,2))</f>
        <v/>
      </c>
      <c r="GS43" s="66" t="n"/>
      <c r="GT43" s="78">
        <f>IF(OR(INDEX(Undirviðmið!$G$6:$G$105,ROW()-6)&lt;&gt;"Starfsbundinn",GS43="",$E43="",$D43=""),"",ROUND(GS43/$E43*$D43*KVARDI,2))</f>
        <v/>
      </c>
      <c r="GU43" s="66" t="n"/>
      <c r="GV43" s="78">
        <f>IF(OR(INDEX(Undirviðmið!$G$6:$G$105,ROW()-6)&lt;&gt;"Starfsbundinn",GU43="",$E43="",$D43=""),"",ROUND(GU43/$E43*$D43*KVARDI,2))</f>
        <v/>
      </c>
      <c r="GW43" s="66" t="n"/>
      <c r="GX43" s="78">
        <f>IF(OR(INDEX(Undirviðmið!$G$6:$G$105,ROW()-6)&lt;&gt;"Starfsbundinn",GW43="",$E43="",$D43=""),"",ROUND(GW43/$E43*$D43*KVARDI,2))</f>
        <v/>
      </c>
    </row>
    <row r="44" ht="15" customHeight="1" s="47">
      <c r="B44" s="67">
        <f>IF(INDEX(Undirviðmið!$G$6:$G$105,ROW()-6)="Starfsbundinn",INDEX(Undirviðmið!$B$6:$B$105,ROW()-6),"")</f>
        <v/>
      </c>
      <c r="C44" s="67">
        <f>IF(INDEX(Undirviðmið!$G$6:$G$105,ROW()-6)="Starfsbundinn",INDEX(Undirviðmið!$C$6:$C$105,ROW()-6),"")</f>
        <v/>
      </c>
      <c r="D44" s="77">
        <f>IF(INDEX(Undirviðmið!$G$6:$G$105,ROW()-6)="Starfsbundinn",INDEX(Undirviðmið!$E$6:$E$105,ROW()-6),"")</f>
        <v/>
      </c>
      <c r="E44" s="77">
        <f>IF(INDEX(Undirviðmið!$G$6:$G$105,ROW()-6)="Starfsbundinn",INDEX(Undirviðmið!$F$6:$F$105,ROW()-6),"")</f>
        <v/>
      </c>
      <c r="F44" s="77">
        <f>IF(INDEX(Undirviðmið!$G$6:$G$105,ROW()-6)="Starfsbundinn",IFERROR(INDEX(Undirviðmið!$E$6:$E$105,ROW()-6)*KVARDI,""),"")</f>
        <v/>
      </c>
      <c r="G44" s="66" t="n"/>
      <c r="H44" s="78">
        <f>IF(OR(INDEX(Undirviðmið!$G$6:$G$105,ROW()-6)&lt;&gt;"Starfsbundinn",G44="",$E44="",$D44=""),"",ROUND(G44/$E44*$D44*KVARDI,2))</f>
        <v/>
      </c>
      <c r="I44" s="66" t="n"/>
      <c r="J44" s="78">
        <f>IF(OR(INDEX(Undirviðmið!$G$6:$G$105,ROW()-6)&lt;&gt;"Starfsbundinn",I44="",$E44="",$D44=""),"",ROUND(I44/$E44*$D44*KVARDI,2))</f>
        <v/>
      </c>
      <c r="K44" s="66" t="n"/>
      <c r="L44" s="78">
        <f>IF(OR(INDEX(Undirviðmið!$G$6:$G$105,ROW()-6)&lt;&gt;"Starfsbundinn",K44="",$E44="",$D44=""),"",ROUND(K44/$E44*$D44*KVARDI,2))</f>
        <v/>
      </c>
      <c r="M44" s="66" t="n"/>
      <c r="N44" s="78">
        <f>IF(OR(INDEX(Undirviðmið!$G$6:$G$105,ROW()-6)&lt;&gt;"Starfsbundinn",M44="",$E44="",$D44=""),"",ROUND(M44/$E44*$D44*KVARDI,2))</f>
        <v/>
      </c>
      <c r="O44" s="66" t="n"/>
      <c r="P44" s="78">
        <f>IF(OR(INDEX(Undirviðmið!$G$6:$G$105,ROW()-6)&lt;&gt;"Starfsbundinn",O44="",$E44="",$D44=""),"",ROUND(O44/$E44*$D44*KVARDI,2))</f>
        <v/>
      </c>
      <c r="Q44" s="66" t="n"/>
      <c r="R44" s="78">
        <f>IF(OR(INDEX(Undirviðmið!$G$6:$G$105,ROW()-6)&lt;&gt;"Starfsbundinn",Q44="",$E44="",$D44=""),"",ROUND(Q44/$E44*$D44*KVARDI,2))</f>
        <v/>
      </c>
      <c r="S44" s="66" t="n"/>
      <c r="T44" s="78">
        <f>IF(OR(INDEX(Undirviðmið!$G$6:$G$105,ROW()-6)&lt;&gt;"Starfsbundinn",S44="",$E44="",$D44=""),"",ROUND(S44/$E44*$D44*KVARDI,2))</f>
        <v/>
      </c>
      <c r="U44" s="66" t="n"/>
      <c r="V44" s="78">
        <f>IF(OR(INDEX(Undirviðmið!$G$6:$G$105,ROW()-6)&lt;&gt;"Starfsbundinn",U44="",$E44="",$D44=""),"",ROUND(U44/$E44*$D44*KVARDI,2))</f>
        <v/>
      </c>
      <c r="W44" s="66" t="n"/>
      <c r="X44" s="78">
        <f>IF(OR(INDEX(Undirviðmið!$G$6:$G$105,ROW()-6)&lt;&gt;"Starfsbundinn",W44="",$E44="",$D44=""),"",ROUND(W44/$E44*$D44*KVARDI,2))</f>
        <v/>
      </c>
      <c r="Y44" s="66" t="n"/>
      <c r="Z44" s="78">
        <f>IF(OR(INDEX(Undirviðmið!$G$6:$G$105,ROW()-6)&lt;&gt;"Starfsbundinn",Y44="",$E44="",$D44=""),"",ROUND(Y44/$E44*$D44*KVARDI,2))</f>
        <v/>
      </c>
      <c r="AA44" s="66" t="n"/>
      <c r="AB44" s="78">
        <f>IF(OR(INDEX(Undirviðmið!$G$6:$G$105,ROW()-6)&lt;&gt;"Starfsbundinn",AA44="",$E44="",$D44=""),"",ROUND(AA44/$E44*$D44*KVARDI,2))</f>
        <v/>
      </c>
      <c r="AC44" s="66" t="n"/>
      <c r="AD44" s="78">
        <f>IF(OR(INDEX(Undirviðmið!$G$6:$G$105,ROW()-6)&lt;&gt;"Starfsbundinn",AC44="",$E44="",$D44=""),"",ROUND(AC44/$E44*$D44*KVARDI,2))</f>
        <v/>
      </c>
      <c r="AE44" s="66" t="n"/>
      <c r="AF44" s="78">
        <f>IF(OR(INDEX(Undirviðmið!$G$6:$G$105,ROW()-6)&lt;&gt;"Starfsbundinn",AE44="",$E44="",$D44=""),"",ROUND(AE44/$E44*$D44*KVARDI,2))</f>
        <v/>
      </c>
      <c r="AG44" s="66" t="n"/>
      <c r="AH44" s="78">
        <f>IF(OR(INDEX(Undirviðmið!$G$6:$G$105,ROW()-6)&lt;&gt;"Starfsbundinn",AG44="",$E44="",$D44=""),"",ROUND(AG44/$E44*$D44*KVARDI,2))</f>
        <v/>
      </c>
      <c r="AI44" s="66" t="n"/>
      <c r="AJ44" s="78">
        <f>IF(OR(INDEX(Undirviðmið!$G$6:$G$105,ROW()-6)&lt;&gt;"Starfsbundinn",AI44="",$E44="",$D44=""),"",ROUND(AI44/$E44*$D44*KVARDI,2))</f>
        <v/>
      </c>
      <c r="AK44" s="66" t="n"/>
      <c r="AL44" s="78">
        <f>IF(OR(INDEX(Undirviðmið!$G$6:$G$105,ROW()-6)&lt;&gt;"Starfsbundinn",AK44="",$E44="",$D44=""),"",ROUND(AK44/$E44*$D44*KVARDI,2))</f>
        <v/>
      </c>
      <c r="AM44" s="66" t="n"/>
      <c r="AN44" s="78">
        <f>IF(OR(INDEX(Undirviðmið!$G$6:$G$105,ROW()-6)&lt;&gt;"Starfsbundinn",AM44="",$E44="",$D44=""),"",ROUND(AM44/$E44*$D44*KVARDI,2))</f>
        <v/>
      </c>
      <c r="AO44" s="66" t="n"/>
      <c r="AP44" s="78">
        <f>IF(OR(INDEX(Undirviðmið!$G$6:$G$105,ROW()-6)&lt;&gt;"Starfsbundinn",AO44="",$E44="",$D44=""),"",ROUND(AO44/$E44*$D44*KVARDI,2))</f>
        <v/>
      </c>
      <c r="AQ44" s="66" t="n"/>
      <c r="AR44" s="78">
        <f>IF(OR(INDEX(Undirviðmið!$G$6:$G$105,ROW()-6)&lt;&gt;"Starfsbundinn",AQ44="",$E44="",$D44=""),"",ROUND(AQ44/$E44*$D44*KVARDI,2))</f>
        <v/>
      </c>
      <c r="AS44" s="66" t="n"/>
      <c r="AT44" s="78">
        <f>IF(OR(INDEX(Undirviðmið!$G$6:$G$105,ROW()-6)&lt;&gt;"Starfsbundinn",AS44="",$E44="",$D44=""),"",ROUND(AS44/$E44*$D44*KVARDI,2))</f>
        <v/>
      </c>
      <c r="AU44" s="66" t="n"/>
      <c r="AV44" s="78">
        <f>IF(OR(INDEX(Undirviðmið!$G$6:$G$105,ROW()-6)&lt;&gt;"Starfsbundinn",AU44="",$E44="",$D44=""),"",ROUND(AU44/$E44*$D44*KVARDI,2))</f>
        <v/>
      </c>
      <c r="AW44" s="66" t="n"/>
      <c r="AX44" s="78">
        <f>IF(OR(INDEX(Undirviðmið!$G$6:$G$105,ROW()-6)&lt;&gt;"Starfsbundinn",AW44="",$E44="",$D44=""),"",ROUND(AW44/$E44*$D44*KVARDI,2))</f>
        <v/>
      </c>
      <c r="AY44" s="66" t="n"/>
      <c r="AZ44" s="78">
        <f>IF(OR(INDEX(Undirviðmið!$G$6:$G$105,ROW()-6)&lt;&gt;"Starfsbundinn",AY44="",$E44="",$D44=""),"",ROUND(AY44/$E44*$D44*KVARDI,2))</f>
        <v/>
      </c>
      <c r="BA44" s="66" t="n"/>
      <c r="BB44" s="78">
        <f>IF(OR(INDEX(Undirviðmið!$G$6:$G$105,ROW()-6)&lt;&gt;"Starfsbundinn",BA44="",$E44="",$D44=""),"",ROUND(BA44/$E44*$D44*KVARDI,2))</f>
        <v/>
      </c>
      <c r="BC44" s="66" t="n"/>
      <c r="BD44" s="78">
        <f>IF(OR(INDEX(Undirviðmið!$G$6:$G$105,ROW()-6)&lt;&gt;"Starfsbundinn",BC44="",$E44="",$D44=""),"",ROUND(BC44/$E44*$D44*KVARDI,2))</f>
        <v/>
      </c>
      <c r="BE44" s="66" t="n"/>
      <c r="BF44" s="78">
        <f>IF(OR(INDEX(Undirviðmið!$G$6:$G$105,ROW()-6)&lt;&gt;"Starfsbundinn",BE44="",$E44="",$D44=""),"",ROUND(BE44/$E44*$D44*KVARDI,2))</f>
        <v/>
      </c>
      <c r="BG44" s="66" t="n"/>
      <c r="BH44" s="78">
        <f>IF(OR(INDEX(Undirviðmið!$G$6:$G$105,ROW()-6)&lt;&gt;"Starfsbundinn",BG44="",$E44="",$D44=""),"",ROUND(BG44/$E44*$D44*KVARDI,2))</f>
        <v/>
      </c>
      <c r="BI44" s="66" t="n"/>
      <c r="BJ44" s="78">
        <f>IF(OR(INDEX(Undirviðmið!$G$6:$G$105,ROW()-6)&lt;&gt;"Starfsbundinn",BI44="",$E44="",$D44=""),"",ROUND(BI44/$E44*$D44*KVARDI,2))</f>
        <v/>
      </c>
      <c r="BK44" s="66" t="n"/>
      <c r="BL44" s="78">
        <f>IF(OR(INDEX(Undirviðmið!$G$6:$G$105,ROW()-6)&lt;&gt;"Starfsbundinn",BK44="",$E44="",$D44=""),"",ROUND(BK44/$E44*$D44*KVARDI,2))</f>
        <v/>
      </c>
      <c r="BM44" s="66" t="n"/>
      <c r="BN44" s="78">
        <f>IF(OR(INDEX(Undirviðmið!$G$6:$G$105,ROW()-6)&lt;&gt;"Starfsbundinn",BM44="",$E44="",$D44=""),"",ROUND(BM44/$E44*$D44*KVARDI,2))</f>
        <v/>
      </c>
      <c r="BO44" s="66" t="n"/>
      <c r="BP44" s="78">
        <f>IF(OR(INDEX(Undirviðmið!$G$6:$G$105,ROW()-6)&lt;&gt;"Starfsbundinn",BO44="",$E44="",$D44=""),"",ROUND(BO44/$E44*$D44*KVARDI,2))</f>
        <v/>
      </c>
      <c r="BQ44" s="66" t="n"/>
      <c r="BR44" s="78">
        <f>IF(OR(INDEX(Undirviðmið!$G$6:$G$105,ROW()-6)&lt;&gt;"Starfsbundinn",BQ44="",$E44="",$D44=""),"",ROUND(BQ44/$E44*$D44*KVARDI,2))</f>
        <v/>
      </c>
      <c r="BS44" s="66" t="n"/>
      <c r="BT44" s="78">
        <f>IF(OR(INDEX(Undirviðmið!$G$6:$G$105,ROW()-6)&lt;&gt;"Starfsbundinn",BS44="",$E44="",$D44=""),"",ROUND(BS44/$E44*$D44*KVARDI,2))</f>
        <v/>
      </c>
      <c r="BU44" s="66" t="n"/>
      <c r="BV44" s="78">
        <f>IF(OR(INDEX(Undirviðmið!$G$6:$G$105,ROW()-6)&lt;&gt;"Starfsbundinn",BU44="",$E44="",$D44=""),"",ROUND(BU44/$E44*$D44*KVARDI,2))</f>
        <v/>
      </c>
      <c r="BW44" s="66" t="n"/>
      <c r="BX44" s="78">
        <f>IF(OR(INDEX(Undirviðmið!$G$6:$G$105,ROW()-6)&lt;&gt;"Starfsbundinn",BW44="",$E44="",$D44=""),"",ROUND(BW44/$E44*$D44*KVARDI,2))</f>
        <v/>
      </c>
      <c r="BY44" s="66" t="n"/>
      <c r="BZ44" s="78">
        <f>IF(OR(INDEX(Undirviðmið!$G$6:$G$105,ROW()-6)&lt;&gt;"Starfsbundinn",BY44="",$E44="",$D44=""),"",ROUND(BY44/$E44*$D44*KVARDI,2))</f>
        <v/>
      </c>
      <c r="CA44" s="66" t="n"/>
      <c r="CB44" s="78">
        <f>IF(OR(INDEX(Undirviðmið!$G$6:$G$105,ROW()-6)&lt;&gt;"Starfsbundinn",CA44="",$E44="",$D44=""),"",ROUND(CA44/$E44*$D44*KVARDI,2))</f>
        <v/>
      </c>
      <c r="CC44" s="66" t="n"/>
      <c r="CD44" s="78">
        <f>IF(OR(INDEX(Undirviðmið!$G$6:$G$105,ROW()-6)&lt;&gt;"Starfsbundinn",CC44="",$E44="",$D44=""),"",ROUND(CC44/$E44*$D44*KVARDI,2))</f>
        <v/>
      </c>
      <c r="CE44" s="66" t="n"/>
      <c r="CF44" s="78">
        <f>IF(OR(INDEX(Undirviðmið!$G$6:$G$105,ROW()-6)&lt;&gt;"Starfsbundinn",CE44="",$E44="",$D44=""),"",ROUND(CE44/$E44*$D44*KVARDI,2))</f>
        <v/>
      </c>
      <c r="CG44" s="66" t="n"/>
      <c r="CH44" s="78">
        <f>IF(OR(INDEX(Undirviðmið!$G$6:$G$105,ROW()-6)&lt;&gt;"Starfsbundinn",CG44="",$E44="",$D44=""),"",ROUND(CG44/$E44*$D44*KVARDI,2))</f>
        <v/>
      </c>
      <c r="CI44" s="66" t="n"/>
      <c r="CJ44" s="78">
        <f>IF(OR(INDEX(Undirviðmið!$G$6:$G$105,ROW()-6)&lt;&gt;"Starfsbundinn",CI44="",$E44="",$D44=""),"",ROUND(CI44/$E44*$D44*KVARDI,2))</f>
        <v/>
      </c>
      <c r="CK44" s="66" t="n"/>
      <c r="CL44" s="78">
        <f>IF(OR(INDEX(Undirviðmið!$G$6:$G$105,ROW()-6)&lt;&gt;"Starfsbundinn",CK44="",$E44="",$D44=""),"",ROUND(CK44/$E44*$D44*KVARDI,2))</f>
        <v/>
      </c>
      <c r="CM44" s="66" t="n"/>
      <c r="CN44" s="78">
        <f>IF(OR(INDEX(Undirviðmið!$G$6:$G$105,ROW()-6)&lt;&gt;"Starfsbundinn",CM44="",$E44="",$D44=""),"",ROUND(CM44/$E44*$D44*KVARDI,2))</f>
        <v/>
      </c>
      <c r="CO44" s="66" t="n"/>
      <c r="CP44" s="78">
        <f>IF(OR(INDEX(Undirviðmið!$G$6:$G$105,ROW()-6)&lt;&gt;"Starfsbundinn",CO44="",$E44="",$D44=""),"",ROUND(CO44/$E44*$D44*KVARDI,2))</f>
        <v/>
      </c>
      <c r="CQ44" s="66" t="n"/>
      <c r="CR44" s="78">
        <f>IF(OR(INDEX(Undirviðmið!$G$6:$G$105,ROW()-6)&lt;&gt;"Starfsbundinn",CQ44="",$E44="",$D44=""),"",ROUND(CQ44/$E44*$D44*KVARDI,2))</f>
        <v/>
      </c>
      <c r="CS44" s="66" t="n"/>
      <c r="CT44" s="78">
        <f>IF(OR(INDEX(Undirviðmið!$G$6:$G$105,ROW()-6)&lt;&gt;"Starfsbundinn",CS44="",$E44="",$D44=""),"",ROUND(CS44/$E44*$D44*KVARDI,2))</f>
        <v/>
      </c>
      <c r="CU44" s="66" t="n"/>
      <c r="CV44" s="78">
        <f>IF(OR(INDEX(Undirviðmið!$G$6:$G$105,ROW()-6)&lt;&gt;"Starfsbundinn",CU44="",$E44="",$D44=""),"",ROUND(CU44/$E44*$D44*KVARDI,2))</f>
        <v/>
      </c>
      <c r="CW44" s="66" t="n"/>
      <c r="CX44" s="78">
        <f>IF(OR(INDEX(Undirviðmið!$G$6:$G$105,ROW()-6)&lt;&gt;"Starfsbundinn",CW44="",$E44="",$D44=""),"",ROUND(CW44/$E44*$D44*KVARDI,2))</f>
        <v/>
      </c>
      <c r="CY44" s="66" t="n"/>
      <c r="CZ44" s="78">
        <f>IF(OR(INDEX(Undirviðmið!$G$6:$G$105,ROW()-6)&lt;&gt;"Starfsbundinn",CY44="",$E44="",$D44=""),"",ROUND(CY44/$E44*$D44*KVARDI,2))</f>
        <v/>
      </c>
      <c r="DA44" s="66" t="n"/>
      <c r="DB44" s="78">
        <f>IF(OR(INDEX(Undirviðmið!$G$6:$G$105,ROW()-6)&lt;&gt;"Starfsbundinn",DA44="",$E44="",$D44=""),"",ROUND(DA44/$E44*$D44*KVARDI,2))</f>
        <v/>
      </c>
      <c r="DC44" s="66" t="n"/>
      <c r="DD44" s="78">
        <f>IF(OR(INDEX(Undirviðmið!$G$6:$G$105,ROW()-6)&lt;&gt;"Starfsbundinn",DC44="",$E44="",$D44=""),"",ROUND(DC44/$E44*$D44*KVARDI,2))</f>
        <v/>
      </c>
      <c r="DE44" s="66" t="n"/>
      <c r="DF44" s="78">
        <f>IF(OR(INDEX(Undirviðmið!$G$6:$G$105,ROW()-6)&lt;&gt;"Starfsbundinn",DE44="",$E44="",$D44=""),"",ROUND(DE44/$E44*$D44*KVARDI,2))</f>
        <v/>
      </c>
      <c r="DG44" s="66" t="n"/>
      <c r="DH44" s="78">
        <f>IF(OR(INDEX(Undirviðmið!$G$6:$G$105,ROW()-6)&lt;&gt;"Starfsbundinn",DG44="",$E44="",$D44=""),"",ROUND(DG44/$E44*$D44*KVARDI,2))</f>
        <v/>
      </c>
      <c r="DI44" s="66" t="n"/>
      <c r="DJ44" s="78">
        <f>IF(OR(INDEX(Undirviðmið!$G$6:$G$105,ROW()-6)&lt;&gt;"Starfsbundinn",DI44="",$E44="",$D44=""),"",ROUND(DI44/$E44*$D44*KVARDI,2))</f>
        <v/>
      </c>
      <c r="DK44" s="66" t="n"/>
      <c r="DL44" s="78">
        <f>IF(OR(INDEX(Undirviðmið!$G$6:$G$105,ROW()-6)&lt;&gt;"Starfsbundinn",DK44="",$E44="",$D44=""),"",ROUND(DK44/$E44*$D44*KVARDI,2))</f>
        <v/>
      </c>
      <c r="DM44" s="66" t="n"/>
      <c r="DN44" s="78">
        <f>IF(OR(INDEX(Undirviðmið!$G$6:$G$105,ROW()-6)&lt;&gt;"Starfsbundinn",DM44="",$E44="",$D44=""),"",ROUND(DM44/$E44*$D44*KVARDI,2))</f>
        <v/>
      </c>
      <c r="DO44" s="66" t="n"/>
      <c r="DP44" s="78">
        <f>IF(OR(INDEX(Undirviðmið!$G$6:$G$105,ROW()-6)&lt;&gt;"Starfsbundinn",DO44="",$E44="",$D44=""),"",ROUND(DO44/$E44*$D44*KVARDI,2))</f>
        <v/>
      </c>
      <c r="DQ44" s="66" t="n"/>
      <c r="DR44" s="78">
        <f>IF(OR(INDEX(Undirviðmið!$G$6:$G$105,ROW()-6)&lt;&gt;"Starfsbundinn",DQ44="",$E44="",$D44=""),"",ROUND(DQ44/$E44*$D44*KVARDI,2))</f>
        <v/>
      </c>
      <c r="DS44" s="66" t="n"/>
      <c r="DT44" s="78">
        <f>IF(OR(INDEX(Undirviðmið!$G$6:$G$105,ROW()-6)&lt;&gt;"Starfsbundinn",DS44="",$E44="",$D44=""),"",ROUND(DS44/$E44*$D44*KVARDI,2))</f>
        <v/>
      </c>
      <c r="DU44" s="66" t="n"/>
      <c r="DV44" s="78">
        <f>IF(OR(INDEX(Undirviðmið!$G$6:$G$105,ROW()-6)&lt;&gt;"Starfsbundinn",DU44="",$E44="",$D44=""),"",ROUND(DU44/$E44*$D44*KVARDI,2))</f>
        <v/>
      </c>
      <c r="DW44" s="66" t="n"/>
      <c r="DX44" s="78">
        <f>IF(OR(INDEX(Undirviðmið!$G$6:$G$105,ROW()-6)&lt;&gt;"Starfsbundinn",DW44="",$E44="",$D44=""),"",ROUND(DW44/$E44*$D44*KVARDI,2))</f>
        <v/>
      </c>
      <c r="DY44" s="66" t="n"/>
      <c r="DZ44" s="78">
        <f>IF(OR(INDEX(Undirviðmið!$G$6:$G$105,ROW()-6)&lt;&gt;"Starfsbundinn",DY44="",$E44="",$D44=""),"",ROUND(DY44/$E44*$D44*KVARDI,2))</f>
        <v/>
      </c>
      <c r="EA44" s="66" t="n"/>
      <c r="EB44" s="78">
        <f>IF(OR(INDEX(Undirviðmið!$G$6:$G$105,ROW()-6)&lt;&gt;"Starfsbundinn",EA44="",$E44="",$D44=""),"",ROUND(EA44/$E44*$D44*KVARDI,2))</f>
        <v/>
      </c>
      <c r="EC44" s="66" t="n"/>
      <c r="ED44" s="78">
        <f>IF(OR(INDEX(Undirviðmið!$G$6:$G$105,ROW()-6)&lt;&gt;"Starfsbundinn",EC44="",$E44="",$D44=""),"",ROUND(EC44/$E44*$D44*KVARDI,2))</f>
        <v/>
      </c>
      <c r="EE44" s="66" t="n"/>
      <c r="EF44" s="78">
        <f>IF(OR(INDEX(Undirviðmið!$G$6:$G$105,ROW()-6)&lt;&gt;"Starfsbundinn",EE44="",$E44="",$D44=""),"",ROUND(EE44/$E44*$D44*KVARDI,2))</f>
        <v/>
      </c>
      <c r="EG44" s="66" t="n"/>
      <c r="EH44" s="78">
        <f>IF(OR(INDEX(Undirviðmið!$G$6:$G$105,ROW()-6)&lt;&gt;"Starfsbundinn",EG44="",$E44="",$D44=""),"",ROUND(EG44/$E44*$D44*KVARDI,2))</f>
        <v/>
      </c>
      <c r="EI44" s="66" t="n"/>
      <c r="EJ44" s="78">
        <f>IF(OR(INDEX(Undirviðmið!$G$6:$G$105,ROW()-6)&lt;&gt;"Starfsbundinn",EI44="",$E44="",$D44=""),"",ROUND(EI44/$E44*$D44*KVARDI,2))</f>
        <v/>
      </c>
      <c r="EK44" s="66" t="n"/>
      <c r="EL44" s="78">
        <f>IF(OR(INDEX(Undirviðmið!$G$6:$G$105,ROW()-6)&lt;&gt;"Starfsbundinn",EK44="",$E44="",$D44=""),"",ROUND(EK44/$E44*$D44*KVARDI,2))</f>
        <v/>
      </c>
      <c r="EM44" s="66" t="n"/>
      <c r="EN44" s="78">
        <f>IF(OR(INDEX(Undirviðmið!$G$6:$G$105,ROW()-6)&lt;&gt;"Starfsbundinn",EM44="",$E44="",$D44=""),"",ROUND(EM44/$E44*$D44*KVARDI,2))</f>
        <v/>
      </c>
      <c r="EO44" s="66" t="n"/>
      <c r="EP44" s="78">
        <f>IF(OR(INDEX(Undirviðmið!$G$6:$G$105,ROW()-6)&lt;&gt;"Starfsbundinn",EO44="",$E44="",$D44=""),"",ROUND(EO44/$E44*$D44*KVARDI,2))</f>
        <v/>
      </c>
      <c r="EQ44" s="66" t="n"/>
      <c r="ER44" s="78">
        <f>IF(OR(INDEX(Undirviðmið!$G$6:$G$105,ROW()-6)&lt;&gt;"Starfsbundinn",EQ44="",$E44="",$D44=""),"",ROUND(EQ44/$E44*$D44*KVARDI,2))</f>
        <v/>
      </c>
      <c r="ES44" s="66" t="n"/>
      <c r="ET44" s="78">
        <f>IF(OR(INDEX(Undirviðmið!$G$6:$G$105,ROW()-6)&lt;&gt;"Starfsbundinn",ES44="",$E44="",$D44=""),"",ROUND(ES44/$E44*$D44*KVARDI,2))</f>
        <v/>
      </c>
      <c r="EU44" s="66" t="n"/>
      <c r="EV44" s="78">
        <f>IF(OR(INDEX(Undirviðmið!$G$6:$G$105,ROW()-6)&lt;&gt;"Starfsbundinn",EU44="",$E44="",$D44=""),"",ROUND(EU44/$E44*$D44*KVARDI,2))</f>
        <v/>
      </c>
      <c r="EW44" s="66" t="n"/>
      <c r="EX44" s="78">
        <f>IF(OR(INDEX(Undirviðmið!$G$6:$G$105,ROW()-6)&lt;&gt;"Starfsbundinn",EW44="",$E44="",$D44=""),"",ROUND(EW44/$E44*$D44*KVARDI,2))</f>
        <v/>
      </c>
      <c r="EY44" s="66" t="n"/>
      <c r="EZ44" s="78">
        <f>IF(OR(INDEX(Undirviðmið!$G$6:$G$105,ROW()-6)&lt;&gt;"Starfsbundinn",EY44="",$E44="",$D44=""),"",ROUND(EY44/$E44*$D44*KVARDI,2))</f>
        <v/>
      </c>
      <c r="FA44" s="66" t="n"/>
      <c r="FB44" s="78">
        <f>IF(OR(INDEX(Undirviðmið!$G$6:$G$105,ROW()-6)&lt;&gt;"Starfsbundinn",FA44="",$E44="",$D44=""),"",ROUND(FA44/$E44*$D44*KVARDI,2))</f>
        <v/>
      </c>
      <c r="FC44" s="66" t="n"/>
      <c r="FD44" s="78">
        <f>IF(OR(INDEX(Undirviðmið!$G$6:$G$105,ROW()-6)&lt;&gt;"Starfsbundinn",FC44="",$E44="",$D44=""),"",ROUND(FC44/$E44*$D44*KVARDI,2))</f>
        <v/>
      </c>
      <c r="FE44" s="66" t="n"/>
      <c r="FF44" s="78">
        <f>IF(OR(INDEX(Undirviðmið!$G$6:$G$105,ROW()-6)&lt;&gt;"Starfsbundinn",FE44="",$E44="",$D44=""),"",ROUND(FE44/$E44*$D44*KVARDI,2))</f>
        <v/>
      </c>
      <c r="FG44" s="66" t="n"/>
      <c r="FH44" s="78">
        <f>IF(OR(INDEX(Undirviðmið!$G$6:$G$105,ROW()-6)&lt;&gt;"Starfsbundinn",FG44="",$E44="",$D44=""),"",ROUND(FG44/$E44*$D44*KVARDI,2))</f>
        <v/>
      </c>
      <c r="FI44" s="66" t="n"/>
      <c r="FJ44" s="78">
        <f>IF(OR(INDEX(Undirviðmið!$G$6:$G$105,ROW()-6)&lt;&gt;"Starfsbundinn",FI44="",$E44="",$D44=""),"",ROUND(FI44/$E44*$D44*KVARDI,2))</f>
        <v/>
      </c>
      <c r="FK44" s="66" t="n"/>
      <c r="FL44" s="78">
        <f>IF(OR(INDEX(Undirviðmið!$G$6:$G$105,ROW()-6)&lt;&gt;"Starfsbundinn",FK44="",$E44="",$D44=""),"",ROUND(FK44/$E44*$D44*KVARDI,2))</f>
        <v/>
      </c>
      <c r="FM44" s="66" t="n"/>
      <c r="FN44" s="78">
        <f>IF(OR(INDEX(Undirviðmið!$G$6:$G$105,ROW()-6)&lt;&gt;"Starfsbundinn",FM44="",$E44="",$D44=""),"",ROUND(FM44/$E44*$D44*KVARDI,2))</f>
        <v/>
      </c>
      <c r="FO44" s="66" t="n"/>
      <c r="FP44" s="78">
        <f>IF(OR(INDEX(Undirviðmið!$G$6:$G$105,ROW()-6)&lt;&gt;"Starfsbundinn",FO44="",$E44="",$D44=""),"",ROUND(FO44/$E44*$D44*KVARDI,2))</f>
        <v/>
      </c>
      <c r="FQ44" s="66" t="n"/>
      <c r="FR44" s="78">
        <f>IF(OR(INDEX(Undirviðmið!$G$6:$G$105,ROW()-6)&lt;&gt;"Starfsbundinn",FQ44="",$E44="",$D44=""),"",ROUND(FQ44/$E44*$D44*KVARDI,2))</f>
        <v/>
      </c>
      <c r="FS44" s="66" t="n"/>
      <c r="FT44" s="78">
        <f>IF(OR(INDEX(Undirviðmið!$G$6:$G$105,ROW()-6)&lt;&gt;"Starfsbundinn",FS44="",$E44="",$D44=""),"",ROUND(FS44/$E44*$D44*KVARDI,2))</f>
        <v/>
      </c>
      <c r="FU44" s="66" t="n"/>
      <c r="FV44" s="78">
        <f>IF(OR(INDEX(Undirviðmið!$G$6:$G$105,ROW()-6)&lt;&gt;"Starfsbundinn",FU44="",$E44="",$D44=""),"",ROUND(FU44/$E44*$D44*KVARDI,2))</f>
        <v/>
      </c>
      <c r="FW44" s="66" t="n"/>
      <c r="FX44" s="78">
        <f>IF(OR(INDEX(Undirviðmið!$G$6:$G$105,ROW()-6)&lt;&gt;"Starfsbundinn",FW44="",$E44="",$D44=""),"",ROUND(FW44/$E44*$D44*KVARDI,2))</f>
        <v/>
      </c>
      <c r="FY44" s="66" t="n"/>
      <c r="FZ44" s="78">
        <f>IF(OR(INDEX(Undirviðmið!$G$6:$G$105,ROW()-6)&lt;&gt;"Starfsbundinn",FY44="",$E44="",$D44=""),"",ROUND(FY44/$E44*$D44*KVARDI,2))</f>
        <v/>
      </c>
      <c r="GA44" s="66" t="n"/>
      <c r="GB44" s="78">
        <f>IF(OR(INDEX(Undirviðmið!$G$6:$G$105,ROW()-6)&lt;&gt;"Starfsbundinn",GA44="",$E44="",$D44=""),"",ROUND(GA44/$E44*$D44*KVARDI,2))</f>
        <v/>
      </c>
      <c r="GC44" s="66" t="n"/>
      <c r="GD44" s="78">
        <f>IF(OR(INDEX(Undirviðmið!$G$6:$G$105,ROW()-6)&lt;&gt;"Starfsbundinn",GC44="",$E44="",$D44=""),"",ROUND(GC44/$E44*$D44*KVARDI,2))</f>
        <v/>
      </c>
      <c r="GE44" s="66" t="n"/>
      <c r="GF44" s="78">
        <f>IF(OR(INDEX(Undirviðmið!$G$6:$G$105,ROW()-6)&lt;&gt;"Starfsbundinn",GE44="",$E44="",$D44=""),"",ROUND(GE44/$E44*$D44*KVARDI,2))</f>
        <v/>
      </c>
      <c r="GG44" s="66" t="n"/>
      <c r="GH44" s="78">
        <f>IF(OR(INDEX(Undirviðmið!$G$6:$G$105,ROW()-6)&lt;&gt;"Starfsbundinn",GG44="",$E44="",$D44=""),"",ROUND(GG44/$E44*$D44*KVARDI,2))</f>
        <v/>
      </c>
      <c r="GI44" s="66" t="n"/>
      <c r="GJ44" s="78">
        <f>IF(OR(INDEX(Undirviðmið!$G$6:$G$105,ROW()-6)&lt;&gt;"Starfsbundinn",GI44="",$E44="",$D44=""),"",ROUND(GI44/$E44*$D44*KVARDI,2))</f>
        <v/>
      </c>
      <c r="GK44" s="66" t="n"/>
      <c r="GL44" s="78">
        <f>IF(OR(INDEX(Undirviðmið!$G$6:$G$105,ROW()-6)&lt;&gt;"Starfsbundinn",GK44="",$E44="",$D44=""),"",ROUND(GK44/$E44*$D44*KVARDI,2))</f>
        <v/>
      </c>
      <c r="GM44" s="66" t="n"/>
      <c r="GN44" s="78">
        <f>IF(OR(INDEX(Undirviðmið!$G$6:$G$105,ROW()-6)&lt;&gt;"Starfsbundinn",GM44="",$E44="",$D44=""),"",ROUND(GM44/$E44*$D44*KVARDI,2))</f>
        <v/>
      </c>
      <c r="GO44" s="66" t="n"/>
      <c r="GP44" s="78">
        <f>IF(OR(INDEX(Undirviðmið!$G$6:$G$105,ROW()-6)&lt;&gt;"Starfsbundinn",GO44="",$E44="",$D44=""),"",ROUND(GO44/$E44*$D44*KVARDI,2))</f>
        <v/>
      </c>
      <c r="GQ44" s="66" t="n"/>
      <c r="GR44" s="78">
        <f>IF(OR(INDEX(Undirviðmið!$G$6:$G$105,ROW()-6)&lt;&gt;"Starfsbundinn",GQ44="",$E44="",$D44=""),"",ROUND(GQ44/$E44*$D44*KVARDI,2))</f>
        <v/>
      </c>
      <c r="GS44" s="66" t="n"/>
      <c r="GT44" s="78">
        <f>IF(OR(INDEX(Undirviðmið!$G$6:$G$105,ROW()-6)&lt;&gt;"Starfsbundinn",GS44="",$E44="",$D44=""),"",ROUND(GS44/$E44*$D44*KVARDI,2))</f>
        <v/>
      </c>
      <c r="GU44" s="66" t="n"/>
      <c r="GV44" s="78">
        <f>IF(OR(INDEX(Undirviðmið!$G$6:$G$105,ROW()-6)&lt;&gt;"Starfsbundinn",GU44="",$E44="",$D44=""),"",ROUND(GU44/$E44*$D44*KVARDI,2))</f>
        <v/>
      </c>
      <c r="GW44" s="66" t="n"/>
      <c r="GX44" s="78">
        <f>IF(OR(INDEX(Undirviðmið!$G$6:$G$105,ROW()-6)&lt;&gt;"Starfsbundinn",GW44="",$E44="",$D44=""),"",ROUND(GW44/$E44*$D44*KVARDI,2))</f>
        <v/>
      </c>
    </row>
    <row r="45" ht="15" customHeight="1" s="47">
      <c r="B45" s="67">
        <f>IF(INDEX(Undirviðmið!$G$6:$G$105,ROW()-6)="Starfsbundinn",INDEX(Undirviðmið!$B$6:$B$105,ROW()-6),"")</f>
        <v/>
      </c>
      <c r="C45" s="67">
        <f>IF(INDEX(Undirviðmið!$G$6:$G$105,ROW()-6)="Starfsbundinn",INDEX(Undirviðmið!$C$6:$C$105,ROW()-6),"")</f>
        <v/>
      </c>
      <c r="D45" s="77">
        <f>IF(INDEX(Undirviðmið!$G$6:$G$105,ROW()-6)="Starfsbundinn",INDEX(Undirviðmið!$E$6:$E$105,ROW()-6),"")</f>
        <v/>
      </c>
      <c r="E45" s="77">
        <f>IF(INDEX(Undirviðmið!$G$6:$G$105,ROW()-6)="Starfsbundinn",INDEX(Undirviðmið!$F$6:$F$105,ROW()-6),"")</f>
        <v/>
      </c>
      <c r="F45" s="77">
        <f>IF(INDEX(Undirviðmið!$G$6:$G$105,ROW()-6)="Starfsbundinn",IFERROR(INDEX(Undirviðmið!$E$6:$E$105,ROW()-6)*KVARDI,""),"")</f>
        <v/>
      </c>
      <c r="G45" s="66" t="n"/>
      <c r="H45" s="78">
        <f>IF(OR(INDEX(Undirviðmið!$G$6:$G$105,ROW()-6)&lt;&gt;"Starfsbundinn",G45="",$E45="",$D45=""),"",ROUND(G45/$E45*$D45*KVARDI,2))</f>
        <v/>
      </c>
      <c r="I45" s="66" t="n"/>
      <c r="J45" s="78">
        <f>IF(OR(INDEX(Undirviðmið!$G$6:$G$105,ROW()-6)&lt;&gt;"Starfsbundinn",I45="",$E45="",$D45=""),"",ROUND(I45/$E45*$D45*KVARDI,2))</f>
        <v/>
      </c>
      <c r="K45" s="66" t="n"/>
      <c r="L45" s="78">
        <f>IF(OR(INDEX(Undirviðmið!$G$6:$G$105,ROW()-6)&lt;&gt;"Starfsbundinn",K45="",$E45="",$D45=""),"",ROUND(K45/$E45*$D45*KVARDI,2))</f>
        <v/>
      </c>
      <c r="M45" s="66" t="n"/>
      <c r="N45" s="78">
        <f>IF(OR(INDEX(Undirviðmið!$G$6:$G$105,ROW()-6)&lt;&gt;"Starfsbundinn",M45="",$E45="",$D45=""),"",ROUND(M45/$E45*$D45*KVARDI,2))</f>
        <v/>
      </c>
      <c r="O45" s="66" t="n"/>
      <c r="P45" s="78">
        <f>IF(OR(INDEX(Undirviðmið!$G$6:$G$105,ROW()-6)&lt;&gt;"Starfsbundinn",O45="",$E45="",$D45=""),"",ROUND(O45/$E45*$D45*KVARDI,2))</f>
        <v/>
      </c>
      <c r="Q45" s="66" t="n"/>
      <c r="R45" s="78">
        <f>IF(OR(INDEX(Undirviðmið!$G$6:$G$105,ROW()-6)&lt;&gt;"Starfsbundinn",Q45="",$E45="",$D45=""),"",ROUND(Q45/$E45*$D45*KVARDI,2))</f>
        <v/>
      </c>
      <c r="S45" s="66" t="n"/>
      <c r="T45" s="78">
        <f>IF(OR(INDEX(Undirviðmið!$G$6:$G$105,ROW()-6)&lt;&gt;"Starfsbundinn",S45="",$E45="",$D45=""),"",ROUND(S45/$E45*$D45*KVARDI,2))</f>
        <v/>
      </c>
      <c r="U45" s="66" t="n"/>
      <c r="V45" s="78">
        <f>IF(OR(INDEX(Undirviðmið!$G$6:$G$105,ROW()-6)&lt;&gt;"Starfsbundinn",U45="",$E45="",$D45=""),"",ROUND(U45/$E45*$D45*KVARDI,2))</f>
        <v/>
      </c>
      <c r="W45" s="66" t="n"/>
      <c r="X45" s="78">
        <f>IF(OR(INDEX(Undirviðmið!$G$6:$G$105,ROW()-6)&lt;&gt;"Starfsbundinn",W45="",$E45="",$D45=""),"",ROUND(W45/$E45*$D45*KVARDI,2))</f>
        <v/>
      </c>
      <c r="Y45" s="66" t="n"/>
      <c r="Z45" s="78">
        <f>IF(OR(INDEX(Undirviðmið!$G$6:$G$105,ROW()-6)&lt;&gt;"Starfsbundinn",Y45="",$E45="",$D45=""),"",ROUND(Y45/$E45*$D45*KVARDI,2))</f>
        <v/>
      </c>
      <c r="AA45" s="66" t="n"/>
      <c r="AB45" s="78">
        <f>IF(OR(INDEX(Undirviðmið!$G$6:$G$105,ROW()-6)&lt;&gt;"Starfsbundinn",AA45="",$E45="",$D45=""),"",ROUND(AA45/$E45*$D45*KVARDI,2))</f>
        <v/>
      </c>
      <c r="AC45" s="66" t="n"/>
      <c r="AD45" s="78">
        <f>IF(OR(INDEX(Undirviðmið!$G$6:$G$105,ROW()-6)&lt;&gt;"Starfsbundinn",AC45="",$E45="",$D45=""),"",ROUND(AC45/$E45*$D45*KVARDI,2))</f>
        <v/>
      </c>
      <c r="AE45" s="66" t="n"/>
      <c r="AF45" s="78">
        <f>IF(OR(INDEX(Undirviðmið!$G$6:$G$105,ROW()-6)&lt;&gt;"Starfsbundinn",AE45="",$E45="",$D45=""),"",ROUND(AE45/$E45*$D45*KVARDI,2))</f>
        <v/>
      </c>
      <c r="AG45" s="66" t="n"/>
      <c r="AH45" s="78">
        <f>IF(OR(INDEX(Undirviðmið!$G$6:$G$105,ROW()-6)&lt;&gt;"Starfsbundinn",AG45="",$E45="",$D45=""),"",ROUND(AG45/$E45*$D45*KVARDI,2))</f>
        <v/>
      </c>
      <c r="AI45" s="66" t="n"/>
      <c r="AJ45" s="78">
        <f>IF(OR(INDEX(Undirviðmið!$G$6:$G$105,ROW()-6)&lt;&gt;"Starfsbundinn",AI45="",$E45="",$D45=""),"",ROUND(AI45/$E45*$D45*KVARDI,2))</f>
        <v/>
      </c>
      <c r="AK45" s="66" t="n"/>
      <c r="AL45" s="78">
        <f>IF(OR(INDEX(Undirviðmið!$G$6:$G$105,ROW()-6)&lt;&gt;"Starfsbundinn",AK45="",$E45="",$D45=""),"",ROUND(AK45/$E45*$D45*KVARDI,2))</f>
        <v/>
      </c>
      <c r="AM45" s="66" t="n"/>
      <c r="AN45" s="78">
        <f>IF(OR(INDEX(Undirviðmið!$G$6:$G$105,ROW()-6)&lt;&gt;"Starfsbundinn",AM45="",$E45="",$D45=""),"",ROUND(AM45/$E45*$D45*KVARDI,2))</f>
        <v/>
      </c>
      <c r="AO45" s="66" t="n"/>
      <c r="AP45" s="78">
        <f>IF(OR(INDEX(Undirviðmið!$G$6:$G$105,ROW()-6)&lt;&gt;"Starfsbundinn",AO45="",$E45="",$D45=""),"",ROUND(AO45/$E45*$D45*KVARDI,2))</f>
        <v/>
      </c>
      <c r="AQ45" s="66" t="n"/>
      <c r="AR45" s="78">
        <f>IF(OR(INDEX(Undirviðmið!$G$6:$G$105,ROW()-6)&lt;&gt;"Starfsbundinn",AQ45="",$E45="",$D45=""),"",ROUND(AQ45/$E45*$D45*KVARDI,2))</f>
        <v/>
      </c>
      <c r="AS45" s="66" t="n"/>
      <c r="AT45" s="78">
        <f>IF(OR(INDEX(Undirviðmið!$G$6:$G$105,ROW()-6)&lt;&gt;"Starfsbundinn",AS45="",$E45="",$D45=""),"",ROUND(AS45/$E45*$D45*KVARDI,2))</f>
        <v/>
      </c>
      <c r="AU45" s="66" t="n"/>
      <c r="AV45" s="78">
        <f>IF(OR(INDEX(Undirviðmið!$G$6:$G$105,ROW()-6)&lt;&gt;"Starfsbundinn",AU45="",$E45="",$D45=""),"",ROUND(AU45/$E45*$D45*KVARDI,2))</f>
        <v/>
      </c>
      <c r="AW45" s="66" t="n"/>
      <c r="AX45" s="78">
        <f>IF(OR(INDEX(Undirviðmið!$G$6:$G$105,ROW()-6)&lt;&gt;"Starfsbundinn",AW45="",$E45="",$D45=""),"",ROUND(AW45/$E45*$D45*KVARDI,2))</f>
        <v/>
      </c>
      <c r="AY45" s="66" t="n"/>
      <c r="AZ45" s="78">
        <f>IF(OR(INDEX(Undirviðmið!$G$6:$G$105,ROW()-6)&lt;&gt;"Starfsbundinn",AY45="",$E45="",$D45=""),"",ROUND(AY45/$E45*$D45*KVARDI,2))</f>
        <v/>
      </c>
      <c r="BA45" s="66" t="n"/>
      <c r="BB45" s="78">
        <f>IF(OR(INDEX(Undirviðmið!$G$6:$G$105,ROW()-6)&lt;&gt;"Starfsbundinn",BA45="",$E45="",$D45=""),"",ROUND(BA45/$E45*$D45*KVARDI,2))</f>
        <v/>
      </c>
      <c r="BC45" s="66" t="n"/>
      <c r="BD45" s="78">
        <f>IF(OR(INDEX(Undirviðmið!$G$6:$G$105,ROW()-6)&lt;&gt;"Starfsbundinn",BC45="",$E45="",$D45=""),"",ROUND(BC45/$E45*$D45*KVARDI,2))</f>
        <v/>
      </c>
      <c r="BE45" s="66" t="n"/>
      <c r="BF45" s="78">
        <f>IF(OR(INDEX(Undirviðmið!$G$6:$G$105,ROW()-6)&lt;&gt;"Starfsbundinn",BE45="",$E45="",$D45=""),"",ROUND(BE45/$E45*$D45*KVARDI,2))</f>
        <v/>
      </c>
      <c r="BG45" s="66" t="n"/>
      <c r="BH45" s="78">
        <f>IF(OR(INDEX(Undirviðmið!$G$6:$G$105,ROW()-6)&lt;&gt;"Starfsbundinn",BG45="",$E45="",$D45=""),"",ROUND(BG45/$E45*$D45*KVARDI,2))</f>
        <v/>
      </c>
      <c r="BI45" s="66" t="n"/>
      <c r="BJ45" s="78">
        <f>IF(OR(INDEX(Undirviðmið!$G$6:$G$105,ROW()-6)&lt;&gt;"Starfsbundinn",BI45="",$E45="",$D45=""),"",ROUND(BI45/$E45*$D45*KVARDI,2))</f>
        <v/>
      </c>
      <c r="BK45" s="66" t="n"/>
      <c r="BL45" s="78">
        <f>IF(OR(INDEX(Undirviðmið!$G$6:$G$105,ROW()-6)&lt;&gt;"Starfsbundinn",BK45="",$E45="",$D45=""),"",ROUND(BK45/$E45*$D45*KVARDI,2))</f>
        <v/>
      </c>
      <c r="BM45" s="66" t="n"/>
      <c r="BN45" s="78">
        <f>IF(OR(INDEX(Undirviðmið!$G$6:$G$105,ROW()-6)&lt;&gt;"Starfsbundinn",BM45="",$E45="",$D45=""),"",ROUND(BM45/$E45*$D45*KVARDI,2))</f>
        <v/>
      </c>
      <c r="BO45" s="66" t="n"/>
      <c r="BP45" s="78">
        <f>IF(OR(INDEX(Undirviðmið!$G$6:$G$105,ROW()-6)&lt;&gt;"Starfsbundinn",BO45="",$E45="",$D45=""),"",ROUND(BO45/$E45*$D45*KVARDI,2))</f>
        <v/>
      </c>
      <c r="BQ45" s="66" t="n"/>
      <c r="BR45" s="78">
        <f>IF(OR(INDEX(Undirviðmið!$G$6:$G$105,ROW()-6)&lt;&gt;"Starfsbundinn",BQ45="",$E45="",$D45=""),"",ROUND(BQ45/$E45*$D45*KVARDI,2))</f>
        <v/>
      </c>
      <c r="BS45" s="66" t="n"/>
      <c r="BT45" s="78">
        <f>IF(OR(INDEX(Undirviðmið!$G$6:$G$105,ROW()-6)&lt;&gt;"Starfsbundinn",BS45="",$E45="",$D45=""),"",ROUND(BS45/$E45*$D45*KVARDI,2))</f>
        <v/>
      </c>
      <c r="BU45" s="66" t="n"/>
      <c r="BV45" s="78">
        <f>IF(OR(INDEX(Undirviðmið!$G$6:$G$105,ROW()-6)&lt;&gt;"Starfsbundinn",BU45="",$E45="",$D45=""),"",ROUND(BU45/$E45*$D45*KVARDI,2))</f>
        <v/>
      </c>
      <c r="BW45" s="66" t="n"/>
      <c r="BX45" s="78">
        <f>IF(OR(INDEX(Undirviðmið!$G$6:$G$105,ROW()-6)&lt;&gt;"Starfsbundinn",BW45="",$E45="",$D45=""),"",ROUND(BW45/$E45*$D45*KVARDI,2))</f>
        <v/>
      </c>
      <c r="BY45" s="66" t="n"/>
      <c r="BZ45" s="78">
        <f>IF(OR(INDEX(Undirviðmið!$G$6:$G$105,ROW()-6)&lt;&gt;"Starfsbundinn",BY45="",$E45="",$D45=""),"",ROUND(BY45/$E45*$D45*KVARDI,2))</f>
        <v/>
      </c>
      <c r="CA45" s="66" t="n"/>
      <c r="CB45" s="78">
        <f>IF(OR(INDEX(Undirviðmið!$G$6:$G$105,ROW()-6)&lt;&gt;"Starfsbundinn",CA45="",$E45="",$D45=""),"",ROUND(CA45/$E45*$D45*KVARDI,2))</f>
        <v/>
      </c>
      <c r="CC45" s="66" t="n"/>
      <c r="CD45" s="78">
        <f>IF(OR(INDEX(Undirviðmið!$G$6:$G$105,ROW()-6)&lt;&gt;"Starfsbundinn",CC45="",$E45="",$D45=""),"",ROUND(CC45/$E45*$D45*KVARDI,2))</f>
        <v/>
      </c>
      <c r="CE45" s="66" t="n"/>
      <c r="CF45" s="78">
        <f>IF(OR(INDEX(Undirviðmið!$G$6:$G$105,ROW()-6)&lt;&gt;"Starfsbundinn",CE45="",$E45="",$D45=""),"",ROUND(CE45/$E45*$D45*KVARDI,2))</f>
        <v/>
      </c>
      <c r="CG45" s="66" t="n"/>
      <c r="CH45" s="78">
        <f>IF(OR(INDEX(Undirviðmið!$G$6:$G$105,ROW()-6)&lt;&gt;"Starfsbundinn",CG45="",$E45="",$D45=""),"",ROUND(CG45/$E45*$D45*KVARDI,2))</f>
        <v/>
      </c>
      <c r="CI45" s="66" t="n"/>
      <c r="CJ45" s="78">
        <f>IF(OR(INDEX(Undirviðmið!$G$6:$G$105,ROW()-6)&lt;&gt;"Starfsbundinn",CI45="",$E45="",$D45=""),"",ROUND(CI45/$E45*$D45*KVARDI,2))</f>
        <v/>
      </c>
      <c r="CK45" s="66" t="n"/>
      <c r="CL45" s="78">
        <f>IF(OR(INDEX(Undirviðmið!$G$6:$G$105,ROW()-6)&lt;&gt;"Starfsbundinn",CK45="",$E45="",$D45=""),"",ROUND(CK45/$E45*$D45*KVARDI,2))</f>
        <v/>
      </c>
      <c r="CM45" s="66" t="n"/>
      <c r="CN45" s="78">
        <f>IF(OR(INDEX(Undirviðmið!$G$6:$G$105,ROW()-6)&lt;&gt;"Starfsbundinn",CM45="",$E45="",$D45=""),"",ROUND(CM45/$E45*$D45*KVARDI,2))</f>
        <v/>
      </c>
      <c r="CO45" s="66" t="n"/>
      <c r="CP45" s="78">
        <f>IF(OR(INDEX(Undirviðmið!$G$6:$G$105,ROW()-6)&lt;&gt;"Starfsbundinn",CO45="",$E45="",$D45=""),"",ROUND(CO45/$E45*$D45*KVARDI,2))</f>
        <v/>
      </c>
      <c r="CQ45" s="66" t="n"/>
      <c r="CR45" s="78">
        <f>IF(OR(INDEX(Undirviðmið!$G$6:$G$105,ROW()-6)&lt;&gt;"Starfsbundinn",CQ45="",$E45="",$D45=""),"",ROUND(CQ45/$E45*$D45*KVARDI,2))</f>
        <v/>
      </c>
      <c r="CS45" s="66" t="n"/>
      <c r="CT45" s="78">
        <f>IF(OR(INDEX(Undirviðmið!$G$6:$G$105,ROW()-6)&lt;&gt;"Starfsbundinn",CS45="",$E45="",$D45=""),"",ROUND(CS45/$E45*$D45*KVARDI,2))</f>
        <v/>
      </c>
      <c r="CU45" s="66" t="n"/>
      <c r="CV45" s="78">
        <f>IF(OR(INDEX(Undirviðmið!$G$6:$G$105,ROW()-6)&lt;&gt;"Starfsbundinn",CU45="",$E45="",$D45=""),"",ROUND(CU45/$E45*$D45*KVARDI,2))</f>
        <v/>
      </c>
      <c r="CW45" s="66" t="n"/>
      <c r="CX45" s="78">
        <f>IF(OR(INDEX(Undirviðmið!$G$6:$G$105,ROW()-6)&lt;&gt;"Starfsbundinn",CW45="",$E45="",$D45=""),"",ROUND(CW45/$E45*$D45*KVARDI,2))</f>
        <v/>
      </c>
      <c r="CY45" s="66" t="n"/>
      <c r="CZ45" s="78">
        <f>IF(OR(INDEX(Undirviðmið!$G$6:$G$105,ROW()-6)&lt;&gt;"Starfsbundinn",CY45="",$E45="",$D45=""),"",ROUND(CY45/$E45*$D45*KVARDI,2))</f>
        <v/>
      </c>
      <c r="DA45" s="66" t="n"/>
      <c r="DB45" s="78">
        <f>IF(OR(INDEX(Undirviðmið!$G$6:$G$105,ROW()-6)&lt;&gt;"Starfsbundinn",DA45="",$E45="",$D45=""),"",ROUND(DA45/$E45*$D45*KVARDI,2))</f>
        <v/>
      </c>
      <c r="DC45" s="66" t="n"/>
      <c r="DD45" s="78">
        <f>IF(OR(INDEX(Undirviðmið!$G$6:$G$105,ROW()-6)&lt;&gt;"Starfsbundinn",DC45="",$E45="",$D45=""),"",ROUND(DC45/$E45*$D45*KVARDI,2))</f>
        <v/>
      </c>
      <c r="DE45" s="66" t="n"/>
      <c r="DF45" s="78">
        <f>IF(OR(INDEX(Undirviðmið!$G$6:$G$105,ROW()-6)&lt;&gt;"Starfsbundinn",DE45="",$E45="",$D45=""),"",ROUND(DE45/$E45*$D45*KVARDI,2))</f>
        <v/>
      </c>
      <c r="DG45" s="66" t="n"/>
      <c r="DH45" s="78">
        <f>IF(OR(INDEX(Undirviðmið!$G$6:$G$105,ROW()-6)&lt;&gt;"Starfsbundinn",DG45="",$E45="",$D45=""),"",ROUND(DG45/$E45*$D45*KVARDI,2))</f>
        <v/>
      </c>
      <c r="DI45" s="66" t="n"/>
      <c r="DJ45" s="78">
        <f>IF(OR(INDEX(Undirviðmið!$G$6:$G$105,ROW()-6)&lt;&gt;"Starfsbundinn",DI45="",$E45="",$D45=""),"",ROUND(DI45/$E45*$D45*KVARDI,2))</f>
        <v/>
      </c>
      <c r="DK45" s="66" t="n"/>
      <c r="DL45" s="78">
        <f>IF(OR(INDEX(Undirviðmið!$G$6:$G$105,ROW()-6)&lt;&gt;"Starfsbundinn",DK45="",$E45="",$D45=""),"",ROUND(DK45/$E45*$D45*KVARDI,2))</f>
        <v/>
      </c>
      <c r="DM45" s="66" t="n"/>
      <c r="DN45" s="78">
        <f>IF(OR(INDEX(Undirviðmið!$G$6:$G$105,ROW()-6)&lt;&gt;"Starfsbundinn",DM45="",$E45="",$D45=""),"",ROUND(DM45/$E45*$D45*KVARDI,2))</f>
        <v/>
      </c>
      <c r="DO45" s="66" t="n"/>
      <c r="DP45" s="78">
        <f>IF(OR(INDEX(Undirviðmið!$G$6:$G$105,ROW()-6)&lt;&gt;"Starfsbundinn",DO45="",$E45="",$D45=""),"",ROUND(DO45/$E45*$D45*KVARDI,2))</f>
        <v/>
      </c>
      <c r="DQ45" s="66" t="n"/>
      <c r="DR45" s="78">
        <f>IF(OR(INDEX(Undirviðmið!$G$6:$G$105,ROW()-6)&lt;&gt;"Starfsbundinn",DQ45="",$E45="",$D45=""),"",ROUND(DQ45/$E45*$D45*KVARDI,2))</f>
        <v/>
      </c>
      <c r="DS45" s="66" t="n"/>
      <c r="DT45" s="78">
        <f>IF(OR(INDEX(Undirviðmið!$G$6:$G$105,ROW()-6)&lt;&gt;"Starfsbundinn",DS45="",$E45="",$D45=""),"",ROUND(DS45/$E45*$D45*KVARDI,2))</f>
        <v/>
      </c>
      <c r="DU45" s="66" t="n"/>
      <c r="DV45" s="78">
        <f>IF(OR(INDEX(Undirviðmið!$G$6:$G$105,ROW()-6)&lt;&gt;"Starfsbundinn",DU45="",$E45="",$D45=""),"",ROUND(DU45/$E45*$D45*KVARDI,2))</f>
        <v/>
      </c>
      <c r="DW45" s="66" t="n"/>
      <c r="DX45" s="78">
        <f>IF(OR(INDEX(Undirviðmið!$G$6:$G$105,ROW()-6)&lt;&gt;"Starfsbundinn",DW45="",$E45="",$D45=""),"",ROUND(DW45/$E45*$D45*KVARDI,2))</f>
        <v/>
      </c>
      <c r="DY45" s="66" t="n"/>
      <c r="DZ45" s="78">
        <f>IF(OR(INDEX(Undirviðmið!$G$6:$G$105,ROW()-6)&lt;&gt;"Starfsbundinn",DY45="",$E45="",$D45=""),"",ROUND(DY45/$E45*$D45*KVARDI,2))</f>
        <v/>
      </c>
      <c r="EA45" s="66" t="n"/>
      <c r="EB45" s="78">
        <f>IF(OR(INDEX(Undirviðmið!$G$6:$G$105,ROW()-6)&lt;&gt;"Starfsbundinn",EA45="",$E45="",$D45=""),"",ROUND(EA45/$E45*$D45*KVARDI,2))</f>
        <v/>
      </c>
      <c r="EC45" s="66" t="n"/>
      <c r="ED45" s="78">
        <f>IF(OR(INDEX(Undirviðmið!$G$6:$G$105,ROW()-6)&lt;&gt;"Starfsbundinn",EC45="",$E45="",$D45=""),"",ROUND(EC45/$E45*$D45*KVARDI,2))</f>
        <v/>
      </c>
      <c r="EE45" s="66" t="n"/>
      <c r="EF45" s="78">
        <f>IF(OR(INDEX(Undirviðmið!$G$6:$G$105,ROW()-6)&lt;&gt;"Starfsbundinn",EE45="",$E45="",$D45=""),"",ROUND(EE45/$E45*$D45*KVARDI,2))</f>
        <v/>
      </c>
      <c r="EG45" s="66" t="n"/>
      <c r="EH45" s="78">
        <f>IF(OR(INDEX(Undirviðmið!$G$6:$G$105,ROW()-6)&lt;&gt;"Starfsbundinn",EG45="",$E45="",$D45=""),"",ROUND(EG45/$E45*$D45*KVARDI,2))</f>
        <v/>
      </c>
      <c r="EI45" s="66" t="n"/>
      <c r="EJ45" s="78">
        <f>IF(OR(INDEX(Undirviðmið!$G$6:$G$105,ROW()-6)&lt;&gt;"Starfsbundinn",EI45="",$E45="",$D45=""),"",ROUND(EI45/$E45*$D45*KVARDI,2))</f>
        <v/>
      </c>
      <c r="EK45" s="66" t="n"/>
      <c r="EL45" s="78">
        <f>IF(OR(INDEX(Undirviðmið!$G$6:$G$105,ROW()-6)&lt;&gt;"Starfsbundinn",EK45="",$E45="",$D45=""),"",ROUND(EK45/$E45*$D45*KVARDI,2))</f>
        <v/>
      </c>
      <c r="EM45" s="66" t="n"/>
      <c r="EN45" s="78">
        <f>IF(OR(INDEX(Undirviðmið!$G$6:$G$105,ROW()-6)&lt;&gt;"Starfsbundinn",EM45="",$E45="",$D45=""),"",ROUND(EM45/$E45*$D45*KVARDI,2))</f>
        <v/>
      </c>
      <c r="EO45" s="66" t="n"/>
      <c r="EP45" s="78">
        <f>IF(OR(INDEX(Undirviðmið!$G$6:$G$105,ROW()-6)&lt;&gt;"Starfsbundinn",EO45="",$E45="",$D45=""),"",ROUND(EO45/$E45*$D45*KVARDI,2))</f>
        <v/>
      </c>
      <c r="EQ45" s="66" t="n"/>
      <c r="ER45" s="78">
        <f>IF(OR(INDEX(Undirviðmið!$G$6:$G$105,ROW()-6)&lt;&gt;"Starfsbundinn",EQ45="",$E45="",$D45=""),"",ROUND(EQ45/$E45*$D45*KVARDI,2))</f>
        <v/>
      </c>
      <c r="ES45" s="66" t="n"/>
      <c r="ET45" s="78">
        <f>IF(OR(INDEX(Undirviðmið!$G$6:$G$105,ROW()-6)&lt;&gt;"Starfsbundinn",ES45="",$E45="",$D45=""),"",ROUND(ES45/$E45*$D45*KVARDI,2))</f>
        <v/>
      </c>
      <c r="EU45" s="66" t="n"/>
      <c r="EV45" s="78">
        <f>IF(OR(INDEX(Undirviðmið!$G$6:$G$105,ROW()-6)&lt;&gt;"Starfsbundinn",EU45="",$E45="",$D45=""),"",ROUND(EU45/$E45*$D45*KVARDI,2))</f>
        <v/>
      </c>
      <c r="EW45" s="66" t="n"/>
      <c r="EX45" s="78">
        <f>IF(OR(INDEX(Undirviðmið!$G$6:$G$105,ROW()-6)&lt;&gt;"Starfsbundinn",EW45="",$E45="",$D45=""),"",ROUND(EW45/$E45*$D45*KVARDI,2))</f>
        <v/>
      </c>
      <c r="EY45" s="66" t="n"/>
      <c r="EZ45" s="78">
        <f>IF(OR(INDEX(Undirviðmið!$G$6:$G$105,ROW()-6)&lt;&gt;"Starfsbundinn",EY45="",$E45="",$D45=""),"",ROUND(EY45/$E45*$D45*KVARDI,2))</f>
        <v/>
      </c>
      <c r="FA45" s="66" t="n"/>
      <c r="FB45" s="78">
        <f>IF(OR(INDEX(Undirviðmið!$G$6:$G$105,ROW()-6)&lt;&gt;"Starfsbundinn",FA45="",$E45="",$D45=""),"",ROUND(FA45/$E45*$D45*KVARDI,2))</f>
        <v/>
      </c>
      <c r="FC45" s="66" t="n"/>
      <c r="FD45" s="78">
        <f>IF(OR(INDEX(Undirviðmið!$G$6:$G$105,ROW()-6)&lt;&gt;"Starfsbundinn",FC45="",$E45="",$D45=""),"",ROUND(FC45/$E45*$D45*KVARDI,2))</f>
        <v/>
      </c>
      <c r="FE45" s="66" t="n"/>
      <c r="FF45" s="78">
        <f>IF(OR(INDEX(Undirviðmið!$G$6:$G$105,ROW()-6)&lt;&gt;"Starfsbundinn",FE45="",$E45="",$D45=""),"",ROUND(FE45/$E45*$D45*KVARDI,2))</f>
        <v/>
      </c>
      <c r="FG45" s="66" t="n"/>
      <c r="FH45" s="78">
        <f>IF(OR(INDEX(Undirviðmið!$G$6:$G$105,ROW()-6)&lt;&gt;"Starfsbundinn",FG45="",$E45="",$D45=""),"",ROUND(FG45/$E45*$D45*KVARDI,2))</f>
        <v/>
      </c>
      <c r="FI45" s="66" t="n"/>
      <c r="FJ45" s="78">
        <f>IF(OR(INDEX(Undirviðmið!$G$6:$G$105,ROW()-6)&lt;&gt;"Starfsbundinn",FI45="",$E45="",$D45=""),"",ROUND(FI45/$E45*$D45*KVARDI,2))</f>
        <v/>
      </c>
      <c r="FK45" s="66" t="n"/>
      <c r="FL45" s="78">
        <f>IF(OR(INDEX(Undirviðmið!$G$6:$G$105,ROW()-6)&lt;&gt;"Starfsbundinn",FK45="",$E45="",$D45=""),"",ROUND(FK45/$E45*$D45*KVARDI,2))</f>
        <v/>
      </c>
      <c r="FM45" s="66" t="n"/>
      <c r="FN45" s="78">
        <f>IF(OR(INDEX(Undirviðmið!$G$6:$G$105,ROW()-6)&lt;&gt;"Starfsbundinn",FM45="",$E45="",$D45=""),"",ROUND(FM45/$E45*$D45*KVARDI,2))</f>
        <v/>
      </c>
      <c r="FO45" s="66" t="n"/>
      <c r="FP45" s="78">
        <f>IF(OR(INDEX(Undirviðmið!$G$6:$G$105,ROW()-6)&lt;&gt;"Starfsbundinn",FO45="",$E45="",$D45=""),"",ROUND(FO45/$E45*$D45*KVARDI,2))</f>
        <v/>
      </c>
      <c r="FQ45" s="66" t="n"/>
      <c r="FR45" s="78">
        <f>IF(OR(INDEX(Undirviðmið!$G$6:$G$105,ROW()-6)&lt;&gt;"Starfsbundinn",FQ45="",$E45="",$D45=""),"",ROUND(FQ45/$E45*$D45*KVARDI,2))</f>
        <v/>
      </c>
      <c r="FS45" s="66" t="n"/>
      <c r="FT45" s="78">
        <f>IF(OR(INDEX(Undirviðmið!$G$6:$G$105,ROW()-6)&lt;&gt;"Starfsbundinn",FS45="",$E45="",$D45=""),"",ROUND(FS45/$E45*$D45*KVARDI,2))</f>
        <v/>
      </c>
      <c r="FU45" s="66" t="n"/>
      <c r="FV45" s="78">
        <f>IF(OR(INDEX(Undirviðmið!$G$6:$G$105,ROW()-6)&lt;&gt;"Starfsbundinn",FU45="",$E45="",$D45=""),"",ROUND(FU45/$E45*$D45*KVARDI,2))</f>
        <v/>
      </c>
      <c r="FW45" s="66" t="n"/>
      <c r="FX45" s="78">
        <f>IF(OR(INDEX(Undirviðmið!$G$6:$G$105,ROW()-6)&lt;&gt;"Starfsbundinn",FW45="",$E45="",$D45=""),"",ROUND(FW45/$E45*$D45*KVARDI,2))</f>
        <v/>
      </c>
      <c r="FY45" s="66" t="n"/>
      <c r="FZ45" s="78">
        <f>IF(OR(INDEX(Undirviðmið!$G$6:$G$105,ROW()-6)&lt;&gt;"Starfsbundinn",FY45="",$E45="",$D45=""),"",ROUND(FY45/$E45*$D45*KVARDI,2))</f>
        <v/>
      </c>
      <c r="GA45" s="66" t="n"/>
      <c r="GB45" s="78">
        <f>IF(OR(INDEX(Undirviðmið!$G$6:$G$105,ROW()-6)&lt;&gt;"Starfsbundinn",GA45="",$E45="",$D45=""),"",ROUND(GA45/$E45*$D45*KVARDI,2))</f>
        <v/>
      </c>
      <c r="GC45" s="66" t="n"/>
      <c r="GD45" s="78">
        <f>IF(OR(INDEX(Undirviðmið!$G$6:$G$105,ROW()-6)&lt;&gt;"Starfsbundinn",GC45="",$E45="",$D45=""),"",ROUND(GC45/$E45*$D45*KVARDI,2))</f>
        <v/>
      </c>
      <c r="GE45" s="66" t="n"/>
      <c r="GF45" s="78">
        <f>IF(OR(INDEX(Undirviðmið!$G$6:$G$105,ROW()-6)&lt;&gt;"Starfsbundinn",GE45="",$E45="",$D45=""),"",ROUND(GE45/$E45*$D45*KVARDI,2))</f>
        <v/>
      </c>
      <c r="GG45" s="66" t="n"/>
      <c r="GH45" s="78">
        <f>IF(OR(INDEX(Undirviðmið!$G$6:$G$105,ROW()-6)&lt;&gt;"Starfsbundinn",GG45="",$E45="",$D45=""),"",ROUND(GG45/$E45*$D45*KVARDI,2))</f>
        <v/>
      </c>
      <c r="GI45" s="66" t="n"/>
      <c r="GJ45" s="78">
        <f>IF(OR(INDEX(Undirviðmið!$G$6:$G$105,ROW()-6)&lt;&gt;"Starfsbundinn",GI45="",$E45="",$D45=""),"",ROUND(GI45/$E45*$D45*KVARDI,2))</f>
        <v/>
      </c>
      <c r="GK45" s="66" t="n"/>
      <c r="GL45" s="78">
        <f>IF(OR(INDEX(Undirviðmið!$G$6:$G$105,ROW()-6)&lt;&gt;"Starfsbundinn",GK45="",$E45="",$D45=""),"",ROUND(GK45/$E45*$D45*KVARDI,2))</f>
        <v/>
      </c>
      <c r="GM45" s="66" t="n"/>
      <c r="GN45" s="78">
        <f>IF(OR(INDEX(Undirviðmið!$G$6:$G$105,ROW()-6)&lt;&gt;"Starfsbundinn",GM45="",$E45="",$D45=""),"",ROUND(GM45/$E45*$D45*KVARDI,2))</f>
        <v/>
      </c>
      <c r="GO45" s="66" t="n"/>
      <c r="GP45" s="78">
        <f>IF(OR(INDEX(Undirviðmið!$G$6:$G$105,ROW()-6)&lt;&gt;"Starfsbundinn",GO45="",$E45="",$D45=""),"",ROUND(GO45/$E45*$D45*KVARDI,2))</f>
        <v/>
      </c>
      <c r="GQ45" s="66" t="n"/>
      <c r="GR45" s="78">
        <f>IF(OR(INDEX(Undirviðmið!$G$6:$G$105,ROW()-6)&lt;&gt;"Starfsbundinn",GQ45="",$E45="",$D45=""),"",ROUND(GQ45/$E45*$D45*KVARDI,2))</f>
        <v/>
      </c>
      <c r="GS45" s="66" t="n"/>
      <c r="GT45" s="78">
        <f>IF(OR(INDEX(Undirviðmið!$G$6:$G$105,ROW()-6)&lt;&gt;"Starfsbundinn",GS45="",$E45="",$D45=""),"",ROUND(GS45/$E45*$D45*KVARDI,2))</f>
        <v/>
      </c>
      <c r="GU45" s="66" t="n"/>
      <c r="GV45" s="78">
        <f>IF(OR(INDEX(Undirviðmið!$G$6:$G$105,ROW()-6)&lt;&gt;"Starfsbundinn",GU45="",$E45="",$D45=""),"",ROUND(GU45/$E45*$D45*KVARDI,2))</f>
        <v/>
      </c>
      <c r="GW45" s="66" t="n"/>
      <c r="GX45" s="78">
        <f>IF(OR(INDEX(Undirviðmið!$G$6:$G$105,ROW()-6)&lt;&gt;"Starfsbundinn",GW45="",$E45="",$D45=""),"",ROUND(GW45/$E45*$D45*KVARDI,2))</f>
        <v/>
      </c>
    </row>
    <row r="46" ht="15" customHeight="1" s="47">
      <c r="B46" s="67">
        <f>IF(INDEX(Undirviðmið!$G$6:$G$105,ROW()-6)="Starfsbundinn",INDEX(Undirviðmið!$B$6:$B$105,ROW()-6),"")</f>
        <v/>
      </c>
      <c r="C46" s="67">
        <f>IF(INDEX(Undirviðmið!$G$6:$G$105,ROW()-6)="Starfsbundinn",INDEX(Undirviðmið!$C$6:$C$105,ROW()-6),"")</f>
        <v/>
      </c>
      <c r="D46" s="77">
        <f>IF(INDEX(Undirviðmið!$G$6:$G$105,ROW()-6)="Starfsbundinn",INDEX(Undirviðmið!$E$6:$E$105,ROW()-6),"")</f>
        <v/>
      </c>
      <c r="E46" s="77">
        <f>IF(INDEX(Undirviðmið!$G$6:$G$105,ROW()-6)="Starfsbundinn",INDEX(Undirviðmið!$F$6:$F$105,ROW()-6),"")</f>
        <v/>
      </c>
      <c r="F46" s="77">
        <f>IF(INDEX(Undirviðmið!$G$6:$G$105,ROW()-6)="Starfsbundinn",IFERROR(INDEX(Undirviðmið!$E$6:$E$105,ROW()-6)*KVARDI,""),"")</f>
        <v/>
      </c>
      <c r="G46" s="66" t="n"/>
      <c r="H46" s="78">
        <f>IF(OR(INDEX(Undirviðmið!$G$6:$G$105,ROW()-6)&lt;&gt;"Starfsbundinn",G46="",$E46="",$D46=""),"",ROUND(G46/$E46*$D46*KVARDI,2))</f>
        <v/>
      </c>
      <c r="I46" s="66" t="n"/>
      <c r="J46" s="78">
        <f>IF(OR(INDEX(Undirviðmið!$G$6:$G$105,ROW()-6)&lt;&gt;"Starfsbundinn",I46="",$E46="",$D46=""),"",ROUND(I46/$E46*$D46*KVARDI,2))</f>
        <v/>
      </c>
      <c r="K46" s="66" t="n"/>
      <c r="L46" s="78">
        <f>IF(OR(INDEX(Undirviðmið!$G$6:$G$105,ROW()-6)&lt;&gt;"Starfsbundinn",K46="",$E46="",$D46=""),"",ROUND(K46/$E46*$D46*KVARDI,2))</f>
        <v/>
      </c>
      <c r="M46" s="66" t="n"/>
      <c r="N46" s="78">
        <f>IF(OR(INDEX(Undirviðmið!$G$6:$G$105,ROW()-6)&lt;&gt;"Starfsbundinn",M46="",$E46="",$D46=""),"",ROUND(M46/$E46*$D46*KVARDI,2))</f>
        <v/>
      </c>
      <c r="O46" s="66" t="n"/>
      <c r="P46" s="78">
        <f>IF(OR(INDEX(Undirviðmið!$G$6:$G$105,ROW()-6)&lt;&gt;"Starfsbundinn",O46="",$E46="",$D46=""),"",ROUND(O46/$E46*$D46*KVARDI,2))</f>
        <v/>
      </c>
      <c r="Q46" s="66" t="n"/>
      <c r="R46" s="78">
        <f>IF(OR(INDEX(Undirviðmið!$G$6:$G$105,ROW()-6)&lt;&gt;"Starfsbundinn",Q46="",$E46="",$D46=""),"",ROUND(Q46/$E46*$D46*KVARDI,2))</f>
        <v/>
      </c>
      <c r="S46" s="66" t="n"/>
      <c r="T46" s="78">
        <f>IF(OR(INDEX(Undirviðmið!$G$6:$G$105,ROW()-6)&lt;&gt;"Starfsbundinn",S46="",$E46="",$D46=""),"",ROUND(S46/$E46*$D46*KVARDI,2))</f>
        <v/>
      </c>
      <c r="U46" s="66" t="n"/>
      <c r="V46" s="78">
        <f>IF(OR(INDEX(Undirviðmið!$G$6:$G$105,ROW()-6)&lt;&gt;"Starfsbundinn",U46="",$E46="",$D46=""),"",ROUND(U46/$E46*$D46*KVARDI,2))</f>
        <v/>
      </c>
      <c r="W46" s="66" t="n"/>
      <c r="X46" s="78">
        <f>IF(OR(INDEX(Undirviðmið!$G$6:$G$105,ROW()-6)&lt;&gt;"Starfsbundinn",W46="",$E46="",$D46=""),"",ROUND(W46/$E46*$D46*KVARDI,2))</f>
        <v/>
      </c>
      <c r="Y46" s="66" t="n"/>
      <c r="Z46" s="78">
        <f>IF(OR(INDEX(Undirviðmið!$G$6:$G$105,ROW()-6)&lt;&gt;"Starfsbundinn",Y46="",$E46="",$D46=""),"",ROUND(Y46/$E46*$D46*KVARDI,2))</f>
        <v/>
      </c>
      <c r="AA46" s="66" t="n"/>
      <c r="AB46" s="78">
        <f>IF(OR(INDEX(Undirviðmið!$G$6:$G$105,ROW()-6)&lt;&gt;"Starfsbundinn",AA46="",$E46="",$D46=""),"",ROUND(AA46/$E46*$D46*KVARDI,2))</f>
        <v/>
      </c>
      <c r="AC46" s="66" t="n"/>
      <c r="AD46" s="78">
        <f>IF(OR(INDEX(Undirviðmið!$G$6:$G$105,ROW()-6)&lt;&gt;"Starfsbundinn",AC46="",$E46="",$D46=""),"",ROUND(AC46/$E46*$D46*KVARDI,2))</f>
        <v/>
      </c>
      <c r="AE46" s="66" t="n"/>
      <c r="AF46" s="78">
        <f>IF(OR(INDEX(Undirviðmið!$G$6:$G$105,ROW()-6)&lt;&gt;"Starfsbundinn",AE46="",$E46="",$D46=""),"",ROUND(AE46/$E46*$D46*KVARDI,2))</f>
        <v/>
      </c>
      <c r="AG46" s="66" t="n"/>
      <c r="AH46" s="78">
        <f>IF(OR(INDEX(Undirviðmið!$G$6:$G$105,ROW()-6)&lt;&gt;"Starfsbundinn",AG46="",$E46="",$D46=""),"",ROUND(AG46/$E46*$D46*KVARDI,2))</f>
        <v/>
      </c>
      <c r="AI46" s="66" t="n"/>
      <c r="AJ46" s="78">
        <f>IF(OR(INDEX(Undirviðmið!$G$6:$G$105,ROW()-6)&lt;&gt;"Starfsbundinn",AI46="",$E46="",$D46=""),"",ROUND(AI46/$E46*$D46*KVARDI,2))</f>
        <v/>
      </c>
      <c r="AK46" s="66" t="n"/>
      <c r="AL46" s="78">
        <f>IF(OR(INDEX(Undirviðmið!$G$6:$G$105,ROW()-6)&lt;&gt;"Starfsbundinn",AK46="",$E46="",$D46=""),"",ROUND(AK46/$E46*$D46*KVARDI,2))</f>
        <v/>
      </c>
      <c r="AM46" s="66" t="n"/>
      <c r="AN46" s="78">
        <f>IF(OR(INDEX(Undirviðmið!$G$6:$G$105,ROW()-6)&lt;&gt;"Starfsbundinn",AM46="",$E46="",$D46=""),"",ROUND(AM46/$E46*$D46*KVARDI,2))</f>
        <v/>
      </c>
      <c r="AO46" s="66" t="n"/>
      <c r="AP46" s="78">
        <f>IF(OR(INDEX(Undirviðmið!$G$6:$G$105,ROW()-6)&lt;&gt;"Starfsbundinn",AO46="",$E46="",$D46=""),"",ROUND(AO46/$E46*$D46*KVARDI,2))</f>
        <v/>
      </c>
      <c r="AQ46" s="66" t="n"/>
      <c r="AR46" s="78">
        <f>IF(OR(INDEX(Undirviðmið!$G$6:$G$105,ROW()-6)&lt;&gt;"Starfsbundinn",AQ46="",$E46="",$D46=""),"",ROUND(AQ46/$E46*$D46*KVARDI,2))</f>
        <v/>
      </c>
      <c r="AS46" s="66" t="n"/>
      <c r="AT46" s="78">
        <f>IF(OR(INDEX(Undirviðmið!$G$6:$G$105,ROW()-6)&lt;&gt;"Starfsbundinn",AS46="",$E46="",$D46=""),"",ROUND(AS46/$E46*$D46*KVARDI,2))</f>
        <v/>
      </c>
      <c r="AU46" s="66" t="n"/>
      <c r="AV46" s="78">
        <f>IF(OR(INDEX(Undirviðmið!$G$6:$G$105,ROW()-6)&lt;&gt;"Starfsbundinn",AU46="",$E46="",$D46=""),"",ROUND(AU46/$E46*$D46*KVARDI,2))</f>
        <v/>
      </c>
      <c r="AW46" s="66" t="n"/>
      <c r="AX46" s="78">
        <f>IF(OR(INDEX(Undirviðmið!$G$6:$G$105,ROW()-6)&lt;&gt;"Starfsbundinn",AW46="",$E46="",$D46=""),"",ROUND(AW46/$E46*$D46*KVARDI,2))</f>
        <v/>
      </c>
      <c r="AY46" s="66" t="n"/>
      <c r="AZ46" s="78">
        <f>IF(OR(INDEX(Undirviðmið!$G$6:$G$105,ROW()-6)&lt;&gt;"Starfsbundinn",AY46="",$E46="",$D46=""),"",ROUND(AY46/$E46*$D46*KVARDI,2))</f>
        <v/>
      </c>
      <c r="BA46" s="66" t="n"/>
      <c r="BB46" s="78">
        <f>IF(OR(INDEX(Undirviðmið!$G$6:$G$105,ROW()-6)&lt;&gt;"Starfsbundinn",BA46="",$E46="",$D46=""),"",ROUND(BA46/$E46*$D46*KVARDI,2))</f>
        <v/>
      </c>
      <c r="BC46" s="66" t="n"/>
      <c r="BD46" s="78">
        <f>IF(OR(INDEX(Undirviðmið!$G$6:$G$105,ROW()-6)&lt;&gt;"Starfsbundinn",BC46="",$E46="",$D46=""),"",ROUND(BC46/$E46*$D46*KVARDI,2))</f>
        <v/>
      </c>
      <c r="BE46" s="66" t="n"/>
      <c r="BF46" s="78">
        <f>IF(OR(INDEX(Undirviðmið!$G$6:$G$105,ROW()-6)&lt;&gt;"Starfsbundinn",BE46="",$E46="",$D46=""),"",ROUND(BE46/$E46*$D46*KVARDI,2))</f>
        <v/>
      </c>
      <c r="BG46" s="66" t="n"/>
      <c r="BH46" s="78">
        <f>IF(OR(INDEX(Undirviðmið!$G$6:$G$105,ROW()-6)&lt;&gt;"Starfsbundinn",BG46="",$E46="",$D46=""),"",ROUND(BG46/$E46*$D46*KVARDI,2))</f>
        <v/>
      </c>
      <c r="BI46" s="66" t="n"/>
      <c r="BJ46" s="78">
        <f>IF(OR(INDEX(Undirviðmið!$G$6:$G$105,ROW()-6)&lt;&gt;"Starfsbundinn",BI46="",$E46="",$D46=""),"",ROUND(BI46/$E46*$D46*KVARDI,2))</f>
        <v/>
      </c>
      <c r="BK46" s="66" t="n"/>
      <c r="BL46" s="78">
        <f>IF(OR(INDEX(Undirviðmið!$G$6:$G$105,ROW()-6)&lt;&gt;"Starfsbundinn",BK46="",$E46="",$D46=""),"",ROUND(BK46/$E46*$D46*KVARDI,2))</f>
        <v/>
      </c>
      <c r="BM46" s="66" t="n"/>
      <c r="BN46" s="78">
        <f>IF(OR(INDEX(Undirviðmið!$G$6:$G$105,ROW()-6)&lt;&gt;"Starfsbundinn",BM46="",$E46="",$D46=""),"",ROUND(BM46/$E46*$D46*KVARDI,2))</f>
        <v/>
      </c>
      <c r="BO46" s="66" t="n"/>
      <c r="BP46" s="78">
        <f>IF(OR(INDEX(Undirviðmið!$G$6:$G$105,ROW()-6)&lt;&gt;"Starfsbundinn",BO46="",$E46="",$D46=""),"",ROUND(BO46/$E46*$D46*KVARDI,2))</f>
        <v/>
      </c>
      <c r="BQ46" s="66" t="n"/>
      <c r="BR46" s="78">
        <f>IF(OR(INDEX(Undirviðmið!$G$6:$G$105,ROW()-6)&lt;&gt;"Starfsbundinn",BQ46="",$E46="",$D46=""),"",ROUND(BQ46/$E46*$D46*KVARDI,2))</f>
        <v/>
      </c>
      <c r="BS46" s="66" t="n"/>
      <c r="BT46" s="78">
        <f>IF(OR(INDEX(Undirviðmið!$G$6:$G$105,ROW()-6)&lt;&gt;"Starfsbundinn",BS46="",$E46="",$D46=""),"",ROUND(BS46/$E46*$D46*KVARDI,2))</f>
        <v/>
      </c>
      <c r="BU46" s="66" t="n"/>
      <c r="BV46" s="78">
        <f>IF(OR(INDEX(Undirviðmið!$G$6:$G$105,ROW()-6)&lt;&gt;"Starfsbundinn",BU46="",$E46="",$D46=""),"",ROUND(BU46/$E46*$D46*KVARDI,2))</f>
        <v/>
      </c>
      <c r="BW46" s="66" t="n"/>
      <c r="BX46" s="78">
        <f>IF(OR(INDEX(Undirviðmið!$G$6:$G$105,ROW()-6)&lt;&gt;"Starfsbundinn",BW46="",$E46="",$D46=""),"",ROUND(BW46/$E46*$D46*KVARDI,2))</f>
        <v/>
      </c>
      <c r="BY46" s="66" t="n"/>
      <c r="BZ46" s="78">
        <f>IF(OR(INDEX(Undirviðmið!$G$6:$G$105,ROW()-6)&lt;&gt;"Starfsbundinn",BY46="",$E46="",$D46=""),"",ROUND(BY46/$E46*$D46*KVARDI,2))</f>
        <v/>
      </c>
      <c r="CA46" s="66" t="n"/>
      <c r="CB46" s="78">
        <f>IF(OR(INDEX(Undirviðmið!$G$6:$G$105,ROW()-6)&lt;&gt;"Starfsbundinn",CA46="",$E46="",$D46=""),"",ROUND(CA46/$E46*$D46*KVARDI,2))</f>
        <v/>
      </c>
      <c r="CC46" s="66" t="n"/>
      <c r="CD46" s="78">
        <f>IF(OR(INDEX(Undirviðmið!$G$6:$G$105,ROW()-6)&lt;&gt;"Starfsbundinn",CC46="",$E46="",$D46=""),"",ROUND(CC46/$E46*$D46*KVARDI,2))</f>
        <v/>
      </c>
      <c r="CE46" s="66" t="n"/>
      <c r="CF46" s="78">
        <f>IF(OR(INDEX(Undirviðmið!$G$6:$G$105,ROW()-6)&lt;&gt;"Starfsbundinn",CE46="",$E46="",$D46=""),"",ROUND(CE46/$E46*$D46*KVARDI,2))</f>
        <v/>
      </c>
      <c r="CG46" s="66" t="n"/>
      <c r="CH46" s="78">
        <f>IF(OR(INDEX(Undirviðmið!$G$6:$G$105,ROW()-6)&lt;&gt;"Starfsbundinn",CG46="",$E46="",$D46=""),"",ROUND(CG46/$E46*$D46*KVARDI,2))</f>
        <v/>
      </c>
      <c r="CI46" s="66" t="n"/>
      <c r="CJ46" s="78">
        <f>IF(OR(INDEX(Undirviðmið!$G$6:$G$105,ROW()-6)&lt;&gt;"Starfsbundinn",CI46="",$E46="",$D46=""),"",ROUND(CI46/$E46*$D46*KVARDI,2))</f>
        <v/>
      </c>
      <c r="CK46" s="66" t="n"/>
      <c r="CL46" s="78">
        <f>IF(OR(INDEX(Undirviðmið!$G$6:$G$105,ROW()-6)&lt;&gt;"Starfsbundinn",CK46="",$E46="",$D46=""),"",ROUND(CK46/$E46*$D46*KVARDI,2))</f>
        <v/>
      </c>
      <c r="CM46" s="66" t="n"/>
      <c r="CN46" s="78">
        <f>IF(OR(INDEX(Undirviðmið!$G$6:$G$105,ROW()-6)&lt;&gt;"Starfsbundinn",CM46="",$E46="",$D46=""),"",ROUND(CM46/$E46*$D46*KVARDI,2))</f>
        <v/>
      </c>
      <c r="CO46" s="66" t="n"/>
      <c r="CP46" s="78">
        <f>IF(OR(INDEX(Undirviðmið!$G$6:$G$105,ROW()-6)&lt;&gt;"Starfsbundinn",CO46="",$E46="",$D46=""),"",ROUND(CO46/$E46*$D46*KVARDI,2))</f>
        <v/>
      </c>
      <c r="CQ46" s="66" t="n"/>
      <c r="CR46" s="78">
        <f>IF(OR(INDEX(Undirviðmið!$G$6:$G$105,ROW()-6)&lt;&gt;"Starfsbundinn",CQ46="",$E46="",$D46=""),"",ROUND(CQ46/$E46*$D46*KVARDI,2))</f>
        <v/>
      </c>
      <c r="CS46" s="66" t="n"/>
      <c r="CT46" s="78">
        <f>IF(OR(INDEX(Undirviðmið!$G$6:$G$105,ROW()-6)&lt;&gt;"Starfsbundinn",CS46="",$E46="",$D46=""),"",ROUND(CS46/$E46*$D46*KVARDI,2))</f>
        <v/>
      </c>
      <c r="CU46" s="66" t="n"/>
      <c r="CV46" s="78">
        <f>IF(OR(INDEX(Undirviðmið!$G$6:$G$105,ROW()-6)&lt;&gt;"Starfsbundinn",CU46="",$E46="",$D46=""),"",ROUND(CU46/$E46*$D46*KVARDI,2))</f>
        <v/>
      </c>
      <c r="CW46" s="66" t="n"/>
      <c r="CX46" s="78">
        <f>IF(OR(INDEX(Undirviðmið!$G$6:$G$105,ROW()-6)&lt;&gt;"Starfsbundinn",CW46="",$E46="",$D46=""),"",ROUND(CW46/$E46*$D46*KVARDI,2))</f>
        <v/>
      </c>
      <c r="CY46" s="66" t="n"/>
      <c r="CZ46" s="78">
        <f>IF(OR(INDEX(Undirviðmið!$G$6:$G$105,ROW()-6)&lt;&gt;"Starfsbundinn",CY46="",$E46="",$D46=""),"",ROUND(CY46/$E46*$D46*KVARDI,2))</f>
        <v/>
      </c>
      <c r="DA46" s="66" t="n"/>
      <c r="DB46" s="78">
        <f>IF(OR(INDEX(Undirviðmið!$G$6:$G$105,ROW()-6)&lt;&gt;"Starfsbundinn",DA46="",$E46="",$D46=""),"",ROUND(DA46/$E46*$D46*KVARDI,2))</f>
        <v/>
      </c>
      <c r="DC46" s="66" t="n"/>
      <c r="DD46" s="78">
        <f>IF(OR(INDEX(Undirviðmið!$G$6:$G$105,ROW()-6)&lt;&gt;"Starfsbundinn",DC46="",$E46="",$D46=""),"",ROUND(DC46/$E46*$D46*KVARDI,2))</f>
        <v/>
      </c>
      <c r="DE46" s="66" t="n"/>
      <c r="DF46" s="78">
        <f>IF(OR(INDEX(Undirviðmið!$G$6:$G$105,ROW()-6)&lt;&gt;"Starfsbundinn",DE46="",$E46="",$D46=""),"",ROUND(DE46/$E46*$D46*KVARDI,2))</f>
        <v/>
      </c>
      <c r="DG46" s="66" t="n"/>
      <c r="DH46" s="78">
        <f>IF(OR(INDEX(Undirviðmið!$G$6:$G$105,ROW()-6)&lt;&gt;"Starfsbundinn",DG46="",$E46="",$D46=""),"",ROUND(DG46/$E46*$D46*KVARDI,2))</f>
        <v/>
      </c>
      <c r="DI46" s="66" t="n"/>
      <c r="DJ46" s="78">
        <f>IF(OR(INDEX(Undirviðmið!$G$6:$G$105,ROW()-6)&lt;&gt;"Starfsbundinn",DI46="",$E46="",$D46=""),"",ROUND(DI46/$E46*$D46*KVARDI,2))</f>
        <v/>
      </c>
      <c r="DK46" s="66" t="n"/>
      <c r="DL46" s="78">
        <f>IF(OR(INDEX(Undirviðmið!$G$6:$G$105,ROW()-6)&lt;&gt;"Starfsbundinn",DK46="",$E46="",$D46=""),"",ROUND(DK46/$E46*$D46*KVARDI,2))</f>
        <v/>
      </c>
      <c r="DM46" s="66" t="n"/>
      <c r="DN46" s="78">
        <f>IF(OR(INDEX(Undirviðmið!$G$6:$G$105,ROW()-6)&lt;&gt;"Starfsbundinn",DM46="",$E46="",$D46=""),"",ROUND(DM46/$E46*$D46*KVARDI,2))</f>
        <v/>
      </c>
      <c r="DO46" s="66" t="n"/>
      <c r="DP46" s="78">
        <f>IF(OR(INDEX(Undirviðmið!$G$6:$G$105,ROW()-6)&lt;&gt;"Starfsbundinn",DO46="",$E46="",$D46=""),"",ROUND(DO46/$E46*$D46*KVARDI,2))</f>
        <v/>
      </c>
      <c r="DQ46" s="66" t="n"/>
      <c r="DR46" s="78">
        <f>IF(OR(INDEX(Undirviðmið!$G$6:$G$105,ROW()-6)&lt;&gt;"Starfsbundinn",DQ46="",$E46="",$D46=""),"",ROUND(DQ46/$E46*$D46*KVARDI,2))</f>
        <v/>
      </c>
      <c r="DS46" s="66" t="n"/>
      <c r="DT46" s="78">
        <f>IF(OR(INDEX(Undirviðmið!$G$6:$G$105,ROW()-6)&lt;&gt;"Starfsbundinn",DS46="",$E46="",$D46=""),"",ROUND(DS46/$E46*$D46*KVARDI,2))</f>
        <v/>
      </c>
      <c r="DU46" s="66" t="n"/>
      <c r="DV46" s="78">
        <f>IF(OR(INDEX(Undirviðmið!$G$6:$G$105,ROW()-6)&lt;&gt;"Starfsbundinn",DU46="",$E46="",$D46=""),"",ROUND(DU46/$E46*$D46*KVARDI,2))</f>
        <v/>
      </c>
      <c r="DW46" s="66" t="n"/>
      <c r="DX46" s="78">
        <f>IF(OR(INDEX(Undirviðmið!$G$6:$G$105,ROW()-6)&lt;&gt;"Starfsbundinn",DW46="",$E46="",$D46=""),"",ROUND(DW46/$E46*$D46*KVARDI,2))</f>
        <v/>
      </c>
      <c r="DY46" s="66" t="n"/>
      <c r="DZ46" s="78">
        <f>IF(OR(INDEX(Undirviðmið!$G$6:$G$105,ROW()-6)&lt;&gt;"Starfsbundinn",DY46="",$E46="",$D46=""),"",ROUND(DY46/$E46*$D46*KVARDI,2))</f>
        <v/>
      </c>
      <c r="EA46" s="66" t="n"/>
      <c r="EB46" s="78">
        <f>IF(OR(INDEX(Undirviðmið!$G$6:$G$105,ROW()-6)&lt;&gt;"Starfsbundinn",EA46="",$E46="",$D46=""),"",ROUND(EA46/$E46*$D46*KVARDI,2))</f>
        <v/>
      </c>
      <c r="EC46" s="66" t="n"/>
      <c r="ED46" s="78">
        <f>IF(OR(INDEX(Undirviðmið!$G$6:$G$105,ROW()-6)&lt;&gt;"Starfsbundinn",EC46="",$E46="",$D46=""),"",ROUND(EC46/$E46*$D46*KVARDI,2))</f>
        <v/>
      </c>
      <c r="EE46" s="66" t="n"/>
      <c r="EF46" s="78">
        <f>IF(OR(INDEX(Undirviðmið!$G$6:$G$105,ROW()-6)&lt;&gt;"Starfsbundinn",EE46="",$E46="",$D46=""),"",ROUND(EE46/$E46*$D46*KVARDI,2))</f>
        <v/>
      </c>
      <c r="EG46" s="66" t="n"/>
      <c r="EH46" s="78">
        <f>IF(OR(INDEX(Undirviðmið!$G$6:$G$105,ROW()-6)&lt;&gt;"Starfsbundinn",EG46="",$E46="",$D46=""),"",ROUND(EG46/$E46*$D46*KVARDI,2))</f>
        <v/>
      </c>
      <c r="EI46" s="66" t="n"/>
      <c r="EJ46" s="78">
        <f>IF(OR(INDEX(Undirviðmið!$G$6:$G$105,ROW()-6)&lt;&gt;"Starfsbundinn",EI46="",$E46="",$D46=""),"",ROUND(EI46/$E46*$D46*KVARDI,2))</f>
        <v/>
      </c>
      <c r="EK46" s="66" t="n"/>
      <c r="EL46" s="78">
        <f>IF(OR(INDEX(Undirviðmið!$G$6:$G$105,ROW()-6)&lt;&gt;"Starfsbundinn",EK46="",$E46="",$D46=""),"",ROUND(EK46/$E46*$D46*KVARDI,2))</f>
        <v/>
      </c>
      <c r="EM46" s="66" t="n"/>
      <c r="EN46" s="78">
        <f>IF(OR(INDEX(Undirviðmið!$G$6:$G$105,ROW()-6)&lt;&gt;"Starfsbundinn",EM46="",$E46="",$D46=""),"",ROUND(EM46/$E46*$D46*KVARDI,2))</f>
        <v/>
      </c>
      <c r="EO46" s="66" t="n"/>
      <c r="EP46" s="78">
        <f>IF(OR(INDEX(Undirviðmið!$G$6:$G$105,ROW()-6)&lt;&gt;"Starfsbundinn",EO46="",$E46="",$D46=""),"",ROUND(EO46/$E46*$D46*KVARDI,2))</f>
        <v/>
      </c>
      <c r="EQ46" s="66" t="n"/>
      <c r="ER46" s="78">
        <f>IF(OR(INDEX(Undirviðmið!$G$6:$G$105,ROW()-6)&lt;&gt;"Starfsbundinn",EQ46="",$E46="",$D46=""),"",ROUND(EQ46/$E46*$D46*KVARDI,2))</f>
        <v/>
      </c>
      <c r="ES46" s="66" t="n"/>
      <c r="ET46" s="78">
        <f>IF(OR(INDEX(Undirviðmið!$G$6:$G$105,ROW()-6)&lt;&gt;"Starfsbundinn",ES46="",$E46="",$D46=""),"",ROUND(ES46/$E46*$D46*KVARDI,2))</f>
        <v/>
      </c>
      <c r="EU46" s="66" t="n"/>
      <c r="EV46" s="78">
        <f>IF(OR(INDEX(Undirviðmið!$G$6:$G$105,ROW()-6)&lt;&gt;"Starfsbundinn",EU46="",$E46="",$D46=""),"",ROUND(EU46/$E46*$D46*KVARDI,2))</f>
        <v/>
      </c>
      <c r="EW46" s="66" t="n"/>
      <c r="EX46" s="78">
        <f>IF(OR(INDEX(Undirviðmið!$G$6:$G$105,ROW()-6)&lt;&gt;"Starfsbundinn",EW46="",$E46="",$D46=""),"",ROUND(EW46/$E46*$D46*KVARDI,2))</f>
        <v/>
      </c>
      <c r="EY46" s="66" t="n"/>
      <c r="EZ46" s="78">
        <f>IF(OR(INDEX(Undirviðmið!$G$6:$G$105,ROW()-6)&lt;&gt;"Starfsbundinn",EY46="",$E46="",$D46=""),"",ROUND(EY46/$E46*$D46*KVARDI,2))</f>
        <v/>
      </c>
      <c r="FA46" s="66" t="n"/>
      <c r="FB46" s="78">
        <f>IF(OR(INDEX(Undirviðmið!$G$6:$G$105,ROW()-6)&lt;&gt;"Starfsbundinn",FA46="",$E46="",$D46=""),"",ROUND(FA46/$E46*$D46*KVARDI,2))</f>
        <v/>
      </c>
      <c r="FC46" s="66" t="n"/>
      <c r="FD46" s="78">
        <f>IF(OR(INDEX(Undirviðmið!$G$6:$G$105,ROW()-6)&lt;&gt;"Starfsbundinn",FC46="",$E46="",$D46=""),"",ROUND(FC46/$E46*$D46*KVARDI,2))</f>
        <v/>
      </c>
      <c r="FE46" s="66" t="n"/>
      <c r="FF46" s="78">
        <f>IF(OR(INDEX(Undirviðmið!$G$6:$G$105,ROW()-6)&lt;&gt;"Starfsbundinn",FE46="",$E46="",$D46=""),"",ROUND(FE46/$E46*$D46*KVARDI,2))</f>
        <v/>
      </c>
      <c r="FG46" s="66" t="n"/>
      <c r="FH46" s="78">
        <f>IF(OR(INDEX(Undirviðmið!$G$6:$G$105,ROW()-6)&lt;&gt;"Starfsbundinn",FG46="",$E46="",$D46=""),"",ROUND(FG46/$E46*$D46*KVARDI,2))</f>
        <v/>
      </c>
      <c r="FI46" s="66" t="n"/>
      <c r="FJ46" s="78">
        <f>IF(OR(INDEX(Undirviðmið!$G$6:$G$105,ROW()-6)&lt;&gt;"Starfsbundinn",FI46="",$E46="",$D46=""),"",ROUND(FI46/$E46*$D46*KVARDI,2))</f>
        <v/>
      </c>
      <c r="FK46" s="66" t="n"/>
      <c r="FL46" s="78">
        <f>IF(OR(INDEX(Undirviðmið!$G$6:$G$105,ROW()-6)&lt;&gt;"Starfsbundinn",FK46="",$E46="",$D46=""),"",ROUND(FK46/$E46*$D46*KVARDI,2))</f>
        <v/>
      </c>
      <c r="FM46" s="66" t="n"/>
      <c r="FN46" s="78">
        <f>IF(OR(INDEX(Undirviðmið!$G$6:$G$105,ROW()-6)&lt;&gt;"Starfsbundinn",FM46="",$E46="",$D46=""),"",ROUND(FM46/$E46*$D46*KVARDI,2))</f>
        <v/>
      </c>
      <c r="FO46" s="66" t="n"/>
      <c r="FP46" s="78">
        <f>IF(OR(INDEX(Undirviðmið!$G$6:$G$105,ROW()-6)&lt;&gt;"Starfsbundinn",FO46="",$E46="",$D46=""),"",ROUND(FO46/$E46*$D46*KVARDI,2))</f>
        <v/>
      </c>
      <c r="FQ46" s="66" t="n"/>
      <c r="FR46" s="78">
        <f>IF(OR(INDEX(Undirviðmið!$G$6:$G$105,ROW()-6)&lt;&gt;"Starfsbundinn",FQ46="",$E46="",$D46=""),"",ROUND(FQ46/$E46*$D46*KVARDI,2))</f>
        <v/>
      </c>
      <c r="FS46" s="66" t="n"/>
      <c r="FT46" s="78">
        <f>IF(OR(INDEX(Undirviðmið!$G$6:$G$105,ROW()-6)&lt;&gt;"Starfsbundinn",FS46="",$E46="",$D46=""),"",ROUND(FS46/$E46*$D46*KVARDI,2))</f>
        <v/>
      </c>
      <c r="FU46" s="66" t="n"/>
      <c r="FV46" s="78">
        <f>IF(OR(INDEX(Undirviðmið!$G$6:$G$105,ROW()-6)&lt;&gt;"Starfsbundinn",FU46="",$E46="",$D46=""),"",ROUND(FU46/$E46*$D46*KVARDI,2))</f>
        <v/>
      </c>
      <c r="FW46" s="66" t="n"/>
      <c r="FX46" s="78">
        <f>IF(OR(INDEX(Undirviðmið!$G$6:$G$105,ROW()-6)&lt;&gt;"Starfsbundinn",FW46="",$E46="",$D46=""),"",ROUND(FW46/$E46*$D46*KVARDI,2))</f>
        <v/>
      </c>
      <c r="FY46" s="66" t="n"/>
      <c r="FZ46" s="78">
        <f>IF(OR(INDEX(Undirviðmið!$G$6:$G$105,ROW()-6)&lt;&gt;"Starfsbundinn",FY46="",$E46="",$D46=""),"",ROUND(FY46/$E46*$D46*KVARDI,2))</f>
        <v/>
      </c>
      <c r="GA46" s="66" t="n"/>
      <c r="GB46" s="78">
        <f>IF(OR(INDEX(Undirviðmið!$G$6:$G$105,ROW()-6)&lt;&gt;"Starfsbundinn",GA46="",$E46="",$D46=""),"",ROUND(GA46/$E46*$D46*KVARDI,2))</f>
        <v/>
      </c>
      <c r="GC46" s="66" t="n"/>
      <c r="GD46" s="78">
        <f>IF(OR(INDEX(Undirviðmið!$G$6:$G$105,ROW()-6)&lt;&gt;"Starfsbundinn",GC46="",$E46="",$D46=""),"",ROUND(GC46/$E46*$D46*KVARDI,2))</f>
        <v/>
      </c>
      <c r="GE46" s="66" t="n"/>
      <c r="GF46" s="78">
        <f>IF(OR(INDEX(Undirviðmið!$G$6:$G$105,ROW()-6)&lt;&gt;"Starfsbundinn",GE46="",$E46="",$D46=""),"",ROUND(GE46/$E46*$D46*KVARDI,2))</f>
        <v/>
      </c>
      <c r="GG46" s="66" t="n"/>
      <c r="GH46" s="78">
        <f>IF(OR(INDEX(Undirviðmið!$G$6:$G$105,ROW()-6)&lt;&gt;"Starfsbundinn",GG46="",$E46="",$D46=""),"",ROUND(GG46/$E46*$D46*KVARDI,2))</f>
        <v/>
      </c>
      <c r="GI46" s="66" t="n"/>
      <c r="GJ46" s="78">
        <f>IF(OR(INDEX(Undirviðmið!$G$6:$G$105,ROW()-6)&lt;&gt;"Starfsbundinn",GI46="",$E46="",$D46=""),"",ROUND(GI46/$E46*$D46*KVARDI,2))</f>
        <v/>
      </c>
      <c r="GK46" s="66" t="n"/>
      <c r="GL46" s="78">
        <f>IF(OR(INDEX(Undirviðmið!$G$6:$G$105,ROW()-6)&lt;&gt;"Starfsbundinn",GK46="",$E46="",$D46=""),"",ROUND(GK46/$E46*$D46*KVARDI,2))</f>
        <v/>
      </c>
      <c r="GM46" s="66" t="n"/>
      <c r="GN46" s="78">
        <f>IF(OR(INDEX(Undirviðmið!$G$6:$G$105,ROW()-6)&lt;&gt;"Starfsbundinn",GM46="",$E46="",$D46=""),"",ROUND(GM46/$E46*$D46*KVARDI,2))</f>
        <v/>
      </c>
      <c r="GO46" s="66" t="n"/>
      <c r="GP46" s="78">
        <f>IF(OR(INDEX(Undirviðmið!$G$6:$G$105,ROW()-6)&lt;&gt;"Starfsbundinn",GO46="",$E46="",$D46=""),"",ROUND(GO46/$E46*$D46*KVARDI,2))</f>
        <v/>
      </c>
      <c r="GQ46" s="66" t="n"/>
      <c r="GR46" s="78">
        <f>IF(OR(INDEX(Undirviðmið!$G$6:$G$105,ROW()-6)&lt;&gt;"Starfsbundinn",GQ46="",$E46="",$D46=""),"",ROUND(GQ46/$E46*$D46*KVARDI,2))</f>
        <v/>
      </c>
      <c r="GS46" s="66" t="n"/>
      <c r="GT46" s="78">
        <f>IF(OR(INDEX(Undirviðmið!$G$6:$G$105,ROW()-6)&lt;&gt;"Starfsbundinn",GS46="",$E46="",$D46=""),"",ROUND(GS46/$E46*$D46*KVARDI,2))</f>
        <v/>
      </c>
      <c r="GU46" s="66" t="n"/>
      <c r="GV46" s="78">
        <f>IF(OR(INDEX(Undirviðmið!$G$6:$G$105,ROW()-6)&lt;&gt;"Starfsbundinn",GU46="",$E46="",$D46=""),"",ROUND(GU46/$E46*$D46*KVARDI,2))</f>
        <v/>
      </c>
      <c r="GW46" s="66" t="n"/>
      <c r="GX46" s="78">
        <f>IF(OR(INDEX(Undirviðmið!$G$6:$G$105,ROW()-6)&lt;&gt;"Starfsbundinn",GW46="",$E46="",$D46=""),"",ROUND(GW46/$E46*$D46*KVARDI,2))</f>
        <v/>
      </c>
    </row>
    <row r="47" ht="15" customHeight="1" s="47">
      <c r="B47" s="67">
        <f>IF(INDEX(Undirviðmið!$G$6:$G$105,ROW()-6)="Starfsbundinn",INDEX(Undirviðmið!$B$6:$B$105,ROW()-6),"")</f>
        <v/>
      </c>
      <c r="C47" s="67">
        <f>IF(INDEX(Undirviðmið!$G$6:$G$105,ROW()-6)="Starfsbundinn",INDEX(Undirviðmið!$C$6:$C$105,ROW()-6),"")</f>
        <v/>
      </c>
      <c r="D47" s="77">
        <f>IF(INDEX(Undirviðmið!$G$6:$G$105,ROW()-6)="Starfsbundinn",INDEX(Undirviðmið!$E$6:$E$105,ROW()-6),"")</f>
        <v/>
      </c>
      <c r="E47" s="77">
        <f>IF(INDEX(Undirviðmið!$G$6:$G$105,ROW()-6)="Starfsbundinn",INDEX(Undirviðmið!$F$6:$F$105,ROW()-6),"")</f>
        <v/>
      </c>
      <c r="F47" s="77">
        <f>IF(INDEX(Undirviðmið!$G$6:$G$105,ROW()-6)="Starfsbundinn",IFERROR(INDEX(Undirviðmið!$E$6:$E$105,ROW()-6)*KVARDI,""),"")</f>
        <v/>
      </c>
      <c r="G47" s="66" t="n"/>
      <c r="H47" s="78">
        <f>IF(OR(INDEX(Undirviðmið!$G$6:$G$105,ROW()-6)&lt;&gt;"Starfsbundinn",G47="",$E47="",$D47=""),"",ROUND(G47/$E47*$D47*KVARDI,2))</f>
        <v/>
      </c>
      <c r="I47" s="66" t="n"/>
      <c r="J47" s="78">
        <f>IF(OR(INDEX(Undirviðmið!$G$6:$G$105,ROW()-6)&lt;&gt;"Starfsbundinn",I47="",$E47="",$D47=""),"",ROUND(I47/$E47*$D47*KVARDI,2))</f>
        <v/>
      </c>
      <c r="K47" s="66" t="n"/>
      <c r="L47" s="78">
        <f>IF(OR(INDEX(Undirviðmið!$G$6:$G$105,ROW()-6)&lt;&gt;"Starfsbundinn",K47="",$E47="",$D47=""),"",ROUND(K47/$E47*$D47*KVARDI,2))</f>
        <v/>
      </c>
      <c r="M47" s="66" t="n"/>
      <c r="N47" s="78">
        <f>IF(OR(INDEX(Undirviðmið!$G$6:$G$105,ROW()-6)&lt;&gt;"Starfsbundinn",M47="",$E47="",$D47=""),"",ROUND(M47/$E47*$D47*KVARDI,2))</f>
        <v/>
      </c>
      <c r="O47" s="66" t="n"/>
      <c r="P47" s="78">
        <f>IF(OR(INDEX(Undirviðmið!$G$6:$G$105,ROW()-6)&lt;&gt;"Starfsbundinn",O47="",$E47="",$D47=""),"",ROUND(O47/$E47*$D47*KVARDI,2))</f>
        <v/>
      </c>
      <c r="Q47" s="66" t="n"/>
      <c r="R47" s="78">
        <f>IF(OR(INDEX(Undirviðmið!$G$6:$G$105,ROW()-6)&lt;&gt;"Starfsbundinn",Q47="",$E47="",$D47=""),"",ROUND(Q47/$E47*$D47*KVARDI,2))</f>
        <v/>
      </c>
      <c r="S47" s="66" t="n"/>
      <c r="T47" s="78">
        <f>IF(OR(INDEX(Undirviðmið!$G$6:$G$105,ROW()-6)&lt;&gt;"Starfsbundinn",S47="",$E47="",$D47=""),"",ROUND(S47/$E47*$D47*KVARDI,2))</f>
        <v/>
      </c>
      <c r="U47" s="66" t="n"/>
      <c r="V47" s="78">
        <f>IF(OR(INDEX(Undirviðmið!$G$6:$G$105,ROW()-6)&lt;&gt;"Starfsbundinn",U47="",$E47="",$D47=""),"",ROUND(U47/$E47*$D47*KVARDI,2))</f>
        <v/>
      </c>
      <c r="W47" s="66" t="n"/>
      <c r="X47" s="78">
        <f>IF(OR(INDEX(Undirviðmið!$G$6:$G$105,ROW()-6)&lt;&gt;"Starfsbundinn",W47="",$E47="",$D47=""),"",ROUND(W47/$E47*$D47*KVARDI,2))</f>
        <v/>
      </c>
      <c r="Y47" s="66" t="n"/>
      <c r="Z47" s="78">
        <f>IF(OR(INDEX(Undirviðmið!$G$6:$G$105,ROW()-6)&lt;&gt;"Starfsbundinn",Y47="",$E47="",$D47=""),"",ROUND(Y47/$E47*$D47*KVARDI,2))</f>
        <v/>
      </c>
      <c r="AA47" s="66" t="n"/>
      <c r="AB47" s="78">
        <f>IF(OR(INDEX(Undirviðmið!$G$6:$G$105,ROW()-6)&lt;&gt;"Starfsbundinn",AA47="",$E47="",$D47=""),"",ROUND(AA47/$E47*$D47*KVARDI,2))</f>
        <v/>
      </c>
      <c r="AC47" s="66" t="n"/>
      <c r="AD47" s="78">
        <f>IF(OR(INDEX(Undirviðmið!$G$6:$G$105,ROW()-6)&lt;&gt;"Starfsbundinn",AC47="",$E47="",$D47=""),"",ROUND(AC47/$E47*$D47*KVARDI,2))</f>
        <v/>
      </c>
      <c r="AE47" s="66" t="n"/>
      <c r="AF47" s="78">
        <f>IF(OR(INDEX(Undirviðmið!$G$6:$G$105,ROW()-6)&lt;&gt;"Starfsbundinn",AE47="",$E47="",$D47=""),"",ROUND(AE47/$E47*$D47*KVARDI,2))</f>
        <v/>
      </c>
      <c r="AG47" s="66" t="n"/>
      <c r="AH47" s="78">
        <f>IF(OR(INDEX(Undirviðmið!$G$6:$G$105,ROW()-6)&lt;&gt;"Starfsbundinn",AG47="",$E47="",$D47=""),"",ROUND(AG47/$E47*$D47*KVARDI,2))</f>
        <v/>
      </c>
      <c r="AI47" s="66" t="n"/>
      <c r="AJ47" s="78">
        <f>IF(OR(INDEX(Undirviðmið!$G$6:$G$105,ROW()-6)&lt;&gt;"Starfsbundinn",AI47="",$E47="",$D47=""),"",ROUND(AI47/$E47*$D47*KVARDI,2))</f>
        <v/>
      </c>
      <c r="AK47" s="66" t="n"/>
      <c r="AL47" s="78">
        <f>IF(OR(INDEX(Undirviðmið!$G$6:$G$105,ROW()-6)&lt;&gt;"Starfsbundinn",AK47="",$E47="",$D47=""),"",ROUND(AK47/$E47*$D47*KVARDI,2))</f>
        <v/>
      </c>
      <c r="AM47" s="66" t="n"/>
      <c r="AN47" s="78">
        <f>IF(OR(INDEX(Undirviðmið!$G$6:$G$105,ROW()-6)&lt;&gt;"Starfsbundinn",AM47="",$E47="",$D47=""),"",ROUND(AM47/$E47*$D47*KVARDI,2))</f>
        <v/>
      </c>
      <c r="AO47" s="66" t="n"/>
      <c r="AP47" s="78">
        <f>IF(OR(INDEX(Undirviðmið!$G$6:$G$105,ROW()-6)&lt;&gt;"Starfsbundinn",AO47="",$E47="",$D47=""),"",ROUND(AO47/$E47*$D47*KVARDI,2))</f>
        <v/>
      </c>
      <c r="AQ47" s="66" t="n"/>
      <c r="AR47" s="78">
        <f>IF(OR(INDEX(Undirviðmið!$G$6:$G$105,ROW()-6)&lt;&gt;"Starfsbundinn",AQ47="",$E47="",$D47=""),"",ROUND(AQ47/$E47*$D47*KVARDI,2))</f>
        <v/>
      </c>
      <c r="AS47" s="66" t="n"/>
      <c r="AT47" s="78">
        <f>IF(OR(INDEX(Undirviðmið!$G$6:$G$105,ROW()-6)&lt;&gt;"Starfsbundinn",AS47="",$E47="",$D47=""),"",ROUND(AS47/$E47*$D47*KVARDI,2))</f>
        <v/>
      </c>
      <c r="AU47" s="66" t="n"/>
      <c r="AV47" s="78">
        <f>IF(OR(INDEX(Undirviðmið!$G$6:$G$105,ROW()-6)&lt;&gt;"Starfsbundinn",AU47="",$E47="",$D47=""),"",ROUND(AU47/$E47*$D47*KVARDI,2))</f>
        <v/>
      </c>
      <c r="AW47" s="66" t="n"/>
      <c r="AX47" s="78">
        <f>IF(OR(INDEX(Undirviðmið!$G$6:$G$105,ROW()-6)&lt;&gt;"Starfsbundinn",AW47="",$E47="",$D47=""),"",ROUND(AW47/$E47*$D47*KVARDI,2))</f>
        <v/>
      </c>
      <c r="AY47" s="66" t="n"/>
      <c r="AZ47" s="78">
        <f>IF(OR(INDEX(Undirviðmið!$G$6:$G$105,ROW()-6)&lt;&gt;"Starfsbundinn",AY47="",$E47="",$D47=""),"",ROUND(AY47/$E47*$D47*KVARDI,2))</f>
        <v/>
      </c>
      <c r="BA47" s="66" t="n"/>
      <c r="BB47" s="78">
        <f>IF(OR(INDEX(Undirviðmið!$G$6:$G$105,ROW()-6)&lt;&gt;"Starfsbundinn",BA47="",$E47="",$D47=""),"",ROUND(BA47/$E47*$D47*KVARDI,2))</f>
        <v/>
      </c>
      <c r="BC47" s="66" t="n"/>
      <c r="BD47" s="78">
        <f>IF(OR(INDEX(Undirviðmið!$G$6:$G$105,ROW()-6)&lt;&gt;"Starfsbundinn",BC47="",$E47="",$D47=""),"",ROUND(BC47/$E47*$D47*KVARDI,2))</f>
        <v/>
      </c>
      <c r="BE47" s="66" t="n"/>
      <c r="BF47" s="78">
        <f>IF(OR(INDEX(Undirviðmið!$G$6:$G$105,ROW()-6)&lt;&gt;"Starfsbundinn",BE47="",$E47="",$D47=""),"",ROUND(BE47/$E47*$D47*KVARDI,2))</f>
        <v/>
      </c>
      <c r="BG47" s="66" t="n"/>
      <c r="BH47" s="78">
        <f>IF(OR(INDEX(Undirviðmið!$G$6:$G$105,ROW()-6)&lt;&gt;"Starfsbundinn",BG47="",$E47="",$D47=""),"",ROUND(BG47/$E47*$D47*KVARDI,2))</f>
        <v/>
      </c>
      <c r="BI47" s="66" t="n"/>
      <c r="BJ47" s="78">
        <f>IF(OR(INDEX(Undirviðmið!$G$6:$G$105,ROW()-6)&lt;&gt;"Starfsbundinn",BI47="",$E47="",$D47=""),"",ROUND(BI47/$E47*$D47*KVARDI,2))</f>
        <v/>
      </c>
      <c r="BK47" s="66" t="n"/>
      <c r="BL47" s="78">
        <f>IF(OR(INDEX(Undirviðmið!$G$6:$G$105,ROW()-6)&lt;&gt;"Starfsbundinn",BK47="",$E47="",$D47=""),"",ROUND(BK47/$E47*$D47*KVARDI,2))</f>
        <v/>
      </c>
      <c r="BM47" s="66" t="n"/>
      <c r="BN47" s="78">
        <f>IF(OR(INDEX(Undirviðmið!$G$6:$G$105,ROW()-6)&lt;&gt;"Starfsbundinn",BM47="",$E47="",$D47=""),"",ROUND(BM47/$E47*$D47*KVARDI,2))</f>
        <v/>
      </c>
      <c r="BO47" s="66" t="n"/>
      <c r="BP47" s="78">
        <f>IF(OR(INDEX(Undirviðmið!$G$6:$G$105,ROW()-6)&lt;&gt;"Starfsbundinn",BO47="",$E47="",$D47=""),"",ROUND(BO47/$E47*$D47*KVARDI,2))</f>
        <v/>
      </c>
      <c r="BQ47" s="66" t="n"/>
      <c r="BR47" s="78">
        <f>IF(OR(INDEX(Undirviðmið!$G$6:$G$105,ROW()-6)&lt;&gt;"Starfsbundinn",BQ47="",$E47="",$D47=""),"",ROUND(BQ47/$E47*$D47*KVARDI,2))</f>
        <v/>
      </c>
      <c r="BS47" s="66" t="n"/>
      <c r="BT47" s="78">
        <f>IF(OR(INDEX(Undirviðmið!$G$6:$G$105,ROW()-6)&lt;&gt;"Starfsbundinn",BS47="",$E47="",$D47=""),"",ROUND(BS47/$E47*$D47*KVARDI,2))</f>
        <v/>
      </c>
      <c r="BU47" s="66" t="n"/>
      <c r="BV47" s="78">
        <f>IF(OR(INDEX(Undirviðmið!$G$6:$G$105,ROW()-6)&lt;&gt;"Starfsbundinn",BU47="",$E47="",$D47=""),"",ROUND(BU47/$E47*$D47*KVARDI,2))</f>
        <v/>
      </c>
      <c r="BW47" s="66" t="n"/>
      <c r="BX47" s="78">
        <f>IF(OR(INDEX(Undirviðmið!$G$6:$G$105,ROW()-6)&lt;&gt;"Starfsbundinn",BW47="",$E47="",$D47=""),"",ROUND(BW47/$E47*$D47*KVARDI,2))</f>
        <v/>
      </c>
      <c r="BY47" s="66" t="n"/>
      <c r="BZ47" s="78">
        <f>IF(OR(INDEX(Undirviðmið!$G$6:$G$105,ROW()-6)&lt;&gt;"Starfsbundinn",BY47="",$E47="",$D47=""),"",ROUND(BY47/$E47*$D47*KVARDI,2))</f>
        <v/>
      </c>
      <c r="CA47" s="66" t="n"/>
      <c r="CB47" s="78">
        <f>IF(OR(INDEX(Undirviðmið!$G$6:$G$105,ROW()-6)&lt;&gt;"Starfsbundinn",CA47="",$E47="",$D47=""),"",ROUND(CA47/$E47*$D47*KVARDI,2))</f>
        <v/>
      </c>
      <c r="CC47" s="66" t="n"/>
      <c r="CD47" s="78">
        <f>IF(OR(INDEX(Undirviðmið!$G$6:$G$105,ROW()-6)&lt;&gt;"Starfsbundinn",CC47="",$E47="",$D47=""),"",ROUND(CC47/$E47*$D47*KVARDI,2))</f>
        <v/>
      </c>
      <c r="CE47" s="66" t="n"/>
      <c r="CF47" s="78">
        <f>IF(OR(INDEX(Undirviðmið!$G$6:$G$105,ROW()-6)&lt;&gt;"Starfsbundinn",CE47="",$E47="",$D47=""),"",ROUND(CE47/$E47*$D47*KVARDI,2))</f>
        <v/>
      </c>
      <c r="CG47" s="66" t="n"/>
      <c r="CH47" s="78">
        <f>IF(OR(INDEX(Undirviðmið!$G$6:$G$105,ROW()-6)&lt;&gt;"Starfsbundinn",CG47="",$E47="",$D47=""),"",ROUND(CG47/$E47*$D47*KVARDI,2))</f>
        <v/>
      </c>
      <c r="CI47" s="66" t="n"/>
      <c r="CJ47" s="78">
        <f>IF(OR(INDEX(Undirviðmið!$G$6:$G$105,ROW()-6)&lt;&gt;"Starfsbundinn",CI47="",$E47="",$D47=""),"",ROUND(CI47/$E47*$D47*KVARDI,2))</f>
        <v/>
      </c>
      <c r="CK47" s="66" t="n"/>
      <c r="CL47" s="78">
        <f>IF(OR(INDEX(Undirviðmið!$G$6:$G$105,ROW()-6)&lt;&gt;"Starfsbundinn",CK47="",$E47="",$D47=""),"",ROUND(CK47/$E47*$D47*KVARDI,2))</f>
        <v/>
      </c>
      <c r="CM47" s="66" t="n"/>
      <c r="CN47" s="78">
        <f>IF(OR(INDEX(Undirviðmið!$G$6:$G$105,ROW()-6)&lt;&gt;"Starfsbundinn",CM47="",$E47="",$D47=""),"",ROUND(CM47/$E47*$D47*KVARDI,2))</f>
        <v/>
      </c>
      <c r="CO47" s="66" t="n"/>
      <c r="CP47" s="78">
        <f>IF(OR(INDEX(Undirviðmið!$G$6:$G$105,ROW()-6)&lt;&gt;"Starfsbundinn",CO47="",$E47="",$D47=""),"",ROUND(CO47/$E47*$D47*KVARDI,2))</f>
        <v/>
      </c>
      <c r="CQ47" s="66" t="n"/>
      <c r="CR47" s="78">
        <f>IF(OR(INDEX(Undirviðmið!$G$6:$G$105,ROW()-6)&lt;&gt;"Starfsbundinn",CQ47="",$E47="",$D47=""),"",ROUND(CQ47/$E47*$D47*KVARDI,2))</f>
        <v/>
      </c>
      <c r="CS47" s="66" t="n"/>
      <c r="CT47" s="78">
        <f>IF(OR(INDEX(Undirviðmið!$G$6:$G$105,ROW()-6)&lt;&gt;"Starfsbundinn",CS47="",$E47="",$D47=""),"",ROUND(CS47/$E47*$D47*KVARDI,2))</f>
        <v/>
      </c>
      <c r="CU47" s="66" t="n"/>
      <c r="CV47" s="78">
        <f>IF(OR(INDEX(Undirviðmið!$G$6:$G$105,ROW()-6)&lt;&gt;"Starfsbundinn",CU47="",$E47="",$D47=""),"",ROUND(CU47/$E47*$D47*KVARDI,2))</f>
        <v/>
      </c>
      <c r="CW47" s="66" t="n"/>
      <c r="CX47" s="78">
        <f>IF(OR(INDEX(Undirviðmið!$G$6:$G$105,ROW()-6)&lt;&gt;"Starfsbundinn",CW47="",$E47="",$D47=""),"",ROUND(CW47/$E47*$D47*KVARDI,2))</f>
        <v/>
      </c>
      <c r="CY47" s="66" t="n"/>
      <c r="CZ47" s="78">
        <f>IF(OR(INDEX(Undirviðmið!$G$6:$G$105,ROW()-6)&lt;&gt;"Starfsbundinn",CY47="",$E47="",$D47=""),"",ROUND(CY47/$E47*$D47*KVARDI,2))</f>
        <v/>
      </c>
      <c r="DA47" s="66" t="n"/>
      <c r="DB47" s="78">
        <f>IF(OR(INDEX(Undirviðmið!$G$6:$G$105,ROW()-6)&lt;&gt;"Starfsbundinn",DA47="",$E47="",$D47=""),"",ROUND(DA47/$E47*$D47*KVARDI,2))</f>
        <v/>
      </c>
      <c r="DC47" s="66" t="n"/>
      <c r="DD47" s="78">
        <f>IF(OR(INDEX(Undirviðmið!$G$6:$G$105,ROW()-6)&lt;&gt;"Starfsbundinn",DC47="",$E47="",$D47=""),"",ROUND(DC47/$E47*$D47*KVARDI,2))</f>
        <v/>
      </c>
      <c r="DE47" s="66" t="n"/>
      <c r="DF47" s="78">
        <f>IF(OR(INDEX(Undirviðmið!$G$6:$G$105,ROW()-6)&lt;&gt;"Starfsbundinn",DE47="",$E47="",$D47=""),"",ROUND(DE47/$E47*$D47*KVARDI,2))</f>
        <v/>
      </c>
      <c r="DG47" s="66" t="n"/>
      <c r="DH47" s="78">
        <f>IF(OR(INDEX(Undirviðmið!$G$6:$G$105,ROW()-6)&lt;&gt;"Starfsbundinn",DG47="",$E47="",$D47=""),"",ROUND(DG47/$E47*$D47*KVARDI,2))</f>
        <v/>
      </c>
      <c r="DI47" s="66" t="n"/>
      <c r="DJ47" s="78">
        <f>IF(OR(INDEX(Undirviðmið!$G$6:$G$105,ROW()-6)&lt;&gt;"Starfsbundinn",DI47="",$E47="",$D47=""),"",ROUND(DI47/$E47*$D47*KVARDI,2))</f>
        <v/>
      </c>
      <c r="DK47" s="66" t="n"/>
      <c r="DL47" s="78">
        <f>IF(OR(INDEX(Undirviðmið!$G$6:$G$105,ROW()-6)&lt;&gt;"Starfsbundinn",DK47="",$E47="",$D47=""),"",ROUND(DK47/$E47*$D47*KVARDI,2))</f>
        <v/>
      </c>
      <c r="DM47" s="66" t="n"/>
      <c r="DN47" s="78">
        <f>IF(OR(INDEX(Undirviðmið!$G$6:$G$105,ROW()-6)&lt;&gt;"Starfsbundinn",DM47="",$E47="",$D47=""),"",ROUND(DM47/$E47*$D47*KVARDI,2))</f>
        <v/>
      </c>
      <c r="DO47" s="66" t="n"/>
      <c r="DP47" s="78">
        <f>IF(OR(INDEX(Undirviðmið!$G$6:$G$105,ROW()-6)&lt;&gt;"Starfsbundinn",DO47="",$E47="",$D47=""),"",ROUND(DO47/$E47*$D47*KVARDI,2))</f>
        <v/>
      </c>
      <c r="DQ47" s="66" t="n"/>
      <c r="DR47" s="78">
        <f>IF(OR(INDEX(Undirviðmið!$G$6:$G$105,ROW()-6)&lt;&gt;"Starfsbundinn",DQ47="",$E47="",$D47=""),"",ROUND(DQ47/$E47*$D47*KVARDI,2))</f>
        <v/>
      </c>
      <c r="DS47" s="66" t="n"/>
      <c r="DT47" s="78">
        <f>IF(OR(INDEX(Undirviðmið!$G$6:$G$105,ROW()-6)&lt;&gt;"Starfsbundinn",DS47="",$E47="",$D47=""),"",ROUND(DS47/$E47*$D47*KVARDI,2))</f>
        <v/>
      </c>
      <c r="DU47" s="66" t="n"/>
      <c r="DV47" s="78">
        <f>IF(OR(INDEX(Undirviðmið!$G$6:$G$105,ROW()-6)&lt;&gt;"Starfsbundinn",DU47="",$E47="",$D47=""),"",ROUND(DU47/$E47*$D47*KVARDI,2))</f>
        <v/>
      </c>
      <c r="DW47" s="66" t="n"/>
      <c r="DX47" s="78">
        <f>IF(OR(INDEX(Undirviðmið!$G$6:$G$105,ROW()-6)&lt;&gt;"Starfsbundinn",DW47="",$E47="",$D47=""),"",ROUND(DW47/$E47*$D47*KVARDI,2))</f>
        <v/>
      </c>
      <c r="DY47" s="66" t="n"/>
      <c r="DZ47" s="78">
        <f>IF(OR(INDEX(Undirviðmið!$G$6:$G$105,ROW()-6)&lt;&gt;"Starfsbundinn",DY47="",$E47="",$D47=""),"",ROUND(DY47/$E47*$D47*KVARDI,2))</f>
        <v/>
      </c>
      <c r="EA47" s="66" t="n"/>
      <c r="EB47" s="78">
        <f>IF(OR(INDEX(Undirviðmið!$G$6:$G$105,ROW()-6)&lt;&gt;"Starfsbundinn",EA47="",$E47="",$D47=""),"",ROUND(EA47/$E47*$D47*KVARDI,2))</f>
        <v/>
      </c>
      <c r="EC47" s="66" t="n"/>
      <c r="ED47" s="78">
        <f>IF(OR(INDEX(Undirviðmið!$G$6:$G$105,ROW()-6)&lt;&gt;"Starfsbundinn",EC47="",$E47="",$D47=""),"",ROUND(EC47/$E47*$D47*KVARDI,2))</f>
        <v/>
      </c>
      <c r="EE47" s="66" t="n"/>
      <c r="EF47" s="78">
        <f>IF(OR(INDEX(Undirviðmið!$G$6:$G$105,ROW()-6)&lt;&gt;"Starfsbundinn",EE47="",$E47="",$D47=""),"",ROUND(EE47/$E47*$D47*KVARDI,2))</f>
        <v/>
      </c>
      <c r="EG47" s="66" t="n"/>
      <c r="EH47" s="78">
        <f>IF(OR(INDEX(Undirviðmið!$G$6:$G$105,ROW()-6)&lt;&gt;"Starfsbundinn",EG47="",$E47="",$D47=""),"",ROUND(EG47/$E47*$D47*KVARDI,2))</f>
        <v/>
      </c>
      <c r="EI47" s="66" t="n"/>
      <c r="EJ47" s="78">
        <f>IF(OR(INDEX(Undirviðmið!$G$6:$G$105,ROW()-6)&lt;&gt;"Starfsbundinn",EI47="",$E47="",$D47=""),"",ROUND(EI47/$E47*$D47*KVARDI,2))</f>
        <v/>
      </c>
      <c r="EK47" s="66" t="n"/>
      <c r="EL47" s="78">
        <f>IF(OR(INDEX(Undirviðmið!$G$6:$G$105,ROW()-6)&lt;&gt;"Starfsbundinn",EK47="",$E47="",$D47=""),"",ROUND(EK47/$E47*$D47*KVARDI,2))</f>
        <v/>
      </c>
      <c r="EM47" s="66" t="n"/>
      <c r="EN47" s="78">
        <f>IF(OR(INDEX(Undirviðmið!$G$6:$G$105,ROW()-6)&lt;&gt;"Starfsbundinn",EM47="",$E47="",$D47=""),"",ROUND(EM47/$E47*$D47*KVARDI,2))</f>
        <v/>
      </c>
      <c r="EO47" s="66" t="n"/>
      <c r="EP47" s="78">
        <f>IF(OR(INDEX(Undirviðmið!$G$6:$G$105,ROW()-6)&lt;&gt;"Starfsbundinn",EO47="",$E47="",$D47=""),"",ROUND(EO47/$E47*$D47*KVARDI,2))</f>
        <v/>
      </c>
      <c r="EQ47" s="66" t="n"/>
      <c r="ER47" s="78">
        <f>IF(OR(INDEX(Undirviðmið!$G$6:$G$105,ROW()-6)&lt;&gt;"Starfsbundinn",EQ47="",$E47="",$D47=""),"",ROUND(EQ47/$E47*$D47*KVARDI,2))</f>
        <v/>
      </c>
      <c r="ES47" s="66" t="n"/>
      <c r="ET47" s="78">
        <f>IF(OR(INDEX(Undirviðmið!$G$6:$G$105,ROW()-6)&lt;&gt;"Starfsbundinn",ES47="",$E47="",$D47=""),"",ROUND(ES47/$E47*$D47*KVARDI,2))</f>
        <v/>
      </c>
      <c r="EU47" s="66" t="n"/>
      <c r="EV47" s="78">
        <f>IF(OR(INDEX(Undirviðmið!$G$6:$G$105,ROW()-6)&lt;&gt;"Starfsbundinn",EU47="",$E47="",$D47=""),"",ROUND(EU47/$E47*$D47*KVARDI,2))</f>
        <v/>
      </c>
      <c r="EW47" s="66" t="n"/>
      <c r="EX47" s="78">
        <f>IF(OR(INDEX(Undirviðmið!$G$6:$G$105,ROW()-6)&lt;&gt;"Starfsbundinn",EW47="",$E47="",$D47=""),"",ROUND(EW47/$E47*$D47*KVARDI,2))</f>
        <v/>
      </c>
      <c r="EY47" s="66" t="n"/>
      <c r="EZ47" s="78">
        <f>IF(OR(INDEX(Undirviðmið!$G$6:$G$105,ROW()-6)&lt;&gt;"Starfsbundinn",EY47="",$E47="",$D47=""),"",ROUND(EY47/$E47*$D47*KVARDI,2))</f>
        <v/>
      </c>
      <c r="FA47" s="66" t="n"/>
      <c r="FB47" s="78">
        <f>IF(OR(INDEX(Undirviðmið!$G$6:$G$105,ROW()-6)&lt;&gt;"Starfsbundinn",FA47="",$E47="",$D47=""),"",ROUND(FA47/$E47*$D47*KVARDI,2))</f>
        <v/>
      </c>
      <c r="FC47" s="66" t="n"/>
      <c r="FD47" s="78">
        <f>IF(OR(INDEX(Undirviðmið!$G$6:$G$105,ROW()-6)&lt;&gt;"Starfsbundinn",FC47="",$E47="",$D47=""),"",ROUND(FC47/$E47*$D47*KVARDI,2))</f>
        <v/>
      </c>
      <c r="FE47" s="66" t="n"/>
      <c r="FF47" s="78">
        <f>IF(OR(INDEX(Undirviðmið!$G$6:$G$105,ROW()-6)&lt;&gt;"Starfsbundinn",FE47="",$E47="",$D47=""),"",ROUND(FE47/$E47*$D47*KVARDI,2))</f>
        <v/>
      </c>
      <c r="FG47" s="66" t="n"/>
      <c r="FH47" s="78">
        <f>IF(OR(INDEX(Undirviðmið!$G$6:$G$105,ROW()-6)&lt;&gt;"Starfsbundinn",FG47="",$E47="",$D47=""),"",ROUND(FG47/$E47*$D47*KVARDI,2))</f>
        <v/>
      </c>
      <c r="FI47" s="66" t="n"/>
      <c r="FJ47" s="78">
        <f>IF(OR(INDEX(Undirviðmið!$G$6:$G$105,ROW()-6)&lt;&gt;"Starfsbundinn",FI47="",$E47="",$D47=""),"",ROUND(FI47/$E47*$D47*KVARDI,2))</f>
        <v/>
      </c>
      <c r="FK47" s="66" t="n"/>
      <c r="FL47" s="78">
        <f>IF(OR(INDEX(Undirviðmið!$G$6:$G$105,ROW()-6)&lt;&gt;"Starfsbundinn",FK47="",$E47="",$D47=""),"",ROUND(FK47/$E47*$D47*KVARDI,2))</f>
        <v/>
      </c>
      <c r="FM47" s="66" t="n"/>
      <c r="FN47" s="78">
        <f>IF(OR(INDEX(Undirviðmið!$G$6:$G$105,ROW()-6)&lt;&gt;"Starfsbundinn",FM47="",$E47="",$D47=""),"",ROUND(FM47/$E47*$D47*KVARDI,2))</f>
        <v/>
      </c>
      <c r="FO47" s="66" t="n"/>
      <c r="FP47" s="78">
        <f>IF(OR(INDEX(Undirviðmið!$G$6:$G$105,ROW()-6)&lt;&gt;"Starfsbundinn",FO47="",$E47="",$D47=""),"",ROUND(FO47/$E47*$D47*KVARDI,2))</f>
        <v/>
      </c>
      <c r="FQ47" s="66" t="n"/>
      <c r="FR47" s="78">
        <f>IF(OR(INDEX(Undirviðmið!$G$6:$G$105,ROW()-6)&lt;&gt;"Starfsbundinn",FQ47="",$E47="",$D47=""),"",ROUND(FQ47/$E47*$D47*KVARDI,2))</f>
        <v/>
      </c>
      <c r="FS47" s="66" t="n"/>
      <c r="FT47" s="78">
        <f>IF(OR(INDEX(Undirviðmið!$G$6:$G$105,ROW()-6)&lt;&gt;"Starfsbundinn",FS47="",$E47="",$D47=""),"",ROUND(FS47/$E47*$D47*KVARDI,2))</f>
        <v/>
      </c>
      <c r="FU47" s="66" t="n"/>
      <c r="FV47" s="78">
        <f>IF(OR(INDEX(Undirviðmið!$G$6:$G$105,ROW()-6)&lt;&gt;"Starfsbundinn",FU47="",$E47="",$D47=""),"",ROUND(FU47/$E47*$D47*KVARDI,2))</f>
        <v/>
      </c>
      <c r="FW47" s="66" t="n"/>
      <c r="FX47" s="78">
        <f>IF(OR(INDEX(Undirviðmið!$G$6:$G$105,ROW()-6)&lt;&gt;"Starfsbundinn",FW47="",$E47="",$D47=""),"",ROUND(FW47/$E47*$D47*KVARDI,2))</f>
        <v/>
      </c>
      <c r="FY47" s="66" t="n"/>
      <c r="FZ47" s="78">
        <f>IF(OR(INDEX(Undirviðmið!$G$6:$G$105,ROW()-6)&lt;&gt;"Starfsbundinn",FY47="",$E47="",$D47=""),"",ROUND(FY47/$E47*$D47*KVARDI,2))</f>
        <v/>
      </c>
      <c r="GA47" s="66" t="n"/>
      <c r="GB47" s="78">
        <f>IF(OR(INDEX(Undirviðmið!$G$6:$G$105,ROW()-6)&lt;&gt;"Starfsbundinn",GA47="",$E47="",$D47=""),"",ROUND(GA47/$E47*$D47*KVARDI,2))</f>
        <v/>
      </c>
      <c r="GC47" s="66" t="n"/>
      <c r="GD47" s="78">
        <f>IF(OR(INDEX(Undirviðmið!$G$6:$G$105,ROW()-6)&lt;&gt;"Starfsbundinn",GC47="",$E47="",$D47=""),"",ROUND(GC47/$E47*$D47*KVARDI,2))</f>
        <v/>
      </c>
      <c r="GE47" s="66" t="n"/>
      <c r="GF47" s="78">
        <f>IF(OR(INDEX(Undirviðmið!$G$6:$G$105,ROW()-6)&lt;&gt;"Starfsbundinn",GE47="",$E47="",$D47=""),"",ROUND(GE47/$E47*$D47*KVARDI,2))</f>
        <v/>
      </c>
      <c r="GG47" s="66" t="n"/>
      <c r="GH47" s="78">
        <f>IF(OR(INDEX(Undirviðmið!$G$6:$G$105,ROW()-6)&lt;&gt;"Starfsbundinn",GG47="",$E47="",$D47=""),"",ROUND(GG47/$E47*$D47*KVARDI,2))</f>
        <v/>
      </c>
      <c r="GI47" s="66" t="n"/>
      <c r="GJ47" s="78">
        <f>IF(OR(INDEX(Undirviðmið!$G$6:$G$105,ROW()-6)&lt;&gt;"Starfsbundinn",GI47="",$E47="",$D47=""),"",ROUND(GI47/$E47*$D47*KVARDI,2))</f>
        <v/>
      </c>
      <c r="GK47" s="66" t="n"/>
      <c r="GL47" s="78">
        <f>IF(OR(INDEX(Undirviðmið!$G$6:$G$105,ROW()-6)&lt;&gt;"Starfsbundinn",GK47="",$E47="",$D47=""),"",ROUND(GK47/$E47*$D47*KVARDI,2))</f>
        <v/>
      </c>
      <c r="GM47" s="66" t="n"/>
      <c r="GN47" s="78">
        <f>IF(OR(INDEX(Undirviðmið!$G$6:$G$105,ROW()-6)&lt;&gt;"Starfsbundinn",GM47="",$E47="",$D47=""),"",ROUND(GM47/$E47*$D47*KVARDI,2))</f>
        <v/>
      </c>
      <c r="GO47" s="66" t="n"/>
      <c r="GP47" s="78">
        <f>IF(OR(INDEX(Undirviðmið!$G$6:$G$105,ROW()-6)&lt;&gt;"Starfsbundinn",GO47="",$E47="",$D47=""),"",ROUND(GO47/$E47*$D47*KVARDI,2))</f>
        <v/>
      </c>
      <c r="GQ47" s="66" t="n"/>
      <c r="GR47" s="78">
        <f>IF(OR(INDEX(Undirviðmið!$G$6:$G$105,ROW()-6)&lt;&gt;"Starfsbundinn",GQ47="",$E47="",$D47=""),"",ROUND(GQ47/$E47*$D47*KVARDI,2))</f>
        <v/>
      </c>
      <c r="GS47" s="66" t="n"/>
      <c r="GT47" s="78">
        <f>IF(OR(INDEX(Undirviðmið!$G$6:$G$105,ROW()-6)&lt;&gt;"Starfsbundinn",GS47="",$E47="",$D47=""),"",ROUND(GS47/$E47*$D47*KVARDI,2))</f>
        <v/>
      </c>
      <c r="GU47" s="66" t="n"/>
      <c r="GV47" s="78">
        <f>IF(OR(INDEX(Undirviðmið!$G$6:$G$105,ROW()-6)&lt;&gt;"Starfsbundinn",GU47="",$E47="",$D47=""),"",ROUND(GU47/$E47*$D47*KVARDI,2))</f>
        <v/>
      </c>
      <c r="GW47" s="66" t="n"/>
      <c r="GX47" s="78">
        <f>IF(OR(INDEX(Undirviðmið!$G$6:$G$105,ROW()-6)&lt;&gt;"Starfsbundinn",GW47="",$E47="",$D47=""),"",ROUND(GW47/$E47*$D47*KVARDI,2))</f>
        <v/>
      </c>
    </row>
    <row r="48" ht="15" customHeight="1" s="47">
      <c r="B48" s="67">
        <f>IF(INDEX(Undirviðmið!$G$6:$G$105,ROW()-6)="Starfsbundinn",INDEX(Undirviðmið!$B$6:$B$105,ROW()-6),"")</f>
        <v/>
      </c>
      <c r="C48" s="67">
        <f>IF(INDEX(Undirviðmið!$G$6:$G$105,ROW()-6)="Starfsbundinn",INDEX(Undirviðmið!$C$6:$C$105,ROW()-6),"")</f>
        <v/>
      </c>
      <c r="D48" s="77">
        <f>IF(INDEX(Undirviðmið!$G$6:$G$105,ROW()-6)="Starfsbundinn",INDEX(Undirviðmið!$E$6:$E$105,ROW()-6),"")</f>
        <v/>
      </c>
      <c r="E48" s="77">
        <f>IF(INDEX(Undirviðmið!$G$6:$G$105,ROW()-6)="Starfsbundinn",INDEX(Undirviðmið!$F$6:$F$105,ROW()-6),"")</f>
        <v/>
      </c>
      <c r="F48" s="77">
        <f>IF(INDEX(Undirviðmið!$G$6:$G$105,ROW()-6)="Starfsbundinn",IFERROR(INDEX(Undirviðmið!$E$6:$E$105,ROW()-6)*KVARDI,""),"")</f>
        <v/>
      </c>
      <c r="G48" s="66" t="n"/>
      <c r="H48" s="78">
        <f>IF(OR(INDEX(Undirviðmið!$G$6:$G$105,ROW()-6)&lt;&gt;"Starfsbundinn",G48="",$E48="",$D48=""),"",ROUND(G48/$E48*$D48*KVARDI,2))</f>
        <v/>
      </c>
      <c r="I48" s="66" t="n"/>
      <c r="J48" s="78">
        <f>IF(OR(INDEX(Undirviðmið!$G$6:$G$105,ROW()-6)&lt;&gt;"Starfsbundinn",I48="",$E48="",$D48=""),"",ROUND(I48/$E48*$D48*KVARDI,2))</f>
        <v/>
      </c>
      <c r="K48" s="66" t="n"/>
      <c r="L48" s="78">
        <f>IF(OR(INDEX(Undirviðmið!$G$6:$G$105,ROW()-6)&lt;&gt;"Starfsbundinn",K48="",$E48="",$D48=""),"",ROUND(K48/$E48*$D48*KVARDI,2))</f>
        <v/>
      </c>
      <c r="M48" s="66" t="n"/>
      <c r="N48" s="78">
        <f>IF(OR(INDEX(Undirviðmið!$G$6:$G$105,ROW()-6)&lt;&gt;"Starfsbundinn",M48="",$E48="",$D48=""),"",ROUND(M48/$E48*$D48*KVARDI,2))</f>
        <v/>
      </c>
      <c r="O48" s="66" t="n"/>
      <c r="P48" s="78">
        <f>IF(OR(INDEX(Undirviðmið!$G$6:$G$105,ROW()-6)&lt;&gt;"Starfsbundinn",O48="",$E48="",$D48=""),"",ROUND(O48/$E48*$D48*KVARDI,2))</f>
        <v/>
      </c>
      <c r="Q48" s="66" t="n"/>
      <c r="R48" s="78">
        <f>IF(OR(INDEX(Undirviðmið!$G$6:$G$105,ROW()-6)&lt;&gt;"Starfsbundinn",Q48="",$E48="",$D48=""),"",ROUND(Q48/$E48*$D48*KVARDI,2))</f>
        <v/>
      </c>
      <c r="S48" s="66" t="n"/>
      <c r="T48" s="78">
        <f>IF(OR(INDEX(Undirviðmið!$G$6:$G$105,ROW()-6)&lt;&gt;"Starfsbundinn",S48="",$E48="",$D48=""),"",ROUND(S48/$E48*$D48*KVARDI,2))</f>
        <v/>
      </c>
      <c r="U48" s="66" t="n"/>
      <c r="V48" s="78">
        <f>IF(OR(INDEX(Undirviðmið!$G$6:$G$105,ROW()-6)&lt;&gt;"Starfsbundinn",U48="",$E48="",$D48=""),"",ROUND(U48/$E48*$D48*KVARDI,2))</f>
        <v/>
      </c>
      <c r="W48" s="66" t="n"/>
      <c r="X48" s="78">
        <f>IF(OR(INDEX(Undirviðmið!$G$6:$G$105,ROW()-6)&lt;&gt;"Starfsbundinn",W48="",$E48="",$D48=""),"",ROUND(W48/$E48*$D48*KVARDI,2))</f>
        <v/>
      </c>
      <c r="Y48" s="66" t="n"/>
      <c r="Z48" s="78">
        <f>IF(OR(INDEX(Undirviðmið!$G$6:$G$105,ROW()-6)&lt;&gt;"Starfsbundinn",Y48="",$E48="",$D48=""),"",ROUND(Y48/$E48*$D48*KVARDI,2))</f>
        <v/>
      </c>
      <c r="AA48" s="66" t="n"/>
      <c r="AB48" s="78">
        <f>IF(OR(INDEX(Undirviðmið!$G$6:$G$105,ROW()-6)&lt;&gt;"Starfsbundinn",AA48="",$E48="",$D48=""),"",ROUND(AA48/$E48*$D48*KVARDI,2))</f>
        <v/>
      </c>
      <c r="AC48" s="66" t="n"/>
      <c r="AD48" s="78">
        <f>IF(OR(INDEX(Undirviðmið!$G$6:$G$105,ROW()-6)&lt;&gt;"Starfsbundinn",AC48="",$E48="",$D48=""),"",ROUND(AC48/$E48*$D48*KVARDI,2))</f>
        <v/>
      </c>
      <c r="AE48" s="66" t="n"/>
      <c r="AF48" s="78">
        <f>IF(OR(INDEX(Undirviðmið!$G$6:$G$105,ROW()-6)&lt;&gt;"Starfsbundinn",AE48="",$E48="",$D48=""),"",ROUND(AE48/$E48*$D48*KVARDI,2))</f>
        <v/>
      </c>
      <c r="AG48" s="66" t="n"/>
      <c r="AH48" s="78">
        <f>IF(OR(INDEX(Undirviðmið!$G$6:$G$105,ROW()-6)&lt;&gt;"Starfsbundinn",AG48="",$E48="",$D48=""),"",ROUND(AG48/$E48*$D48*KVARDI,2))</f>
        <v/>
      </c>
      <c r="AI48" s="66" t="n"/>
      <c r="AJ48" s="78">
        <f>IF(OR(INDEX(Undirviðmið!$G$6:$G$105,ROW()-6)&lt;&gt;"Starfsbundinn",AI48="",$E48="",$D48=""),"",ROUND(AI48/$E48*$D48*KVARDI,2))</f>
        <v/>
      </c>
      <c r="AK48" s="66" t="n"/>
      <c r="AL48" s="78">
        <f>IF(OR(INDEX(Undirviðmið!$G$6:$G$105,ROW()-6)&lt;&gt;"Starfsbundinn",AK48="",$E48="",$D48=""),"",ROUND(AK48/$E48*$D48*KVARDI,2))</f>
        <v/>
      </c>
      <c r="AM48" s="66" t="n"/>
      <c r="AN48" s="78">
        <f>IF(OR(INDEX(Undirviðmið!$G$6:$G$105,ROW()-6)&lt;&gt;"Starfsbundinn",AM48="",$E48="",$D48=""),"",ROUND(AM48/$E48*$D48*KVARDI,2))</f>
        <v/>
      </c>
      <c r="AO48" s="66" t="n"/>
      <c r="AP48" s="78">
        <f>IF(OR(INDEX(Undirviðmið!$G$6:$G$105,ROW()-6)&lt;&gt;"Starfsbundinn",AO48="",$E48="",$D48=""),"",ROUND(AO48/$E48*$D48*KVARDI,2))</f>
        <v/>
      </c>
      <c r="AQ48" s="66" t="n"/>
      <c r="AR48" s="78">
        <f>IF(OR(INDEX(Undirviðmið!$G$6:$G$105,ROW()-6)&lt;&gt;"Starfsbundinn",AQ48="",$E48="",$D48=""),"",ROUND(AQ48/$E48*$D48*KVARDI,2))</f>
        <v/>
      </c>
      <c r="AS48" s="66" t="n"/>
      <c r="AT48" s="78">
        <f>IF(OR(INDEX(Undirviðmið!$G$6:$G$105,ROW()-6)&lt;&gt;"Starfsbundinn",AS48="",$E48="",$D48=""),"",ROUND(AS48/$E48*$D48*KVARDI,2))</f>
        <v/>
      </c>
      <c r="AU48" s="66" t="n"/>
      <c r="AV48" s="78">
        <f>IF(OR(INDEX(Undirviðmið!$G$6:$G$105,ROW()-6)&lt;&gt;"Starfsbundinn",AU48="",$E48="",$D48=""),"",ROUND(AU48/$E48*$D48*KVARDI,2))</f>
        <v/>
      </c>
      <c r="AW48" s="66" t="n"/>
      <c r="AX48" s="78">
        <f>IF(OR(INDEX(Undirviðmið!$G$6:$G$105,ROW()-6)&lt;&gt;"Starfsbundinn",AW48="",$E48="",$D48=""),"",ROUND(AW48/$E48*$D48*KVARDI,2))</f>
        <v/>
      </c>
      <c r="AY48" s="66" t="n"/>
      <c r="AZ48" s="78">
        <f>IF(OR(INDEX(Undirviðmið!$G$6:$G$105,ROW()-6)&lt;&gt;"Starfsbundinn",AY48="",$E48="",$D48=""),"",ROUND(AY48/$E48*$D48*KVARDI,2))</f>
        <v/>
      </c>
      <c r="BA48" s="66" t="n"/>
      <c r="BB48" s="78">
        <f>IF(OR(INDEX(Undirviðmið!$G$6:$G$105,ROW()-6)&lt;&gt;"Starfsbundinn",BA48="",$E48="",$D48=""),"",ROUND(BA48/$E48*$D48*KVARDI,2))</f>
        <v/>
      </c>
      <c r="BC48" s="66" t="n"/>
      <c r="BD48" s="78">
        <f>IF(OR(INDEX(Undirviðmið!$G$6:$G$105,ROW()-6)&lt;&gt;"Starfsbundinn",BC48="",$E48="",$D48=""),"",ROUND(BC48/$E48*$D48*KVARDI,2))</f>
        <v/>
      </c>
      <c r="BE48" s="66" t="n"/>
      <c r="BF48" s="78">
        <f>IF(OR(INDEX(Undirviðmið!$G$6:$G$105,ROW()-6)&lt;&gt;"Starfsbundinn",BE48="",$E48="",$D48=""),"",ROUND(BE48/$E48*$D48*KVARDI,2))</f>
        <v/>
      </c>
      <c r="BG48" s="66" t="n"/>
      <c r="BH48" s="78">
        <f>IF(OR(INDEX(Undirviðmið!$G$6:$G$105,ROW()-6)&lt;&gt;"Starfsbundinn",BG48="",$E48="",$D48=""),"",ROUND(BG48/$E48*$D48*KVARDI,2))</f>
        <v/>
      </c>
      <c r="BI48" s="66" t="n"/>
      <c r="BJ48" s="78">
        <f>IF(OR(INDEX(Undirviðmið!$G$6:$G$105,ROW()-6)&lt;&gt;"Starfsbundinn",BI48="",$E48="",$D48=""),"",ROUND(BI48/$E48*$D48*KVARDI,2))</f>
        <v/>
      </c>
      <c r="BK48" s="66" t="n"/>
      <c r="BL48" s="78">
        <f>IF(OR(INDEX(Undirviðmið!$G$6:$G$105,ROW()-6)&lt;&gt;"Starfsbundinn",BK48="",$E48="",$D48=""),"",ROUND(BK48/$E48*$D48*KVARDI,2))</f>
        <v/>
      </c>
      <c r="BM48" s="66" t="n"/>
      <c r="BN48" s="78">
        <f>IF(OR(INDEX(Undirviðmið!$G$6:$G$105,ROW()-6)&lt;&gt;"Starfsbundinn",BM48="",$E48="",$D48=""),"",ROUND(BM48/$E48*$D48*KVARDI,2))</f>
        <v/>
      </c>
      <c r="BO48" s="66" t="n"/>
      <c r="BP48" s="78">
        <f>IF(OR(INDEX(Undirviðmið!$G$6:$G$105,ROW()-6)&lt;&gt;"Starfsbundinn",BO48="",$E48="",$D48=""),"",ROUND(BO48/$E48*$D48*KVARDI,2))</f>
        <v/>
      </c>
      <c r="BQ48" s="66" t="n"/>
      <c r="BR48" s="78">
        <f>IF(OR(INDEX(Undirviðmið!$G$6:$G$105,ROW()-6)&lt;&gt;"Starfsbundinn",BQ48="",$E48="",$D48=""),"",ROUND(BQ48/$E48*$D48*KVARDI,2))</f>
        <v/>
      </c>
      <c r="BS48" s="66" t="n"/>
      <c r="BT48" s="78">
        <f>IF(OR(INDEX(Undirviðmið!$G$6:$G$105,ROW()-6)&lt;&gt;"Starfsbundinn",BS48="",$E48="",$D48=""),"",ROUND(BS48/$E48*$D48*KVARDI,2))</f>
        <v/>
      </c>
      <c r="BU48" s="66" t="n"/>
      <c r="BV48" s="78">
        <f>IF(OR(INDEX(Undirviðmið!$G$6:$G$105,ROW()-6)&lt;&gt;"Starfsbundinn",BU48="",$E48="",$D48=""),"",ROUND(BU48/$E48*$D48*KVARDI,2))</f>
        <v/>
      </c>
      <c r="BW48" s="66" t="n"/>
      <c r="BX48" s="78">
        <f>IF(OR(INDEX(Undirviðmið!$G$6:$G$105,ROW()-6)&lt;&gt;"Starfsbundinn",BW48="",$E48="",$D48=""),"",ROUND(BW48/$E48*$D48*KVARDI,2))</f>
        <v/>
      </c>
      <c r="BY48" s="66" t="n"/>
      <c r="BZ48" s="78">
        <f>IF(OR(INDEX(Undirviðmið!$G$6:$G$105,ROW()-6)&lt;&gt;"Starfsbundinn",BY48="",$E48="",$D48=""),"",ROUND(BY48/$E48*$D48*KVARDI,2))</f>
        <v/>
      </c>
      <c r="CA48" s="66" t="n"/>
      <c r="CB48" s="78">
        <f>IF(OR(INDEX(Undirviðmið!$G$6:$G$105,ROW()-6)&lt;&gt;"Starfsbundinn",CA48="",$E48="",$D48=""),"",ROUND(CA48/$E48*$D48*KVARDI,2))</f>
        <v/>
      </c>
      <c r="CC48" s="66" t="n"/>
      <c r="CD48" s="78">
        <f>IF(OR(INDEX(Undirviðmið!$G$6:$G$105,ROW()-6)&lt;&gt;"Starfsbundinn",CC48="",$E48="",$D48=""),"",ROUND(CC48/$E48*$D48*KVARDI,2))</f>
        <v/>
      </c>
      <c r="CE48" s="66" t="n"/>
      <c r="CF48" s="78">
        <f>IF(OR(INDEX(Undirviðmið!$G$6:$G$105,ROW()-6)&lt;&gt;"Starfsbundinn",CE48="",$E48="",$D48=""),"",ROUND(CE48/$E48*$D48*KVARDI,2))</f>
        <v/>
      </c>
      <c r="CG48" s="66" t="n"/>
      <c r="CH48" s="78">
        <f>IF(OR(INDEX(Undirviðmið!$G$6:$G$105,ROW()-6)&lt;&gt;"Starfsbundinn",CG48="",$E48="",$D48=""),"",ROUND(CG48/$E48*$D48*KVARDI,2))</f>
        <v/>
      </c>
      <c r="CI48" s="66" t="n"/>
      <c r="CJ48" s="78">
        <f>IF(OR(INDEX(Undirviðmið!$G$6:$G$105,ROW()-6)&lt;&gt;"Starfsbundinn",CI48="",$E48="",$D48=""),"",ROUND(CI48/$E48*$D48*KVARDI,2))</f>
        <v/>
      </c>
      <c r="CK48" s="66" t="n"/>
      <c r="CL48" s="78">
        <f>IF(OR(INDEX(Undirviðmið!$G$6:$G$105,ROW()-6)&lt;&gt;"Starfsbundinn",CK48="",$E48="",$D48=""),"",ROUND(CK48/$E48*$D48*KVARDI,2))</f>
        <v/>
      </c>
      <c r="CM48" s="66" t="n"/>
      <c r="CN48" s="78">
        <f>IF(OR(INDEX(Undirviðmið!$G$6:$G$105,ROW()-6)&lt;&gt;"Starfsbundinn",CM48="",$E48="",$D48=""),"",ROUND(CM48/$E48*$D48*KVARDI,2))</f>
        <v/>
      </c>
      <c r="CO48" s="66" t="n"/>
      <c r="CP48" s="78">
        <f>IF(OR(INDEX(Undirviðmið!$G$6:$G$105,ROW()-6)&lt;&gt;"Starfsbundinn",CO48="",$E48="",$D48=""),"",ROUND(CO48/$E48*$D48*KVARDI,2))</f>
        <v/>
      </c>
      <c r="CQ48" s="66" t="n"/>
      <c r="CR48" s="78">
        <f>IF(OR(INDEX(Undirviðmið!$G$6:$G$105,ROW()-6)&lt;&gt;"Starfsbundinn",CQ48="",$E48="",$D48=""),"",ROUND(CQ48/$E48*$D48*KVARDI,2))</f>
        <v/>
      </c>
      <c r="CS48" s="66" t="n"/>
      <c r="CT48" s="78">
        <f>IF(OR(INDEX(Undirviðmið!$G$6:$G$105,ROW()-6)&lt;&gt;"Starfsbundinn",CS48="",$E48="",$D48=""),"",ROUND(CS48/$E48*$D48*KVARDI,2))</f>
        <v/>
      </c>
      <c r="CU48" s="66" t="n"/>
      <c r="CV48" s="78">
        <f>IF(OR(INDEX(Undirviðmið!$G$6:$G$105,ROW()-6)&lt;&gt;"Starfsbundinn",CU48="",$E48="",$D48=""),"",ROUND(CU48/$E48*$D48*KVARDI,2))</f>
        <v/>
      </c>
      <c r="CW48" s="66" t="n"/>
      <c r="CX48" s="78">
        <f>IF(OR(INDEX(Undirviðmið!$G$6:$G$105,ROW()-6)&lt;&gt;"Starfsbundinn",CW48="",$E48="",$D48=""),"",ROUND(CW48/$E48*$D48*KVARDI,2))</f>
        <v/>
      </c>
      <c r="CY48" s="66" t="n"/>
      <c r="CZ48" s="78">
        <f>IF(OR(INDEX(Undirviðmið!$G$6:$G$105,ROW()-6)&lt;&gt;"Starfsbundinn",CY48="",$E48="",$D48=""),"",ROUND(CY48/$E48*$D48*KVARDI,2))</f>
        <v/>
      </c>
      <c r="DA48" s="66" t="n"/>
      <c r="DB48" s="78">
        <f>IF(OR(INDEX(Undirviðmið!$G$6:$G$105,ROW()-6)&lt;&gt;"Starfsbundinn",DA48="",$E48="",$D48=""),"",ROUND(DA48/$E48*$D48*KVARDI,2))</f>
        <v/>
      </c>
      <c r="DC48" s="66" t="n"/>
      <c r="DD48" s="78">
        <f>IF(OR(INDEX(Undirviðmið!$G$6:$G$105,ROW()-6)&lt;&gt;"Starfsbundinn",DC48="",$E48="",$D48=""),"",ROUND(DC48/$E48*$D48*KVARDI,2))</f>
        <v/>
      </c>
      <c r="DE48" s="66" t="n"/>
      <c r="DF48" s="78">
        <f>IF(OR(INDEX(Undirviðmið!$G$6:$G$105,ROW()-6)&lt;&gt;"Starfsbundinn",DE48="",$E48="",$D48=""),"",ROUND(DE48/$E48*$D48*KVARDI,2))</f>
        <v/>
      </c>
      <c r="DG48" s="66" t="n"/>
      <c r="DH48" s="78">
        <f>IF(OR(INDEX(Undirviðmið!$G$6:$G$105,ROW()-6)&lt;&gt;"Starfsbundinn",DG48="",$E48="",$D48=""),"",ROUND(DG48/$E48*$D48*KVARDI,2))</f>
        <v/>
      </c>
      <c r="DI48" s="66" t="n"/>
      <c r="DJ48" s="78">
        <f>IF(OR(INDEX(Undirviðmið!$G$6:$G$105,ROW()-6)&lt;&gt;"Starfsbundinn",DI48="",$E48="",$D48=""),"",ROUND(DI48/$E48*$D48*KVARDI,2))</f>
        <v/>
      </c>
      <c r="DK48" s="66" t="n"/>
      <c r="DL48" s="78">
        <f>IF(OR(INDEX(Undirviðmið!$G$6:$G$105,ROW()-6)&lt;&gt;"Starfsbundinn",DK48="",$E48="",$D48=""),"",ROUND(DK48/$E48*$D48*KVARDI,2))</f>
        <v/>
      </c>
      <c r="DM48" s="66" t="n"/>
      <c r="DN48" s="78">
        <f>IF(OR(INDEX(Undirviðmið!$G$6:$G$105,ROW()-6)&lt;&gt;"Starfsbundinn",DM48="",$E48="",$D48=""),"",ROUND(DM48/$E48*$D48*KVARDI,2))</f>
        <v/>
      </c>
      <c r="DO48" s="66" t="n"/>
      <c r="DP48" s="78">
        <f>IF(OR(INDEX(Undirviðmið!$G$6:$G$105,ROW()-6)&lt;&gt;"Starfsbundinn",DO48="",$E48="",$D48=""),"",ROUND(DO48/$E48*$D48*KVARDI,2))</f>
        <v/>
      </c>
      <c r="DQ48" s="66" t="n"/>
      <c r="DR48" s="78">
        <f>IF(OR(INDEX(Undirviðmið!$G$6:$G$105,ROW()-6)&lt;&gt;"Starfsbundinn",DQ48="",$E48="",$D48=""),"",ROUND(DQ48/$E48*$D48*KVARDI,2))</f>
        <v/>
      </c>
      <c r="DS48" s="66" t="n"/>
      <c r="DT48" s="78">
        <f>IF(OR(INDEX(Undirviðmið!$G$6:$G$105,ROW()-6)&lt;&gt;"Starfsbundinn",DS48="",$E48="",$D48=""),"",ROUND(DS48/$E48*$D48*KVARDI,2))</f>
        <v/>
      </c>
      <c r="DU48" s="66" t="n"/>
      <c r="DV48" s="78">
        <f>IF(OR(INDEX(Undirviðmið!$G$6:$G$105,ROW()-6)&lt;&gt;"Starfsbundinn",DU48="",$E48="",$D48=""),"",ROUND(DU48/$E48*$D48*KVARDI,2))</f>
        <v/>
      </c>
      <c r="DW48" s="66" t="n"/>
      <c r="DX48" s="78">
        <f>IF(OR(INDEX(Undirviðmið!$G$6:$G$105,ROW()-6)&lt;&gt;"Starfsbundinn",DW48="",$E48="",$D48=""),"",ROUND(DW48/$E48*$D48*KVARDI,2))</f>
        <v/>
      </c>
      <c r="DY48" s="66" t="n"/>
      <c r="DZ48" s="78">
        <f>IF(OR(INDEX(Undirviðmið!$G$6:$G$105,ROW()-6)&lt;&gt;"Starfsbundinn",DY48="",$E48="",$D48=""),"",ROUND(DY48/$E48*$D48*KVARDI,2))</f>
        <v/>
      </c>
      <c r="EA48" s="66" t="n"/>
      <c r="EB48" s="78">
        <f>IF(OR(INDEX(Undirviðmið!$G$6:$G$105,ROW()-6)&lt;&gt;"Starfsbundinn",EA48="",$E48="",$D48=""),"",ROUND(EA48/$E48*$D48*KVARDI,2))</f>
        <v/>
      </c>
      <c r="EC48" s="66" t="n"/>
      <c r="ED48" s="78">
        <f>IF(OR(INDEX(Undirviðmið!$G$6:$G$105,ROW()-6)&lt;&gt;"Starfsbundinn",EC48="",$E48="",$D48=""),"",ROUND(EC48/$E48*$D48*KVARDI,2))</f>
        <v/>
      </c>
      <c r="EE48" s="66" t="n"/>
      <c r="EF48" s="78">
        <f>IF(OR(INDEX(Undirviðmið!$G$6:$G$105,ROW()-6)&lt;&gt;"Starfsbundinn",EE48="",$E48="",$D48=""),"",ROUND(EE48/$E48*$D48*KVARDI,2))</f>
        <v/>
      </c>
      <c r="EG48" s="66" t="n"/>
      <c r="EH48" s="78">
        <f>IF(OR(INDEX(Undirviðmið!$G$6:$G$105,ROW()-6)&lt;&gt;"Starfsbundinn",EG48="",$E48="",$D48=""),"",ROUND(EG48/$E48*$D48*KVARDI,2))</f>
        <v/>
      </c>
      <c r="EI48" s="66" t="n"/>
      <c r="EJ48" s="78">
        <f>IF(OR(INDEX(Undirviðmið!$G$6:$G$105,ROW()-6)&lt;&gt;"Starfsbundinn",EI48="",$E48="",$D48=""),"",ROUND(EI48/$E48*$D48*KVARDI,2))</f>
        <v/>
      </c>
      <c r="EK48" s="66" t="n"/>
      <c r="EL48" s="78">
        <f>IF(OR(INDEX(Undirviðmið!$G$6:$G$105,ROW()-6)&lt;&gt;"Starfsbundinn",EK48="",$E48="",$D48=""),"",ROUND(EK48/$E48*$D48*KVARDI,2))</f>
        <v/>
      </c>
      <c r="EM48" s="66" t="n"/>
      <c r="EN48" s="78">
        <f>IF(OR(INDEX(Undirviðmið!$G$6:$G$105,ROW()-6)&lt;&gt;"Starfsbundinn",EM48="",$E48="",$D48=""),"",ROUND(EM48/$E48*$D48*KVARDI,2))</f>
        <v/>
      </c>
      <c r="EO48" s="66" t="n"/>
      <c r="EP48" s="78">
        <f>IF(OR(INDEX(Undirviðmið!$G$6:$G$105,ROW()-6)&lt;&gt;"Starfsbundinn",EO48="",$E48="",$D48=""),"",ROUND(EO48/$E48*$D48*KVARDI,2))</f>
        <v/>
      </c>
      <c r="EQ48" s="66" t="n"/>
      <c r="ER48" s="78">
        <f>IF(OR(INDEX(Undirviðmið!$G$6:$G$105,ROW()-6)&lt;&gt;"Starfsbundinn",EQ48="",$E48="",$D48=""),"",ROUND(EQ48/$E48*$D48*KVARDI,2))</f>
        <v/>
      </c>
      <c r="ES48" s="66" t="n"/>
      <c r="ET48" s="78">
        <f>IF(OR(INDEX(Undirviðmið!$G$6:$G$105,ROW()-6)&lt;&gt;"Starfsbundinn",ES48="",$E48="",$D48=""),"",ROUND(ES48/$E48*$D48*KVARDI,2))</f>
        <v/>
      </c>
      <c r="EU48" s="66" t="n"/>
      <c r="EV48" s="78">
        <f>IF(OR(INDEX(Undirviðmið!$G$6:$G$105,ROW()-6)&lt;&gt;"Starfsbundinn",EU48="",$E48="",$D48=""),"",ROUND(EU48/$E48*$D48*KVARDI,2))</f>
        <v/>
      </c>
      <c r="EW48" s="66" t="n"/>
      <c r="EX48" s="78">
        <f>IF(OR(INDEX(Undirviðmið!$G$6:$G$105,ROW()-6)&lt;&gt;"Starfsbundinn",EW48="",$E48="",$D48=""),"",ROUND(EW48/$E48*$D48*KVARDI,2))</f>
        <v/>
      </c>
      <c r="EY48" s="66" t="n"/>
      <c r="EZ48" s="78">
        <f>IF(OR(INDEX(Undirviðmið!$G$6:$G$105,ROW()-6)&lt;&gt;"Starfsbundinn",EY48="",$E48="",$D48=""),"",ROUND(EY48/$E48*$D48*KVARDI,2))</f>
        <v/>
      </c>
      <c r="FA48" s="66" t="n"/>
      <c r="FB48" s="78">
        <f>IF(OR(INDEX(Undirviðmið!$G$6:$G$105,ROW()-6)&lt;&gt;"Starfsbundinn",FA48="",$E48="",$D48=""),"",ROUND(FA48/$E48*$D48*KVARDI,2))</f>
        <v/>
      </c>
      <c r="FC48" s="66" t="n"/>
      <c r="FD48" s="78">
        <f>IF(OR(INDEX(Undirviðmið!$G$6:$G$105,ROW()-6)&lt;&gt;"Starfsbundinn",FC48="",$E48="",$D48=""),"",ROUND(FC48/$E48*$D48*KVARDI,2))</f>
        <v/>
      </c>
      <c r="FE48" s="66" t="n"/>
      <c r="FF48" s="78">
        <f>IF(OR(INDEX(Undirviðmið!$G$6:$G$105,ROW()-6)&lt;&gt;"Starfsbundinn",FE48="",$E48="",$D48=""),"",ROUND(FE48/$E48*$D48*KVARDI,2))</f>
        <v/>
      </c>
      <c r="FG48" s="66" t="n"/>
      <c r="FH48" s="78">
        <f>IF(OR(INDEX(Undirviðmið!$G$6:$G$105,ROW()-6)&lt;&gt;"Starfsbundinn",FG48="",$E48="",$D48=""),"",ROUND(FG48/$E48*$D48*KVARDI,2))</f>
        <v/>
      </c>
      <c r="FI48" s="66" t="n"/>
      <c r="FJ48" s="78">
        <f>IF(OR(INDEX(Undirviðmið!$G$6:$G$105,ROW()-6)&lt;&gt;"Starfsbundinn",FI48="",$E48="",$D48=""),"",ROUND(FI48/$E48*$D48*KVARDI,2))</f>
        <v/>
      </c>
      <c r="FK48" s="66" t="n"/>
      <c r="FL48" s="78">
        <f>IF(OR(INDEX(Undirviðmið!$G$6:$G$105,ROW()-6)&lt;&gt;"Starfsbundinn",FK48="",$E48="",$D48=""),"",ROUND(FK48/$E48*$D48*KVARDI,2))</f>
        <v/>
      </c>
      <c r="FM48" s="66" t="n"/>
      <c r="FN48" s="78">
        <f>IF(OR(INDEX(Undirviðmið!$G$6:$G$105,ROW()-6)&lt;&gt;"Starfsbundinn",FM48="",$E48="",$D48=""),"",ROUND(FM48/$E48*$D48*KVARDI,2))</f>
        <v/>
      </c>
      <c r="FO48" s="66" t="n"/>
      <c r="FP48" s="78">
        <f>IF(OR(INDEX(Undirviðmið!$G$6:$G$105,ROW()-6)&lt;&gt;"Starfsbundinn",FO48="",$E48="",$D48=""),"",ROUND(FO48/$E48*$D48*KVARDI,2))</f>
        <v/>
      </c>
      <c r="FQ48" s="66" t="n"/>
      <c r="FR48" s="78">
        <f>IF(OR(INDEX(Undirviðmið!$G$6:$G$105,ROW()-6)&lt;&gt;"Starfsbundinn",FQ48="",$E48="",$D48=""),"",ROUND(FQ48/$E48*$D48*KVARDI,2))</f>
        <v/>
      </c>
      <c r="FS48" s="66" t="n"/>
      <c r="FT48" s="78">
        <f>IF(OR(INDEX(Undirviðmið!$G$6:$G$105,ROW()-6)&lt;&gt;"Starfsbundinn",FS48="",$E48="",$D48=""),"",ROUND(FS48/$E48*$D48*KVARDI,2))</f>
        <v/>
      </c>
      <c r="FU48" s="66" t="n"/>
      <c r="FV48" s="78">
        <f>IF(OR(INDEX(Undirviðmið!$G$6:$G$105,ROW()-6)&lt;&gt;"Starfsbundinn",FU48="",$E48="",$D48=""),"",ROUND(FU48/$E48*$D48*KVARDI,2))</f>
        <v/>
      </c>
      <c r="FW48" s="66" t="n"/>
      <c r="FX48" s="78">
        <f>IF(OR(INDEX(Undirviðmið!$G$6:$G$105,ROW()-6)&lt;&gt;"Starfsbundinn",FW48="",$E48="",$D48=""),"",ROUND(FW48/$E48*$D48*KVARDI,2))</f>
        <v/>
      </c>
      <c r="FY48" s="66" t="n"/>
      <c r="FZ48" s="78">
        <f>IF(OR(INDEX(Undirviðmið!$G$6:$G$105,ROW()-6)&lt;&gt;"Starfsbundinn",FY48="",$E48="",$D48=""),"",ROUND(FY48/$E48*$D48*KVARDI,2))</f>
        <v/>
      </c>
      <c r="GA48" s="66" t="n"/>
      <c r="GB48" s="78">
        <f>IF(OR(INDEX(Undirviðmið!$G$6:$G$105,ROW()-6)&lt;&gt;"Starfsbundinn",GA48="",$E48="",$D48=""),"",ROUND(GA48/$E48*$D48*KVARDI,2))</f>
        <v/>
      </c>
      <c r="GC48" s="66" t="n"/>
      <c r="GD48" s="78">
        <f>IF(OR(INDEX(Undirviðmið!$G$6:$G$105,ROW()-6)&lt;&gt;"Starfsbundinn",GC48="",$E48="",$D48=""),"",ROUND(GC48/$E48*$D48*KVARDI,2))</f>
        <v/>
      </c>
      <c r="GE48" s="66" t="n"/>
      <c r="GF48" s="78">
        <f>IF(OR(INDEX(Undirviðmið!$G$6:$G$105,ROW()-6)&lt;&gt;"Starfsbundinn",GE48="",$E48="",$D48=""),"",ROUND(GE48/$E48*$D48*KVARDI,2))</f>
        <v/>
      </c>
      <c r="GG48" s="66" t="n"/>
      <c r="GH48" s="78">
        <f>IF(OR(INDEX(Undirviðmið!$G$6:$G$105,ROW()-6)&lt;&gt;"Starfsbundinn",GG48="",$E48="",$D48=""),"",ROUND(GG48/$E48*$D48*KVARDI,2))</f>
        <v/>
      </c>
      <c r="GI48" s="66" t="n"/>
      <c r="GJ48" s="78">
        <f>IF(OR(INDEX(Undirviðmið!$G$6:$G$105,ROW()-6)&lt;&gt;"Starfsbundinn",GI48="",$E48="",$D48=""),"",ROUND(GI48/$E48*$D48*KVARDI,2))</f>
        <v/>
      </c>
      <c r="GK48" s="66" t="n"/>
      <c r="GL48" s="78">
        <f>IF(OR(INDEX(Undirviðmið!$G$6:$G$105,ROW()-6)&lt;&gt;"Starfsbundinn",GK48="",$E48="",$D48=""),"",ROUND(GK48/$E48*$D48*KVARDI,2))</f>
        <v/>
      </c>
      <c r="GM48" s="66" t="n"/>
      <c r="GN48" s="78">
        <f>IF(OR(INDEX(Undirviðmið!$G$6:$G$105,ROW()-6)&lt;&gt;"Starfsbundinn",GM48="",$E48="",$D48=""),"",ROUND(GM48/$E48*$D48*KVARDI,2))</f>
        <v/>
      </c>
      <c r="GO48" s="66" t="n"/>
      <c r="GP48" s="78">
        <f>IF(OR(INDEX(Undirviðmið!$G$6:$G$105,ROW()-6)&lt;&gt;"Starfsbundinn",GO48="",$E48="",$D48=""),"",ROUND(GO48/$E48*$D48*KVARDI,2))</f>
        <v/>
      </c>
      <c r="GQ48" s="66" t="n"/>
      <c r="GR48" s="78">
        <f>IF(OR(INDEX(Undirviðmið!$G$6:$G$105,ROW()-6)&lt;&gt;"Starfsbundinn",GQ48="",$E48="",$D48=""),"",ROUND(GQ48/$E48*$D48*KVARDI,2))</f>
        <v/>
      </c>
      <c r="GS48" s="66" t="n"/>
      <c r="GT48" s="78">
        <f>IF(OR(INDEX(Undirviðmið!$G$6:$G$105,ROW()-6)&lt;&gt;"Starfsbundinn",GS48="",$E48="",$D48=""),"",ROUND(GS48/$E48*$D48*KVARDI,2))</f>
        <v/>
      </c>
      <c r="GU48" s="66" t="n"/>
      <c r="GV48" s="78">
        <f>IF(OR(INDEX(Undirviðmið!$G$6:$G$105,ROW()-6)&lt;&gt;"Starfsbundinn",GU48="",$E48="",$D48=""),"",ROUND(GU48/$E48*$D48*KVARDI,2))</f>
        <v/>
      </c>
      <c r="GW48" s="66" t="n"/>
      <c r="GX48" s="78">
        <f>IF(OR(INDEX(Undirviðmið!$G$6:$G$105,ROW()-6)&lt;&gt;"Starfsbundinn",GW48="",$E48="",$D48=""),"",ROUND(GW48/$E48*$D48*KVARDI,2))</f>
        <v/>
      </c>
    </row>
    <row r="49" ht="15" customHeight="1" s="47">
      <c r="B49" s="67">
        <f>IF(INDEX(Undirviðmið!$G$6:$G$105,ROW()-6)="Starfsbundinn",INDEX(Undirviðmið!$B$6:$B$105,ROW()-6),"")</f>
        <v/>
      </c>
      <c r="C49" s="67">
        <f>IF(INDEX(Undirviðmið!$G$6:$G$105,ROW()-6)="Starfsbundinn",INDEX(Undirviðmið!$C$6:$C$105,ROW()-6),"")</f>
        <v/>
      </c>
      <c r="D49" s="77">
        <f>IF(INDEX(Undirviðmið!$G$6:$G$105,ROW()-6)="Starfsbundinn",INDEX(Undirviðmið!$E$6:$E$105,ROW()-6),"")</f>
        <v/>
      </c>
      <c r="E49" s="77">
        <f>IF(INDEX(Undirviðmið!$G$6:$G$105,ROW()-6)="Starfsbundinn",INDEX(Undirviðmið!$F$6:$F$105,ROW()-6),"")</f>
        <v/>
      </c>
      <c r="F49" s="77">
        <f>IF(INDEX(Undirviðmið!$G$6:$G$105,ROW()-6)="Starfsbundinn",IFERROR(INDEX(Undirviðmið!$E$6:$E$105,ROW()-6)*KVARDI,""),"")</f>
        <v/>
      </c>
      <c r="G49" s="66" t="n"/>
      <c r="H49" s="78">
        <f>IF(OR(INDEX(Undirviðmið!$G$6:$G$105,ROW()-6)&lt;&gt;"Starfsbundinn",G49="",$E49="",$D49=""),"",ROUND(G49/$E49*$D49*KVARDI,2))</f>
        <v/>
      </c>
      <c r="I49" s="66" t="n"/>
      <c r="J49" s="78">
        <f>IF(OR(INDEX(Undirviðmið!$G$6:$G$105,ROW()-6)&lt;&gt;"Starfsbundinn",I49="",$E49="",$D49=""),"",ROUND(I49/$E49*$D49*KVARDI,2))</f>
        <v/>
      </c>
      <c r="K49" s="66" t="n"/>
      <c r="L49" s="78">
        <f>IF(OR(INDEX(Undirviðmið!$G$6:$G$105,ROW()-6)&lt;&gt;"Starfsbundinn",K49="",$E49="",$D49=""),"",ROUND(K49/$E49*$D49*KVARDI,2))</f>
        <v/>
      </c>
      <c r="M49" s="66" t="n"/>
      <c r="N49" s="78">
        <f>IF(OR(INDEX(Undirviðmið!$G$6:$G$105,ROW()-6)&lt;&gt;"Starfsbundinn",M49="",$E49="",$D49=""),"",ROUND(M49/$E49*$D49*KVARDI,2))</f>
        <v/>
      </c>
      <c r="O49" s="66" t="n"/>
      <c r="P49" s="78">
        <f>IF(OR(INDEX(Undirviðmið!$G$6:$G$105,ROW()-6)&lt;&gt;"Starfsbundinn",O49="",$E49="",$D49=""),"",ROUND(O49/$E49*$D49*KVARDI,2))</f>
        <v/>
      </c>
      <c r="Q49" s="66" t="n"/>
      <c r="R49" s="78">
        <f>IF(OR(INDEX(Undirviðmið!$G$6:$G$105,ROW()-6)&lt;&gt;"Starfsbundinn",Q49="",$E49="",$D49=""),"",ROUND(Q49/$E49*$D49*KVARDI,2))</f>
        <v/>
      </c>
      <c r="S49" s="66" t="n"/>
      <c r="T49" s="78">
        <f>IF(OR(INDEX(Undirviðmið!$G$6:$G$105,ROW()-6)&lt;&gt;"Starfsbundinn",S49="",$E49="",$D49=""),"",ROUND(S49/$E49*$D49*KVARDI,2))</f>
        <v/>
      </c>
      <c r="U49" s="66" t="n"/>
      <c r="V49" s="78">
        <f>IF(OR(INDEX(Undirviðmið!$G$6:$G$105,ROW()-6)&lt;&gt;"Starfsbundinn",U49="",$E49="",$D49=""),"",ROUND(U49/$E49*$D49*KVARDI,2))</f>
        <v/>
      </c>
      <c r="W49" s="66" t="n"/>
      <c r="X49" s="78">
        <f>IF(OR(INDEX(Undirviðmið!$G$6:$G$105,ROW()-6)&lt;&gt;"Starfsbundinn",W49="",$E49="",$D49=""),"",ROUND(W49/$E49*$D49*KVARDI,2))</f>
        <v/>
      </c>
      <c r="Y49" s="66" t="n"/>
      <c r="Z49" s="78">
        <f>IF(OR(INDEX(Undirviðmið!$G$6:$G$105,ROW()-6)&lt;&gt;"Starfsbundinn",Y49="",$E49="",$D49=""),"",ROUND(Y49/$E49*$D49*KVARDI,2))</f>
        <v/>
      </c>
      <c r="AA49" s="66" t="n"/>
      <c r="AB49" s="78">
        <f>IF(OR(INDEX(Undirviðmið!$G$6:$G$105,ROW()-6)&lt;&gt;"Starfsbundinn",AA49="",$E49="",$D49=""),"",ROUND(AA49/$E49*$D49*KVARDI,2))</f>
        <v/>
      </c>
      <c r="AC49" s="66" t="n"/>
      <c r="AD49" s="78">
        <f>IF(OR(INDEX(Undirviðmið!$G$6:$G$105,ROW()-6)&lt;&gt;"Starfsbundinn",AC49="",$E49="",$D49=""),"",ROUND(AC49/$E49*$D49*KVARDI,2))</f>
        <v/>
      </c>
      <c r="AE49" s="66" t="n"/>
      <c r="AF49" s="78">
        <f>IF(OR(INDEX(Undirviðmið!$G$6:$G$105,ROW()-6)&lt;&gt;"Starfsbundinn",AE49="",$E49="",$D49=""),"",ROUND(AE49/$E49*$D49*KVARDI,2))</f>
        <v/>
      </c>
      <c r="AG49" s="66" t="n"/>
      <c r="AH49" s="78">
        <f>IF(OR(INDEX(Undirviðmið!$G$6:$G$105,ROW()-6)&lt;&gt;"Starfsbundinn",AG49="",$E49="",$D49=""),"",ROUND(AG49/$E49*$D49*KVARDI,2))</f>
        <v/>
      </c>
      <c r="AI49" s="66" t="n"/>
      <c r="AJ49" s="78">
        <f>IF(OR(INDEX(Undirviðmið!$G$6:$G$105,ROW()-6)&lt;&gt;"Starfsbundinn",AI49="",$E49="",$D49=""),"",ROUND(AI49/$E49*$D49*KVARDI,2))</f>
        <v/>
      </c>
      <c r="AK49" s="66" t="n"/>
      <c r="AL49" s="78">
        <f>IF(OR(INDEX(Undirviðmið!$G$6:$G$105,ROW()-6)&lt;&gt;"Starfsbundinn",AK49="",$E49="",$D49=""),"",ROUND(AK49/$E49*$D49*KVARDI,2))</f>
        <v/>
      </c>
      <c r="AM49" s="66" t="n"/>
      <c r="AN49" s="78">
        <f>IF(OR(INDEX(Undirviðmið!$G$6:$G$105,ROW()-6)&lt;&gt;"Starfsbundinn",AM49="",$E49="",$D49=""),"",ROUND(AM49/$E49*$D49*KVARDI,2))</f>
        <v/>
      </c>
      <c r="AO49" s="66" t="n"/>
      <c r="AP49" s="78">
        <f>IF(OR(INDEX(Undirviðmið!$G$6:$G$105,ROW()-6)&lt;&gt;"Starfsbundinn",AO49="",$E49="",$D49=""),"",ROUND(AO49/$E49*$D49*KVARDI,2))</f>
        <v/>
      </c>
      <c r="AQ49" s="66" t="n"/>
      <c r="AR49" s="78">
        <f>IF(OR(INDEX(Undirviðmið!$G$6:$G$105,ROW()-6)&lt;&gt;"Starfsbundinn",AQ49="",$E49="",$D49=""),"",ROUND(AQ49/$E49*$D49*KVARDI,2))</f>
        <v/>
      </c>
      <c r="AS49" s="66" t="n"/>
      <c r="AT49" s="78">
        <f>IF(OR(INDEX(Undirviðmið!$G$6:$G$105,ROW()-6)&lt;&gt;"Starfsbundinn",AS49="",$E49="",$D49=""),"",ROUND(AS49/$E49*$D49*KVARDI,2))</f>
        <v/>
      </c>
      <c r="AU49" s="66" t="n"/>
      <c r="AV49" s="78">
        <f>IF(OR(INDEX(Undirviðmið!$G$6:$G$105,ROW()-6)&lt;&gt;"Starfsbundinn",AU49="",$E49="",$D49=""),"",ROUND(AU49/$E49*$D49*KVARDI,2))</f>
        <v/>
      </c>
      <c r="AW49" s="66" t="n"/>
      <c r="AX49" s="78">
        <f>IF(OR(INDEX(Undirviðmið!$G$6:$G$105,ROW()-6)&lt;&gt;"Starfsbundinn",AW49="",$E49="",$D49=""),"",ROUND(AW49/$E49*$D49*KVARDI,2))</f>
        <v/>
      </c>
      <c r="AY49" s="66" t="n"/>
      <c r="AZ49" s="78">
        <f>IF(OR(INDEX(Undirviðmið!$G$6:$G$105,ROW()-6)&lt;&gt;"Starfsbundinn",AY49="",$E49="",$D49=""),"",ROUND(AY49/$E49*$D49*KVARDI,2))</f>
        <v/>
      </c>
      <c r="BA49" s="66" t="n"/>
      <c r="BB49" s="78">
        <f>IF(OR(INDEX(Undirviðmið!$G$6:$G$105,ROW()-6)&lt;&gt;"Starfsbundinn",BA49="",$E49="",$D49=""),"",ROUND(BA49/$E49*$D49*KVARDI,2))</f>
        <v/>
      </c>
      <c r="BC49" s="66" t="n"/>
      <c r="BD49" s="78">
        <f>IF(OR(INDEX(Undirviðmið!$G$6:$G$105,ROW()-6)&lt;&gt;"Starfsbundinn",BC49="",$E49="",$D49=""),"",ROUND(BC49/$E49*$D49*KVARDI,2))</f>
        <v/>
      </c>
      <c r="BE49" s="66" t="n"/>
      <c r="BF49" s="78">
        <f>IF(OR(INDEX(Undirviðmið!$G$6:$G$105,ROW()-6)&lt;&gt;"Starfsbundinn",BE49="",$E49="",$D49=""),"",ROUND(BE49/$E49*$D49*KVARDI,2))</f>
        <v/>
      </c>
      <c r="BG49" s="66" t="n"/>
      <c r="BH49" s="78">
        <f>IF(OR(INDEX(Undirviðmið!$G$6:$G$105,ROW()-6)&lt;&gt;"Starfsbundinn",BG49="",$E49="",$D49=""),"",ROUND(BG49/$E49*$D49*KVARDI,2))</f>
        <v/>
      </c>
      <c r="BI49" s="66" t="n"/>
      <c r="BJ49" s="78">
        <f>IF(OR(INDEX(Undirviðmið!$G$6:$G$105,ROW()-6)&lt;&gt;"Starfsbundinn",BI49="",$E49="",$D49=""),"",ROUND(BI49/$E49*$D49*KVARDI,2))</f>
        <v/>
      </c>
      <c r="BK49" s="66" t="n"/>
      <c r="BL49" s="78">
        <f>IF(OR(INDEX(Undirviðmið!$G$6:$G$105,ROW()-6)&lt;&gt;"Starfsbundinn",BK49="",$E49="",$D49=""),"",ROUND(BK49/$E49*$D49*KVARDI,2))</f>
        <v/>
      </c>
      <c r="BM49" s="66" t="n"/>
      <c r="BN49" s="78">
        <f>IF(OR(INDEX(Undirviðmið!$G$6:$G$105,ROW()-6)&lt;&gt;"Starfsbundinn",BM49="",$E49="",$D49=""),"",ROUND(BM49/$E49*$D49*KVARDI,2))</f>
        <v/>
      </c>
      <c r="BO49" s="66" t="n"/>
      <c r="BP49" s="78">
        <f>IF(OR(INDEX(Undirviðmið!$G$6:$G$105,ROW()-6)&lt;&gt;"Starfsbundinn",BO49="",$E49="",$D49=""),"",ROUND(BO49/$E49*$D49*KVARDI,2))</f>
        <v/>
      </c>
      <c r="BQ49" s="66" t="n"/>
      <c r="BR49" s="78">
        <f>IF(OR(INDEX(Undirviðmið!$G$6:$G$105,ROW()-6)&lt;&gt;"Starfsbundinn",BQ49="",$E49="",$D49=""),"",ROUND(BQ49/$E49*$D49*KVARDI,2))</f>
        <v/>
      </c>
      <c r="BS49" s="66" t="n"/>
      <c r="BT49" s="78">
        <f>IF(OR(INDEX(Undirviðmið!$G$6:$G$105,ROW()-6)&lt;&gt;"Starfsbundinn",BS49="",$E49="",$D49=""),"",ROUND(BS49/$E49*$D49*KVARDI,2))</f>
        <v/>
      </c>
      <c r="BU49" s="66" t="n"/>
      <c r="BV49" s="78">
        <f>IF(OR(INDEX(Undirviðmið!$G$6:$G$105,ROW()-6)&lt;&gt;"Starfsbundinn",BU49="",$E49="",$D49=""),"",ROUND(BU49/$E49*$D49*KVARDI,2))</f>
        <v/>
      </c>
      <c r="BW49" s="66" t="n"/>
      <c r="BX49" s="78">
        <f>IF(OR(INDEX(Undirviðmið!$G$6:$G$105,ROW()-6)&lt;&gt;"Starfsbundinn",BW49="",$E49="",$D49=""),"",ROUND(BW49/$E49*$D49*KVARDI,2))</f>
        <v/>
      </c>
      <c r="BY49" s="66" t="n"/>
      <c r="BZ49" s="78">
        <f>IF(OR(INDEX(Undirviðmið!$G$6:$G$105,ROW()-6)&lt;&gt;"Starfsbundinn",BY49="",$E49="",$D49=""),"",ROUND(BY49/$E49*$D49*KVARDI,2))</f>
        <v/>
      </c>
      <c r="CA49" s="66" t="n"/>
      <c r="CB49" s="78">
        <f>IF(OR(INDEX(Undirviðmið!$G$6:$G$105,ROW()-6)&lt;&gt;"Starfsbundinn",CA49="",$E49="",$D49=""),"",ROUND(CA49/$E49*$D49*KVARDI,2))</f>
        <v/>
      </c>
      <c r="CC49" s="66" t="n"/>
      <c r="CD49" s="78">
        <f>IF(OR(INDEX(Undirviðmið!$G$6:$G$105,ROW()-6)&lt;&gt;"Starfsbundinn",CC49="",$E49="",$D49=""),"",ROUND(CC49/$E49*$D49*KVARDI,2))</f>
        <v/>
      </c>
      <c r="CE49" s="66" t="n"/>
      <c r="CF49" s="78">
        <f>IF(OR(INDEX(Undirviðmið!$G$6:$G$105,ROW()-6)&lt;&gt;"Starfsbundinn",CE49="",$E49="",$D49=""),"",ROUND(CE49/$E49*$D49*KVARDI,2))</f>
        <v/>
      </c>
      <c r="CG49" s="66" t="n"/>
      <c r="CH49" s="78">
        <f>IF(OR(INDEX(Undirviðmið!$G$6:$G$105,ROW()-6)&lt;&gt;"Starfsbundinn",CG49="",$E49="",$D49=""),"",ROUND(CG49/$E49*$D49*KVARDI,2))</f>
        <v/>
      </c>
      <c r="CI49" s="66" t="n"/>
      <c r="CJ49" s="78">
        <f>IF(OR(INDEX(Undirviðmið!$G$6:$G$105,ROW()-6)&lt;&gt;"Starfsbundinn",CI49="",$E49="",$D49=""),"",ROUND(CI49/$E49*$D49*KVARDI,2))</f>
        <v/>
      </c>
      <c r="CK49" s="66" t="n"/>
      <c r="CL49" s="78">
        <f>IF(OR(INDEX(Undirviðmið!$G$6:$G$105,ROW()-6)&lt;&gt;"Starfsbundinn",CK49="",$E49="",$D49=""),"",ROUND(CK49/$E49*$D49*KVARDI,2))</f>
        <v/>
      </c>
      <c r="CM49" s="66" t="n"/>
      <c r="CN49" s="78">
        <f>IF(OR(INDEX(Undirviðmið!$G$6:$G$105,ROW()-6)&lt;&gt;"Starfsbundinn",CM49="",$E49="",$D49=""),"",ROUND(CM49/$E49*$D49*KVARDI,2))</f>
        <v/>
      </c>
      <c r="CO49" s="66" t="n"/>
      <c r="CP49" s="78">
        <f>IF(OR(INDEX(Undirviðmið!$G$6:$G$105,ROW()-6)&lt;&gt;"Starfsbundinn",CO49="",$E49="",$D49=""),"",ROUND(CO49/$E49*$D49*KVARDI,2))</f>
        <v/>
      </c>
      <c r="CQ49" s="66" t="n"/>
      <c r="CR49" s="78">
        <f>IF(OR(INDEX(Undirviðmið!$G$6:$G$105,ROW()-6)&lt;&gt;"Starfsbundinn",CQ49="",$E49="",$D49=""),"",ROUND(CQ49/$E49*$D49*KVARDI,2))</f>
        <v/>
      </c>
      <c r="CS49" s="66" t="n"/>
      <c r="CT49" s="78">
        <f>IF(OR(INDEX(Undirviðmið!$G$6:$G$105,ROW()-6)&lt;&gt;"Starfsbundinn",CS49="",$E49="",$D49=""),"",ROUND(CS49/$E49*$D49*KVARDI,2))</f>
        <v/>
      </c>
      <c r="CU49" s="66" t="n"/>
      <c r="CV49" s="78">
        <f>IF(OR(INDEX(Undirviðmið!$G$6:$G$105,ROW()-6)&lt;&gt;"Starfsbundinn",CU49="",$E49="",$D49=""),"",ROUND(CU49/$E49*$D49*KVARDI,2))</f>
        <v/>
      </c>
      <c r="CW49" s="66" t="n"/>
      <c r="CX49" s="78">
        <f>IF(OR(INDEX(Undirviðmið!$G$6:$G$105,ROW()-6)&lt;&gt;"Starfsbundinn",CW49="",$E49="",$D49=""),"",ROUND(CW49/$E49*$D49*KVARDI,2))</f>
        <v/>
      </c>
      <c r="CY49" s="66" t="n"/>
      <c r="CZ49" s="78">
        <f>IF(OR(INDEX(Undirviðmið!$G$6:$G$105,ROW()-6)&lt;&gt;"Starfsbundinn",CY49="",$E49="",$D49=""),"",ROUND(CY49/$E49*$D49*KVARDI,2))</f>
        <v/>
      </c>
      <c r="DA49" s="66" t="n"/>
      <c r="DB49" s="78">
        <f>IF(OR(INDEX(Undirviðmið!$G$6:$G$105,ROW()-6)&lt;&gt;"Starfsbundinn",DA49="",$E49="",$D49=""),"",ROUND(DA49/$E49*$D49*KVARDI,2))</f>
        <v/>
      </c>
      <c r="DC49" s="66" t="n"/>
      <c r="DD49" s="78">
        <f>IF(OR(INDEX(Undirviðmið!$G$6:$G$105,ROW()-6)&lt;&gt;"Starfsbundinn",DC49="",$E49="",$D49=""),"",ROUND(DC49/$E49*$D49*KVARDI,2))</f>
        <v/>
      </c>
      <c r="DE49" s="66" t="n"/>
      <c r="DF49" s="78">
        <f>IF(OR(INDEX(Undirviðmið!$G$6:$G$105,ROW()-6)&lt;&gt;"Starfsbundinn",DE49="",$E49="",$D49=""),"",ROUND(DE49/$E49*$D49*KVARDI,2))</f>
        <v/>
      </c>
      <c r="DG49" s="66" t="n"/>
      <c r="DH49" s="78">
        <f>IF(OR(INDEX(Undirviðmið!$G$6:$G$105,ROW()-6)&lt;&gt;"Starfsbundinn",DG49="",$E49="",$D49=""),"",ROUND(DG49/$E49*$D49*KVARDI,2))</f>
        <v/>
      </c>
      <c r="DI49" s="66" t="n"/>
      <c r="DJ49" s="78">
        <f>IF(OR(INDEX(Undirviðmið!$G$6:$G$105,ROW()-6)&lt;&gt;"Starfsbundinn",DI49="",$E49="",$D49=""),"",ROUND(DI49/$E49*$D49*KVARDI,2))</f>
        <v/>
      </c>
      <c r="DK49" s="66" t="n"/>
      <c r="DL49" s="78">
        <f>IF(OR(INDEX(Undirviðmið!$G$6:$G$105,ROW()-6)&lt;&gt;"Starfsbundinn",DK49="",$E49="",$D49=""),"",ROUND(DK49/$E49*$D49*KVARDI,2))</f>
        <v/>
      </c>
      <c r="DM49" s="66" t="n"/>
      <c r="DN49" s="78">
        <f>IF(OR(INDEX(Undirviðmið!$G$6:$G$105,ROW()-6)&lt;&gt;"Starfsbundinn",DM49="",$E49="",$D49=""),"",ROUND(DM49/$E49*$D49*KVARDI,2))</f>
        <v/>
      </c>
      <c r="DO49" s="66" t="n"/>
      <c r="DP49" s="78">
        <f>IF(OR(INDEX(Undirviðmið!$G$6:$G$105,ROW()-6)&lt;&gt;"Starfsbundinn",DO49="",$E49="",$D49=""),"",ROUND(DO49/$E49*$D49*KVARDI,2))</f>
        <v/>
      </c>
      <c r="DQ49" s="66" t="n"/>
      <c r="DR49" s="78">
        <f>IF(OR(INDEX(Undirviðmið!$G$6:$G$105,ROW()-6)&lt;&gt;"Starfsbundinn",DQ49="",$E49="",$D49=""),"",ROUND(DQ49/$E49*$D49*KVARDI,2))</f>
        <v/>
      </c>
      <c r="DS49" s="66" t="n"/>
      <c r="DT49" s="78">
        <f>IF(OR(INDEX(Undirviðmið!$G$6:$G$105,ROW()-6)&lt;&gt;"Starfsbundinn",DS49="",$E49="",$D49=""),"",ROUND(DS49/$E49*$D49*KVARDI,2))</f>
        <v/>
      </c>
      <c r="DU49" s="66" t="n"/>
      <c r="DV49" s="78">
        <f>IF(OR(INDEX(Undirviðmið!$G$6:$G$105,ROW()-6)&lt;&gt;"Starfsbundinn",DU49="",$E49="",$D49=""),"",ROUND(DU49/$E49*$D49*KVARDI,2))</f>
        <v/>
      </c>
      <c r="DW49" s="66" t="n"/>
      <c r="DX49" s="78">
        <f>IF(OR(INDEX(Undirviðmið!$G$6:$G$105,ROW()-6)&lt;&gt;"Starfsbundinn",DW49="",$E49="",$D49=""),"",ROUND(DW49/$E49*$D49*KVARDI,2))</f>
        <v/>
      </c>
      <c r="DY49" s="66" t="n"/>
      <c r="DZ49" s="78">
        <f>IF(OR(INDEX(Undirviðmið!$G$6:$G$105,ROW()-6)&lt;&gt;"Starfsbundinn",DY49="",$E49="",$D49=""),"",ROUND(DY49/$E49*$D49*KVARDI,2))</f>
        <v/>
      </c>
      <c r="EA49" s="66" t="n"/>
      <c r="EB49" s="78">
        <f>IF(OR(INDEX(Undirviðmið!$G$6:$G$105,ROW()-6)&lt;&gt;"Starfsbundinn",EA49="",$E49="",$D49=""),"",ROUND(EA49/$E49*$D49*KVARDI,2))</f>
        <v/>
      </c>
      <c r="EC49" s="66" t="n"/>
      <c r="ED49" s="78">
        <f>IF(OR(INDEX(Undirviðmið!$G$6:$G$105,ROW()-6)&lt;&gt;"Starfsbundinn",EC49="",$E49="",$D49=""),"",ROUND(EC49/$E49*$D49*KVARDI,2))</f>
        <v/>
      </c>
      <c r="EE49" s="66" t="n"/>
      <c r="EF49" s="78">
        <f>IF(OR(INDEX(Undirviðmið!$G$6:$G$105,ROW()-6)&lt;&gt;"Starfsbundinn",EE49="",$E49="",$D49=""),"",ROUND(EE49/$E49*$D49*KVARDI,2))</f>
        <v/>
      </c>
      <c r="EG49" s="66" t="n"/>
      <c r="EH49" s="78">
        <f>IF(OR(INDEX(Undirviðmið!$G$6:$G$105,ROW()-6)&lt;&gt;"Starfsbundinn",EG49="",$E49="",$D49=""),"",ROUND(EG49/$E49*$D49*KVARDI,2))</f>
        <v/>
      </c>
      <c r="EI49" s="66" t="n"/>
      <c r="EJ49" s="78">
        <f>IF(OR(INDEX(Undirviðmið!$G$6:$G$105,ROW()-6)&lt;&gt;"Starfsbundinn",EI49="",$E49="",$D49=""),"",ROUND(EI49/$E49*$D49*KVARDI,2))</f>
        <v/>
      </c>
      <c r="EK49" s="66" t="n"/>
      <c r="EL49" s="78">
        <f>IF(OR(INDEX(Undirviðmið!$G$6:$G$105,ROW()-6)&lt;&gt;"Starfsbundinn",EK49="",$E49="",$D49=""),"",ROUND(EK49/$E49*$D49*KVARDI,2))</f>
        <v/>
      </c>
      <c r="EM49" s="66" t="n"/>
      <c r="EN49" s="78">
        <f>IF(OR(INDEX(Undirviðmið!$G$6:$G$105,ROW()-6)&lt;&gt;"Starfsbundinn",EM49="",$E49="",$D49=""),"",ROUND(EM49/$E49*$D49*KVARDI,2))</f>
        <v/>
      </c>
      <c r="EO49" s="66" t="n"/>
      <c r="EP49" s="78">
        <f>IF(OR(INDEX(Undirviðmið!$G$6:$G$105,ROW()-6)&lt;&gt;"Starfsbundinn",EO49="",$E49="",$D49=""),"",ROUND(EO49/$E49*$D49*KVARDI,2))</f>
        <v/>
      </c>
      <c r="EQ49" s="66" t="n"/>
      <c r="ER49" s="78">
        <f>IF(OR(INDEX(Undirviðmið!$G$6:$G$105,ROW()-6)&lt;&gt;"Starfsbundinn",EQ49="",$E49="",$D49=""),"",ROUND(EQ49/$E49*$D49*KVARDI,2))</f>
        <v/>
      </c>
      <c r="ES49" s="66" t="n"/>
      <c r="ET49" s="78">
        <f>IF(OR(INDEX(Undirviðmið!$G$6:$G$105,ROW()-6)&lt;&gt;"Starfsbundinn",ES49="",$E49="",$D49=""),"",ROUND(ES49/$E49*$D49*KVARDI,2))</f>
        <v/>
      </c>
      <c r="EU49" s="66" t="n"/>
      <c r="EV49" s="78">
        <f>IF(OR(INDEX(Undirviðmið!$G$6:$G$105,ROW()-6)&lt;&gt;"Starfsbundinn",EU49="",$E49="",$D49=""),"",ROUND(EU49/$E49*$D49*KVARDI,2))</f>
        <v/>
      </c>
      <c r="EW49" s="66" t="n"/>
      <c r="EX49" s="78">
        <f>IF(OR(INDEX(Undirviðmið!$G$6:$G$105,ROW()-6)&lt;&gt;"Starfsbundinn",EW49="",$E49="",$D49=""),"",ROUND(EW49/$E49*$D49*KVARDI,2))</f>
        <v/>
      </c>
      <c r="EY49" s="66" t="n"/>
      <c r="EZ49" s="78">
        <f>IF(OR(INDEX(Undirviðmið!$G$6:$G$105,ROW()-6)&lt;&gt;"Starfsbundinn",EY49="",$E49="",$D49=""),"",ROUND(EY49/$E49*$D49*KVARDI,2))</f>
        <v/>
      </c>
      <c r="FA49" s="66" t="n"/>
      <c r="FB49" s="78">
        <f>IF(OR(INDEX(Undirviðmið!$G$6:$G$105,ROW()-6)&lt;&gt;"Starfsbundinn",FA49="",$E49="",$D49=""),"",ROUND(FA49/$E49*$D49*KVARDI,2))</f>
        <v/>
      </c>
      <c r="FC49" s="66" t="n"/>
      <c r="FD49" s="78">
        <f>IF(OR(INDEX(Undirviðmið!$G$6:$G$105,ROW()-6)&lt;&gt;"Starfsbundinn",FC49="",$E49="",$D49=""),"",ROUND(FC49/$E49*$D49*KVARDI,2))</f>
        <v/>
      </c>
      <c r="FE49" s="66" t="n"/>
      <c r="FF49" s="78">
        <f>IF(OR(INDEX(Undirviðmið!$G$6:$G$105,ROW()-6)&lt;&gt;"Starfsbundinn",FE49="",$E49="",$D49=""),"",ROUND(FE49/$E49*$D49*KVARDI,2))</f>
        <v/>
      </c>
      <c r="FG49" s="66" t="n"/>
      <c r="FH49" s="78">
        <f>IF(OR(INDEX(Undirviðmið!$G$6:$G$105,ROW()-6)&lt;&gt;"Starfsbundinn",FG49="",$E49="",$D49=""),"",ROUND(FG49/$E49*$D49*KVARDI,2))</f>
        <v/>
      </c>
      <c r="FI49" s="66" t="n"/>
      <c r="FJ49" s="78">
        <f>IF(OR(INDEX(Undirviðmið!$G$6:$G$105,ROW()-6)&lt;&gt;"Starfsbundinn",FI49="",$E49="",$D49=""),"",ROUND(FI49/$E49*$D49*KVARDI,2))</f>
        <v/>
      </c>
      <c r="FK49" s="66" t="n"/>
      <c r="FL49" s="78">
        <f>IF(OR(INDEX(Undirviðmið!$G$6:$G$105,ROW()-6)&lt;&gt;"Starfsbundinn",FK49="",$E49="",$D49=""),"",ROUND(FK49/$E49*$D49*KVARDI,2))</f>
        <v/>
      </c>
      <c r="FM49" s="66" t="n"/>
      <c r="FN49" s="78">
        <f>IF(OR(INDEX(Undirviðmið!$G$6:$G$105,ROW()-6)&lt;&gt;"Starfsbundinn",FM49="",$E49="",$D49=""),"",ROUND(FM49/$E49*$D49*KVARDI,2))</f>
        <v/>
      </c>
      <c r="FO49" s="66" t="n"/>
      <c r="FP49" s="78">
        <f>IF(OR(INDEX(Undirviðmið!$G$6:$G$105,ROW()-6)&lt;&gt;"Starfsbundinn",FO49="",$E49="",$D49=""),"",ROUND(FO49/$E49*$D49*KVARDI,2))</f>
        <v/>
      </c>
      <c r="FQ49" s="66" t="n"/>
      <c r="FR49" s="78">
        <f>IF(OR(INDEX(Undirviðmið!$G$6:$G$105,ROW()-6)&lt;&gt;"Starfsbundinn",FQ49="",$E49="",$D49=""),"",ROUND(FQ49/$E49*$D49*KVARDI,2))</f>
        <v/>
      </c>
      <c r="FS49" s="66" t="n"/>
      <c r="FT49" s="78">
        <f>IF(OR(INDEX(Undirviðmið!$G$6:$G$105,ROW()-6)&lt;&gt;"Starfsbundinn",FS49="",$E49="",$D49=""),"",ROUND(FS49/$E49*$D49*KVARDI,2))</f>
        <v/>
      </c>
      <c r="FU49" s="66" t="n"/>
      <c r="FV49" s="78">
        <f>IF(OR(INDEX(Undirviðmið!$G$6:$G$105,ROW()-6)&lt;&gt;"Starfsbundinn",FU49="",$E49="",$D49=""),"",ROUND(FU49/$E49*$D49*KVARDI,2))</f>
        <v/>
      </c>
      <c r="FW49" s="66" t="n"/>
      <c r="FX49" s="78">
        <f>IF(OR(INDEX(Undirviðmið!$G$6:$G$105,ROW()-6)&lt;&gt;"Starfsbundinn",FW49="",$E49="",$D49=""),"",ROUND(FW49/$E49*$D49*KVARDI,2))</f>
        <v/>
      </c>
      <c r="FY49" s="66" t="n"/>
      <c r="FZ49" s="78">
        <f>IF(OR(INDEX(Undirviðmið!$G$6:$G$105,ROW()-6)&lt;&gt;"Starfsbundinn",FY49="",$E49="",$D49=""),"",ROUND(FY49/$E49*$D49*KVARDI,2))</f>
        <v/>
      </c>
      <c r="GA49" s="66" t="n"/>
      <c r="GB49" s="78">
        <f>IF(OR(INDEX(Undirviðmið!$G$6:$G$105,ROW()-6)&lt;&gt;"Starfsbundinn",GA49="",$E49="",$D49=""),"",ROUND(GA49/$E49*$D49*KVARDI,2))</f>
        <v/>
      </c>
      <c r="GC49" s="66" t="n"/>
      <c r="GD49" s="78">
        <f>IF(OR(INDEX(Undirviðmið!$G$6:$G$105,ROW()-6)&lt;&gt;"Starfsbundinn",GC49="",$E49="",$D49=""),"",ROUND(GC49/$E49*$D49*KVARDI,2))</f>
        <v/>
      </c>
      <c r="GE49" s="66" t="n"/>
      <c r="GF49" s="78">
        <f>IF(OR(INDEX(Undirviðmið!$G$6:$G$105,ROW()-6)&lt;&gt;"Starfsbundinn",GE49="",$E49="",$D49=""),"",ROUND(GE49/$E49*$D49*KVARDI,2))</f>
        <v/>
      </c>
      <c r="GG49" s="66" t="n"/>
      <c r="GH49" s="78">
        <f>IF(OR(INDEX(Undirviðmið!$G$6:$G$105,ROW()-6)&lt;&gt;"Starfsbundinn",GG49="",$E49="",$D49=""),"",ROUND(GG49/$E49*$D49*KVARDI,2))</f>
        <v/>
      </c>
      <c r="GI49" s="66" t="n"/>
      <c r="GJ49" s="78">
        <f>IF(OR(INDEX(Undirviðmið!$G$6:$G$105,ROW()-6)&lt;&gt;"Starfsbundinn",GI49="",$E49="",$D49=""),"",ROUND(GI49/$E49*$D49*KVARDI,2))</f>
        <v/>
      </c>
      <c r="GK49" s="66" t="n"/>
      <c r="GL49" s="78">
        <f>IF(OR(INDEX(Undirviðmið!$G$6:$G$105,ROW()-6)&lt;&gt;"Starfsbundinn",GK49="",$E49="",$D49=""),"",ROUND(GK49/$E49*$D49*KVARDI,2))</f>
        <v/>
      </c>
      <c r="GM49" s="66" t="n"/>
      <c r="GN49" s="78">
        <f>IF(OR(INDEX(Undirviðmið!$G$6:$G$105,ROW()-6)&lt;&gt;"Starfsbundinn",GM49="",$E49="",$D49=""),"",ROUND(GM49/$E49*$D49*KVARDI,2))</f>
        <v/>
      </c>
      <c r="GO49" s="66" t="n"/>
      <c r="GP49" s="78">
        <f>IF(OR(INDEX(Undirviðmið!$G$6:$G$105,ROW()-6)&lt;&gt;"Starfsbundinn",GO49="",$E49="",$D49=""),"",ROUND(GO49/$E49*$D49*KVARDI,2))</f>
        <v/>
      </c>
      <c r="GQ49" s="66" t="n"/>
      <c r="GR49" s="78">
        <f>IF(OR(INDEX(Undirviðmið!$G$6:$G$105,ROW()-6)&lt;&gt;"Starfsbundinn",GQ49="",$E49="",$D49=""),"",ROUND(GQ49/$E49*$D49*KVARDI,2))</f>
        <v/>
      </c>
      <c r="GS49" s="66" t="n"/>
      <c r="GT49" s="78">
        <f>IF(OR(INDEX(Undirviðmið!$G$6:$G$105,ROW()-6)&lt;&gt;"Starfsbundinn",GS49="",$E49="",$D49=""),"",ROUND(GS49/$E49*$D49*KVARDI,2))</f>
        <v/>
      </c>
      <c r="GU49" s="66" t="n"/>
      <c r="GV49" s="78">
        <f>IF(OR(INDEX(Undirviðmið!$G$6:$G$105,ROW()-6)&lt;&gt;"Starfsbundinn",GU49="",$E49="",$D49=""),"",ROUND(GU49/$E49*$D49*KVARDI,2))</f>
        <v/>
      </c>
      <c r="GW49" s="66" t="n"/>
      <c r="GX49" s="78">
        <f>IF(OR(INDEX(Undirviðmið!$G$6:$G$105,ROW()-6)&lt;&gt;"Starfsbundinn",GW49="",$E49="",$D49=""),"",ROUND(GW49/$E49*$D49*KVARDI,2))</f>
        <v/>
      </c>
    </row>
    <row r="50" ht="15" customHeight="1" s="47">
      <c r="B50" s="67">
        <f>IF(INDEX(Undirviðmið!$G$6:$G$105,ROW()-6)="Starfsbundinn",INDEX(Undirviðmið!$B$6:$B$105,ROW()-6),"")</f>
        <v/>
      </c>
      <c r="C50" s="67">
        <f>IF(INDEX(Undirviðmið!$G$6:$G$105,ROW()-6)="Starfsbundinn",INDEX(Undirviðmið!$C$6:$C$105,ROW()-6),"")</f>
        <v/>
      </c>
      <c r="D50" s="77">
        <f>IF(INDEX(Undirviðmið!$G$6:$G$105,ROW()-6)="Starfsbundinn",INDEX(Undirviðmið!$E$6:$E$105,ROW()-6),"")</f>
        <v/>
      </c>
      <c r="E50" s="77">
        <f>IF(INDEX(Undirviðmið!$G$6:$G$105,ROW()-6)="Starfsbundinn",INDEX(Undirviðmið!$F$6:$F$105,ROW()-6),"")</f>
        <v/>
      </c>
      <c r="F50" s="77">
        <f>IF(INDEX(Undirviðmið!$G$6:$G$105,ROW()-6)="Starfsbundinn",IFERROR(INDEX(Undirviðmið!$E$6:$E$105,ROW()-6)*KVARDI,""),"")</f>
        <v/>
      </c>
      <c r="G50" s="66" t="n"/>
      <c r="H50" s="78">
        <f>IF(OR(INDEX(Undirviðmið!$G$6:$G$105,ROW()-6)&lt;&gt;"Starfsbundinn",G50="",$E50="",$D50=""),"",ROUND(G50/$E50*$D50*KVARDI,2))</f>
        <v/>
      </c>
      <c r="I50" s="66" t="n"/>
      <c r="J50" s="78">
        <f>IF(OR(INDEX(Undirviðmið!$G$6:$G$105,ROW()-6)&lt;&gt;"Starfsbundinn",I50="",$E50="",$D50=""),"",ROUND(I50/$E50*$D50*KVARDI,2))</f>
        <v/>
      </c>
      <c r="K50" s="66" t="n"/>
      <c r="L50" s="78">
        <f>IF(OR(INDEX(Undirviðmið!$G$6:$G$105,ROW()-6)&lt;&gt;"Starfsbundinn",K50="",$E50="",$D50=""),"",ROUND(K50/$E50*$D50*KVARDI,2))</f>
        <v/>
      </c>
      <c r="M50" s="66" t="n"/>
      <c r="N50" s="78">
        <f>IF(OR(INDEX(Undirviðmið!$G$6:$G$105,ROW()-6)&lt;&gt;"Starfsbundinn",M50="",$E50="",$D50=""),"",ROUND(M50/$E50*$D50*KVARDI,2))</f>
        <v/>
      </c>
      <c r="O50" s="66" t="n"/>
      <c r="P50" s="78">
        <f>IF(OR(INDEX(Undirviðmið!$G$6:$G$105,ROW()-6)&lt;&gt;"Starfsbundinn",O50="",$E50="",$D50=""),"",ROUND(O50/$E50*$D50*KVARDI,2))</f>
        <v/>
      </c>
      <c r="Q50" s="66" t="n"/>
      <c r="R50" s="78">
        <f>IF(OR(INDEX(Undirviðmið!$G$6:$G$105,ROW()-6)&lt;&gt;"Starfsbundinn",Q50="",$E50="",$D50=""),"",ROUND(Q50/$E50*$D50*KVARDI,2))</f>
        <v/>
      </c>
      <c r="S50" s="66" t="n"/>
      <c r="T50" s="78">
        <f>IF(OR(INDEX(Undirviðmið!$G$6:$G$105,ROW()-6)&lt;&gt;"Starfsbundinn",S50="",$E50="",$D50=""),"",ROUND(S50/$E50*$D50*KVARDI,2))</f>
        <v/>
      </c>
      <c r="U50" s="66" t="n"/>
      <c r="V50" s="78">
        <f>IF(OR(INDEX(Undirviðmið!$G$6:$G$105,ROW()-6)&lt;&gt;"Starfsbundinn",U50="",$E50="",$D50=""),"",ROUND(U50/$E50*$D50*KVARDI,2))</f>
        <v/>
      </c>
      <c r="W50" s="66" t="n"/>
      <c r="X50" s="78">
        <f>IF(OR(INDEX(Undirviðmið!$G$6:$G$105,ROW()-6)&lt;&gt;"Starfsbundinn",W50="",$E50="",$D50=""),"",ROUND(W50/$E50*$D50*KVARDI,2))</f>
        <v/>
      </c>
      <c r="Y50" s="66" t="n"/>
      <c r="Z50" s="78">
        <f>IF(OR(INDEX(Undirviðmið!$G$6:$G$105,ROW()-6)&lt;&gt;"Starfsbundinn",Y50="",$E50="",$D50=""),"",ROUND(Y50/$E50*$D50*KVARDI,2))</f>
        <v/>
      </c>
      <c r="AA50" s="66" t="n"/>
      <c r="AB50" s="78">
        <f>IF(OR(INDEX(Undirviðmið!$G$6:$G$105,ROW()-6)&lt;&gt;"Starfsbundinn",AA50="",$E50="",$D50=""),"",ROUND(AA50/$E50*$D50*KVARDI,2))</f>
        <v/>
      </c>
      <c r="AC50" s="66" t="n"/>
      <c r="AD50" s="78">
        <f>IF(OR(INDEX(Undirviðmið!$G$6:$G$105,ROW()-6)&lt;&gt;"Starfsbundinn",AC50="",$E50="",$D50=""),"",ROUND(AC50/$E50*$D50*KVARDI,2))</f>
        <v/>
      </c>
      <c r="AE50" s="66" t="n"/>
      <c r="AF50" s="78">
        <f>IF(OR(INDEX(Undirviðmið!$G$6:$G$105,ROW()-6)&lt;&gt;"Starfsbundinn",AE50="",$E50="",$D50=""),"",ROUND(AE50/$E50*$D50*KVARDI,2))</f>
        <v/>
      </c>
      <c r="AG50" s="66" t="n"/>
      <c r="AH50" s="78">
        <f>IF(OR(INDEX(Undirviðmið!$G$6:$G$105,ROW()-6)&lt;&gt;"Starfsbundinn",AG50="",$E50="",$D50=""),"",ROUND(AG50/$E50*$D50*KVARDI,2))</f>
        <v/>
      </c>
      <c r="AI50" s="66" t="n"/>
      <c r="AJ50" s="78">
        <f>IF(OR(INDEX(Undirviðmið!$G$6:$G$105,ROW()-6)&lt;&gt;"Starfsbundinn",AI50="",$E50="",$D50=""),"",ROUND(AI50/$E50*$D50*KVARDI,2))</f>
        <v/>
      </c>
      <c r="AK50" s="66" t="n"/>
      <c r="AL50" s="78">
        <f>IF(OR(INDEX(Undirviðmið!$G$6:$G$105,ROW()-6)&lt;&gt;"Starfsbundinn",AK50="",$E50="",$D50=""),"",ROUND(AK50/$E50*$D50*KVARDI,2))</f>
        <v/>
      </c>
      <c r="AM50" s="66" t="n"/>
      <c r="AN50" s="78">
        <f>IF(OR(INDEX(Undirviðmið!$G$6:$G$105,ROW()-6)&lt;&gt;"Starfsbundinn",AM50="",$E50="",$D50=""),"",ROUND(AM50/$E50*$D50*KVARDI,2))</f>
        <v/>
      </c>
      <c r="AO50" s="66" t="n"/>
      <c r="AP50" s="78">
        <f>IF(OR(INDEX(Undirviðmið!$G$6:$G$105,ROW()-6)&lt;&gt;"Starfsbundinn",AO50="",$E50="",$D50=""),"",ROUND(AO50/$E50*$D50*KVARDI,2))</f>
        <v/>
      </c>
      <c r="AQ50" s="66" t="n"/>
      <c r="AR50" s="78">
        <f>IF(OR(INDEX(Undirviðmið!$G$6:$G$105,ROW()-6)&lt;&gt;"Starfsbundinn",AQ50="",$E50="",$D50=""),"",ROUND(AQ50/$E50*$D50*KVARDI,2))</f>
        <v/>
      </c>
      <c r="AS50" s="66" t="n"/>
      <c r="AT50" s="78">
        <f>IF(OR(INDEX(Undirviðmið!$G$6:$G$105,ROW()-6)&lt;&gt;"Starfsbundinn",AS50="",$E50="",$D50=""),"",ROUND(AS50/$E50*$D50*KVARDI,2))</f>
        <v/>
      </c>
      <c r="AU50" s="66" t="n"/>
      <c r="AV50" s="78">
        <f>IF(OR(INDEX(Undirviðmið!$G$6:$G$105,ROW()-6)&lt;&gt;"Starfsbundinn",AU50="",$E50="",$D50=""),"",ROUND(AU50/$E50*$D50*KVARDI,2))</f>
        <v/>
      </c>
      <c r="AW50" s="66" t="n"/>
      <c r="AX50" s="78">
        <f>IF(OR(INDEX(Undirviðmið!$G$6:$G$105,ROW()-6)&lt;&gt;"Starfsbundinn",AW50="",$E50="",$D50=""),"",ROUND(AW50/$E50*$D50*KVARDI,2))</f>
        <v/>
      </c>
      <c r="AY50" s="66" t="n"/>
      <c r="AZ50" s="78">
        <f>IF(OR(INDEX(Undirviðmið!$G$6:$G$105,ROW()-6)&lt;&gt;"Starfsbundinn",AY50="",$E50="",$D50=""),"",ROUND(AY50/$E50*$D50*KVARDI,2))</f>
        <v/>
      </c>
      <c r="BA50" s="66" t="n"/>
      <c r="BB50" s="78">
        <f>IF(OR(INDEX(Undirviðmið!$G$6:$G$105,ROW()-6)&lt;&gt;"Starfsbundinn",BA50="",$E50="",$D50=""),"",ROUND(BA50/$E50*$D50*KVARDI,2))</f>
        <v/>
      </c>
      <c r="BC50" s="66" t="n"/>
      <c r="BD50" s="78">
        <f>IF(OR(INDEX(Undirviðmið!$G$6:$G$105,ROW()-6)&lt;&gt;"Starfsbundinn",BC50="",$E50="",$D50=""),"",ROUND(BC50/$E50*$D50*KVARDI,2))</f>
        <v/>
      </c>
      <c r="BE50" s="66" t="n"/>
      <c r="BF50" s="78">
        <f>IF(OR(INDEX(Undirviðmið!$G$6:$G$105,ROW()-6)&lt;&gt;"Starfsbundinn",BE50="",$E50="",$D50=""),"",ROUND(BE50/$E50*$D50*KVARDI,2))</f>
        <v/>
      </c>
      <c r="BG50" s="66" t="n"/>
      <c r="BH50" s="78">
        <f>IF(OR(INDEX(Undirviðmið!$G$6:$G$105,ROW()-6)&lt;&gt;"Starfsbundinn",BG50="",$E50="",$D50=""),"",ROUND(BG50/$E50*$D50*KVARDI,2))</f>
        <v/>
      </c>
      <c r="BI50" s="66" t="n"/>
      <c r="BJ50" s="78">
        <f>IF(OR(INDEX(Undirviðmið!$G$6:$G$105,ROW()-6)&lt;&gt;"Starfsbundinn",BI50="",$E50="",$D50=""),"",ROUND(BI50/$E50*$D50*KVARDI,2))</f>
        <v/>
      </c>
      <c r="BK50" s="66" t="n"/>
      <c r="BL50" s="78">
        <f>IF(OR(INDEX(Undirviðmið!$G$6:$G$105,ROW()-6)&lt;&gt;"Starfsbundinn",BK50="",$E50="",$D50=""),"",ROUND(BK50/$E50*$D50*KVARDI,2))</f>
        <v/>
      </c>
      <c r="BM50" s="66" t="n"/>
      <c r="BN50" s="78">
        <f>IF(OR(INDEX(Undirviðmið!$G$6:$G$105,ROW()-6)&lt;&gt;"Starfsbundinn",BM50="",$E50="",$D50=""),"",ROUND(BM50/$E50*$D50*KVARDI,2))</f>
        <v/>
      </c>
      <c r="BO50" s="66" t="n"/>
      <c r="BP50" s="78">
        <f>IF(OR(INDEX(Undirviðmið!$G$6:$G$105,ROW()-6)&lt;&gt;"Starfsbundinn",BO50="",$E50="",$D50=""),"",ROUND(BO50/$E50*$D50*KVARDI,2))</f>
        <v/>
      </c>
      <c r="BQ50" s="66" t="n"/>
      <c r="BR50" s="78">
        <f>IF(OR(INDEX(Undirviðmið!$G$6:$G$105,ROW()-6)&lt;&gt;"Starfsbundinn",BQ50="",$E50="",$D50=""),"",ROUND(BQ50/$E50*$D50*KVARDI,2))</f>
        <v/>
      </c>
      <c r="BS50" s="66" t="n"/>
      <c r="BT50" s="78">
        <f>IF(OR(INDEX(Undirviðmið!$G$6:$G$105,ROW()-6)&lt;&gt;"Starfsbundinn",BS50="",$E50="",$D50=""),"",ROUND(BS50/$E50*$D50*KVARDI,2))</f>
        <v/>
      </c>
      <c r="BU50" s="66" t="n"/>
      <c r="BV50" s="78">
        <f>IF(OR(INDEX(Undirviðmið!$G$6:$G$105,ROW()-6)&lt;&gt;"Starfsbundinn",BU50="",$E50="",$D50=""),"",ROUND(BU50/$E50*$D50*KVARDI,2))</f>
        <v/>
      </c>
      <c r="BW50" s="66" t="n"/>
      <c r="BX50" s="78">
        <f>IF(OR(INDEX(Undirviðmið!$G$6:$G$105,ROW()-6)&lt;&gt;"Starfsbundinn",BW50="",$E50="",$D50=""),"",ROUND(BW50/$E50*$D50*KVARDI,2))</f>
        <v/>
      </c>
      <c r="BY50" s="66" t="n"/>
      <c r="BZ50" s="78">
        <f>IF(OR(INDEX(Undirviðmið!$G$6:$G$105,ROW()-6)&lt;&gt;"Starfsbundinn",BY50="",$E50="",$D50=""),"",ROUND(BY50/$E50*$D50*KVARDI,2))</f>
        <v/>
      </c>
      <c r="CA50" s="66" t="n"/>
      <c r="CB50" s="78">
        <f>IF(OR(INDEX(Undirviðmið!$G$6:$G$105,ROW()-6)&lt;&gt;"Starfsbundinn",CA50="",$E50="",$D50=""),"",ROUND(CA50/$E50*$D50*KVARDI,2))</f>
        <v/>
      </c>
      <c r="CC50" s="66" t="n"/>
      <c r="CD50" s="78">
        <f>IF(OR(INDEX(Undirviðmið!$G$6:$G$105,ROW()-6)&lt;&gt;"Starfsbundinn",CC50="",$E50="",$D50=""),"",ROUND(CC50/$E50*$D50*KVARDI,2))</f>
        <v/>
      </c>
      <c r="CE50" s="66" t="n"/>
      <c r="CF50" s="78">
        <f>IF(OR(INDEX(Undirviðmið!$G$6:$G$105,ROW()-6)&lt;&gt;"Starfsbundinn",CE50="",$E50="",$D50=""),"",ROUND(CE50/$E50*$D50*KVARDI,2))</f>
        <v/>
      </c>
      <c r="CG50" s="66" t="n"/>
      <c r="CH50" s="78">
        <f>IF(OR(INDEX(Undirviðmið!$G$6:$G$105,ROW()-6)&lt;&gt;"Starfsbundinn",CG50="",$E50="",$D50=""),"",ROUND(CG50/$E50*$D50*KVARDI,2))</f>
        <v/>
      </c>
      <c r="CI50" s="66" t="n"/>
      <c r="CJ50" s="78">
        <f>IF(OR(INDEX(Undirviðmið!$G$6:$G$105,ROW()-6)&lt;&gt;"Starfsbundinn",CI50="",$E50="",$D50=""),"",ROUND(CI50/$E50*$D50*KVARDI,2))</f>
        <v/>
      </c>
      <c r="CK50" s="66" t="n"/>
      <c r="CL50" s="78">
        <f>IF(OR(INDEX(Undirviðmið!$G$6:$G$105,ROW()-6)&lt;&gt;"Starfsbundinn",CK50="",$E50="",$D50=""),"",ROUND(CK50/$E50*$D50*KVARDI,2))</f>
        <v/>
      </c>
      <c r="CM50" s="66" t="n"/>
      <c r="CN50" s="78">
        <f>IF(OR(INDEX(Undirviðmið!$G$6:$G$105,ROW()-6)&lt;&gt;"Starfsbundinn",CM50="",$E50="",$D50=""),"",ROUND(CM50/$E50*$D50*KVARDI,2))</f>
        <v/>
      </c>
      <c r="CO50" s="66" t="n"/>
      <c r="CP50" s="78">
        <f>IF(OR(INDEX(Undirviðmið!$G$6:$G$105,ROW()-6)&lt;&gt;"Starfsbundinn",CO50="",$E50="",$D50=""),"",ROUND(CO50/$E50*$D50*KVARDI,2))</f>
        <v/>
      </c>
      <c r="CQ50" s="66" t="n"/>
      <c r="CR50" s="78">
        <f>IF(OR(INDEX(Undirviðmið!$G$6:$G$105,ROW()-6)&lt;&gt;"Starfsbundinn",CQ50="",$E50="",$D50=""),"",ROUND(CQ50/$E50*$D50*KVARDI,2))</f>
        <v/>
      </c>
      <c r="CS50" s="66" t="n"/>
      <c r="CT50" s="78">
        <f>IF(OR(INDEX(Undirviðmið!$G$6:$G$105,ROW()-6)&lt;&gt;"Starfsbundinn",CS50="",$E50="",$D50=""),"",ROUND(CS50/$E50*$D50*KVARDI,2))</f>
        <v/>
      </c>
      <c r="CU50" s="66" t="n"/>
      <c r="CV50" s="78">
        <f>IF(OR(INDEX(Undirviðmið!$G$6:$G$105,ROW()-6)&lt;&gt;"Starfsbundinn",CU50="",$E50="",$D50=""),"",ROUND(CU50/$E50*$D50*KVARDI,2))</f>
        <v/>
      </c>
      <c r="CW50" s="66" t="n"/>
      <c r="CX50" s="78">
        <f>IF(OR(INDEX(Undirviðmið!$G$6:$G$105,ROW()-6)&lt;&gt;"Starfsbundinn",CW50="",$E50="",$D50=""),"",ROUND(CW50/$E50*$D50*KVARDI,2))</f>
        <v/>
      </c>
      <c r="CY50" s="66" t="n"/>
      <c r="CZ50" s="78">
        <f>IF(OR(INDEX(Undirviðmið!$G$6:$G$105,ROW()-6)&lt;&gt;"Starfsbundinn",CY50="",$E50="",$D50=""),"",ROUND(CY50/$E50*$D50*KVARDI,2))</f>
        <v/>
      </c>
      <c r="DA50" s="66" t="n"/>
      <c r="DB50" s="78">
        <f>IF(OR(INDEX(Undirviðmið!$G$6:$G$105,ROW()-6)&lt;&gt;"Starfsbundinn",DA50="",$E50="",$D50=""),"",ROUND(DA50/$E50*$D50*KVARDI,2))</f>
        <v/>
      </c>
      <c r="DC50" s="66" t="n"/>
      <c r="DD50" s="78">
        <f>IF(OR(INDEX(Undirviðmið!$G$6:$G$105,ROW()-6)&lt;&gt;"Starfsbundinn",DC50="",$E50="",$D50=""),"",ROUND(DC50/$E50*$D50*KVARDI,2))</f>
        <v/>
      </c>
      <c r="DE50" s="66" t="n"/>
      <c r="DF50" s="78">
        <f>IF(OR(INDEX(Undirviðmið!$G$6:$G$105,ROW()-6)&lt;&gt;"Starfsbundinn",DE50="",$E50="",$D50=""),"",ROUND(DE50/$E50*$D50*KVARDI,2))</f>
        <v/>
      </c>
      <c r="DG50" s="66" t="n"/>
      <c r="DH50" s="78">
        <f>IF(OR(INDEX(Undirviðmið!$G$6:$G$105,ROW()-6)&lt;&gt;"Starfsbundinn",DG50="",$E50="",$D50=""),"",ROUND(DG50/$E50*$D50*KVARDI,2))</f>
        <v/>
      </c>
      <c r="DI50" s="66" t="n"/>
      <c r="DJ50" s="78">
        <f>IF(OR(INDEX(Undirviðmið!$G$6:$G$105,ROW()-6)&lt;&gt;"Starfsbundinn",DI50="",$E50="",$D50=""),"",ROUND(DI50/$E50*$D50*KVARDI,2))</f>
        <v/>
      </c>
      <c r="DK50" s="66" t="n"/>
      <c r="DL50" s="78">
        <f>IF(OR(INDEX(Undirviðmið!$G$6:$G$105,ROW()-6)&lt;&gt;"Starfsbundinn",DK50="",$E50="",$D50=""),"",ROUND(DK50/$E50*$D50*KVARDI,2))</f>
        <v/>
      </c>
      <c r="DM50" s="66" t="n"/>
      <c r="DN50" s="78">
        <f>IF(OR(INDEX(Undirviðmið!$G$6:$G$105,ROW()-6)&lt;&gt;"Starfsbundinn",DM50="",$E50="",$D50=""),"",ROUND(DM50/$E50*$D50*KVARDI,2))</f>
        <v/>
      </c>
      <c r="DO50" s="66" t="n"/>
      <c r="DP50" s="78">
        <f>IF(OR(INDEX(Undirviðmið!$G$6:$G$105,ROW()-6)&lt;&gt;"Starfsbundinn",DO50="",$E50="",$D50=""),"",ROUND(DO50/$E50*$D50*KVARDI,2))</f>
        <v/>
      </c>
      <c r="DQ50" s="66" t="n"/>
      <c r="DR50" s="78">
        <f>IF(OR(INDEX(Undirviðmið!$G$6:$G$105,ROW()-6)&lt;&gt;"Starfsbundinn",DQ50="",$E50="",$D50=""),"",ROUND(DQ50/$E50*$D50*KVARDI,2))</f>
        <v/>
      </c>
      <c r="DS50" s="66" t="n"/>
      <c r="DT50" s="78">
        <f>IF(OR(INDEX(Undirviðmið!$G$6:$G$105,ROW()-6)&lt;&gt;"Starfsbundinn",DS50="",$E50="",$D50=""),"",ROUND(DS50/$E50*$D50*KVARDI,2))</f>
        <v/>
      </c>
      <c r="DU50" s="66" t="n"/>
      <c r="DV50" s="78">
        <f>IF(OR(INDEX(Undirviðmið!$G$6:$G$105,ROW()-6)&lt;&gt;"Starfsbundinn",DU50="",$E50="",$D50=""),"",ROUND(DU50/$E50*$D50*KVARDI,2))</f>
        <v/>
      </c>
      <c r="DW50" s="66" t="n"/>
      <c r="DX50" s="78">
        <f>IF(OR(INDEX(Undirviðmið!$G$6:$G$105,ROW()-6)&lt;&gt;"Starfsbundinn",DW50="",$E50="",$D50=""),"",ROUND(DW50/$E50*$D50*KVARDI,2))</f>
        <v/>
      </c>
      <c r="DY50" s="66" t="n"/>
      <c r="DZ50" s="78">
        <f>IF(OR(INDEX(Undirviðmið!$G$6:$G$105,ROW()-6)&lt;&gt;"Starfsbundinn",DY50="",$E50="",$D50=""),"",ROUND(DY50/$E50*$D50*KVARDI,2))</f>
        <v/>
      </c>
      <c r="EA50" s="66" t="n"/>
      <c r="EB50" s="78">
        <f>IF(OR(INDEX(Undirviðmið!$G$6:$G$105,ROW()-6)&lt;&gt;"Starfsbundinn",EA50="",$E50="",$D50=""),"",ROUND(EA50/$E50*$D50*KVARDI,2))</f>
        <v/>
      </c>
      <c r="EC50" s="66" t="n"/>
      <c r="ED50" s="78">
        <f>IF(OR(INDEX(Undirviðmið!$G$6:$G$105,ROW()-6)&lt;&gt;"Starfsbundinn",EC50="",$E50="",$D50=""),"",ROUND(EC50/$E50*$D50*KVARDI,2))</f>
        <v/>
      </c>
      <c r="EE50" s="66" t="n"/>
      <c r="EF50" s="78">
        <f>IF(OR(INDEX(Undirviðmið!$G$6:$G$105,ROW()-6)&lt;&gt;"Starfsbundinn",EE50="",$E50="",$D50=""),"",ROUND(EE50/$E50*$D50*KVARDI,2))</f>
        <v/>
      </c>
      <c r="EG50" s="66" t="n"/>
      <c r="EH50" s="78">
        <f>IF(OR(INDEX(Undirviðmið!$G$6:$G$105,ROW()-6)&lt;&gt;"Starfsbundinn",EG50="",$E50="",$D50=""),"",ROUND(EG50/$E50*$D50*KVARDI,2))</f>
        <v/>
      </c>
      <c r="EI50" s="66" t="n"/>
      <c r="EJ50" s="78">
        <f>IF(OR(INDEX(Undirviðmið!$G$6:$G$105,ROW()-6)&lt;&gt;"Starfsbundinn",EI50="",$E50="",$D50=""),"",ROUND(EI50/$E50*$D50*KVARDI,2))</f>
        <v/>
      </c>
      <c r="EK50" s="66" t="n"/>
      <c r="EL50" s="78">
        <f>IF(OR(INDEX(Undirviðmið!$G$6:$G$105,ROW()-6)&lt;&gt;"Starfsbundinn",EK50="",$E50="",$D50=""),"",ROUND(EK50/$E50*$D50*KVARDI,2))</f>
        <v/>
      </c>
      <c r="EM50" s="66" t="n"/>
      <c r="EN50" s="78">
        <f>IF(OR(INDEX(Undirviðmið!$G$6:$G$105,ROW()-6)&lt;&gt;"Starfsbundinn",EM50="",$E50="",$D50=""),"",ROUND(EM50/$E50*$D50*KVARDI,2))</f>
        <v/>
      </c>
      <c r="EO50" s="66" t="n"/>
      <c r="EP50" s="78">
        <f>IF(OR(INDEX(Undirviðmið!$G$6:$G$105,ROW()-6)&lt;&gt;"Starfsbundinn",EO50="",$E50="",$D50=""),"",ROUND(EO50/$E50*$D50*KVARDI,2))</f>
        <v/>
      </c>
      <c r="EQ50" s="66" t="n"/>
      <c r="ER50" s="78">
        <f>IF(OR(INDEX(Undirviðmið!$G$6:$G$105,ROW()-6)&lt;&gt;"Starfsbundinn",EQ50="",$E50="",$D50=""),"",ROUND(EQ50/$E50*$D50*KVARDI,2))</f>
        <v/>
      </c>
      <c r="ES50" s="66" t="n"/>
      <c r="ET50" s="78">
        <f>IF(OR(INDEX(Undirviðmið!$G$6:$G$105,ROW()-6)&lt;&gt;"Starfsbundinn",ES50="",$E50="",$D50=""),"",ROUND(ES50/$E50*$D50*KVARDI,2))</f>
        <v/>
      </c>
      <c r="EU50" s="66" t="n"/>
      <c r="EV50" s="78">
        <f>IF(OR(INDEX(Undirviðmið!$G$6:$G$105,ROW()-6)&lt;&gt;"Starfsbundinn",EU50="",$E50="",$D50=""),"",ROUND(EU50/$E50*$D50*KVARDI,2))</f>
        <v/>
      </c>
      <c r="EW50" s="66" t="n"/>
      <c r="EX50" s="78">
        <f>IF(OR(INDEX(Undirviðmið!$G$6:$G$105,ROW()-6)&lt;&gt;"Starfsbundinn",EW50="",$E50="",$D50=""),"",ROUND(EW50/$E50*$D50*KVARDI,2))</f>
        <v/>
      </c>
      <c r="EY50" s="66" t="n"/>
      <c r="EZ50" s="78">
        <f>IF(OR(INDEX(Undirviðmið!$G$6:$G$105,ROW()-6)&lt;&gt;"Starfsbundinn",EY50="",$E50="",$D50=""),"",ROUND(EY50/$E50*$D50*KVARDI,2))</f>
        <v/>
      </c>
      <c r="FA50" s="66" t="n"/>
      <c r="FB50" s="78">
        <f>IF(OR(INDEX(Undirviðmið!$G$6:$G$105,ROW()-6)&lt;&gt;"Starfsbundinn",FA50="",$E50="",$D50=""),"",ROUND(FA50/$E50*$D50*KVARDI,2))</f>
        <v/>
      </c>
      <c r="FC50" s="66" t="n"/>
      <c r="FD50" s="78">
        <f>IF(OR(INDEX(Undirviðmið!$G$6:$G$105,ROW()-6)&lt;&gt;"Starfsbundinn",FC50="",$E50="",$D50=""),"",ROUND(FC50/$E50*$D50*KVARDI,2))</f>
        <v/>
      </c>
      <c r="FE50" s="66" t="n"/>
      <c r="FF50" s="78">
        <f>IF(OR(INDEX(Undirviðmið!$G$6:$G$105,ROW()-6)&lt;&gt;"Starfsbundinn",FE50="",$E50="",$D50=""),"",ROUND(FE50/$E50*$D50*KVARDI,2))</f>
        <v/>
      </c>
      <c r="FG50" s="66" t="n"/>
      <c r="FH50" s="78">
        <f>IF(OR(INDEX(Undirviðmið!$G$6:$G$105,ROW()-6)&lt;&gt;"Starfsbundinn",FG50="",$E50="",$D50=""),"",ROUND(FG50/$E50*$D50*KVARDI,2))</f>
        <v/>
      </c>
      <c r="FI50" s="66" t="n"/>
      <c r="FJ50" s="78">
        <f>IF(OR(INDEX(Undirviðmið!$G$6:$G$105,ROW()-6)&lt;&gt;"Starfsbundinn",FI50="",$E50="",$D50=""),"",ROUND(FI50/$E50*$D50*KVARDI,2))</f>
        <v/>
      </c>
      <c r="FK50" s="66" t="n"/>
      <c r="FL50" s="78">
        <f>IF(OR(INDEX(Undirviðmið!$G$6:$G$105,ROW()-6)&lt;&gt;"Starfsbundinn",FK50="",$E50="",$D50=""),"",ROUND(FK50/$E50*$D50*KVARDI,2))</f>
        <v/>
      </c>
      <c r="FM50" s="66" t="n"/>
      <c r="FN50" s="78">
        <f>IF(OR(INDEX(Undirviðmið!$G$6:$G$105,ROW()-6)&lt;&gt;"Starfsbundinn",FM50="",$E50="",$D50=""),"",ROUND(FM50/$E50*$D50*KVARDI,2))</f>
        <v/>
      </c>
      <c r="FO50" s="66" t="n"/>
      <c r="FP50" s="78">
        <f>IF(OR(INDEX(Undirviðmið!$G$6:$G$105,ROW()-6)&lt;&gt;"Starfsbundinn",FO50="",$E50="",$D50=""),"",ROUND(FO50/$E50*$D50*KVARDI,2))</f>
        <v/>
      </c>
      <c r="FQ50" s="66" t="n"/>
      <c r="FR50" s="78">
        <f>IF(OR(INDEX(Undirviðmið!$G$6:$G$105,ROW()-6)&lt;&gt;"Starfsbundinn",FQ50="",$E50="",$D50=""),"",ROUND(FQ50/$E50*$D50*KVARDI,2))</f>
        <v/>
      </c>
      <c r="FS50" s="66" t="n"/>
      <c r="FT50" s="78">
        <f>IF(OR(INDEX(Undirviðmið!$G$6:$G$105,ROW()-6)&lt;&gt;"Starfsbundinn",FS50="",$E50="",$D50=""),"",ROUND(FS50/$E50*$D50*KVARDI,2))</f>
        <v/>
      </c>
      <c r="FU50" s="66" t="n"/>
      <c r="FV50" s="78">
        <f>IF(OR(INDEX(Undirviðmið!$G$6:$G$105,ROW()-6)&lt;&gt;"Starfsbundinn",FU50="",$E50="",$D50=""),"",ROUND(FU50/$E50*$D50*KVARDI,2))</f>
        <v/>
      </c>
      <c r="FW50" s="66" t="n"/>
      <c r="FX50" s="78">
        <f>IF(OR(INDEX(Undirviðmið!$G$6:$G$105,ROW()-6)&lt;&gt;"Starfsbundinn",FW50="",$E50="",$D50=""),"",ROUND(FW50/$E50*$D50*KVARDI,2))</f>
        <v/>
      </c>
      <c r="FY50" s="66" t="n"/>
      <c r="FZ50" s="78">
        <f>IF(OR(INDEX(Undirviðmið!$G$6:$G$105,ROW()-6)&lt;&gt;"Starfsbundinn",FY50="",$E50="",$D50=""),"",ROUND(FY50/$E50*$D50*KVARDI,2))</f>
        <v/>
      </c>
      <c r="GA50" s="66" t="n"/>
      <c r="GB50" s="78">
        <f>IF(OR(INDEX(Undirviðmið!$G$6:$G$105,ROW()-6)&lt;&gt;"Starfsbundinn",GA50="",$E50="",$D50=""),"",ROUND(GA50/$E50*$D50*KVARDI,2))</f>
        <v/>
      </c>
      <c r="GC50" s="66" t="n"/>
      <c r="GD50" s="78">
        <f>IF(OR(INDEX(Undirviðmið!$G$6:$G$105,ROW()-6)&lt;&gt;"Starfsbundinn",GC50="",$E50="",$D50=""),"",ROUND(GC50/$E50*$D50*KVARDI,2))</f>
        <v/>
      </c>
      <c r="GE50" s="66" t="n"/>
      <c r="GF50" s="78">
        <f>IF(OR(INDEX(Undirviðmið!$G$6:$G$105,ROW()-6)&lt;&gt;"Starfsbundinn",GE50="",$E50="",$D50=""),"",ROUND(GE50/$E50*$D50*KVARDI,2))</f>
        <v/>
      </c>
      <c r="GG50" s="66" t="n"/>
      <c r="GH50" s="78">
        <f>IF(OR(INDEX(Undirviðmið!$G$6:$G$105,ROW()-6)&lt;&gt;"Starfsbundinn",GG50="",$E50="",$D50=""),"",ROUND(GG50/$E50*$D50*KVARDI,2))</f>
        <v/>
      </c>
      <c r="GI50" s="66" t="n"/>
      <c r="GJ50" s="78">
        <f>IF(OR(INDEX(Undirviðmið!$G$6:$G$105,ROW()-6)&lt;&gt;"Starfsbundinn",GI50="",$E50="",$D50=""),"",ROUND(GI50/$E50*$D50*KVARDI,2))</f>
        <v/>
      </c>
      <c r="GK50" s="66" t="n"/>
      <c r="GL50" s="78">
        <f>IF(OR(INDEX(Undirviðmið!$G$6:$G$105,ROW()-6)&lt;&gt;"Starfsbundinn",GK50="",$E50="",$D50=""),"",ROUND(GK50/$E50*$D50*KVARDI,2))</f>
        <v/>
      </c>
      <c r="GM50" s="66" t="n"/>
      <c r="GN50" s="78">
        <f>IF(OR(INDEX(Undirviðmið!$G$6:$G$105,ROW()-6)&lt;&gt;"Starfsbundinn",GM50="",$E50="",$D50=""),"",ROUND(GM50/$E50*$D50*KVARDI,2))</f>
        <v/>
      </c>
      <c r="GO50" s="66" t="n"/>
      <c r="GP50" s="78">
        <f>IF(OR(INDEX(Undirviðmið!$G$6:$G$105,ROW()-6)&lt;&gt;"Starfsbundinn",GO50="",$E50="",$D50=""),"",ROUND(GO50/$E50*$D50*KVARDI,2))</f>
        <v/>
      </c>
      <c r="GQ50" s="66" t="n"/>
      <c r="GR50" s="78">
        <f>IF(OR(INDEX(Undirviðmið!$G$6:$G$105,ROW()-6)&lt;&gt;"Starfsbundinn",GQ50="",$E50="",$D50=""),"",ROUND(GQ50/$E50*$D50*KVARDI,2))</f>
        <v/>
      </c>
      <c r="GS50" s="66" t="n"/>
      <c r="GT50" s="78">
        <f>IF(OR(INDEX(Undirviðmið!$G$6:$G$105,ROW()-6)&lt;&gt;"Starfsbundinn",GS50="",$E50="",$D50=""),"",ROUND(GS50/$E50*$D50*KVARDI,2))</f>
        <v/>
      </c>
      <c r="GU50" s="66" t="n"/>
      <c r="GV50" s="78">
        <f>IF(OR(INDEX(Undirviðmið!$G$6:$G$105,ROW()-6)&lt;&gt;"Starfsbundinn",GU50="",$E50="",$D50=""),"",ROUND(GU50/$E50*$D50*KVARDI,2))</f>
        <v/>
      </c>
      <c r="GW50" s="66" t="n"/>
      <c r="GX50" s="78">
        <f>IF(OR(INDEX(Undirviðmið!$G$6:$G$105,ROW()-6)&lt;&gt;"Starfsbundinn",GW50="",$E50="",$D50=""),"",ROUND(GW50/$E50*$D50*KVARDI,2))</f>
        <v/>
      </c>
    </row>
    <row r="51" ht="15" customHeight="1" s="47">
      <c r="B51" s="67">
        <f>IF(INDEX(Undirviðmið!$G$6:$G$105,ROW()-6)="Starfsbundinn",INDEX(Undirviðmið!$B$6:$B$105,ROW()-6),"")</f>
        <v/>
      </c>
      <c r="C51" s="67">
        <f>IF(INDEX(Undirviðmið!$G$6:$G$105,ROW()-6)="Starfsbundinn",INDEX(Undirviðmið!$C$6:$C$105,ROW()-6),"")</f>
        <v/>
      </c>
      <c r="D51" s="77">
        <f>IF(INDEX(Undirviðmið!$G$6:$G$105,ROW()-6)="Starfsbundinn",INDEX(Undirviðmið!$E$6:$E$105,ROW()-6),"")</f>
        <v/>
      </c>
      <c r="E51" s="77">
        <f>IF(INDEX(Undirviðmið!$G$6:$G$105,ROW()-6)="Starfsbundinn",INDEX(Undirviðmið!$F$6:$F$105,ROW()-6),"")</f>
        <v/>
      </c>
      <c r="F51" s="77">
        <f>IF(INDEX(Undirviðmið!$G$6:$G$105,ROW()-6)="Starfsbundinn",IFERROR(INDEX(Undirviðmið!$E$6:$E$105,ROW()-6)*KVARDI,""),"")</f>
        <v/>
      </c>
      <c r="G51" s="66" t="n"/>
      <c r="H51" s="78">
        <f>IF(OR(INDEX(Undirviðmið!$G$6:$G$105,ROW()-6)&lt;&gt;"Starfsbundinn",G51="",$E51="",$D51=""),"",ROUND(G51/$E51*$D51*KVARDI,2))</f>
        <v/>
      </c>
      <c r="I51" s="66" t="n"/>
      <c r="J51" s="78">
        <f>IF(OR(INDEX(Undirviðmið!$G$6:$G$105,ROW()-6)&lt;&gt;"Starfsbundinn",I51="",$E51="",$D51=""),"",ROUND(I51/$E51*$D51*KVARDI,2))</f>
        <v/>
      </c>
      <c r="K51" s="66" t="n"/>
      <c r="L51" s="78">
        <f>IF(OR(INDEX(Undirviðmið!$G$6:$G$105,ROW()-6)&lt;&gt;"Starfsbundinn",K51="",$E51="",$D51=""),"",ROUND(K51/$E51*$D51*KVARDI,2))</f>
        <v/>
      </c>
      <c r="M51" s="66" t="n"/>
      <c r="N51" s="78">
        <f>IF(OR(INDEX(Undirviðmið!$G$6:$G$105,ROW()-6)&lt;&gt;"Starfsbundinn",M51="",$E51="",$D51=""),"",ROUND(M51/$E51*$D51*KVARDI,2))</f>
        <v/>
      </c>
      <c r="O51" s="66" t="n"/>
      <c r="P51" s="78">
        <f>IF(OR(INDEX(Undirviðmið!$G$6:$G$105,ROW()-6)&lt;&gt;"Starfsbundinn",O51="",$E51="",$D51=""),"",ROUND(O51/$E51*$D51*KVARDI,2))</f>
        <v/>
      </c>
      <c r="Q51" s="66" t="n"/>
      <c r="R51" s="78">
        <f>IF(OR(INDEX(Undirviðmið!$G$6:$G$105,ROW()-6)&lt;&gt;"Starfsbundinn",Q51="",$E51="",$D51=""),"",ROUND(Q51/$E51*$D51*KVARDI,2))</f>
        <v/>
      </c>
      <c r="S51" s="66" t="n"/>
      <c r="T51" s="78">
        <f>IF(OR(INDEX(Undirviðmið!$G$6:$G$105,ROW()-6)&lt;&gt;"Starfsbundinn",S51="",$E51="",$D51=""),"",ROUND(S51/$E51*$D51*KVARDI,2))</f>
        <v/>
      </c>
      <c r="U51" s="66" t="n"/>
      <c r="V51" s="78">
        <f>IF(OR(INDEX(Undirviðmið!$G$6:$G$105,ROW()-6)&lt;&gt;"Starfsbundinn",U51="",$E51="",$D51=""),"",ROUND(U51/$E51*$D51*KVARDI,2))</f>
        <v/>
      </c>
      <c r="W51" s="66" t="n"/>
      <c r="X51" s="78">
        <f>IF(OR(INDEX(Undirviðmið!$G$6:$G$105,ROW()-6)&lt;&gt;"Starfsbundinn",W51="",$E51="",$D51=""),"",ROUND(W51/$E51*$D51*KVARDI,2))</f>
        <v/>
      </c>
      <c r="Y51" s="66" t="n"/>
      <c r="Z51" s="78">
        <f>IF(OR(INDEX(Undirviðmið!$G$6:$G$105,ROW()-6)&lt;&gt;"Starfsbundinn",Y51="",$E51="",$D51=""),"",ROUND(Y51/$E51*$D51*KVARDI,2))</f>
        <v/>
      </c>
      <c r="AA51" s="66" t="n"/>
      <c r="AB51" s="78">
        <f>IF(OR(INDEX(Undirviðmið!$G$6:$G$105,ROW()-6)&lt;&gt;"Starfsbundinn",AA51="",$E51="",$D51=""),"",ROUND(AA51/$E51*$D51*KVARDI,2))</f>
        <v/>
      </c>
      <c r="AC51" s="66" t="n"/>
      <c r="AD51" s="78">
        <f>IF(OR(INDEX(Undirviðmið!$G$6:$G$105,ROW()-6)&lt;&gt;"Starfsbundinn",AC51="",$E51="",$D51=""),"",ROUND(AC51/$E51*$D51*KVARDI,2))</f>
        <v/>
      </c>
      <c r="AE51" s="66" t="n"/>
      <c r="AF51" s="78">
        <f>IF(OR(INDEX(Undirviðmið!$G$6:$G$105,ROW()-6)&lt;&gt;"Starfsbundinn",AE51="",$E51="",$D51=""),"",ROUND(AE51/$E51*$D51*KVARDI,2))</f>
        <v/>
      </c>
      <c r="AG51" s="66" t="n"/>
      <c r="AH51" s="78">
        <f>IF(OR(INDEX(Undirviðmið!$G$6:$G$105,ROW()-6)&lt;&gt;"Starfsbundinn",AG51="",$E51="",$D51=""),"",ROUND(AG51/$E51*$D51*KVARDI,2))</f>
        <v/>
      </c>
      <c r="AI51" s="66" t="n"/>
      <c r="AJ51" s="78">
        <f>IF(OR(INDEX(Undirviðmið!$G$6:$G$105,ROW()-6)&lt;&gt;"Starfsbundinn",AI51="",$E51="",$D51=""),"",ROUND(AI51/$E51*$D51*KVARDI,2))</f>
        <v/>
      </c>
      <c r="AK51" s="66" t="n"/>
      <c r="AL51" s="78">
        <f>IF(OR(INDEX(Undirviðmið!$G$6:$G$105,ROW()-6)&lt;&gt;"Starfsbundinn",AK51="",$E51="",$D51=""),"",ROUND(AK51/$E51*$D51*KVARDI,2))</f>
        <v/>
      </c>
      <c r="AM51" s="66" t="n"/>
      <c r="AN51" s="78">
        <f>IF(OR(INDEX(Undirviðmið!$G$6:$G$105,ROW()-6)&lt;&gt;"Starfsbundinn",AM51="",$E51="",$D51=""),"",ROUND(AM51/$E51*$D51*KVARDI,2))</f>
        <v/>
      </c>
      <c r="AO51" s="66" t="n"/>
      <c r="AP51" s="78">
        <f>IF(OR(INDEX(Undirviðmið!$G$6:$G$105,ROW()-6)&lt;&gt;"Starfsbundinn",AO51="",$E51="",$D51=""),"",ROUND(AO51/$E51*$D51*KVARDI,2))</f>
        <v/>
      </c>
      <c r="AQ51" s="66" t="n"/>
      <c r="AR51" s="78">
        <f>IF(OR(INDEX(Undirviðmið!$G$6:$G$105,ROW()-6)&lt;&gt;"Starfsbundinn",AQ51="",$E51="",$D51=""),"",ROUND(AQ51/$E51*$D51*KVARDI,2))</f>
        <v/>
      </c>
      <c r="AS51" s="66" t="n"/>
      <c r="AT51" s="78">
        <f>IF(OR(INDEX(Undirviðmið!$G$6:$G$105,ROW()-6)&lt;&gt;"Starfsbundinn",AS51="",$E51="",$D51=""),"",ROUND(AS51/$E51*$D51*KVARDI,2))</f>
        <v/>
      </c>
      <c r="AU51" s="66" t="n"/>
      <c r="AV51" s="78">
        <f>IF(OR(INDEX(Undirviðmið!$G$6:$G$105,ROW()-6)&lt;&gt;"Starfsbundinn",AU51="",$E51="",$D51=""),"",ROUND(AU51/$E51*$D51*KVARDI,2))</f>
        <v/>
      </c>
      <c r="AW51" s="66" t="n"/>
      <c r="AX51" s="78">
        <f>IF(OR(INDEX(Undirviðmið!$G$6:$G$105,ROW()-6)&lt;&gt;"Starfsbundinn",AW51="",$E51="",$D51=""),"",ROUND(AW51/$E51*$D51*KVARDI,2))</f>
        <v/>
      </c>
      <c r="AY51" s="66" t="n"/>
      <c r="AZ51" s="78">
        <f>IF(OR(INDEX(Undirviðmið!$G$6:$G$105,ROW()-6)&lt;&gt;"Starfsbundinn",AY51="",$E51="",$D51=""),"",ROUND(AY51/$E51*$D51*KVARDI,2))</f>
        <v/>
      </c>
      <c r="BA51" s="66" t="n"/>
      <c r="BB51" s="78">
        <f>IF(OR(INDEX(Undirviðmið!$G$6:$G$105,ROW()-6)&lt;&gt;"Starfsbundinn",BA51="",$E51="",$D51=""),"",ROUND(BA51/$E51*$D51*KVARDI,2))</f>
        <v/>
      </c>
      <c r="BC51" s="66" t="n"/>
      <c r="BD51" s="78">
        <f>IF(OR(INDEX(Undirviðmið!$G$6:$G$105,ROW()-6)&lt;&gt;"Starfsbundinn",BC51="",$E51="",$D51=""),"",ROUND(BC51/$E51*$D51*KVARDI,2))</f>
        <v/>
      </c>
      <c r="BE51" s="66" t="n"/>
      <c r="BF51" s="78">
        <f>IF(OR(INDEX(Undirviðmið!$G$6:$G$105,ROW()-6)&lt;&gt;"Starfsbundinn",BE51="",$E51="",$D51=""),"",ROUND(BE51/$E51*$D51*KVARDI,2))</f>
        <v/>
      </c>
      <c r="BG51" s="66" t="n"/>
      <c r="BH51" s="78">
        <f>IF(OR(INDEX(Undirviðmið!$G$6:$G$105,ROW()-6)&lt;&gt;"Starfsbundinn",BG51="",$E51="",$D51=""),"",ROUND(BG51/$E51*$D51*KVARDI,2))</f>
        <v/>
      </c>
      <c r="BI51" s="66" t="n"/>
      <c r="BJ51" s="78">
        <f>IF(OR(INDEX(Undirviðmið!$G$6:$G$105,ROW()-6)&lt;&gt;"Starfsbundinn",BI51="",$E51="",$D51=""),"",ROUND(BI51/$E51*$D51*KVARDI,2))</f>
        <v/>
      </c>
      <c r="BK51" s="66" t="n"/>
      <c r="BL51" s="78">
        <f>IF(OR(INDEX(Undirviðmið!$G$6:$G$105,ROW()-6)&lt;&gt;"Starfsbundinn",BK51="",$E51="",$D51=""),"",ROUND(BK51/$E51*$D51*KVARDI,2))</f>
        <v/>
      </c>
      <c r="BM51" s="66" t="n"/>
      <c r="BN51" s="78">
        <f>IF(OR(INDEX(Undirviðmið!$G$6:$G$105,ROW()-6)&lt;&gt;"Starfsbundinn",BM51="",$E51="",$D51=""),"",ROUND(BM51/$E51*$D51*KVARDI,2))</f>
        <v/>
      </c>
      <c r="BO51" s="66" t="n"/>
      <c r="BP51" s="78">
        <f>IF(OR(INDEX(Undirviðmið!$G$6:$G$105,ROW()-6)&lt;&gt;"Starfsbundinn",BO51="",$E51="",$D51=""),"",ROUND(BO51/$E51*$D51*KVARDI,2))</f>
        <v/>
      </c>
      <c r="BQ51" s="66" t="n"/>
      <c r="BR51" s="78">
        <f>IF(OR(INDEX(Undirviðmið!$G$6:$G$105,ROW()-6)&lt;&gt;"Starfsbundinn",BQ51="",$E51="",$D51=""),"",ROUND(BQ51/$E51*$D51*KVARDI,2))</f>
        <v/>
      </c>
      <c r="BS51" s="66" t="n"/>
      <c r="BT51" s="78">
        <f>IF(OR(INDEX(Undirviðmið!$G$6:$G$105,ROW()-6)&lt;&gt;"Starfsbundinn",BS51="",$E51="",$D51=""),"",ROUND(BS51/$E51*$D51*KVARDI,2))</f>
        <v/>
      </c>
      <c r="BU51" s="66" t="n"/>
      <c r="BV51" s="78">
        <f>IF(OR(INDEX(Undirviðmið!$G$6:$G$105,ROW()-6)&lt;&gt;"Starfsbundinn",BU51="",$E51="",$D51=""),"",ROUND(BU51/$E51*$D51*KVARDI,2))</f>
        <v/>
      </c>
      <c r="BW51" s="66" t="n"/>
      <c r="BX51" s="78">
        <f>IF(OR(INDEX(Undirviðmið!$G$6:$G$105,ROW()-6)&lt;&gt;"Starfsbundinn",BW51="",$E51="",$D51=""),"",ROUND(BW51/$E51*$D51*KVARDI,2))</f>
        <v/>
      </c>
      <c r="BY51" s="66" t="n"/>
      <c r="BZ51" s="78">
        <f>IF(OR(INDEX(Undirviðmið!$G$6:$G$105,ROW()-6)&lt;&gt;"Starfsbundinn",BY51="",$E51="",$D51=""),"",ROUND(BY51/$E51*$D51*KVARDI,2))</f>
        <v/>
      </c>
      <c r="CA51" s="66" t="n"/>
      <c r="CB51" s="78">
        <f>IF(OR(INDEX(Undirviðmið!$G$6:$G$105,ROW()-6)&lt;&gt;"Starfsbundinn",CA51="",$E51="",$D51=""),"",ROUND(CA51/$E51*$D51*KVARDI,2))</f>
        <v/>
      </c>
      <c r="CC51" s="66" t="n"/>
      <c r="CD51" s="78">
        <f>IF(OR(INDEX(Undirviðmið!$G$6:$G$105,ROW()-6)&lt;&gt;"Starfsbundinn",CC51="",$E51="",$D51=""),"",ROUND(CC51/$E51*$D51*KVARDI,2))</f>
        <v/>
      </c>
      <c r="CE51" s="66" t="n"/>
      <c r="CF51" s="78">
        <f>IF(OR(INDEX(Undirviðmið!$G$6:$G$105,ROW()-6)&lt;&gt;"Starfsbundinn",CE51="",$E51="",$D51=""),"",ROUND(CE51/$E51*$D51*KVARDI,2))</f>
        <v/>
      </c>
      <c r="CG51" s="66" t="n"/>
      <c r="CH51" s="78">
        <f>IF(OR(INDEX(Undirviðmið!$G$6:$G$105,ROW()-6)&lt;&gt;"Starfsbundinn",CG51="",$E51="",$D51=""),"",ROUND(CG51/$E51*$D51*KVARDI,2))</f>
        <v/>
      </c>
      <c r="CI51" s="66" t="n"/>
      <c r="CJ51" s="78">
        <f>IF(OR(INDEX(Undirviðmið!$G$6:$G$105,ROW()-6)&lt;&gt;"Starfsbundinn",CI51="",$E51="",$D51=""),"",ROUND(CI51/$E51*$D51*KVARDI,2))</f>
        <v/>
      </c>
      <c r="CK51" s="66" t="n"/>
      <c r="CL51" s="78">
        <f>IF(OR(INDEX(Undirviðmið!$G$6:$G$105,ROW()-6)&lt;&gt;"Starfsbundinn",CK51="",$E51="",$D51=""),"",ROUND(CK51/$E51*$D51*KVARDI,2))</f>
        <v/>
      </c>
      <c r="CM51" s="66" t="n"/>
      <c r="CN51" s="78">
        <f>IF(OR(INDEX(Undirviðmið!$G$6:$G$105,ROW()-6)&lt;&gt;"Starfsbundinn",CM51="",$E51="",$D51=""),"",ROUND(CM51/$E51*$D51*KVARDI,2))</f>
        <v/>
      </c>
      <c r="CO51" s="66" t="n"/>
      <c r="CP51" s="78">
        <f>IF(OR(INDEX(Undirviðmið!$G$6:$G$105,ROW()-6)&lt;&gt;"Starfsbundinn",CO51="",$E51="",$D51=""),"",ROUND(CO51/$E51*$D51*KVARDI,2))</f>
        <v/>
      </c>
      <c r="CQ51" s="66" t="n"/>
      <c r="CR51" s="78">
        <f>IF(OR(INDEX(Undirviðmið!$G$6:$G$105,ROW()-6)&lt;&gt;"Starfsbundinn",CQ51="",$E51="",$D51=""),"",ROUND(CQ51/$E51*$D51*KVARDI,2))</f>
        <v/>
      </c>
      <c r="CS51" s="66" t="n"/>
      <c r="CT51" s="78">
        <f>IF(OR(INDEX(Undirviðmið!$G$6:$G$105,ROW()-6)&lt;&gt;"Starfsbundinn",CS51="",$E51="",$D51=""),"",ROUND(CS51/$E51*$D51*KVARDI,2))</f>
        <v/>
      </c>
      <c r="CU51" s="66" t="n"/>
      <c r="CV51" s="78">
        <f>IF(OR(INDEX(Undirviðmið!$G$6:$G$105,ROW()-6)&lt;&gt;"Starfsbundinn",CU51="",$E51="",$D51=""),"",ROUND(CU51/$E51*$D51*KVARDI,2))</f>
        <v/>
      </c>
      <c r="CW51" s="66" t="n"/>
      <c r="CX51" s="78">
        <f>IF(OR(INDEX(Undirviðmið!$G$6:$G$105,ROW()-6)&lt;&gt;"Starfsbundinn",CW51="",$E51="",$D51=""),"",ROUND(CW51/$E51*$D51*KVARDI,2))</f>
        <v/>
      </c>
      <c r="CY51" s="66" t="n"/>
      <c r="CZ51" s="78">
        <f>IF(OR(INDEX(Undirviðmið!$G$6:$G$105,ROW()-6)&lt;&gt;"Starfsbundinn",CY51="",$E51="",$D51=""),"",ROUND(CY51/$E51*$D51*KVARDI,2))</f>
        <v/>
      </c>
      <c r="DA51" s="66" t="n"/>
      <c r="DB51" s="78">
        <f>IF(OR(INDEX(Undirviðmið!$G$6:$G$105,ROW()-6)&lt;&gt;"Starfsbundinn",DA51="",$E51="",$D51=""),"",ROUND(DA51/$E51*$D51*KVARDI,2))</f>
        <v/>
      </c>
      <c r="DC51" s="66" t="n"/>
      <c r="DD51" s="78">
        <f>IF(OR(INDEX(Undirviðmið!$G$6:$G$105,ROW()-6)&lt;&gt;"Starfsbundinn",DC51="",$E51="",$D51=""),"",ROUND(DC51/$E51*$D51*KVARDI,2))</f>
        <v/>
      </c>
      <c r="DE51" s="66" t="n"/>
      <c r="DF51" s="78">
        <f>IF(OR(INDEX(Undirviðmið!$G$6:$G$105,ROW()-6)&lt;&gt;"Starfsbundinn",DE51="",$E51="",$D51=""),"",ROUND(DE51/$E51*$D51*KVARDI,2))</f>
        <v/>
      </c>
      <c r="DG51" s="66" t="n"/>
      <c r="DH51" s="78">
        <f>IF(OR(INDEX(Undirviðmið!$G$6:$G$105,ROW()-6)&lt;&gt;"Starfsbundinn",DG51="",$E51="",$D51=""),"",ROUND(DG51/$E51*$D51*KVARDI,2))</f>
        <v/>
      </c>
      <c r="DI51" s="66" t="n"/>
      <c r="DJ51" s="78">
        <f>IF(OR(INDEX(Undirviðmið!$G$6:$G$105,ROW()-6)&lt;&gt;"Starfsbundinn",DI51="",$E51="",$D51=""),"",ROUND(DI51/$E51*$D51*KVARDI,2))</f>
        <v/>
      </c>
      <c r="DK51" s="66" t="n"/>
      <c r="DL51" s="78">
        <f>IF(OR(INDEX(Undirviðmið!$G$6:$G$105,ROW()-6)&lt;&gt;"Starfsbundinn",DK51="",$E51="",$D51=""),"",ROUND(DK51/$E51*$D51*KVARDI,2))</f>
        <v/>
      </c>
      <c r="DM51" s="66" t="n"/>
      <c r="DN51" s="78">
        <f>IF(OR(INDEX(Undirviðmið!$G$6:$G$105,ROW()-6)&lt;&gt;"Starfsbundinn",DM51="",$E51="",$D51=""),"",ROUND(DM51/$E51*$D51*KVARDI,2))</f>
        <v/>
      </c>
      <c r="DO51" s="66" t="n"/>
      <c r="DP51" s="78">
        <f>IF(OR(INDEX(Undirviðmið!$G$6:$G$105,ROW()-6)&lt;&gt;"Starfsbundinn",DO51="",$E51="",$D51=""),"",ROUND(DO51/$E51*$D51*KVARDI,2))</f>
        <v/>
      </c>
      <c r="DQ51" s="66" t="n"/>
      <c r="DR51" s="78">
        <f>IF(OR(INDEX(Undirviðmið!$G$6:$G$105,ROW()-6)&lt;&gt;"Starfsbundinn",DQ51="",$E51="",$D51=""),"",ROUND(DQ51/$E51*$D51*KVARDI,2))</f>
        <v/>
      </c>
      <c r="DS51" s="66" t="n"/>
      <c r="DT51" s="78">
        <f>IF(OR(INDEX(Undirviðmið!$G$6:$G$105,ROW()-6)&lt;&gt;"Starfsbundinn",DS51="",$E51="",$D51=""),"",ROUND(DS51/$E51*$D51*KVARDI,2))</f>
        <v/>
      </c>
      <c r="DU51" s="66" t="n"/>
      <c r="DV51" s="78">
        <f>IF(OR(INDEX(Undirviðmið!$G$6:$G$105,ROW()-6)&lt;&gt;"Starfsbundinn",DU51="",$E51="",$D51=""),"",ROUND(DU51/$E51*$D51*KVARDI,2))</f>
        <v/>
      </c>
      <c r="DW51" s="66" t="n"/>
      <c r="DX51" s="78">
        <f>IF(OR(INDEX(Undirviðmið!$G$6:$G$105,ROW()-6)&lt;&gt;"Starfsbundinn",DW51="",$E51="",$D51=""),"",ROUND(DW51/$E51*$D51*KVARDI,2))</f>
        <v/>
      </c>
      <c r="DY51" s="66" t="n"/>
      <c r="DZ51" s="78">
        <f>IF(OR(INDEX(Undirviðmið!$G$6:$G$105,ROW()-6)&lt;&gt;"Starfsbundinn",DY51="",$E51="",$D51=""),"",ROUND(DY51/$E51*$D51*KVARDI,2))</f>
        <v/>
      </c>
      <c r="EA51" s="66" t="n"/>
      <c r="EB51" s="78">
        <f>IF(OR(INDEX(Undirviðmið!$G$6:$G$105,ROW()-6)&lt;&gt;"Starfsbundinn",EA51="",$E51="",$D51=""),"",ROUND(EA51/$E51*$D51*KVARDI,2))</f>
        <v/>
      </c>
      <c r="EC51" s="66" t="n"/>
      <c r="ED51" s="78">
        <f>IF(OR(INDEX(Undirviðmið!$G$6:$G$105,ROW()-6)&lt;&gt;"Starfsbundinn",EC51="",$E51="",$D51=""),"",ROUND(EC51/$E51*$D51*KVARDI,2))</f>
        <v/>
      </c>
      <c r="EE51" s="66" t="n"/>
      <c r="EF51" s="78">
        <f>IF(OR(INDEX(Undirviðmið!$G$6:$G$105,ROW()-6)&lt;&gt;"Starfsbundinn",EE51="",$E51="",$D51=""),"",ROUND(EE51/$E51*$D51*KVARDI,2))</f>
        <v/>
      </c>
      <c r="EG51" s="66" t="n"/>
      <c r="EH51" s="78">
        <f>IF(OR(INDEX(Undirviðmið!$G$6:$G$105,ROW()-6)&lt;&gt;"Starfsbundinn",EG51="",$E51="",$D51=""),"",ROUND(EG51/$E51*$D51*KVARDI,2))</f>
        <v/>
      </c>
      <c r="EI51" s="66" t="n"/>
      <c r="EJ51" s="78">
        <f>IF(OR(INDEX(Undirviðmið!$G$6:$G$105,ROW()-6)&lt;&gt;"Starfsbundinn",EI51="",$E51="",$D51=""),"",ROUND(EI51/$E51*$D51*KVARDI,2))</f>
        <v/>
      </c>
      <c r="EK51" s="66" t="n"/>
      <c r="EL51" s="78">
        <f>IF(OR(INDEX(Undirviðmið!$G$6:$G$105,ROW()-6)&lt;&gt;"Starfsbundinn",EK51="",$E51="",$D51=""),"",ROUND(EK51/$E51*$D51*KVARDI,2))</f>
        <v/>
      </c>
      <c r="EM51" s="66" t="n"/>
      <c r="EN51" s="78">
        <f>IF(OR(INDEX(Undirviðmið!$G$6:$G$105,ROW()-6)&lt;&gt;"Starfsbundinn",EM51="",$E51="",$D51=""),"",ROUND(EM51/$E51*$D51*KVARDI,2))</f>
        <v/>
      </c>
      <c r="EO51" s="66" t="n"/>
      <c r="EP51" s="78">
        <f>IF(OR(INDEX(Undirviðmið!$G$6:$G$105,ROW()-6)&lt;&gt;"Starfsbundinn",EO51="",$E51="",$D51=""),"",ROUND(EO51/$E51*$D51*KVARDI,2))</f>
        <v/>
      </c>
      <c r="EQ51" s="66" t="n"/>
      <c r="ER51" s="78">
        <f>IF(OR(INDEX(Undirviðmið!$G$6:$G$105,ROW()-6)&lt;&gt;"Starfsbundinn",EQ51="",$E51="",$D51=""),"",ROUND(EQ51/$E51*$D51*KVARDI,2))</f>
        <v/>
      </c>
      <c r="ES51" s="66" t="n"/>
      <c r="ET51" s="78">
        <f>IF(OR(INDEX(Undirviðmið!$G$6:$G$105,ROW()-6)&lt;&gt;"Starfsbundinn",ES51="",$E51="",$D51=""),"",ROUND(ES51/$E51*$D51*KVARDI,2))</f>
        <v/>
      </c>
      <c r="EU51" s="66" t="n"/>
      <c r="EV51" s="78">
        <f>IF(OR(INDEX(Undirviðmið!$G$6:$G$105,ROW()-6)&lt;&gt;"Starfsbundinn",EU51="",$E51="",$D51=""),"",ROUND(EU51/$E51*$D51*KVARDI,2))</f>
        <v/>
      </c>
      <c r="EW51" s="66" t="n"/>
      <c r="EX51" s="78">
        <f>IF(OR(INDEX(Undirviðmið!$G$6:$G$105,ROW()-6)&lt;&gt;"Starfsbundinn",EW51="",$E51="",$D51=""),"",ROUND(EW51/$E51*$D51*KVARDI,2))</f>
        <v/>
      </c>
      <c r="EY51" s="66" t="n"/>
      <c r="EZ51" s="78">
        <f>IF(OR(INDEX(Undirviðmið!$G$6:$G$105,ROW()-6)&lt;&gt;"Starfsbundinn",EY51="",$E51="",$D51=""),"",ROUND(EY51/$E51*$D51*KVARDI,2))</f>
        <v/>
      </c>
      <c r="FA51" s="66" t="n"/>
      <c r="FB51" s="78">
        <f>IF(OR(INDEX(Undirviðmið!$G$6:$G$105,ROW()-6)&lt;&gt;"Starfsbundinn",FA51="",$E51="",$D51=""),"",ROUND(FA51/$E51*$D51*KVARDI,2))</f>
        <v/>
      </c>
      <c r="FC51" s="66" t="n"/>
      <c r="FD51" s="78">
        <f>IF(OR(INDEX(Undirviðmið!$G$6:$G$105,ROW()-6)&lt;&gt;"Starfsbundinn",FC51="",$E51="",$D51=""),"",ROUND(FC51/$E51*$D51*KVARDI,2))</f>
        <v/>
      </c>
      <c r="FE51" s="66" t="n"/>
      <c r="FF51" s="78">
        <f>IF(OR(INDEX(Undirviðmið!$G$6:$G$105,ROW()-6)&lt;&gt;"Starfsbundinn",FE51="",$E51="",$D51=""),"",ROUND(FE51/$E51*$D51*KVARDI,2))</f>
        <v/>
      </c>
      <c r="FG51" s="66" t="n"/>
      <c r="FH51" s="78">
        <f>IF(OR(INDEX(Undirviðmið!$G$6:$G$105,ROW()-6)&lt;&gt;"Starfsbundinn",FG51="",$E51="",$D51=""),"",ROUND(FG51/$E51*$D51*KVARDI,2))</f>
        <v/>
      </c>
      <c r="FI51" s="66" t="n"/>
      <c r="FJ51" s="78">
        <f>IF(OR(INDEX(Undirviðmið!$G$6:$G$105,ROW()-6)&lt;&gt;"Starfsbundinn",FI51="",$E51="",$D51=""),"",ROUND(FI51/$E51*$D51*KVARDI,2))</f>
        <v/>
      </c>
      <c r="FK51" s="66" t="n"/>
      <c r="FL51" s="78">
        <f>IF(OR(INDEX(Undirviðmið!$G$6:$G$105,ROW()-6)&lt;&gt;"Starfsbundinn",FK51="",$E51="",$D51=""),"",ROUND(FK51/$E51*$D51*KVARDI,2))</f>
        <v/>
      </c>
      <c r="FM51" s="66" t="n"/>
      <c r="FN51" s="78">
        <f>IF(OR(INDEX(Undirviðmið!$G$6:$G$105,ROW()-6)&lt;&gt;"Starfsbundinn",FM51="",$E51="",$D51=""),"",ROUND(FM51/$E51*$D51*KVARDI,2))</f>
        <v/>
      </c>
      <c r="FO51" s="66" t="n"/>
      <c r="FP51" s="78">
        <f>IF(OR(INDEX(Undirviðmið!$G$6:$G$105,ROW()-6)&lt;&gt;"Starfsbundinn",FO51="",$E51="",$D51=""),"",ROUND(FO51/$E51*$D51*KVARDI,2))</f>
        <v/>
      </c>
      <c r="FQ51" s="66" t="n"/>
      <c r="FR51" s="78">
        <f>IF(OR(INDEX(Undirviðmið!$G$6:$G$105,ROW()-6)&lt;&gt;"Starfsbundinn",FQ51="",$E51="",$D51=""),"",ROUND(FQ51/$E51*$D51*KVARDI,2))</f>
        <v/>
      </c>
      <c r="FS51" s="66" t="n"/>
      <c r="FT51" s="78">
        <f>IF(OR(INDEX(Undirviðmið!$G$6:$G$105,ROW()-6)&lt;&gt;"Starfsbundinn",FS51="",$E51="",$D51=""),"",ROUND(FS51/$E51*$D51*KVARDI,2))</f>
        <v/>
      </c>
      <c r="FU51" s="66" t="n"/>
      <c r="FV51" s="78">
        <f>IF(OR(INDEX(Undirviðmið!$G$6:$G$105,ROW()-6)&lt;&gt;"Starfsbundinn",FU51="",$E51="",$D51=""),"",ROUND(FU51/$E51*$D51*KVARDI,2))</f>
        <v/>
      </c>
      <c r="FW51" s="66" t="n"/>
      <c r="FX51" s="78">
        <f>IF(OR(INDEX(Undirviðmið!$G$6:$G$105,ROW()-6)&lt;&gt;"Starfsbundinn",FW51="",$E51="",$D51=""),"",ROUND(FW51/$E51*$D51*KVARDI,2))</f>
        <v/>
      </c>
      <c r="FY51" s="66" t="n"/>
      <c r="FZ51" s="78">
        <f>IF(OR(INDEX(Undirviðmið!$G$6:$G$105,ROW()-6)&lt;&gt;"Starfsbundinn",FY51="",$E51="",$D51=""),"",ROUND(FY51/$E51*$D51*KVARDI,2))</f>
        <v/>
      </c>
      <c r="GA51" s="66" t="n"/>
      <c r="GB51" s="78">
        <f>IF(OR(INDEX(Undirviðmið!$G$6:$G$105,ROW()-6)&lt;&gt;"Starfsbundinn",GA51="",$E51="",$D51=""),"",ROUND(GA51/$E51*$D51*KVARDI,2))</f>
        <v/>
      </c>
      <c r="GC51" s="66" t="n"/>
      <c r="GD51" s="78">
        <f>IF(OR(INDEX(Undirviðmið!$G$6:$G$105,ROW()-6)&lt;&gt;"Starfsbundinn",GC51="",$E51="",$D51=""),"",ROUND(GC51/$E51*$D51*KVARDI,2))</f>
        <v/>
      </c>
      <c r="GE51" s="66" t="n"/>
      <c r="GF51" s="78">
        <f>IF(OR(INDEX(Undirviðmið!$G$6:$G$105,ROW()-6)&lt;&gt;"Starfsbundinn",GE51="",$E51="",$D51=""),"",ROUND(GE51/$E51*$D51*KVARDI,2))</f>
        <v/>
      </c>
      <c r="GG51" s="66" t="n"/>
      <c r="GH51" s="78">
        <f>IF(OR(INDEX(Undirviðmið!$G$6:$G$105,ROW()-6)&lt;&gt;"Starfsbundinn",GG51="",$E51="",$D51=""),"",ROUND(GG51/$E51*$D51*KVARDI,2))</f>
        <v/>
      </c>
      <c r="GI51" s="66" t="n"/>
      <c r="GJ51" s="78">
        <f>IF(OR(INDEX(Undirviðmið!$G$6:$G$105,ROW()-6)&lt;&gt;"Starfsbundinn",GI51="",$E51="",$D51=""),"",ROUND(GI51/$E51*$D51*KVARDI,2))</f>
        <v/>
      </c>
      <c r="GK51" s="66" t="n"/>
      <c r="GL51" s="78">
        <f>IF(OR(INDEX(Undirviðmið!$G$6:$G$105,ROW()-6)&lt;&gt;"Starfsbundinn",GK51="",$E51="",$D51=""),"",ROUND(GK51/$E51*$D51*KVARDI,2))</f>
        <v/>
      </c>
      <c r="GM51" s="66" t="n"/>
      <c r="GN51" s="78">
        <f>IF(OR(INDEX(Undirviðmið!$G$6:$G$105,ROW()-6)&lt;&gt;"Starfsbundinn",GM51="",$E51="",$D51=""),"",ROUND(GM51/$E51*$D51*KVARDI,2))</f>
        <v/>
      </c>
      <c r="GO51" s="66" t="n"/>
      <c r="GP51" s="78">
        <f>IF(OR(INDEX(Undirviðmið!$G$6:$G$105,ROW()-6)&lt;&gt;"Starfsbundinn",GO51="",$E51="",$D51=""),"",ROUND(GO51/$E51*$D51*KVARDI,2))</f>
        <v/>
      </c>
      <c r="GQ51" s="66" t="n"/>
      <c r="GR51" s="78">
        <f>IF(OR(INDEX(Undirviðmið!$G$6:$G$105,ROW()-6)&lt;&gt;"Starfsbundinn",GQ51="",$E51="",$D51=""),"",ROUND(GQ51/$E51*$D51*KVARDI,2))</f>
        <v/>
      </c>
      <c r="GS51" s="66" t="n"/>
      <c r="GT51" s="78">
        <f>IF(OR(INDEX(Undirviðmið!$G$6:$G$105,ROW()-6)&lt;&gt;"Starfsbundinn",GS51="",$E51="",$D51=""),"",ROUND(GS51/$E51*$D51*KVARDI,2))</f>
        <v/>
      </c>
      <c r="GU51" s="66" t="n"/>
      <c r="GV51" s="78">
        <f>IF(OR(INDEX(Undirviðmið!$G$6:$G$105,ROW()-6)&lt;&gt;"Starfsbundinn",GU51="",$E51="",$D51=""),"",ROUND(GU51/$E51*$D51*KVARDI,2))</f>
        <v/>
      </c>
      <c r="GW51" s="66" t="n"/>
      <c r="GX51" s="78">
        <f>IF(OR(INDEX(Undirviðmið!$G$6:$G$105,ROW()-6)&lt;&gt;"Starfsbundinn",GW51="",$E51="",$D51=""),"",ROUND(GW51/$E51*$D51*KVARDI,2))</f>
        <v/>
      </c>
    </row>
    <row r="52" ht="15" customHeight="1" s="47">
      <c r="B52" s="67">
        <f>IF(INDEX(Undirviðmið!$G$6:$G$105,ROW()-6)="Starfsbundinn",INDEX(Undirviðmið!$B$6:$B$105,ROW()-6),"")</f>
        <v/>
      </c>
      <c r="C52" s="67">
        <f>IF(INDEX(Undirviðmið!$G$6:$G$105,ROW()-6)="Starfsbundinn",INDEX(Undirviðmið!$C$6:$C$105,ROW()-6),"")</f>
        <v/>
      </c>
      <c r="D52" s="77">
        <f>IF(INDEX(Undirviðmið!$G$6:$G$105,ROW()-6)="Starfsbundinn",INDEX(Undirviðmið!$E$6:$E$105,ROW()-6),"")</f>
        <v/>
      </c>
      <c r="E52" s="77">
        <f>IF(INDEX(Undirviðmið!$G$6:$G$105,ROW()-6)="Starfsbundinn",INDEX(Undirviðmið!$F$6:$F$105,ROW()-6),"")</f>
        <v/>
      </c>
      <c r="F52" s="77">
        <f>IF(INDEX(Undirviðmið!$G$6:$G$105,ROW()-6)="Starfsbundinn",IFERROR(INDEX(Undirviðmið!$E$6:$E$105,ROW()-6)*KVARDI,""),"")</f>
        <v/>
      </c>
      <c r="G52" s="66" t="n"/>
      <c r="H52" s="78">
        <f>IF(OR(INDEX(Undirviðmið!$G$6:$G$105,ROW()-6)&lt;&gt;"Starfsbundinn",G52="",$E52="",$D52=""),"",ROUND(G52/$E52*$D52*KVARDI,2))</f>
        <v/>
      </c>
      <c r="I52" s="66" t="n"/>
      <c r="J52" s="78">
        <f>IF(OR(INDEX(Undirviðmið!$G$6:$G$105,ROW()-6)&lt;&gt;"Starfsbundinn",I52="",$E52="",$D52=""),"",ROUND(I52/$E52*$D52*KVARDI,2))</f>
        <v/>
      </c>
      <c r="K52" s="66" t="n"/>
      <c r="L52" s="78">
        <f>IF(OR(INDEX(Undirviðmið!$G$6:$G$105,ROW()-6)&lt;&gt;"Starfsbundinn",K52="",$E52="",$D52=""),"",ROUND(K52/$E52*$D52*KVARDI,2))</f>
        <v/>
      </c>
      <c r="M52" s="66" t="n"/>
      <c r="N52" s="78">
        <f>IF(OR(INDEX(Undirviðmið!$G$6:$G$105,ROW()-6)&lt;&gt;"Starfsbundinn",M52="",$E52="",$D52=""),"",ROUND(M52/$E52*$D52*KVARDI,2))</f>
        <v/>
      </c>
      <c r="O52" s="66" t="n"/>
      <c r="P52" s="78">
        <f>IF(OR(INDEX(Undirviðmið!$G$6:$G$105,ROW()-6)&lt;&gt;"Starfsbundinn",O52="",$E52="",$D52=""),"",ROUND(O52/$E52*$D52*KVARDI,2))</f>
        <v/>
      </c>
      <c r="Q52" s="66" t="n"/>
      <c r="R52" s="78">
        <f>IF(OR(INDEX(Undirviðmið!$G$6:$G$105,ROW()-6)&lt;&gt;"Starfsbundinn",Q52="",$E52="",$D52=""),"",ROUND(Q52/$E52*$D52*KVARDI,2))</f>
        <v/>
      </c>
      <c r="S52" s="66" t="n"/>
      <c r="T52" s="78">
        <f>IF(OR(INDEX(Undirviðmið!$G$6:$G$105,ROW()-6)&lt;&gt;"Starfsbundinn",S52="",$E52="",$D52=""),"",ROUND(S52/$E52*$D52*KVARDI,2))</f>
        <v/>
      </c>
      <c r="U52" s="66" t="n"/>
      <c r="V52" s="78">
        <f>IF(OR(INDEX(Undirviðmið!$G$6:$G$105,ROW()-6)&lt;&gt;"Starfsbundinn",U52="",$E52="",$D52=""),"",ROUND(U52/$E52*$D52*KVARDI,2))</f>
        <v/>
      </c>
      <c r="W52" s="66" t="n"/>
      <c r="X52" s="78">
        <f>IF(OR(INDEX(Undirviðmið!$G$6:$G$105,ROW()-6)&lt;&gt;"Starfsbundinn",W52="",$E52="",$D52=""),"",ROUND(W52/$E52*$D52*KVARDI,2))</f>
        <v/>
      </c>
      <c r="Y52" s="66" t="n"/>
      <c r="Z52" s="78">
        <f>IF(OR(INDEX(Undirviðmið!$G$6:$G$105,ROW()-6)&lt;&gt;"Starfsbundinn",Y52="",$E52="",$D52=""),"",ROUND(Y52/$E52*$D52*KVARDI,2))</f>
        <v/>
      </c>
      <c r="AA52" s="66" t="n"/>
      <c r="AB52" s="78">
        <f>IF(OR(INDEX(Undirviðmið!$G$6:$G$105,ROW()-6)&lt;&gt;"Starfsbundinn",AA52="",$E52="",$D52=""),"",ROUND(AA52/$E52*$D52*KVARDI,2))</f>
        <v/>
      </c>
      <c r="AC52" s="66" t="n"/>
      <c r="AD52" s="78">
        <f>IF(OR(INDEX(Undirviðmið!$G$6:$G$105,ROW()-6)&lt;&gt;"Starfsbundinn",AC52="",$E52="",$D52=""),"",ROUND(AC52/$E52*$D52*KVARDI,2))</f>
        <v/>
      </c>
      <c r="AE52" s="66" t="n"/>
      <c r="AF52" s="78">
        <f>IF(OR(INDEX(Undirviðmið!$G$6:$G$105,ROW()-6)&lt;&gt;"Starfsbundinn",AE52="",$E52="",$D52=""),"",ROUND(AE52/$E52*$D52*KVARDI,2))</f>
        <v/>
      </c>
      <c r="AG52" s="66" t="n"/>
      <c r="AH52" s="78">
        <f>IF(OR(INDEX(Undirviðmið!$G$6:$G$105,ROW()-6)&lt;&gt;"Starfsbundinn",AG52="",$E52="",$D52=""),"",ROUND(AG52/$E52*$D52*KVARDI,2))</f>
        <v/>
      </c>
      <c r="AI52" s="66" t="n"/>
      <c r="AJ52" s="78">
        <f>IF(OR(INDEX(Undirviðmið!$G$6:$G$105,ROW()-6)&lt;&gt;"Starfsbundinn",AI52="",$E52="",$D52=""),"",ROUND(AI52/$E52*$D52*KVARDI,2))</f>
        <v/>
      </c>
      <c r="AK52" s="66" t="n"/>
      <c r="AL52" s="78">
        <f>IF(OR(INDEX(Undirviðmið!$G$6:$G$105,ROW()-6)&lt;&gt;"Starfsbundinn",AK52="",$E52="",$D52=""),"",ROUND(AK52/$E52*$D52*KVARDI,2))</f>
        <v/>
      </c>
      <c r="AM52" s="66" t="n"/>
      <c r="AN52" s="78">
        <f>IF(OR(INDEX(Undirviðmið!$G$6:$G$105,ROW()-6)&lt;&gt;"Starfsbundinn",AM52="",$E52="",$D52=""),"",ROUND(AM52/$E52*$D52*KVARDI,2))</f>
        <v/>
      </c>
      <c r="AO52" s="66" t="n"/>
      <c r="AP52" s="78">
        <f>IF(OR(INDEX(Undirviðmið!$G$6:$G$105,ROW()-6)&lt;&gt;"Starfsbundinn",AO52="",$E52="",$D52=""),"",ROUND(AO52/$E52*$D52*KVARDI,2))</f>
        <v/>
      </c>
      <c r="AQ52" s="66" t="n"/>
      <c r="AR52" s="78">
        <f>IF(OR(INDEX(Undirviðmið!$G$6:$G$105,ROW()-6)&lt;&gt;"Starfsbundinn",AQ52="",$E52="",$D52=""),"",ROUND(AQ52/$E52*$D52*KVARDI,2))</f>
        <v/>
      </c>
      <c r="AS52" s="66" t="n"/>
      <c r="AT52" s="78">
        <f>IF(OR(INDEX(Undirviðmið!$G$6:$G$105,ROW()-6)&lt;&gt;"Starfsbundinn",AS52="",$E52="",$D52=""),"",ROUND(AS52/$E52*$D52*KVARDI,2))</f>
        <v/>
      </c>
      <c r="AU52" s="66" t="n"/>
      <c r="AV52" s="78">
        <f>IF(OR(INDEX(Undirviðmið!$G$6:$G$105,ROW()-6)&lt;&gt;"Starfsbundinn",AU52="",$E52="",$D52=""),"",ROUND(AU52/$E52*$D52*KVARDI,2))</f>
        <v/>
      </c>
      <c r="AW52" s="66" t="n"/>
      <c r="AX52" s="78">
        <f>IF(OR(INDEX(Undirviðmið!$G$6:$G$105,ROW()-6)&lt;&gt;"Starfsbundinn",AW52="",$E52="",$D52=""),"",ROUND(AW52/$E52*$D52*KVARDI,2))</f>
        <v/>
      </c>
      <c r="AY52" s="66" t="n"/>
      <c r="AZ52" s="78">
        <f>IF(OR(INDEX(Undirviðmið!$G$6:$G$105,ROW()-6)&lt;&gt;"Starfsbundinn",AY52="",$E52="",$D52=""),"",ROUND(AY52/$E52*$D52*KVARDI,2))</f>
        <v/>
      </c>
      <c r="BA52" s="66" t="n"/>
      <c r="BB52" s="78">
        <f>IF(OR(INDEX(Undirviðmið!$G$6:$G$105,ROW()-6)&lt;&gt;"Starfsbundinn",BA52="",$E52="",$D52=""),"",ROUND(BA52/$E52*$D52*KVARDI,2))</f>
        <v/>
      </c>
      <c r="BC52" s="66" t="n"/>
      <c r="BD52" s="78">
        <f>IF(OR(INDEX(Undirviðmið!$G$6:$G$105,ROW()-6)&lt;&gt;"Starfsbundinn",BC52="",$E52="",$D52=""),"",ROUND(BC52/$E52*$D52*KVARDI,2))</f>
        <v/>
      </c>
      <c r="BE52" s="66" t="n"/>
      <c r="BF52" s="78">
        <f>IF(OR(INDEX(Undirviðmið!$G$6:$G$105,ROW()-6)&lt;&gt;"Starfsbundinn",BE52="",$E52="",$D52=""),"",ROUND(BE52/$E52*$D52*KVARDI,2))</f>
        <v/>
      </c>
      <c r="BG52" s="66" t="n"/>
      <c r="BH52" s="78">
        <f>IF(OR(INDEX(Undirviðmið!$G$6:$G$105,ROW()-6)&lt;&gt;"Starfsbundinn",BG52="",$E52="",$D52=""),"",ROUND(BG52/$E52*$D52*KVARDI,2))</f>
        <v/>
      </c>
      <c r="BI52" s="66" t="n"/>
      <c r="BJ52" s="78">
        <f>IF(OR(INDEX(Undirviðmið!$G$6:$G$105,ROW()-6)&lt;&gt;"Starfsbundinn",BI52="",$E52="",$D52=""),"",ROUND(BI52/$E52*$D52*KVARDI,2))</f>
        <v/>
      </c>
      <c r="BK52" s="66" t="n"/>
      <c r="BL52" s="78">
        <f>IF(OR(INDEX(Undirviðmið!$G$6:$G$105,ROW()-6)&lt;&gt;"Starfsbundinn",BK52="",$E52="",$D52=""),"",ROUND(BK52/$E52*$D52*KVARDI,2))</f>
        <v/>
      </c>
      <c r="BM52" s="66" t="n"/>
      <c r="BN52" s="78">
        <f>IF(OR(INDEX(Undirviðmið!$G$6:$G$105,ROW()-6)&lt;&gt;"Starfsbundinn",BM52="",$E52="",$D52=""),"",ROUND(BM52/$E52*$D52*KVARDI,2))</f>
        <v/>
      </c>
      <c r="BO52" s="66" t="n"/>
      <c r="BP52" s="78">
        <f>IF(OR(INDEX(Undirviðmið!$G$6:$G$105,ROW()-6)&lt;&gt;"Starfsbundinn",BO52="",$E52="",$D52=""),"",ROUND(BO52/$E52*$D52*KVARDI,2))</f>
        <v/>
      </c>
      <c r="BQ52" s="66" t="n"/>
      <c r="BR52" s="78">
        <f>IF(OR(INDEX(Undirviðmið!$G$6:$G$105,ROW()-6)&lt;&gt;"Starfsbundinn",BQ52="",$E52="",$D52=""),"",ROUND(BQ52/$E52*$D52*KVARDI,2))</f>
        <v/>
      </c>
      <c r="BS52" s="66" t="n"/>
      <c r="BT52" s="78">
        <f>IF(OR(INDEX(Undirviðmið!$G$6:$G$105,ROW()-6)&lt;&gt;"Starfsbundinn",BS52="",$E52="",$D52=""),"",ROUND(BS52/$E52*$D52*KVARDI,2))</f>
        <v/>
      </c>
      <c r="BU52" s="66" t="n"/>
      <c r="BV52" s="78">
        <f>IF(OR(INDEX(Undirviðmið!$G$6:$G$105,ROW()-6)&lt;&gt;"Starfsbundinn",BU52="",$E52="",$D52=""),"",ROUND(BU52/$E52*$D52*KVARDI,2))</f>
        <v/>
      </c>
      <c r="BW52" s="66" t="n"/>
      <c r="BX52" s="78">
        <f>IF(OR(INDEX(Undirviðmið!$G$6:$G$105,ROW()-6)&lt;&gt;"Starfsbundinn",BW52="",$E52="",$D52=""),"",ROUND(BW52/$E52*$D52*KVARDI,2))</f>
        <v/>
      </c>
      <c r="BY52" s="66" t="n"/>
      <c r="BZ52" s="78">
        <f>IF(OR(INDEX(Undirviðmið!$G$6:$G$105,ROW()-6)&lt;&gt;"Starfsbundinn",BY52="",$E52="",$D52=""),"",ROUND(BY52/$E52*$D52*KVARDI,2))</f>
        <v/>
      </c>
      <c r="CA52" s="66" t="n"/>
      <c r="CB52" s="78">
        <f>IF(OR(INDEX(Undirviðmið!$G$6:$G$105,ROW()-6)&lt;&gt;"Starfsbundinn",CA52="",$E52="",$D52=""),"",ROUND(CA52/$E52*$D52*KVARDI,2))</f>
        <v/>
      </c>
      <c r="CC52" s="66" t="n"/>
      <c r="CD52" s="78">
        <f>IF(OR(INDEX(Undirviðmið!$G$6:$G$105,ROW()-6)&lt;&gt;"Starfsbundinn",CC52="",$E52="",$D52=""),"",ROUND(CC52/$E52*$D52*KVARDI,2))</f>
        <v/>
      </c>
      <c r="CE52" s="66" t="n"/>
      <c r="CF52" s="78">
        <f>IF(OR(INDEX(Undirviðmið!$G$6:$G$105,ROW()-6)&lt;&gt;"Starfsbundinn",CE52="",$E52="",$D52=""),"",ROUND(CE52/$E52*$D52*KVARDI,2))</f>
        <v/>
      </c>
      <c r="CG52" s="66" t="n"/>
      <c r="CH52" s="78">
        <f>IF(OR(INDEX(Undirviðmið!$G$6:$G$105,ROW()-6)&lt;&gt;"Starfsbundinn",CG52="",$E52="",$D52=""),"",ROUND(CG52/$E52*$D52*KVARDI,2))</f>
        <v/>
      </c>
      <c r="CI52" s="66" t="n"/>
      <c r="CJ52" s="78">
        <f>IF(OR(INDEX(Undirviðmið!$G$6:$G$105,ROW()-6)&lt;&gt;"Starfsbundinn",CI52="",$E52="",$D52=""),"",ROUND(CI52/$E52*$D52*KVARDI,2))</f>
        <v/>
      </c>
      <c r="CK52" s="66" t="n"/>
      <c r="CL52" s="78">
        <f>IF(OR(INDEX(Undirviðmið!$G$6:$G$105,ROW()-6)&lt;&gt;"Starfsbundinn",CK52="",$E52="",$D52=""),"",ROUND(CK52/$E52*$D52*KVARDI,2))</f>
        <v/>
      </c>
      <c r="CM52" s="66" t="n"/>
      <c r="CN52" s="78">
        <f>IF(OR(INDEX(Undirviðmið!$G$6:$G$105,ROW()-6)&lt;&gt;"Starfsbundinn",CM52="",$E52="",$D52=""),"",ROUND(CM52/$E52*$D52*KVARDI,2))</f>
        <v/>
      </c>
      <c r="CO52" s="66" t="n"/>
      <c r="CP52" s="78">
        <f>IF(OR(INDEX(Undirviðmið!$G$6:$G$105,ROW()-6)&lt;&gt;"Starfsbundinn",CO52="",$E52="",$D52=""),"",ROUND(CO52/$E52*$D52*KVARDI,2))</f>
        <v/>
      </c>
      <c r="CQ52" s="66" t="n"/>
      <c r="CR52" s="78">
        <f>IF(OR(INDEX(Undirviðmið!$G$6:$G$105,ROW()-6)&lt;&gt;"Starfsbundinn",CQ52="",$E52="",$D52=""),"",ROUND(CQ52/$E52*$D52*KVARDI,2))</f>
        <v/>
      </c>
      <c r="CS52" s="66" t="n"/>
      <c r="CT52" s="78">
        <f>IF(OR(INDEX(Undirviðmið!$G$6:$G$105,ROW()-6)&lt;&gt;"Starfsbundinn",CS52="",$E52="",$D52=""),"",ROUND(CS52/$E52*$D52*KVARDI,2))</f>
        <v/>
      </c>
      <c r="CU52" s="66" t="n"/>
      <c r="CV52" s="78">
        <f>IF(OR(INDEX(Undirviðmið!$G$6:$G$105,ROW()-6)&lt;&gt;"Starfsbundinn",CU52="",$E52="",$D52=""),"",ROUND(CU52/$E52*$D52*KVARDI,2))</f>
        <v/>
      </c>
      <c r="CW52" s="66" t="n"/>
      <c r="CX52" s="78">
        <f>IF(OR(INDEX(Undirviðmið!$G$6:$G$105,ROW()-6)&lt;&gt;"Starfsbundinn",CW52="",$E52="",$D52=""),"",ROUND(CW52/$E52*$D52*KVARDI,2))</f>
        <v/>
      </c>
      <c r="CY52" s="66" t="n"/>
      <c r="CZ52" s="78">
        <f>IF(OR(INDEX(Undirviðmið!$G$6:$G$105,ROW()-6)&lt;&gt;"Starfsbundinn",CY52="",$E52="",$D52=""),"",ROUND(CY52/$E52*$D52*KVARDI,2))</f>
        <v/>
      </c>
      <c r="DA52" s="66" t="n"/>
      <c r="DB52" s="78">
        <f>IF(OR(INDEX(Undirviðmið!$G$6:$G$105,ROW()-6)&lt;&gt;"Starfsbundinn",DA52="",$E52="",$D52=""),"",ROUND(DA52/$E52*$D52*KVARDI,2))</f>
        <v/>
      </c>
      <c r="DC52" s="66" t="n"/>
      <c r="DD52" s="78">
        <f>IF(OR(INDEX(Undirviðmið!$G$6:$G$105,ROW()-6)&lt;&gt;"Starfsbundinn",DC52="",$E52="",$D52=""),"",ROUND(DC52/$E52*$D52*KVARDI,2))</f>
        <v/>
      </c>
      <c r="DE52" s="66" t="n"/>
      <c r="DF52" s="78">
        <f>IF(OR(INDEX(Undirviðmið!$G$6:$G$105,ROW()-6)&lt;&gt;"Starfsbundinn",DE52="",$E52="",$D52=""),"",ROUND(DE52/$E52*$D52*KVARDI,2))</f>
        <v/>
      </c>
      <c r="DG52" s="66" t="n"/>
      <c r="DH52" s="78">
        <f>IF(OR(INDEX(Undirviðmið!$G$6:$G$105,ROW()-6)&lt;&gt;"Starfsbundinn",DG52="",$E52="",$D52=""),"",ROUND(DG52/$E52*$D52*KVARDI,2))</f>
        <v/>
      </c>
      <c r="DI52" s="66" t="n"/>
      <c r="DJ52" s="78">
        <f>IF(OR(INDEX(Undirviðmið!$G$6:$G$105,ROW()-6)&lt;&gt;"Starfsbundinn",DI52="",$E52="",$D52=""),"",ROUND(DI52/$E52*$D52*KVARDI,2))</f>
        <v/>
      </c>
      <c r="DK52" s="66" t="n"/>
      <c r="DL52" s="78">
        <f>IF(OR(INDEX(Undirviðmið!$G$6:$G$105,ROW()-6)&lt;&gt;"Starfsbundinn",DK52="",$E52="",$D52=""),"",ROUND(DK52/$E52*$D52*KVARDI,2))</f>
        <v/>
      </c>
      <c r="DM52" s="66" t="n"/>
      <c r="DN52" s="78">
        <f>IF(OR(INDEX(Undirviðmið!$G$6:$G$105,ROW()-6)&lt;&gt;"Starfsbundinn",DM52="",$E52="",$D52=""),"",ROUND(DM52/$E52*$D52*KVARDI,2))</f>
        <v/>
      </c>
      <c r="DO52" s="66" t="n"/>
      <c r="DP52" s="78">
        <f>IF(OR(INDEX(Undirviðmið!$G$6:$G$105,ROW()-6)&lt;&gt;"Starfsbundinn",DO52="",$E52="",$D52=""),"",ROUND(DO52/$E52*$D52*KVARDI,2))</f>
        <v/>
      </c>
      <c r="DQ52" s="66" t="n"/>
      <c r="DR52" s="78">
        <f>IF(OR(INDEX(Undirviðmið!$G$6:$G$105,ROW()-6)&lt;&gt;"Starfsbundinn",DQ52="",$E52="",$D52=""),"",ROUND(DQ52/$E52*$D52*KVARDI,2))</f>
        <v/>
      </c>
      <c r="DS52" s="66" t="n"/>
      <c r="DT52" s="78">
        <f>IF(OR(INDEX(Undirviðmið!$G$6:$G$105,ROW()-6)&lt;&gt;"Starfsbundinn",DS52="",$E52="",$D52=""),"",ROUND(DS52/$E52*$D52*KVARDI,2))</f>
        <v/>
      </c>
      <c r="DU52" s="66" t="n"/>
      <c r="DV52" s="78">
        <f>IF(OR(INDEX(Undirviðmið!$G$6:$G$105,ROW()-6)&lt;&gt;"Starfsbundinn",DU52="",$E52="",$D52=""),"",ROUND(DU52/$E52*$D52*KVARDI,2))</f>
        <v/>
      </c>
      <c r="DW52" s="66" t="n"/>
      <c r="DX52" s="78">
        <f>IF(OR(INDEX(Undirviðmið!$G$6:$G$105,ROW()-6)&lt;&gt;"Starfsbundinn",DW52="",$E52="",$D52=""),"",ROUND(DW52/$E52*$D52*KVARDI,2))</f>
        <v/>
      </c>
      <c r="DY52" s="66" t="n"/>
      <c r="DZ52" s="78">
        <f>IF(OR(INDEX(Undirviðmið!$G$6:$G$105,ROW()-6)&lt;&gt;"Starfsbundinn",DY52="",$E52="",$D52=""),"",ROUND(DY52/$E52*$D52*KVARDI,2))</f>
        <v/>
      </c>
      <c r="EA52" s="66" t="n"/>
      <c r="EB52" s="78">
        <f>IF(OR(INDEX(Undirviðmið!$G$6:$G$105,ROW()-6)&lt;&gt;"Starfsbundinn",EA52="",$E52="",$D52=""),"",ROUND(EA52/$E52*$D52*KVARDI,2))</f>
        <v/>
      </c>
      <c r="EC52" s="66" t="n"/>
      <c r="ED52" s="78">
        <f>IF(OR(INDEX(Undirviðmið!$G$6:$G$105,ROW()-6)&lt;&gt;"Starfsbundinn",EC52="",$E52="",$D52=""),"",ROUND(EC52/$E52*$D52*KVARDI,2))</f>
        <v/>
      </c>
      <c r="EE52" s="66" t="n"/>
      <c r="EF52" s="78">
        <f>IF(OR(INDEX(Undirviðmið!$G$6:$G$105,ROW()-6)&lt;&gt;"Starfsbundinn",EE52="",$E52="",$D52=""),"",ROUND(EE52/$E52*$D52*KVARDI,2))</f>
        <v/>
      </c>
      <c r="EG52" s="66" t="n"/>
      <c r="EH52" s="78">
        <f>IF(OR(INDEX(Undirviðmið!$G$6:$G$105,ROW()-6)&lt;&gt;"Starfsbundinn",EG52="",$E52="",$D52=""),"",ROUND(EG52/$E52*$D52*KVARDI,2))</f>
        <v/>
      </c>
      <c r="EI52" s="66" t="n"/>
      <c r="EJ52" s="78">
        <f>IF(OR(INDEX(Undirviðmið!$G$6:$G$105,ROW()-6)&lt;&gt;"Starfsbundinn",EI52="",$E52="",$D52=""),"",ROUND(EI52/$E52*$D52*KVARDI,2))</f>
        <v/>
      </c>
      <c r="EK52" s="66" t="n"/>
      <c r="EL52" s="78">
        <f>IF(OR(INDEX(Undirviðmið!$G$6:$G$105,ROW()-6)&lt;&gt;"Starfsbundinn",EK52="",$E52="",$D52=""),"",ROUND(EK52/$E52*$D52*KVARDI,2))</f>
        <v/>
      </c>
      <c r="EM52" s="66" t="n"/>
      <c r="EN52" s="78">
        <f>IF(OR(INDEX(Undirviðmið!$G$6:$G$105,ROW()-6)&lt;&gt;"Starfsbundinn",EM52="",$E52="",$D52=""),"",ROUND(EM52/$E52*$D52*KVARDI,2))</f>
        <v/>
      </c>
      <c r="EO52" s="66" t="n"/>
      <c r="EP52" s="78">
        <f>IF(OR(INDEX(Undirviðmið!$G$6:$G$105,ROW()-6)&lt;&gt;"Starfsbundinn",EO52="",$E52="",$D52=""),"",ROUND(EO52/$E52*$D52*KVARDI,2))</f>
        <v/>
      </c>
      <c r="EQ52" s="66" t="n"/>
      <c r="ER52" s="78">
        <f>IF(OR(INDEX(Undirviðmið!$G$6:$G$105,ROW()-6)&lt;&gt;"Starfsbundinn",EQ52="",$E52="",$D52=""),"",ROUND(EQ52/$E52*$D52*KVARDI,2))</f>
        <v/>
      </c>
      <c r="ES52" s="66" t="n"/>
      <c r="ET52" s="78">
        <f>IF(OR(INDEX(Undirviðmið!$G$6:$G$105,ROW()-6)&lt;&gt;"Starfsbundinn",ES52="",$E52="",$D52=""),"",ROUND(ES52/$E52*$D52*KVARDI,2))</f>
        <v/>
      </c>
      <c r="EU52" s="66" t="n"/>
      <c r="EV52" s="78">
        <f>IF(OR(INDEX(Undirviðmið!$G$6:$G$105,ROW()-6)&lt;&gt;"Starfsbundinn",EU52="",$E52="",$D52=""),"",ROUND(EU52/$E52*$D52*KVARDI,2))</f>
        <v/>
      </c>
      <c r="EW52" s="66" t="n"/>
      <c r="EX52" s="78">
        <f>IF(OR(INDEX(Undirviðmið!$G$6:$G$105,ROW()-6)&lt;&gt;"Starfsbundinn",EW52="",$E52="",$D52=""),"",ROUND(EW52/$E52*$D52*KVARDI,2))</f>
        <v/>
      </c>
      <c r="EY52" s="66" t="n"/>
      <c r="EZ52" s="78">
        <f>IF(OR(INDEX(Undirviðmið!$G$6:$G$105,ROW()-6)&lt;&gt;"Starfsbundinn",EY52="",$E52="",$D52=""),"",ROUND(EY52/$E52*$D52*KVARDI,2))</f>
        <v/>
      </c>
      <c r="FA52" s="66" t="n"/>
      <c r="FB52" s="78">
        <f>IF(OR(INDEX(Undirviðmið!$G$6:$G$105,ROW()-6)&lt;&gt;"Starfsbundinn",FA52="",$E52="",$D52=""),"",ROUND(FA52/$E52*$D52*KVARDI,2))</f>
        <v/>
      </c>
      <c r="FC52" s="66" t="n"/>
      <c r="FD52" s="78">
        <f>IF(OR(INDEX(Undirviðmið!$G$6:$G$105,ROW()-6)&lt;&gt;"Starfsbundinn",FC52="",$E52="",$D52=""),"",ROUND(FC52/$E52*$D52*KVARDI,2))</f>
        <v/>
      </c>
      <c r="FE52" s="66" t="n"/>
      <c r="FF52" s="78">
        <f>IF(OR(INDEX(Undirviðmið!$G$6:$G$105,ROW()-6)&lt;&gt;"Starfsbundinn",FE52="",$E52="",$D52=""),"",ROUND(FE52/$E52*$D52*KVARDI,2))</f>
        <v/>
      </c>
      <c r="FG52" s="66" t="n"/>
      <c r="FH52" s="78">
        <f>IF(OR(INDEX(Undirviðmið!$G$6:$G$105,ROW()-6)&lt;&gt;"Starfsbundinn",FG52="",$E52="",$D52=""),"",ROUND(FG52/$E52*$D52*KVARDI,2))</f>
        <v/>
      </c>
      <c r="FI52" s="66" t="n"/>
      <c r="FJ52" s="78">
        <f>IF(OR(INDEX(Undirviðmið!$G$6:$G$105,ROW()-6)&lt;&gt;"Starfsbundinn",FI52="",$E52="",$D52=""),"",ROUND(FI52/$E52*$D52*KVARDI,2))</f>
        <v/>
      </c>
      <c r="FK52" s="66" t="n"/>
      <c r="FL52" s="78">
        <f>IF(OR(INDEX(Undirviðmið!$G$6:$G$105,ROW()-6)&lt;&gt;"Starfsbundinn",FK52="",$E52="",$D52=""),"",ROUND(FK52/$E52*$D52*KVARDI,2))</f>
        <v/>
      </c>
      <c r="FM52" s="66" t="n"/>
      <c r="FN52" s="78">
        <f>IF(OR(INDEX(Undirviðmið!$G$6:$G$105,ROW()-6)&lt;&gt;"Starfsbundinn",FM52="",$E52="",$D52=""),"",ROUND(FM52/$E52*$D52*KVARDI,2))</f>
        <v/>
      </c>
      <c r="FO52" s="66" t="n"/>
      <c r="FP52" s="78">
        <f>IF(OR(INDEX(Undirviðmið!$G$6:$G$105,ROW()-6)&lt;&gt;"Starfsbundinn",FO52="",$E52="",$D52=""),"",ROUND(FO52/$E52*$D52*KVARDI,2))</f>
        <v/>
      </c>
      <c r="FQ52" s="66" t="n"/>
      <c r="FR52" s="78">
        <f>IF(OR(INDEX(Undirviðmið!$G$6:$G$105,ROW()-6)&lt;&gt;"Starfsbundinn",FQ52="",$E52="",$D52=""),"",ROUND(FQ52/$E52*$D52*KVARDI,2))</f>
        <v/>
      </c>
      <c r="FS52" s="66" t="n"/>
      <c r="FT52" s="78">
        <f>IF(OR(INDEX(Undirviðmið!$G$6:$G$105,ROW()-6)&lt;&gt;"Starfsbundinn",FS52="",$E52="",$D52=""),"",ROUND(FS52/$E52*$D52*KVARDI,2))</f>
        <v/>
      </c>
      <c r="FU52" s="66" t="n"/>
      <c r="FV52" s="78">
        <f>IF(OR(INDEX(Undirviðmið!$G$6:$G$105,ROW()-6)&lt;&gt;"Starfsbundinn",FU52="",$E52="",$D52=""),"",ROUND(FU52/$E52*$D52*KVARDI,2))</f>
        <v/>
      </c>
      <c r="FW52" s="66" t="n"/>
      <c r="FX52" s="78">
        <f>IF(OR(INDEX(Undirviðmið!$G$6:$G$105,ROW()-6)&lt;&gt;"Starfsbundinn",FW52="",$E52="",$D52=""),"",ROUND(FW52/$E52*$D52*KVARDI,2))</f>
        <v/>
      </c>
      <c r="FY52" s="66" t="n"/>
      <c r="FZ52" s="78">
        <f>IF(OR(INDEX(Undirviðmið!$G$6:$G$105,ROW()-6)&lt;&gt;"Starfsbundinn",FY52="",$E52="",$D52=""),"",ROUND(FY52/$E52*$D52*KVARDI,2))</f>
        <v/>
      </c>
      <c r="GA52" s="66" t="n"/>
      <c r="GB52" s="78">
        <f>IF(OR(INDEX(Undirviðmið!$G$6:$G$105,ROW()-6)&lt;&gt;"Starfsbundinn",GA52="",$E52="",$D52=""),"",ROUND(GA52/$E52*$D52*KVARDI,2))</f>
        <v/>
      </c>
      <c r="GC52" s="66" t="n"/>
      <c r="GD52" s="78">
        <f>IF(OR(INDEX(Undirviðmið!$G$6:$G$105,ROW()-6)&lt;&gt;"Starfsbundinn",GC52="",$E52="",$D52=""),"",ROUND(GC52/$E52*$D52*KVARDI,2))</f>
        <v/>
      </c>
      <c r="GE52" s="66" t="n"/>
      <c r="GF52" s="78">
        <f>IF(OR(INDEX(Undirviðmið!$G$6:$G$105,ROW()-6)&lt;&gt;"Starfsbundinn",GE52="",$E52="",$D52=""),"",ROUND(GE52/$E52*$D52*KVARDI,2))</f>
        <v/>
      </c>
      <c r="GG52" s="66" t="n"/>
      <c r="GH52" s="78">
        <f>IF(OR(INDEX(Undirviðmið!$G$6:$G$105,ROW()-6)&lt;&gt;"Starfsbundinn",GG52="",$E52="",$D52=""),"",ROUND(GG52/$E52*$D52*KVARDI,2))</f>
        <v/>
      </c>
      <c r="GI52" s="66" t="n"/>
      <c r="GJ52" s="78">
        <f>IF(OR(INDEX(Undirviðmið!$G$6:$G$105,ROW()-6)&lt;&gt;"Starfsbundinn",GI52="",$E52="",$D52=""),"",ROUND(GI52/$E52*$D52*KVARDI,2))</f>
        <v/>
      </c>
      <c r="GK52" s="66" t="n"/>
      <c r="GL52" s="78">
        <f>IF(OR(INDEX(Undirviðmið!$G$6:$G$105,ROW()-6)&lt;&gt;"Starfsbundinn",GK52="",$E52="",$D52=""),"",ROUND(GK52/$E52*$D52*KVARDI,2))</f>
        <v/>
      </c>
      <c r="GM52" s="66" t="n"/>
      <c r="GN52" s="78">
        <f>IF(OR(INDEX(Undirviðmið!$G$6:$G$105,ROW()-6)&lt;&gt;"Starfsbundinn",GM52="",$E52="",$D52=""),"",ROUND(GM52/$E52*$D52*KVARDI,2))</f>
        <v/>
      </c>
      <c r="GO52" s="66" t="n"/>
      <c r="GP52" s="78">
        <f>IF(OR(INDEX(Undirviðmið!$G$6:$G$105,ROW()-6)&lt;&gt;"Starfsbundinn",GO52="",$E52="",$D52=""),"",ROUND(GO52/$E52*$D52*KVARDI,2))</f>
        <v/>
      </c>
      <c r="GQ52" s="66" t="n"/>
      <c r="GR52" s="78">
        <f>IF(OR(INDEX(Undirviðmið!$G$6:$G$105,ROW()-6)&lt;&gt;"Starfsbundinn",GQ52="",$E52="",$D52=""),"",ROUND(GQ52/$E52*$D52*KVARDI,2))</f>
        <v/>
      </c>
      <c r="GS52" s="66" t="n"/>
      <c r="GT52" s="78">
        <f>IF(OR(INDEX(Undirviðmið!$G$6:$G$105,ROW()-6)&lt;&gt;"Starfsbundinn",GS52="",$E52="",$D52=""),"",ROUND(GS52/$E52*$D52*KVARDI,2))</f>
        <v/>
      </c>
      <c r="GU52" s="66" t="n"/>
      <c r="GV52" s="78">
        <f>IF(OR(INDEX(Undirviðmið!$G$6:$G$105,ROW()-6)&lt;&gt;"Starfsbundinn",GU52="",$E52="",$D52=""),"",ROUND(GU52/$E52*$D52*KVARDI,2))</f>
        <v/>
      </c>
      <c r="GW52" s="66" t="n"/>
      <c r="GX52" s="78">
        <f>IF(OR(INDEX(Undirviðmið!$G$6:$G$105,ROW()-6)&lt;&gt;"Starfsbundinn",GW52="",$E52="",$D52=""),"",ROUND(GW52/$E52*$D52*KVARDI,2))</f>
        <v/>
      </c>
    </row>
    <row r="53" ht="15" customHeight="1" s="47">
      <c r="B53" s="67">
        <f>IF(INDEX(Undirviðmið!$G$6:$G$105,ROW()-6)="Starfsbundinn",INDEX(Undirviðmið!$B$6:$B$105,ROW()-6),"")</f>
        <v/>
      </c>
      <c r="C53" s="67">
        <f>IF(INDEX(Undirviðmið!$G$6:$G$105,ROW()-6)="Starfsbundinn",INDEX(Undirviðmið!$C$6:$C$105,ROW()-6),"")</f>
        <v/>
      </c>
      <c r="D53" s="77">
        <f>IF(INDEX(Undirviðmið!$G$6:$G$105,ROW()-6)="Starfsbundinn",INDEX(Undirviðmið!$E$6:$E$105,ROW()-6),"")</f>
        <v/>
      </c>
      <c r="E53" s="77">
        <f>IF(INDEX(Undirviðmið!$G$6:$G$105,ROW()-6)="Starfsbundinn",INDEX(Undirviðmið!$F$6:$F$105,ROW()-6),"")</f>
        <v/>
      </c>
      <c r="F53" s="77">
        <f>IF(INDEX(Undirviðmið!$G$6:$G$105,ROW()-6)="Starfsbundinn",IFERROR(INDEX(Undirviðmið!$E$6:$E$105,ROW()-6)*KVARDI,""),"")</f>
        <v/>
      </c>
      <c r="G53" s="66" t="n"/>
      <c r="H53" s="78">
        <f>IF(OR(INDEX(Undirviðmið!$G$6:$G$105,ROW()-6)&lt;&gt;"Starfsbundinn",G53="",$E53="",$D53=""),"",ROUND(G53/$E53*$D53*KVARDI,2))</f>
        <v/>
      </c>
      <c r="I53" s="66" t="n"/>
      <c r="J53" s="78">
        <f>IF(OR(INDEX(Undirviðmið!$G$6:$G$105,ROW()-6)&lt;&gt;"Starfsbundinn",I53="",$E53="",$D53=""),"",ROUND(I53/$E53*$D53*KVARDI,2))</f>
        <v/>
      </c>
      <c r="K53" s="66" t="n"/>
      <c r="L53" s="78">
        <f>IF(OR(INDEX(Undirviðmið!$G$6:$G$105,ROW()-6)&lt;&gt;"Starfsbundinn",K53="",$E53="",$D53=""),"",ROUND(K53/$E53*$D53*KVARDI,2))</f>
        <v/>
      </c>
      <c r="M53" s="66" t="n"/>
      <c r="N53" s="78">
        <f>IF(OR(INDEX(Undirviðmið!$G$6:$G$105,ROW()-6)&lt;&gt;"Starfsbundinn",M53="",$E53="",$D53=""),"",ROUND(M53/$E53*$D53*KVARDI,2))</f>
        <v/>
      </c>
      <c r="O53" s="66" t="n"/>
      <c r="P53" s="78">
        <f>IF(OR(INDEX(Undirviðmið!$G$6:$G$105,ROW()-6)&lt;&gt;"Starfsbundinn",O53="",$E53="",$D53=""),"",ROUND(O53/$E53*$D53*KVARDI,2))</f>
        <v/>
      </c>
      <c r="Q53" s="66" t="n"/>
      <c r="R53" s="78">
        <f>IF(OR(INDEX(Undirviðmið!$G$6:$G$105,ROW()-6)&lt;&gt;"Starfsbundinn",Q53="",$E53="",$D53=""),"",ROUND(Q53/$E53*$D53*KVARDI,2))</f>
        <v/>
      </c>
      <c r="S53" s="66" t="n"/>
      <c r="T53" s="78">
        <f>IF(OR(INDEX(Undirviðmið!$G$6:$G$105,ROW()-6)&lt;&gt;"Starfsbundinn",S53="",$E53="",$D53=""),"",ROUND(S53/$E53*$D53*KVARDI,2))</f>
        <v/>
      </c>
      <c r="U53" s="66" t="n"/>
      <c r="V53" s="78">
        <f>IF(OR(INDEX(Undirviðmið!$G$6:$G$105,ROW()-6)&lt;&gt;"Starfsbundinn",U53="",$E53="",$D53=""),"",ROUND(U53/$E53*$D53*KVARDI,2))</f>
        <v/>
      </c>
      <c r="W53" s="66" t="n"/>
      <c r="X53" s="78">
        <f>IF(OR(INDEX(Undirviðmið!$G$6:$G$105,ROW()-6)&lt;&gt;"Starfsbundinn",W53="",$E53="",$D53=""),"",ROUND(W53/$E53*$D53*KVARDI,2))</f>
        <v/>
      </c>
      <c r="Y53" s="66" t="n"/>
      <c r="Z53" s="78">
        <f>IF(OR(INDEX(Undirviðmið!$G$6:$G$105,ROW()-6)&lt;&gt;"Starfsbundinn",Y53="",$E53="",$D53=""),"",ROUND(Y53/$E53*$D53*KVARDI,2))</f>
        <v/>
      </c>
      <c r="AA53" s="66" t="n"/>
      <c r="AB53" s="78">
        <f>IF(OR(INDEX(Undirviðmið!$G$6:$G$105,ROW()-6)&lt;&gt;"Starfsbundinn",AA53="",$E53="",$D53=""),"",ROUND(AA53/$E53*$D53*KVARDI,2))</f>
        <v/>
      </c>
      <c r="AC53" s="66" t="n"/>
      <c r="AD53" s="78">
        <f>IF(OR(INDEX(Undirviðmið!$G$6:$G$105,ROW()-6)&lt;&gt;"Starfsbundinn",AC53="",$E53="",$D53=""),"",ROUND(AC53/$E53*$D53*KVARDI,2))</f>
        <v/>
      </c>
      <c r="AE53" s="66" t="n"/>
      <c r="AF53" s="78">
        <f>IF(OR(INDEX(Undirviðmið!$G$6:$G$105,ROW()-6)&lt;&gt;"Starfsbundinn",AE53="",$E53="",$D53=""),"",ROUND(AE53/$E53*$D53*KVARDI,2))</f>
        <v/>
      </c>
      <c r="AG53" s="66" t="n"/>
      <c r="AH53" s="78">
        <f>IF(OR(INDEX(Undirviðmið!$G$6:$G$105,ROW()-6)&lt;&gt;"Starfsbundinn",AG53="",$E53="",$D53=""),"",ROUND(AG53/$E53*$D53*KVARDI,2))</f>
        <v/>
      </c>
      <c r="AI53" s="66" t="n"/>
      <c r="AJ53" s="78">
        <f>IF(OR(INDEX(Undirviðmið!$G$6:$G$105,ROW()-6)&lt;&gt;"Starfsbundinn",AI53="",$E53="",$D53=""),"",ROUND(AI53/$E53*$D53*KVARDI,2))</f>
        <v/>
      </c>
      <c r="AK53" s="66" t="n"/>
      <c r="AL53" s="78">
        <f>IF(OR(INDEX(Undirviðmið!$G$6:$G$105,ROW()-6)&lt;&gt;"Starfsbundinn",AK53="",$E53="",$D53=""),"",ROUND(AK53/$E53*$D53*KVARDI,2))</f>
        <v/>
      </c>
      <c r="AM53" s="66" t="n"/>
      <c r="AN53" s="78">
        <f>IF(OR(INDEX(Undirviðmið!$G$6:$G$105,ROW()-6)&lt;&gt;"Starfsbundinn",AM53="",$E53="",$D53=""),"",ROUND(AM53/$E53*$D53*KVARDI,2))</f>
        <v/>
      </c>
      <c r="AO53" s="66" t="n"/>
      <c r="AP53" s="78">
        <f>IF(OR(INDEX(Undirviðmið!$G$6:$G$105,ROW()-6)&lt;&gt;"Starfsbundinn",AO53="",$E53="",$D53=""),"",ROUND(AO53/$E53*$D53*KVARDI,2))</f>
        <v/>
      </c>
      <c r="AQ53" s="66" t="n"/>
      <c r="AR53" s="78">
        <f>IF(OR(INDEX(Undirviðmið!$G$6:$G$105,ROW()-6)&lt;&gt;"Starfsbundinn",AQ53="",$E53="",$D53=""),"",ROUND(AQ53/$E53*$D53*KVARDI,2))</f>
        <v/>
      </c>
      <c r="AS53" s="66" t="n"/>
      <c r="AT53" s="78">
        <f>IF(OR(INDEX(Undirviðmið!$G$6:$G$105,ROW()-6)&lt;&gt;"Starfsbundinn",AS53="",$E53="",$D53=""),"",ROUND(AS53/$E53*$D53*KVARDI,2))</f>
        <v/>
      </c>
      <c r="AU53" s="66" t="n"/>
      <c r="AV53" s="78">
        <f>IF(OR(INDEX(Undirviðmið!$G$6:$G$105,ROW()-6)&lt;&gt;"Starfsbundinn",AU53="",$E53="",$D53=""),"",ROUND(AU53/$E53*$D53*KVARDI,2))</f>
        <v/>
      </c>
      <c r="AW53" s="66" t="n"/>
      <c r="AX53" s="78">
        <f>IF(OR(INDEX(Undirviðmið!$G$6:$G$105,ROW()-6)&lt;&gt;"Starfsbundinn",AW53="",$E53="",$D53=""),"",ROUND(AW53/$E53*$D53*KVARDI,2))</f>
        <v/>
      </c>
      <c r="AY53" s="66" t="n"/>
      <c r="AZ53" s="78">
        <f>IF(OR(INDEX(Undirviðmið!$G$6:$G$105,ROW()-6)&lt;&gt;"Starfsbundinn",AY53="",$E53="",$D53=""),"",ROUND(AY53/$E53*$D53*KVARDI,2))</f>
        <v/>
      </c>
      <c r="BA53" s="66" t="n"/>
      <c r="BB53" s="78">
        <f>IF(OR(INDEX(Undirviðmið!$G$6:$G$105,ROW()-6)&lt;&gt;"Starfsbundinn",BA53="",$E53="",$D53=""),"",ROUND(BA53/$E53*$D53*KVARDI,2))</f>
        <v/>
      </c>
      <c r="BC53" s="66" t="n"/>
      <c r="BD53" s="78">
        <f>IF(OR(INDEX(Undirviðmið!$G$6:$G$105,ROW()-6)&lt;&gt;"Starfsbundinn",BC53="",$E53="",$D53=""),"",ROUND(BC53/$E53*$D53*KVARDI,2))</f>
        <v/>
      </c>
      <c r="BE53" s="66" t="n"/>
      <c r="BF53" s="78">
        <f>IF(OR(INDEX(Undirviðmið!$G$6:$G$105,ROW()-6)&lt;&gt;"Starfsbundinn",BE53="",$E53="",$D53=""),"",ROUND(BE53/$E53*$D53*KVARDI,2))</f>
        <v/>
      </c>
      <c r="BG53" s="66" t="n"/>
      <c r="BH53" s="78">
        <f>IF(OR(INDEX(Undirviðmið!$G$6:$G$105,ROW()-6)&lt;&gt;"Starfsbundinn",BG53="",$E53="",$D53=""),"",ROUND(BG53/$E53*$D53*KVARDI,2))</f>
        <v/>
      </c>
      <c r="BI53" s="66" t="n"/>
      <c r="BJ53" s="78">
        <f>IF(OR(INDEX(Undirviðmið!$G$6:$G$105,ROW()-6)&lt;&gt;"Starfsbundinn",BI53="",$E53="",$D53=""),"",ROUND(BI53/$E53*$D53*KVARDI,2))</f>
        <v/>
      </c>
      <c r="BK53" s="66" t="n"/>
      <c r="BL53" s="78">
        <f>IF(OR(INDEX(Undirviðmið!$G$6:$G$105,ROW()-6)&lt;&gt;"Starfsbundinn",BK53="",$E53="",$D53=""),"",ROUND(BK53/$E53*$D53*KVARDI,2))</f>
        <v/>
      </c>
      <c r="BM53" s="66" t="n"/>
      <c r="BN53" s="78">
        <f>IF(OR(INDEX(Undirviðmið!$G$6:$G$105,ROW()-6)&lt;&gt;"Starfsbundinn",BM53="",$E53="",$D53=""),"",ROUND(BM53/$E53*$D53*KVARDI,2))</f>
        <v/>
      </c>
      <c r="BO53" s="66" t="n"/>
      <c r="BP53" s="78">
        <f>IF(OR(INDEX(Undirviðmið!$G$6:$G$105,ROW()-6)&lt;&gt;"Starfsbundinn",BO53="",$E53="",$D53=""),"",ROUND(BO53/$E53*$D53*KVARDI,2))</f>
        <v/>
      </c>
      <c r="BQ53" s="66" t="n"/>
      <c r="BR53" s="78">
        <f>IF(OR(INDEX(Undirviðmið!$G$6:$G$105,ROW()-6)&lt;&gt;"Starfsbundinn",BQ53="",$E53="",$D53=""),"",ROUND(BQ53/$E53*$D53*KVARDI,2))</f>
        <v/>
      </c>
      <c r="BS53" s="66" t="n"/>
      <c r="BT53" s="78">
        <f>IF(OR(INDEX(Undirviðmið!$G$6:$G$105,ROW()-6)&lt;&gt;"Starfsbundinn",BS53="",$E53="",$D53=""),"",ROUND(BS53/$E53*$D53*KVARDI,2))</f>
        <v/>
      </c>
      <c r="BU53" s="66" t="n"/>
      <c r="BV53" s="78">
        <f>IF(OR(INDEX(Undirviðmið!$G$6:$G$105,ROW()-6)&lt;&gt;"Starfsbundinn",BU53="",$E53="",$D53=""),"",ROUND(BU53/$E53*$D53*KVARDI,2))</f>
        <v/>
      </c>
      <c r="BW53" s="66" t="n"/>
      <c r="BX53" s="78">
        <f>IF(OR(INDEX(Undirviðmið!$G$6:$G$105,ROW()-6)&lt;&gt;"Starfsbundinn",BW53="",$E53="",$D53=""),"",ROUND(BW53/$E53*$D53*KVARDI,2))</f>
        <v/>
      </c>
      <c r="BY53" s="66" t="n"/>
      <c r="BZ53" s="78">
        <f>IF(OR(INDEX(Undirviðmið!$G$6:$G$105,ROW()-6)&lt;&gt;"Starfsbundinn",BY53="",$E53="",$D53=""),"",ROUND(BY53/$E53*$D53*KVARDI,2))</f>
        <v/>
      </c>
      <c r="CA53" s="66" t="n"/>
      <c r="CB53" s="78">
        <f>IF(OR(INDEX(Undirviðmið!$G$6:$G$105,ROW()-6)&lt;&gt;"Starfsbundinn",CA53="",$E53="",$D53=""),"",ROUND(CA53/$E53*$D53*KVARDI,2))</f>
        <v/>
      </c>
      <c r="CC53" s="66" t="n"/>
      <c r="CD53" s="78">
        <f>IF(OR(INDEX(Undirviðmið!$G$6:$G$105,ROW()-6)&lt;&gt;"Starfsbundinn",CC53="",$E53="",$D53=""),"",ROUND(CC53/$E53*$D53*KVARDI,2))</f>
        <v/>
      </c>
      <c r="CE53" s="66" t="n"/>
      <c r="CF53" s="78">
        <f>IF(OR(INDEX(Undirviðmið!$G$6:$G$105,ROW()-6)&lt;&gt;"Starfsbundinn",CE53="",$E53="",$D53=""),"",ROUND(CE53/$E53*$D53*KVARDI,2))</f>
        <v/>
      </c>
      <c r="CG53" s="66" t="n"/>
      <c r="CH53" s="78">
        <f>IF(OR(INDEX(Undirviðmið!$G$6:$G$105,ROW()-6)&lt;&gt;"Starfsbundinn",CG53="",$E53="",$D53=""),"",ROUND(CG53/$E53*$D53*KVARDI,2))</f>
        <v/>
      </c>
      <c r="CI53" s="66" t="n"/>
      <c r="CJ53" s="78">
        <f>IF(OR(INDEX(Undirviðmið!$G$6:$G$105,ROW()-6)&lt;&gt;"Starfsbundinn",CI53="",$E53="",$D53=""),"",ROUND(CI53/$E53*$D53*KVARDI,2))</f>
        <v/>
      </c>
      <c r="CK53" s="66" t="n"/>
      <c r="CL53" s="78">
        <f>IF(OR(INDEX(Undirviðmið!$G$6:$G$105,ROW()-6)&lt;&gt;"Starfsbundinn",CK53="",$E53="",$D53=""),"",ROUND(CK53/$E53*$D53*KVARDI,2))</f>
        <v/>
      </c>
      <c r="CM53" s="66" t="n"/>
      <c r="CN53" s="78">
        <f>IF(OR(INDEX(Undirviðmið!$G$6:$G$105,ROW()-6)&lt;&gt;"Starfsbundinn",CM53="",$E53="",$D53=""),"",ROUND(CM53/$E53*$D53*KVARDI,2))</f>
        <v/>
      </c>
      <c r="CO53" s="66" t="n"/>
      <c r="CP53" s="78">
        <f>IF(OR(INDEX(Undirviðmið!$G$6:$G$105,ROW()-6)&lt;&gt;"Starfsbundinn",CO53="",$E53="",$D53=""),"",ROUND(CO53/$E53*$D53*KVARDI,2))</f>
        <v/>
      </c>
      <c r="CQ53" s="66" t="n"/>
      <c r="CR53" s="78">
        <f>IF(OR(INDEX(Undirviðmið!$G$6:$G$105,ROW()-6)&lt;&gt;"Starfsbundinn",CQ53="",$E53="",$D53=""),"",ROUND(CQ53/$E53*$D53*KVARDI,2))</f>
        <v/>
      </c>
      <c r="CS53" s="66" t="n"/>
      <c r="CT53" s="78">
        <f>IF(OR(INDEX(Undirviðmið!$G$6:$G$105,ROW()-6)&lt;&gt;"Starfsbundinn",CS53="",$E53="",$D53=""),"",ROUND(CS53/$E53*$D53*KVARDI,2))</f>
        <v/>
      </c>
      <c r="CU53" s="66" t="n"/>
      <c r="CV53" s="78">
        <f>IF(OR(INDEX(Undirviðmið!$G$6:$G$105,ROW()-6)&lt;&gt;"Starfsbundinn",CU53="",$E53="",$D53=""),"",ROUND(CU53/$E53*$D53*KVARDI,2))</f>
        <v/>
      </c>
      <c r="CW53" s="66" t="n"/>
      <c r="CX53" s="78">
        <f>IF(OR(INDEX(Undirviðmið!$G$6:$G$105,ROW()-6)&lt;&gt;"Starfsbundinn",CW53="",$E53="",$D53=""),"",ROUND(CW53/$E53*$D53*KVARDI,2))</f>
        <v/>
      </c>
      <c r="CY53" s="66" t="n"/>
      <c r="CZ53" s="78">
        <f>IF(OR(INDEX(Undirviðmið!$G$6:$G$105,ROW()-6)&lt;&gt;"Starfsbundinn",CY53="",$E53="",$D53=""),"",ROUND(CY53/$E53*$D53*KVARDI,2))</f>
        <v/>
      </c>
      <c r="DA53" s="66" t="n"/>
      <c r="DB53" s="78">
        <f>IF(OR(INDEX(Undirviðmið!$G$6:$G$105,ROW()-6)&lt;&gt;"Starfsbundinn",DA53="",$E53="",$D53=""),"",ROUND(DA53/$E53*$D53*KVARDI,2))</f>
        <v/>
      </c>
      <c r="DC53" s="66" t="n"/>
      <c r="DD53" s="78">
        <f>IF(OR(INDEX(Undirviðmið!$G$6:$G$105,ROW()-6)&lt;&gt;"Starfsbundinn",DC53="",$E53="",$D53=""),"",ROUND(DC53/$E53*$D53*KVARDI,2))</f>
        <v/>
      </c>
      <c r="DE53" s="66" t="n"/>
      <c r="DF53" s="78">
        <f>IF(OR(INDEX(Undirviðmið!$G$6:$G$105,ROW()-6)&lt;&gt;"Starfsbundinn",DE53="",$E53="",$D53=""),"",ROUND(DE53/$E53*$D53*KVARDI,2))</f>
        <v/>
      </c>
      <c r="DG53" s="66" t="n"/>
      <c r="DH53" s="78">
        <f>IF(OR(INDEX(Undirviðmið!$G$6:$G$105,ROW()-6)&lt;&gt;"Starfsbundinn",DG53="",$E53="",$D53=""),"",ROUND(DG53/$E53*$D53*KVARDI,2))</f>
        <v/>
      </c>
      <c r="DI53" s="66" t="n"/>
      <c r="DJ53" s="78">
        <f>IF(OR(INDEX(Undirviðmið!$G$6:$G$105,ROW()-6)&lt;&gt;"Starfsbundinn",DI53="",$E53="",$D53=""),"",ROUND(DI53/$E53*$D53*KVARDI,2))</f>
        <v/>
      </c>
      <c r="DK53" s="66" t="n"/>
      <c r="DL53" s="78">
        <f>IF(OR(INDEX(Undirviðmið!$G$6:$G$105,ROW()-6)&lt;&gt;"Starfsbundinn",DK53="",$E53="",$D53=""),"",ROUND(DK53/$E53*$D53*KVARDI,2))</f>
        <v/>
      </c>
      <c r="DM53" s="66" t="n"/>
      <c r="DN53" s="78">
        <f>IF(OR(INDEX(Undirviðmið!$G$6:$G$105,ROW()-6)&lt;&gt;"Starfsbundinn",DM53="",$E53="",$D53=""),"",ROUND(DM53/$E53*$D53*KVARDI,2))</f>
        <v/>
      </c>
      <c r="DO53" s="66" t="n"/>
      <c r="DP53" s="78">
        <f>IF(OR(INDEX(Undirviðmið!$G$6:$G$105,ROW()-6)&lt;&gt;"Starfsbundinn",DO53="",$E53="",$D53=""),"",ROUND(DO53/$E53*$D53*KVARDI,2))</f>
        <v/>
      </c>
      <c r="DQ53" s="66" t="n"/>
      <c r="DR53" s="78">
        <f>IF(OR(INDEX(Undirviðmið!$G$6:$G$105,ROW()-6)&lt;&gt;"Starfsbundinn",DQ53="",$E53="",$D53=""),"",ROUND(DQ53/$E53*$D53*KVARDI,2))</f>
        <v/>
      </c>
      <c r="DS53" s="66" t="n"/>
      <c r="DT53" s="78">
        <f>IF(OR(INDEX(Undirviðmið!$G$6:$G$105,ROW()-6)&lt;&gt;"Starfsbundinn",DS53="",$E53="",$D53=""),"",ROUND(DS53/$E53*$D53*KVARDI,2))</f>
        <v/>
      </c>
      <c r="DU53" s="66" t="n"/>
      <c r="DV53" s="78">
        <f>IF(OR(INDEX(Undirviðmið!$G$6:$G$105,ROW()-6)&lt;&gt;"Starfsbundinn",DU53="",$E53="",$D53=""),"",ROUND(DU53/$E53*$D53*KVARDI,2))</f>
        <v/>
      </c>
      <c r="DW53" s="66" t="n"/>
      <c r="DX53" s="78">
        <f>IF(OR(INDEX(Undirviðmið!$G$6:$G$105,ROW()-6)&lt;&gt;"Starfsbundinn",DW53="",$E53="",$D53=""),"",ROUND(DW53/$E53*$D53*KVARDI,2))</f>
        <v/>
      </c>
      <c r="DY53" s="66" t="n"/>
      <c r="DZ53" s="78">
        <f>IF(OR(INDEX(Undirviðmið!$G$6:$G$105,ROW()-6)&lt;&gt;"Starfsbundinn",DY53="",$E53="",$D53=""),"",ROUND(DY53/$E53*$D53*KVARDI,2))</f>
        <v/>
      </c>
      <c r="EA53" s="66" t="n"/>
      <c r="EB53" s="78">
        <f>IF(OR(INDEX(Undirviðmið!$G$6:$G$105,ROW()-6)&lt;&gt;"Starfsbundinn",EA53="",$E53="",$D53=""),"",ROUND(EA53/$E53*$D53*KVARDI,2))</f>
        <v/>
      </c>
      <c r="EC53" s="66" t="n"/>
      <c r="ED53" s="78">
        <f>IF(OR(INDEX(Undirviðmið!$G$6:$G$105,ROW()-6)&lt;&gt;"Starfsbundinn",EC53="",$E53="",$D53=""),"",ROUND(EC53/$E53*$D53*KVARDI,2))</f>
        <v/>
      </c>
      <c r="EE53" s="66" t="n"/>
      <c r="EF53" s="78">
        <f>IF(OR(INDEX(Undirviðmið!$G$6:$G$105,ROW()-6)&lt;&gt;"Starfsbundinn",EE53="",$E53="",$D53=""),"",ROUND(EE53/$E53*$D53*KVARDI,2))</f>
        <v/>
      </c>
      <c r="EG53" s="66" t="n"/>
      <c r="EH53" s="78">
        <f>IF(OR(INDEX(Undirviðmið!$G$6:$G$105,ROW()-6)&lt;&gt;"Starfsbundinn",EG53="",$E53="",$D53=""),"",ROUND(EG53/$E53*$D53*KVARDI,2))</f>
        <v/>
      </c>
      <c r="EI53" s="66" t="n"/>
      <c r="EJ53" s="78">
        <f>IF(OR(INDEX(Undirviðmið!$G$6:$G$105,ROW()-6)&lt;&gt;"Starfsbundinn",EI53="",$E53="",$D53=""),"",ROUND(EI53/$E53*$D53*KVARDI,2))</f>
        <v/>
      </c>
      <c r="EK53" s="66" t="n"/>
      <c r="EL53" s="78">
        <f>IF(OR(INDEX(Undirviðmið!$G$6:$G$105,ROW()-6)&lt;&gt;"Starfsbundinn",EK53="",$E53="",$D53=""),"",ROUND(EK53/$E53*$D53*KVARDI,2))</f>
        <v/>
      </c>
      <c r="EM53" s="66" t="n"/>
      <c r="EN53" s="78">
        <f>IF(OR(INDEX(Undirviðmið!$G$6:$G$105,ROW()-6)&lt;&gt;"Starfsbundinn",EM53="",$E53="",$D53=""),"",ROUND(EM53/$E53*$D53*KVARDI,2))</f>
        <v/>
      </c>
      <c r="EO53" s="66" t="n"/>
      <c r="EP53" s="78">
        <f>IF(OR(INDEX(Undirviðmið!$G$6:$G$105,ROW()-6)&lt;&gt;"Starfsbundinn",EO53="",$E53="",$D53=""),"",ROUND(EO53/$E53*$D53*KVARDI,2))</f>
        <v/>
      </c>
      <c r="EQ53" s="66" t="n"/>
      <c r="ER53" s="78">
        <f>IF(OR(INDEX(Undirviðmið!$G$6:$G$105,ROW()-6)&lt;&gt;"Starfsbundinn",EQ53="",$E53="",$D53=""),"",ROUND(EQ53/$E53*$D53*KVARDI,2))</f>
        <v/>
      </c>
      <c r="ES53" s="66" t="n"/>
      <c r="ET53" s="78">
        <f>IF(OR(INDEX(Undirviðmið!$G$6:$G$105,ROW()-6)&lt;&gt;"Starfsbundinn",ES53="",$E53="",$D53=""),"",ROUND(ES53/$E53*$D53*KVARDI,2))</f>
        <v/>
      </c>
      <c r="EU53" s="66" t="n"/>
      <c r="EV53" s="78">
        <f>IF(OR(INDEX(Undirviðmið!$G$6:$G$105,ROW()-6)&lt;&gt;"Starfsbundinn",EU53="",$E53="",$D53=""),"",ROUND(EU53/$E53*$D53*KVARDI,2))</f>
        <v/>
      </c>
      <c r="EW53" s="66" t="n"/>
      <c r="EX53" s="78">
        <f>IF(OR(INDEX(Undirviðmið!$G$6:$G$105,ROW()-6)&lt;&gt;"Starfsbundinn",EW53="",$E53="",$D53=""),"",ROUND(EW53/$E53*$D53*KVARDI,2))</f>
        <v/>
      </c>
      <c r="EY53" s="66" t="n"/>
      <c r="EZ53" s="78">
        <f>IF(OR(INDEX(Undirviðmið!$G$6:$G$105,ROW()-6)&lt;&gt;"Starfsbundinn",EY53="",$E53="",$D53=""),"",ROUND(EY53/$E53*$D53*KVARDI,2))</f>
        <v/>
      </c>
      <c r="FA53" s="66" t="n"/>
      <c r="FB53" s="78">
        <f>IF(OR(INDEX(Undirviðmið!$G$6:$G$105,ROW()-6)&lt;&gt;"Starfsbundinn",FA53="",$E53="",$D53=""),"",ROUND(FA53/$E53*$D53*KVARDI,2))</f>
        <v/>
      </c>
      <c r="FC53" s="66" t="n"/>
      <c r="FD53" s="78">
        <f>IF(OR(INDEX(Undirviðmið!$G$6:$G$105,ROW()-6)&lt;&gt;"Starfsbundinn",FC53="",$E53="",$D53=""),"",ROUND(FC53/$E53*$D53*KVARDI,2))</f>
        <v/>
      </c>
      <c r="FE53" s="66" t="n"/>
      <c r="FF53" s="78">
        <f>IF(OR(INDEX(Undirviðmið!$G$6:$G$105,ROW()-6)&lt;&gt;"Starfsbundinn",FE53="",$E53="",$D53=""),"",ROUND(FE53/$E53*$D53*KVARDI,2))</f>
        <v/>
      </c>
      <c r="FG53" s="66" t="n"/>
      <c r="FH53" s="78">
        <f>IF(OR(INDEX(Undirviðmið!$G$6:$G$105,ROW()-6)&lt;&gt;"Starfsbundinn",FG53="",$E53="",$D53=""),"",ROUND(FG53/$E53*$D53*KVARDI,2))</f>
        <v/>
      </c>
      <c r="FI53" s="66" t="n"/>
      <c r="FJ53" s="78">
        <f>IF(OR(INDEX(Undirviðmið!$G$6:$G$105,ROW()-6)&lt;&gt;"Starfsbundinn",FI53="",$E53="",$D53=""),"",ROUND(FI53/$E53*$D53*KVARDI,2))</f>
        <v/>
      </c>
      <c r="FK53" s="66" t="n"/>
      <c r="FL53" s="78">
        <f>IF(OR(INDEX(Undirviðmið!$G$6:$G$105,ROW()-6)&lt;&gt;"Starfsbundinn",FK53="",$E53="",$D53=""),"",ROUND(FK53/$E53*$D53*KVARDI,2))</f>
        <v/>
      </c>
      <c r="FM53" s="66" t="n"/>
      <c r="FN53" s="78">
        <f>IF(OR(INDEX(Undirviðmið!$G$6:$G$105,ROW()-6)&lt;&gt;"Starfsbundinn",FM53="",$E53="",$D53=""),"",ROUND(FM53/$E53*$D53*KVARDI,2))</f>
        <v/>
      </c>
      <c r="FO53" s="66" t="n"/>
      <c r="FP53" s="78">
        <f>IF(OR(INDEX(Undirviðmið!$G$6:$G$105,ROW()-6)&lt;&gt;"Starfsbundinn",FO53="",$E53="",$D53=""),"",ROUND(FO53/$E53*$D53*KVARDI,2))</f>
        <v/>
      </c>
      <c r="FQ53" s="66" t="n"/>
      <c r="FR53" s="78">
        <f>IF(OR(INDEX(Undirviðmið!$G$6:$G$105,ROW()-6)&lt;&gt;"Starfsbundinn",FQ53="",$E53="",$D53=""),"",ROUND(FQ53/$E53*$D53*KVARDI,2))</f>
        <v/>
      </c>
      <c r="FS53" s="66" t="n"/>
      <c r="FT53" s="78">
        <f>IF(OR(INDEX(Undirviðmið!$G$6:$G$105,ROW()-6)&lt;&gt;"Starfsbundinn",FS53="",$E53="",$D53=""),"",ROUND(FS53/$E53*$D53*KVARDI,2))</f>
        <v/>
      </c>
      <c r="FU53" s="66" t="n"/>
      <c r="FV53" s="78">
        <f>IF(OR(INDEX(Undirviðmið!$G$6:$G$105,ROW()-6)&lt;&gt;"Starfsbundinn",FU53="",$E53="",$D53=""),"",ROUND(FU53/$E53*$D53*KVARDI,2))</f>
        <v/>
      </c>
      <c r="FW53" s="66" t="n"/>
      <c r="FX53" s="78">
        <f>IF(OR(INDEX(Undirviðmið!$G$6:$G$105,ROW()-6)&lt;&gt;"Starfsbundinn",FW53="",$E53="",$D53=""),"",ROUND(FW53/$E53*$D53*KVARDI,2))</f>
        <v/>
      </c>
      <c r="FY53" s="66" t="n"/>
      <c r="FZ53" s="78">
        <f>IF(OR(INDEX(Undirviðmið!$G$6:$G$105,ROW()-6)&lt;&gt;"Starfsbundinn",FY53="",$E53="",$D53=""),"",ROUND(FY53/$E53*$D53*KVARDI,2))</f>
        <v/>
      </c>
      <c r="GA53" s="66" t="n"/>
      <c r="GB53" s="78">
        <f>IF(OR(INDEX(Undirviðmið!$G$6:$G$105,ROW()-6)&lt;&gt;"Starfsbundinn",GA53="",$E53="",$D53=""),"",ROUND(GA53/$E53*$D53*KVARDI,2))</f>
        <v/>
      </c>
      <c r="GC53" s="66" t="n"/>
      <c r="GD53" s="78">
        <f>IF(OR(INDEX(Undirviðmið!$G$6:$G$105,ROW()-6)&lt;&gt;"Starfsbundinn",GC53="",$E53="",$D53=""),"",ROUND(GC53/$E53*$D53*KVARDI,2))</f>
        <v/>
      </c>
      <c r="GE53" s="66" t="n"/>
      <c r="GF53" s="78">
        <f>IF(OR(INDEX(Undirviðmið!$G$6:$G$105,ROW()-6)&lt;&gt;"Starfsbundinn",GE53="",$E53="",$D53=""),"",ROUND(GE53/$E53*$D53*KVARDI,2))</f>
        <v/>
      </c>
      <c r="GG53" s="66" t="n"/>
      <c r="GH53" s="78">
        <f>IF(OR(INDEX(Undirviðmið!$G$6:$G$105,ROW()-6)&lt;&gt;"Starfsbundinn",GG53="",$E53="",$D53=""),"",ROUND(GG53/$E53*$D53*KVARDI,2))</f>
        <v/>
      </c>
      <c r="GI53" s="66" t="n"/>
      <c r="GJ53" s="78">
        <f>IF(OR(INDEX(Undirviðmið!$G$6:$G$105,ROW()-6)&lt;&gt;"Starfsbundinn",GI53="",$E53="",$D53=""),"",ROUND(GI53/$E53*$D53*KVARDI,2))</f>
        <v/>
      </c>
      <c r="GK53" s="66" t="n"/>
      <c r="GL53" s="78">
        <f>IF(OR(INDEX(Undirviðmið!$G$6:$G$105,ROW()-6)&lt;&gt;"Starfsbundinn",GK53="",$E53="",$D53=""),"",ROUND(GK53/$E53*$D53*KVARDI,2))</f>
        <v/>
      </c>
      <c r="GM53" s="66" t="n"/>
      <c r="GN53" s="78">
        <f>IF(OR(INDEX(Undirviðmið!$G$6:$G$105,ROW()-6)&lt;&gt;"Starfsbundinn",GM53="",$E53="",$D53=""),"",ROUND(GM53/$E53*$D53*KVARDI,2))</f>
        <v/>
      </c>
      <c r="GO53" s="66" t="n"/>
      <c r="GP53" s="78">
        <f>IF(OR(INDEX(Undirviðmið!$G$6:$G$105,ROW()-6)&lt;&gt;"Starfsbundinn",GO53="",$E53="",$D53=""),"",ROUND(GO53/$E53*$D53*KVARDI,2))</f>
        <v/>
      </c>
      <c r="GQ53" s="66" t="n"/>
      <c r="GR53" s="78">
        <f>IF(OR(INDEX(Undirviðmið!$G$6:$G$105,ROW()-6)&lt;&gt;"Starfsbundinn",GQ53="",$E53="",$D53=""),"",ROUND(GQ53/$E53*$D53*KVARDI,2))</f>
        <v/>
      </c>
      <c r="GS53" s="66" t="n"/>
      <c r="GT53" s="78">
        <f>IF(OR(INDEX(Undirviðmið!$G$6:$G$105,ROW()-6)&lt;&gt;"Starfsbundinn",GS53="",$E53="",$D53=""),"",ROUND(GS53/$E53*$D53*KVARDI,2))</f>
        <v/>
      </c>
      <c r="GU53" s="66" t="n"/>
      <c r="GV53" s="78">
        <f>IF(OR(INDEX(Undirviðmið!$G$6:$G$105,ROW()-6)&lt;&gt;"Starfsbundinn",GU53="",$E53="",$D53=""),"",ROUND(GU53/$E53*$D53*KVARDI,2))</f>
        <v/>
      </c>
      <c r="GW53" s="66" t="n"/>
      <c r="GX53" s="78">
        <f>IF(OR(INDEX(Undirviðmið!$G$6:$G$105,ROW()-6)&lt;&gt;"Starfsbundinn",GW53="",$E53="",$D53=""),"",ROUND(GW53/$E53*$D53*KVARDI,2))</f>
        <v/>
      </c>
    </row>
    <row r="54" ht="15" customHeight="1" s="47">
      <c r="B54" s="67">
        <f>IF(INDEX(Undirviðmið!$G$6:$G$105,ROW()-6)="Starfsbundinn",INDEX(Undirviðmið!$B$6:$B$105,ROW()-6),"")</f>
        <v/>
      </c>
      <c r="C54" s="67">
        <f>IF(INDEX(Undirviðmið!$G$6:$G$105,ROW()-6)="Starfsbundinn",INDEX(Undirviðmið!$C$6:$C$105,ROW()-6),"")</f>
        <v/>
      </c>
      <c r="D54" s="77">
        <f>IF(INDEX(Undirviðmið!$G$6:$G$105,ROW()-6)="Starfsbundinn",INDEX(Undirviðmið!$E$6:$E$105,ROW()-6),"")</f>
        <v/>
      </c>
      <c r="E54" s="77">
        <f>IF(INDEX(Undirviðmið!$G$6:$G$105,ROW()-6)="Starfsbundinn",INDEX(Undirviðmið!$F$6:$F$105,ROW()-6),"")</f>
        <v/>
      </c>
      <c r="F54" s="77">
        <f>IF(INDEX(Undirviðmið!$G$6:$G$105,ROW()-6)="Starfsbundinn",IFERROR(INDEX(Undirviðmið!$E$6:$E$105,ROW()-6)*KVARDI,""),"")</f>
        <v/>
      </c>
      <c r="G54" s="66" t="n"/>
      <c r="H54" s="78">
        <f>IF(OR(INDEX(Undirviðmið!$G$6:$G$105,ROW()-6)&lt;&gt;"Starfsbundinn",G54="",$E54="",$D54=""),"",ROUND(G54/$E54*$D54*KVARDI,2))</f>
        <v/>
      </c>
      <c r="I54" s="66" t="n"/>
      <c r="J54" s="78">
        <f>IF(OR(INDEX(Undirviðmið!$G$6:$G$105,ROW()-6)&lt;&gt;"Starfsbundinn",I54="",$E54="",$D54=""),"",ROUND(I54/$E54*$D54*KVARDI,2))</f>
        <v/>
      </c>
      <c r="K54" s="66" t="n"/>
      <c r="L54" s="78">
        <f>IF(OR(INDEX(Undirviðmið!$G$6:$G$105,ROW()-6)&lt;&gt;"Starfsbundinn",K54="",$E54="",$D54=""),"",ROUND(K54/$E54*$D54*KVARDI,2))</f>
        <v/>
      </c>
      <c r="M54" s="66" t="n"/>
      <c r="N54" s="78">
        <f>IF(OR(INDEX(Undirviðmið!$G$6:$G$105,ROW()-6)&lt;&gt;"Starfsbundinn",M54="",$E54="",$D54=""),"",ROUND(M54/$E54*$D54*KVARDI,2))</f>
        <v/>
      </c>
      <c r="O54" s="66" t="n"/>
      <c r="P54" s="78">
        <f>IF(OR(INDEX(Undirviðmið!$G$6:$G$105,ROW()-6)&lt;&gt;"Starfsbundinn",O54="",$E54="",$D54=""),"",ROUND(O54/$E54*$D54*KVARDI,2))</f>
        <v/>
      </c>
      <c r="Q54" s="66" t="n"/>
      <c r="R54" s="78">
        <f>IF(OR(INDEX(Undirviðmið!$G$6:$G$105,ROW()-6)&lt;&gt;"Starfsbundinn",Q54="",$E54="",$D54=""),"",ROUND(Q54/$E54*$D54*KVARDI,2))</f>
        <v/>
      </c>
      <c r="S54" s="66" t="n"/>
      <c r="T54" s="78">
        <f>IF(OR(INDEX(Undirviðmið!$G$6:$G$105,ROW()-6)&lt;&gt;"Starfsbundinn",S54="",$E54="",$D54=""),"",ROUND(S54/$E54*$D54*KVARDI,2))</f>
        <v/>
      </c>
      <c r="U54" s="66" t="n"/>
      <c r="V54" s="78">
        <f>IF(OR(INDEX(Undirviðmið!$G$6:$G$105,ROW()-6)&lt;&gt;"Starfsbundinn",U54="",$E54="",$D54=""),"",ROUND(U54/$E54*$D54*KVARDI,2))</f>
        <v/>
      </c>
      <c r="W54" s="66" t="n"/>
      <c r="X54" s="78">
        <f>IF(OR(INDEX(Undirviðmið!$G$6:$G$105,ROW()-6)&lt;&gt;"Starfsbundinn",W54="",$E54="",$D54=""),"",ROUND(W54/$E54*$D54*KVARDI,2))</f>
        <v/>
      </c>
      <c r="Y54" s="66" t="n"/>
      <c r="Z54" s="78">
        <f>IF(OR(INDEX(Undirviðmið!$G$6:$G$105,ROW()-6)&lt;&gt;"Starfsbundinn",Y54="",$E54="",$D54=""),"",ROUND(Y54/$E54*$D54*KVARDI,2))</f>
        <v/>
      </c>
      <c r="AA54" s="66" t="n"/>
      <c r="AB54" s="78">
        <f>IF(OR(INDEX(Undirviðmið!$G$6:$G$105,ROW()-6)&lt;&gt;"Starfsbundinn",AA54="",$E54="",$D54=""),"",ROUND(AA54/$E54*$D54*KVARDI,2))</f>
        <v/>
      </c>
      <c r="AC54" s="66" t="n"/>
      <c r="AD54" s="78">
        <f>IF(OR(INDEX(Undirviðmið!$G$6:$G$105,ROW()-6)&lt;&gt;"Starfsbundinn",AC54="",$E54="",$D54=""),"",ROUND(AC54/$E54*$D54*KVARDI,2))</f>
        <v/>
      </c>
      <c r="AE54" s="66" t="n"/>
      <c r="AF54" s="78">
        <f>IF(OR(INDEX(Undirviðmið!$G$6:$G$105,ROW()-6)&lt;&gt;"Starfsbundinn",AE54="",$E54="",$D54=""),"",ROUND(AE54/$E54*$D54*KVARDI,2))</f>
        <v/>
      </c>
      <c r="AG54" s="66" t="n"/>
      <c r="AH54" s="78">
        <f>IF(OR(INDEX(Undirviðmið!$G$6:$G$105,ROW()-6)&lt;&gt;"Starfsbundinn",AG54="",$E54="",$D54=""),"",ROUND(AG54/$E54*$D54*KVARDI,2))</f>
        <v/>
      </c>
      <c r="AI54" s="66" t="n"/>
      <c r="AJ54" s="78">
        <f>IF(OR(INDEX(Undirviðmið!$G$6:$G$105,ROW()-6)&lt;&gt;"Starfsbundinn",AI54="",$E54="",$D54=""),"",ROUND(AI54/$E54*$D54*KVARDI,2))</f>
        <v/>
      </c>
      <c r="AK54" s="66" t="n"/>
      <c r="AL54" s="78">
        <f>IF(OR(INDEX(Undirviðmið!$G$6:$G$105,ROW()-6)&lt;&gt;"Starfsbundinn",AK54="",$E54="",$D54=""),"",ROUND(AK54/$E54*$D54*KVARDI,2))</f>
        <v/>
      </c>
      <c r="AM54" s="66" t="n"/>
      <c r="AN54" s="78">
        <f>IF(OR(INDEX(Undirviðmið!$G$6:$G$105,ROW()-6)&lt;&gt;"Starfsbundinn",AM54="",$E54="",$D54=""),"",ROUND(AM54/$E54*$D54*KVARDI,2))</f>
        <v/>
      </c>
      <c r="AO54" s="66" t="n"/>
      <c r="AP54" s="78">
        <f>IF(OR(INDEX(Undirviðmið!$G$6:$G$105,ROW()-6)&lt;&gt;"Starfsbundinn",AO54="",$E54="",$D54=""),"",ROUND(AO54/$E54*$D54*KVARDI,2))</f>
        <v/>
      </c>
      <c r="AQ54" s="66" t="n"/>
      <c r="AR54" s="78">
        <f>IF(OR(INDEX(Undirviðmið!$G$6:$G$105,ROW()-6)&lt;&gt;"Starfsbundinn",AQ54="",$E54="",$D54=""),"",ROUND(AQ54/$E54*$D54*KVARDI,2))</f>
        <v/>
      </c>
      <c r="AS54" s="66" t="n"/>
      <c r="AT54" s="78">
        <f>IF(OR(INDEX(Undirviðmið!$G$6:$G$105,ROW()-6)&lt;&gt;"Starfsbundinn",AS54="",$E54="",$D54=""),"",ROUND(AS54/$E54*$D54*KVARDI,2))</f>
        <v/>
      </c>
      <c r="AU54" s="66" t="n"/>
      <c r="AV54" s="78">
        <f>IF(OR(INDEX(Undirviðmið!$G$6:$G$105,ROW()-6)&lt;&gt;"Starfsbundinn",AU54="",$E54="",$D54=""),"",ROUND(AU54/$E54*$D54*KVARDI,2))</f>
        <v/>
      </c>
      <c r="AW54" s="66" t="n"/>
      <c r="AX54" s="78">
        <f>IF(OR(INDEX(Undirviðmið!$G$6:$G$105,ROW()-6)&lt;&gt;"Starfsbundinn",AW54="",$E54="",$D54=""),"",ROUND(AW54/$E54*$D54*KVARDI,2))</f>
        <v/>
      </c>
      <c r="AY54" s="66" t="n"/>
      <c r="AZ54" s="78">
        <f>IF(OR(INDEX(Undirviðmið!$G$6:$G$105,ROW()-6)&lt;&gt;"Starfsbundinn",AY54="",$E54="",$D54=""),"",ROUND(AY54/$E54*$D54*KVARDI,2))</f>
        <v/>
      </c>
      <c r="BA54" s="66" t="n"/>
      <c r="BB54" s="78">
        <f>IF(OR(INDEX(Undirviðmið!$G$6:$G$105,ROW()-6)&lt;&gt;"Starfsbundinn",BA54="",$E54="",$D54=""),"",ROUND(BA54/$E54*$D54*KVARDI,2))</f>
        <v/>
      </c>
      <c r="BC54" s="66" t="n"/>
      <c r="BD54" s="78">
        <f>IF(OR(INDEX(Undirviðmið!$G$6:$G$105,ROW()-6)&lt;&gt;"Starfsbundinn",BC54="",$E54="",$D54=""),"",ROUND(BC54/$E54*$D54*KVARDI,2))</f>
        <v/>
      </c>
      <c r="BE54" s="66" t="n"/>
      <c r="BF54" s="78">
        <f>IF(OR(INDEX(Undirviðmið!$G$6:$G$105,ROW()-6)&lt;&gt;"Starfsbundinn",BE54="",$E54="",$D54=""),"",ROUND(BE54/$E54*$D54*KVARDI,2))</f>
        <v/>
      </c>
      <c r="BG54" s="66" t="n"/>
      <c r="BH54" s="78">
        <f>IF(OR(INDEX(Undirviðmið!$G$6:$G$105,ROW()-6)&lt;&gt;"Starfsbundinn",BG54="",$E54="",$D54=""),"",ROUND(BG54/$E54*$D54*KVARDI,2))</f>
        <v/>
      </c>
      <c r="BI54" s="66" t="n"/>
      <c r="BJ54" s="78">
        <f>IF(OR(INDEX(Undirviðmið!$G$6:$G$105,ROW()-6)&lt;&gt;"Starfsbundinn",BI54="",$E54="",$D54=""),"",ROUND(BI54/$E54*$D54*KVARDI,2))</f>
        <v/>
      </c>
      <c r="BK54" s="66" t="n"/>
      <c r="BL54" s="78">
        <f>IF(OR(INDEX(Undirviðmið!$G$6:$G$105,ROW()-6)&lt;&gt;"Starfsbundinn",BK54="",$E54="",$D54=""),"",ROUND(BK54/$E54*$D54*KVARDI,2))</f>
        <v/>
      </c>
      <c r="BM54" s="66" t="n"/>
      <c r="BN54" s="78">
        <f>IF(OR(INDEX(Undirviðmið!$G$6:$G$105,ROW()-6)&lt;&gt;"Starfsbundinn",BM54="",$E54="",$D54=""),"",ROUND(BM54/$E54*$D54*KVARDI,2))</f>
        <v/>
      </c>
      <c r="BO54" s="66" t="n"/>
      <c r="BP54" s="78">
        <f>IF(OR(INDEX(Undirviðmið!$G$6:$G$105,ROW()-6)&lt;&gt;"Starfsbundinn",BO54="",$E54="",$D54=""),"",ROUND(BO54/$E54*$D54*KVARDI,2))</f>
        <v/>
      </c>
      <c r="BQ54" s="66" t="n"/>
      <c r="BR54" s="78">
        <f>IF(OR(INDEX(Undirviðmið!$G$6:$G$105,ROW()-6)&lt;&gt;"Starfsbundinn",BQ54="",$E54="",$D54=""),"",ROUND(BQ54/$E54*$D54*KVARDI,2))</f>
        <v/>
      </c>
      <c r="BS54" s="66" t="n"/>
      <c r="BT54" s="78">
        <f>IF(OR(INDEX(Undirviðmið!$G$6:$G$105,ROW()-6)&lt;&gt;"Starfsbundinn",BS54="",$E54="",$D54=""),"",ROUND(BS54/$E54*$D54*KVARDI,2))</f>
        <v/>
      </c>
      <c r="BU54" s="66" t="n"/>
      <c r="BV54" s="78">
        <f>IF(OR(INDEX(Undirviðmið!$G$6:$G$105,ROW()-6)&lt;&gt;"Starfsbundinn",BU54="",$E54="",$D54=""),"",ROUND(BU54/$E54*$D54*KVARDI,2))</f>
        <v/>
      </c>
      <c r="BW54" s="66" t="n"/>
      <c r="BX54" s="78">
        <f>IF(OR(INDEX(Undirviðmið!$G$6:$G$105,ROW()-6)&lt;&gt;"Starfsbundinn",BW54="",$E54="",$D54=""),"",ROUND(BW54/$E54*$D54*KVARDI,2))</f>
        <v/>
      </c>
      <c r="BY54" s="66" t="n"/>
      <c r="BZ54" s="78">
        <f>IF(OR(INDEX(Undirviðmið!$G$6:$G$105,ROW()-6)&lt;&gt;"Starfsbundinn",BY54="",$E54="",$D54=""),"",ROUND(BY54/$E54*$D54*KVARDI,2))</f>
        <v/>
      </c>
      <c r="CA54" s="66" t="n"/>
      <c r="CB54" s="78">
        <f>IF(OR(INDEX(Undirviðmið!$G$6:$G$105,ROW()-6)&lt;&gt;"Starfsbundinn",CA54="",$E54="",$D54=""),"",ROUND(CA54/$E54*$D54*KVARDI,2))</f>
        <v/>
      </c>
      <c r="CC54" s="66" t="n"/>
      <c r="CD54" s="78">
        <f>IF(OR(INDEX(Undirviðmið!$G$6:$G$105,ROW()-6)&lt;&gt;"Starfsbundinn",CC54="",$E54="",$D54=""),"",ROUND(CC54/$E54*$D54*KVARDI,2))</f>
        <v/>
      </c>
      <c r="CE54" s="66" t="n"/>
      <c r="CF54" s="78">
        <f>IF(OR(INDEX(Undirviðmið!$G$6:$G$105,ROW()-6)&lt;&gt;"Starfsbundinn",CE54="",$E54="",$D54=""),"",ROUND(CE54/$E54*$D54*KVARDI,2))</f>
        <v/>
      </c>
      <c r="CG54" s="66" t="n"/>
      <c r="CH54" s="78">
        <f>IF(OR(INDEX(Undirviðmið!$G$6:$G$105,ROW()-6)&lt;&gt;"Starfsbundinn",CG54="",$E54="",$D54=""),"",ROUND(CG54/$E54*$D54*KVARDI,2))</f>
        <v/>
      </c>
      <c r="CI54" s="66" t="n"/>
      <c r="CJ54" s="78">
        <f>IF(OR(INDEX(Undirviðmið!$G$6:$G$105,ROW()-6)&lt;&gt;"Starfsbundinn",CI54="",$E54="",$D54=""),"",ROUND(CI54/$E54*$D54*KVARDI,2))</f>
        <v/>
      </c>
      <c r="CK54" s="66" t="n"/>
      <c r="CL54" s="78">
        <f>IF(OR(INDEX(Undirviðmið!$G$6:$G$105,ROW()-6)&lt;&gt;"Starfsbundinn",CK54="",$E54="",$D54=""),"",ROUND(CK54/$E54*$D54*KVARDI,2))</f>
        <v/>
      </c>
      <c r="CM54" s="66" t="n"/>
      <c r="CN54" s="78">
        <f>IF(OR(INDEX(Undirviðmið!$G$6:$G$105,ROW()-6)&lt;&gt;"Starfsbundinn",CM54="",$E54="",$D54=""),"",ROUND(CM54/$E54*$D54*KVARDI,2))</f>
        <v/>
      </c>
      <c r="CO54" s="66" t="n"/>
      <c r="CP54" s="78">
        <f>IF(OR(INDEX(Undirviðmið!$G$6:$G$105,ROW()-6)&lt;&gt;"Starfsbundinn",CO54="",$E54="",$D54=""),"",ROUND(CO54/$E54*$D54*KVARDI,2))</f>
        <v/>
      </c>
      <c r="CQ54" s="66" t="n"/>
      <c r="CR54" s="78">
        <f>IF(OR(INDEX(Undirviðmið!$G$6:$G$105,ROW()-6)&lt;&gt;"Starfsbundinn",CQ54="",$E54="",$D54=""),"",ROUND(CQ54/$E54*$D54*KVARDI,2))</f>
        <v/>
      </c>
      <c r="CS54" s="66" t="n"/>
      <c r="CT54" s="78">
        <f>IF(OR(INDEX(Undirviðmið!$G$6:$G$105,ROW()-6)&lt;&gt;"Starfsbundinn",CS54="",$E54="",$D54=""),"",ROUND(CS54/$E54*$D54*KVARDI,2))</f>
        <v/>
      </c>
      <c r="CU54" s="66" t="n"/>
      <c r="CV54" s="78">
        <f>IF(OR(INDEX(Undirviðmið!$G$6:$G$105,ROW()-6)&lt;&gt;"Starfsbundinn",CU54="",$E54="",$D54=""),"",ROUND(CU54/$E54*$D54*KVARDI,2))</f>
        <v/>
      </c>
      <c r="CW54" s="66" t="n"/>
      <c r="CX54" s="78">
        <f>IF(OR(INDEX(Undirviðmið!$G$6:$G$105,ROW()-6)&lt;&gt;"Starfsbundinn",CW54="",$E54="",$D54=""),"",ROUND(CW54/$E54*$D54*KVARDI,2))</f>
        <v/>
      </c>
      <c r="CY54" s="66" t="n"/>
      <c r="CZ54" s="78">
        <f>IF(OR(INDEX(Undirviðmið!$G$6:$G$105,ROW()-6)&lt;&gt;"Starfsbundinn",CY54="",$E54="",$D54=""),"",ROUND(CY54/$E54*$D54*KVARDI,2))</f>
        <v/>
      </c>
      <c r="DA54" s="66" t="n"/>
      <c r="DB54" s="78">
        <f>IF(OR(INDEX(Undirviðmið!$G$6:$G$105,ROW()-6)&lt;&gt;"Starfsbundinn",DA54="",$E54="",$D54=""),"",ROUND(DA54/$E54*$D54*KVARDI,2))</f>
        <v/>
      </c>
      <c r="DC54" s="66" t="n"/>
      <c r="DD54" s="78">
        <f>IF(OR(INDEX(Undirviðmið!$G$6:$G$105,ROW()-6)&lt;&gt;"Starfsbundinn",DC54="",$E54="",$D54=""),"",ROUND(DC54/$E54*$D54*KVARDI,2))</f>
        <v/>
      </c>
      <c r="DE54" s="66" t="n"/>
      <c r="DF54" s="78">
        <f>IF(OR(INDEX(Undirviðmið!$G$6:$G$105,ROW()-6)&lt;&gt;"Starfsbundinn",DE54="",$E54="",$D54=""),"",ROUND(DE54/$E54*$D54*KVARDI,2))</f>
        <v/>
      </c>
      <c r="DG54" s="66" t="n"/>
      <c r="DH54" s="78">
        <f>IF(OR(INDEX(Undirviðmið!$G$6:$G$105,ROW()-6)&lt;&gt;"Starfsbundinn",DG54="",$E54="",$D54=""),"",ROUND(DG54/$E54*$D54*KVARDI,2))</f>
        <v/>
      </c>
      <c r="DI54" s="66" t="n"/>
      <c r="DJ54" s="78">
        <f>IF(OR(INDEX(Undirviðmið!$G$6:$G$105,ROW()-6)&lt;&gt;"Starfsbundinn",DI54="",$E54="",$D54=""),"",ROUND(DI54/$E54*$D54*KVARDI,2))</f>
        <v/>
      </c>
      <c r="DK54" s="66" t="n"/>
      <c r="DL54" s="78">
        <f>IF(OR(INDEX(Undirviðmið!$G$6:$G$105,ROW()-6)&lt;&gt;"Starfsbundinn",DK54="",$E54="",$D54=""),"",ROUND(DK54/$E54*$D54*KVARDI,2))</f>
        <v/>
      </c>
      <c r="DM54" s="66" t="n"/>
      <c r="DN54" s="78">
        <f>IF(OR(INDEX(Undirviðmið!$G$6:$G$105,ROW()-6)&lt;&gt;"Starfsbundinn",DM54="",$E54="",$D54=""),"",ROUND(DM54/$E54*$D54*KVARDI,2))</f>
        <v/>
      </c>
      <c r="DO54" s="66" t="n"/>
      <c r="DP54" s="78">
        <f>IF(OR(INDEX(Undirviðmið!$G$6:$G$105,ROW()-6)&lt;&gt;"Starfsbundinn",DO54="",$E54="",$D54=""),"",ROUND(DO54/$E54*$D54*KVARDI,2))</f>
        <v/>
      </c>
      <c r="DQ54" s="66" t="n"/>
      <c r="DR54" s="78">
        <f>IF(OR(INDEX(Undirviðmið!$G$6:$G$105,ROW()-6)&lt;&gt;"Starfsbundinn",DQ54="",$E54="",$D54=""),"",ROUND(DQ54/$E54*$D54*KVARDI,2))</f>
        <v/>
      </c>
      <c r="DS54" s="66" t="n"/>
      <c r="DT54" s="78">
        <f>IF(OR(INDEX(Undirviðmið!$G$6:$G$105,ROW()-6)&lt;&gt;"Starfsbundinn",DS54="",$E54="",$D54=""),"",ROUND(DS54/$E54*$D54*KVARDI,2))</f>
        <v/>
      </c>
      <c r="DU54" s="66" t="n"/>
      <c r="DV54" s="78">
        <f>IF(OR(INDEX(Undirviðmið!$G$6:$G$105,ROW()-6)&lt;&gt;"Starfsbundinn",DU54="",$E54="",$D54=""),"",ROUND(DU54/$E54*$D54*KVARDI,2))</f>
        <v/>
      </c>
      <c r="DW54" s="66" t="n"/>
      <c r="DX54" s="78">
        <f>IF(OR(INDEX(Undirviðmið!$G$6:$G$105,ROW()-6)&lt;&gt;"Starfsbundinn",DW54="",$E54="",$D54=""),"",ROUND(DW54/$E54*$D54*KVARDI,2))</f>
        <v/>
      </c>
      <c r="DY54" s="66" t="n"/>
      <c r="DZ54" s="78">
        <f>IF(OR(INDEX(Undirviðmið!$G$6:$G$105,ROW()-6)&lt;&gt;"Starfsbundinn",DY54="",$E54="",$D54=""),"",ROUND(DY54/$E54*$D54*KVARDI,2))</f>
        <v/>
      </c>
      <c r="EA54" s="66" t="n"/>
      <c r="EB54" s="78">
        <f>IF(OR(INDEX(Undirviðmið!$G$6:$G$105,ROW()-6)&lt;&gt;"Starfsbundinn",EA54="",$E54="",$D54=""),"",ROUND(EA54/$E54*$D54*KVARDI,2))</f>
        <v/>
      </c>
      <c r="EC54" s="66" t="n"/>
      <c r="ED54" s="78">
        <f>IF(OR(INDEX(Undirviðmið!$G$6:$G$105,ROW()-6)&lt;&gt;"Starfsbundinn",EC54="",$E54="",$D54=""),"",ROUND(EC54/$E54*$D54*KVARDI,2))</f>
        <v/>
      </c>
      <c r="EE54" s="66" t="n"/>
      <c r="EF54" s="78">
        <f>IF(OR(INDEX(Undirviðmið!$G$6:$G$105,ROW()-6)&lt;&gt;"Starfsbundinn",EE54="",$E54="",$D54=""),"",ROUND(EE54/$E54*$D54*KVARDI,2))</f>
        <v/>
      </c>
      <c r="EG54" s="66" t="n"/>
      <c r="EH54" s="78">
        <f>IF(OR(INDEX(Undirviðmið!$G$6:$G$105,ROW()-6)&lt;&gt;"Starfsbundinn",EG54="",$E54="",$D54=""),"",ROUND(EG54/$E54*$D54*KVARDI,2))</f>
        <v/>
      </c>
      <c r="EI54" s="66" t="n"/>
      <c r="EJ54" s="78">
        <f>IF(OR(INDEX(Undirviðmið!$G$6:$G$105,ROW()-6)&lt;&gt;"Starfsbundinn",EI54="",$E54="",$D54=""),"",ROUND(EI54/$E54*$D54*KVARDI,2))</f>
        <v/>
      </c>
      <c r="EK54" s="66" t="n"/>
      <c r="EL54" s="78">
        <f>IF(OR(INDEX(Undirviðmið!$G$6:$G$105,ROW()-6)&lt;&gt;"Starfsbundinn",EK54="",$E54="",$D54=""),"",ROUND(EK54/$E54*$D54*KVARDI,2))</f>
        <v/>
      </c>
      <c r="EM54" s="66" t="n"/>
      <c r="EN54" s="78">
        <f>IF(OR(INDEX(Undirviðmið!$G$6:$G$105,ROW()-6)&lt;&gt;"Starfsbundinn",EM54="",$E54="",$D54=""),"",ROUND(EM54/$E54*$D54*KVARDI,2))</f>
        <v/>
      </c>
      <c r="EO54" s="66" t="n"/>
      <c r="EP54" s="78">
        <f>IF(OR(INDEX(Undirviðmið!$G$6:$G$105,ROW()-6)&lt;&gt;"Starfsbundinn",EO54="",$E54="",$D54=""),"",ROUND(EO54/$E54*$D54*KVARDI,2))</f>
        <v/>
      </c>
      <c r="EQ54" s="66" t="n"/>
      <c r="ER54" s="78">
        <f>IF(OR(INDEX(Undirviðmið!$G$6:$G$105,ROW()-6)&lt;&gt;"Starfsbundinn",EQ54="",$E54="",$D54=""),"",ROUND(EQ54/$E54*$D54*KVARDI,2))</f>
        <v/>
      </c>
      <c r="ES54" s="66" t="n"/>
      <c r="ET54" s="78">
        <f>IF(OR(INDEX(Undirviðmið!$G$6:$G$105,ROW()-6)&lt;&gt;"Starfsbundinn",ES54="",$E54="",$D54=""),"",ROUND(ES54/$E54*$D54*KVARDI,2))</f>
        <v/>
      </c>
      <c r="EU54" s="66" t="n"/>
      <c r="EV54" s="78">
        <f>IF(OR(INDEX(Undirviðmið!$G$6:$G$105,ROW()-6)&lt;&gt;"Starfsbundinn",EU54="",$E54="",$D54=""),"",ROUND(EU54/$E54*$D54*KVARDI,2))</f>
        <v/>
      </c>
      <c r="EW54" s="66" t="n"/>
      <c r="EX54" s="78">
        <f>IF(OR(INDEX(Undirviðmið!$G$6:$G$105,ROW()-6)&lt;&gt;"Starfsbundinn",EW54="",$E54="",$D54=""),"",ROUND(EW54/$E54*$D54*KVARDI,2))</f>
        <v/>
      </c>
      <c r="EY54" s="66" t="n"/>
      <c r="EZ54" s="78">
        <f>IF(OR(INDEX(Undirviðmið!$G$6:$G$105,ROW()-6)&lt;&gt;"Starfsbundinn",EY54="",$E54="",$D54=""),"",ROUND(EY54/$E54*$D54*KVARDI,2))</f>
        <v/>
      </c>
      <c r="FA54" s="66" t="n"/>
      <c r="FB54" s="78">
        <f>IF(OR(INDEX(Undirviðmið!$G$6:$G$105,ROW()-6)&lt;&gt;"Starfsbundinn",FA54="",$E54="",$D54=""),"",ROUND(FA54/$E54*$D54*KVARDI,2))</f>
        <v/>
      </c>
      <c r="FC54" s="66" t="n"/>
      <c r="FD54" s="78">
        <f>IF(OR(INDEX(Undirviðmið!$G$6:$G$105,ROW()-6)&lt;&gt;"Starfsbundinn",FC54="",$E54="",$D54=""),"",ROUND(FC54/$E54*$D54*KVARDI,2))</f>
        <v/>
      </c>
      <c r="FE54" s="66" t="n"/>
      <c r="FF54" s="78">
        <f>IF(OR(INDEX(Undirviðmið!$G$6:$G$105,ROW()-6)&lt;&gt;"Starfsbundinn",FE54="",$E54="",$D54=""),"",ROUND(FE54/$E54*$D54*KVARDI,2))</f>
        <v/>
      </c>
      <c r="FG54" s="66" t="n"/>
      <c r="FH54" s="78">
        <f>IF(OR(INDEX(Undirviðmið!$G$6:$G$105,ROW()-6)&lt;&gt;"Starfsbundinn",FG54="",$E54="",$D54=""),"",ROUND(FG54/$E54*$D54*KVARDI,2))</f>
        <v/>
      </c>
      <c r="FI54" s="66" t="n"/>
      <c r="FJ54" s="78">
        <f>IF(OR(INDEX(Undirviðmið!$G$6:$G$105,ROW()-6)&lt;&gt;"Starfsbundinn",FI54="",$E54="",$D54=""),"",ROUND(FI54/$E54*$D54*KVARDI,2))</f>
        <v/>
      </c>
      <c r="FK54" s="66" t="n"/>
      <c r="FL54" s="78">
        <f>IF(OR(INDEX(Undirviðmið!$G$6:$G$105,ROW()-6)&lt;&gt;"Starfsbundinn",FK54="",$E54="",$D54=""),"",ROUND(FK54/$E54*$D54*KVARDI,2))</f>
        <v/>
      </c>
      <c r="FM54" s="66" t="n"/>
      <c r="FN54" s="78">
        <f>IF(OR(INDEX(Undirviðmið!$G$6:$G$105,ROW()-6)&lt;&gt;"Starfsbundinn",FM54="",$E54="",$D54=""),"",ROUND(FM54/$E54*$D54*KVARDI,2))</f>
        <v/>
      </c>
      <c r="FO54" s="66" t="n"/>
      <c r="FP54" s="78">
        <f>IF(OR(INDEX(Undirviðmið!$G$6:$G$105,ROW()-6)&lt;&gt;"Starfsbundinn",FO54="",$E54="",$D54=""),"",ROUND(FO54/$E54*$D54*KVARDI,2))</f>
        <v/>
      </c>
      <c r="FQ54" s="66" t="n"/>
      <c r="FR54" s="78">
        <f>IF(OR(INDEX(Undirviðmið!$G$6:$G$105,ROW()-6)&lt;&gt;"Starfsbundinn",FQ54="",$E54="",$D54=""),"",ROUND(FQ54/$E54*$D54*KVARDI,2))</f>
        <v/>
      </c>
      <c r="FS54" s="66" t="n"/>
      <c r="FT54" s="78">
        <f>IF(OR(INDEX(Undirviðmið!$G$6:$G$105,ROW()-6)&lt;&gt;"Starfsbundinn",FS54="",$E54="",$D54=""),"",ROUND(FS54/$E54*$D54*KVARDI,2))</f>
        <v/>
      </c>
      <c r="FU54" s="66" t="n"/>
      <c r="FV54" s="78">
        <f>IF(OR(INDEX(Undirviðmið!$G$6:$G$105,ROW()-6)&lt;&gt;"Starfsbundinn",FU54="",$E54="",$D54=""),"",ROUND(FU54/$E54*$D54*KVARDI,2))</f>
        <v/>
      </c>
      <c r="FW54" s="66" t="n"/>
      <c r="FX54" s="78">
        <f>IF(OR(INDEX(Undirviðmið!$G$6:$G$105,ROW()-6)&lt;&gt;"Starfsbundinn",FW54="",$E54="",$D54=""),"",ROUND(FW54/$E54*$D54*KVARDI,2))</f>
        <v/>
      </c>
      <c r="FY54" s="66" t="n"/>
      <c r="FZ54" s="78">
        <f>IF(OR(INDEX(Undirviðmið!$G$6:$G$105,ROW()-6)&lt;&gt;"Starfsbundinn",FY54="",$E54="",$D54=""),"",ROUND(FY54/$E54*$D54*KVARDI,2))</f>
        <v/>
      </c>
      <c r="GA54" s="66" t="n"/>
      <c r="GB54" s="78">
        <f>IF(OR(INDEX(Undirviðmið!$G$6:$G$105,ROW()-6)&lt;&gt;"Starfsbundinn",GA54="",$E54="",$D54=""),"",ROUND(GA54/$E54*$D54*KVARDI,2))</f>
        <v/>
      </c>
      <c r="GC54" s="66" t="n"/>
      <c r="GD54" s="78">
        <f>IF(OR(INDEX(Undirviðmið!$G$6:$G$105,ROW()-6)&lt;&gt;"Starfsbundinn",GC54="",$E54="",$D54=""),"",ROUND(GC54/$E54*$D54*KVARDI,2))</f>
        <v/>
      </c>
      <c r="GE54" s="66" t="n"/>
      <c r="GF54" s="78">
        <f>IF(OR(INDEX(Undirviðmið!$G$6:$G$105,ROW()-6)&lt;&gt;"Starfsbundinn",GE54="",$E54="",$D54=""),"",ROUND(GE54/$E54*$D54*KVARDI,2))</f>
        <v/>
      </c>
      <c r="GG54" s="66" t="n"/>
      <c r="GH54" s="78">
        <f>IF(OR(INDEX(Undirviðmið!$G$6:$G$105,ROW()-6)&lt;&gt;"Starfsbundinn",GG54="",$E54="",$D54=""),"",ROUND(GG54/$E54*$D54*KVARDI,2))</f>
        <v/>
      </c>
      <c r="GI54" s="66" t="n"/>
      <c r="GJ54" s="78">
        <f>IF(OR(INDEX(Undirviðmið!$G$6:$G$105,ROW()-6)&lt;&gt;"Starfsbundinn",GI54="",$E54="",$D54=""),"",ROUND(GI54/$E54*$D54*KVARDI,2))</f>
        <v/>
      </c>
      <c r="GK54" s="66" t="n"/>
      <c r="GL54" s="78">
        <f>IF(OR(INDEX(Undirviðmið!$G$6:$G$105,ROW()-6)&lt;&gt;"Starfsbundinn",GK54="",$E54="",$D54=""),"",ROUND(GK54/$E54*$D54*KVARDI,2))</f>
        <v/>
      </c>
      <c r="GM54" s="66" t="n"/>
      <c r="GN54" s="78">
        <f>IF(OR(INDEX(Undirviðmið!$G$6:$G$105,ROW()-6)&lt;&gt;"Starfsbundinn",GM54="",$E54="",$D54=""),"",ROUND(GM54/$E54*$D54*KVARDI,2))</f>
        <v/>
      </c>
      <c r="GO54" s="66" t="n"/>
      <c r="GP54" s="78">
        <f>IF(OR(INDEX(Undirviðmið!$G$6:$G$105,ROW()-6)&lt;&gt;"Starfsbundinn",GO54="",$E54="",$D54=""),"",ROUND(GO54/$E54*$D54*KVARDI,2))</f>
        <v/>
      </c>
      <c r="GQ54" s="66" t="n"/>
      <c r="GR54" s="78">
        <f>IF(OR(INDEX(Undirviðmið!$G$6:$G$105,ROW()-6)&lt;&gt;"Starfsbundinn",GQ54="",$E54="",$D54=""),"",ROUND(GQ54/$E54*$D54*KVARDI,2))</f>
        <v/>
      </c>
      <c r="GS54" s="66" t="n"/>
      <c r="GT54" s="78">
        <f>IF(OR(INDEX(Undirviðmið!$G$6:$G$105,ROW()-6)&lt;&gt;"Starfsbundinn",GS54="",$E54="",$D54=""),"",ROUND(GS54/$E54*$D54*KVARDI,2))</f>
        <v/>
      </c>
      <c r="GU54" s="66" t="n"/>
      <c r="GV54" s="78">
        <f>IF(OR(INDEX(Undirviðmið!$G$6:$G$105,ROW()-6)&lt;&gt;"Starfsbundinn",GU54="",$E54="",$D54=""),"",ROUND(GU54/$E54*$D54*KVARDI,2))</f>
        <v/>
      </c>
      <c r="GW54" s="66" t="n"/>
      <c r="GX54" s="78">
        <f>IF(OR(INDEX(Undirviðmið!$G$6:$G$105,ROW()-6)&lt;&gt;"Starfsbundinn",GW54="",$E54="",$D54=""),"",ROUND(GW54/$E54*$D54*KVARDI,2))</f>
        <v/>
      </c>
    </row>
    <row r="55" ht="15" customHeight="1" s="47">
      <c r="B55" s="67">
        <f>IF(INDEX(Undirviðmið!$G$6:$G$105,ROW()-6)="Starfsbundinn",INDEX(Undirviðmið!$B$6:$B$105,ROW()-6),"")</f>
        <v/>
      </c>
      <c r="C55" s="67">
        <f>IF(INDEX(Undirviðmið!$G$6:$G$105,ROW()-6)="Starfsbundinn",INDEX(Undirviðmið!$C$6:$C$105,ROW()-6),"")</f>
        <v/>
      </c>
      <c r="D55" s="77">
        <f>IF(INDEX(Undirviðmið!$G$6:$G$105,ROW()-6)="Starfsbundinn",INDEX(Undirviðmið!$E$6:$E$105,ROW()-6),"")</f>
        <v/>
      </c>
      <c r="E55" s="77">
        <f>IF(INDEX(Undirviðmið!$G$6:$G$105,ROW()-6)="Starfsbundinn",INDEX(Undirviðmið!$F$6:$F$105,ROW()-6),"")</f>
        <v/>
      </c>
      <c r="F55" s="77">
        <f>IF(INDEX(Undirviðmið!$G$6:$G$105,ROW()-6)="Starfsbundinn",IFERROR(INDEX(Undirviðmið!$E$6:$E$105,ROW()-6)*KVARDI,""),"")</f>
        <v/>
      </c>
      <c r="G55" s="66" t="n"/>
      <c r="H55" s="78">
        <f>IF(OR(INDEX(Undirviðmið!$G$6:$G$105,ROW()-6)&lt;&gt;"Starfsbundinn",G55="",$E55="",$D55=""),"",ROUND(G55/$E55*$D55*KVARDI,2))</f>
        <v/>
      </c>
      <c r="I55" s="66" t="n"/>
      <c r="J55" s="78">
        <f>IF(OR(INDEX(Undirviðmið!$G$6:$G$105,ROW()-6)&lt;&gt;"Starfsbundinn",I55="",$E55="",$D55=""),"",ROUND(I55/$E55*$D55*KVARDI,2))</f>
        <v/>
      </c>
      <c r="K55" s="66" t="n"/>
      <c r="L55" s="78">
        <f>IF(OR(INDEX(Undirviðmið!$G$6:$G$105,ROW()-6)&lt;&gt;"Starfsbundinn",K55="",$E55="",$D55=""),"",ROUND(K55/$E55*$D55*KVARDI,2))</f>
        <v/>
      </c>
      <c r="M55" s="66" t="n"/>
      <c r="N55" s="78">
        <f>IF(OR(INDEX(Undirviðmið!$G$6:$G$105,ROW()-6)&lt;&gt;"Starfsbundinn",M55="",$E55="",$D55=""),"",ROUND(M55/$E55*$D55*KVARDI,2))</f>
        <v/>
      </c>
      <c r="O55" s="66" t="n"/>
      <c r="P55" s="78">
        <f>IF(OR(INDEX(Undirviðmið!$G$6:$G$105,ROW()-6)&lt;&gt;"Starfsbundinn",O55="",$E55="",$D55=""),"",ROUND(O55/$E55*$D55*KVARDI,2))</f>
        <v/>
      </c>
      <c r="Q55" s="66" t="n"/>
      <c r="R55" s="78">
        <f>IF(OR(INDEX(Undirviðmið!$G$6:$G$105,ROW()-6)&lt;&gt;"Starfsbundinn",Q55="",$E55="",$D55=""),"",ROUND(Q55/$E55*$D55*KVARDI,2))</f>
        <v/>
      </c>
      <c r="S55" s="66" t="n"/>
      <c r="T55" s="78">
        <f>IF(OR(INDEX(Undirviðmið!$G$6:$G$105,ROW()-6)&lt;&gt;"Starfsbundinn",S55="",$E55="",$D55=""),"",ROUND(S55/$E55*$D55*KVARDI,2))</f>
        <v/>
      </c>
      <c r="U55" s="66" t="n"/>
      <c r="V55" s="78">
        <f>IF(OR(INDEX(Undirviðmið!$G$6:$G$105,ROW()-6)&lt;&gt;"Starfsbundinn",U55="",$E55="",$D55=""),"",ROUND(U55/$E55*$D55*KVARDI,2))</f>
        <v/>
      </c>
      <c r="W55" s="66" t="n"/>
      <c r="X55" s="78">
        <f>IF(OR(INDEX(Undirviðmið!$G$6:$G$105,ROW()-6)&lt;&gt;"Starfsbundinn",W55="",$E55="",$D55=""),"",ROUND(W55/$E55*$D55*KVARDI,2))</f>
        <v/>
      </c>
      <c r="Y55" s="66" t="n"/>
      <c r="Z55" s="78">
        <f>IF(OR(INDEX(Undirviðmið!$G$6:$G$105,ROW()-6)&lt;&gt;"Starfsbundinn",Y55="",$E55="",$D55=""),"",ROUND(Y55/$E55*$D55*KVARDI,2))</f>
        <v/>
      </c>
      <c r="AA55" s="66" t="n"/>
      <c r="AB55" s="78">
        <f>IF(OR(INDEX(Undirviðmið!$G$6:$G$105,ROW()-6)&lt;&gt;"Starfsbundinn",AA55="",$E55="",$D55=""),"",ROUND(AA55/$E55*$D55*KVARDI,2))</f>
        <v/>
      </c>
      <c r="AC55" s="66" t="n"/>
      <c r="AD55" s="78">
        <f>IF(OR(INDEX(Undirviðmið!$G$6:$G$105,ROW()-6)&lt;&gt;"Starfsbundinn",AC55="",$E55="",$D55=""),"",ROUND(AC55/$E55*$D55*KVARDI,2))</f>
        <v/>
      </c>
      <c r="AE55" s="66" t="n"/>
      <c r="AF55" s="78">
        <f>IF(OR(INDEX(Undirviðmið!$G$6:$G$105,ROW()-6)&lt;&gt;"Starfsbundinn",AE55="",$E55="",$D55=""),"",ROUND(AE55/$E55*$D55*KVARDI,2))</f>
        <v/>
      </c>
      <c r="AG55" s="66" t="n"/>
      <c r="AH55" s="78">
        <f>IF(OR(INDEX(Undirviðmið!$G$6:$G$105,ROW()-6)&lt;&gt;"Starfsbundinn",AG55="",$E55="",$D55=""),"",ROUND(AG55/$E55*$D55*KVARDI,2))</f>
        <v/>
      </c>
      <c r="AI55" s="66" t="n"/>
      <c r="AJ55" s="78">
        <f>IF(OR(INDEX(Undirviðmið!$G$6:$G$105,ROW()-6)&lt;&gt;"Starfsbundinn",AI55="",$E55="",$D55=""),"",ROUND(AI55/$E55*$D55*KVARDI,2))</f>
        <v/>
      </c>
      <c r="AK55" s="66" t="n"/>
      <c r="AL55" s="78">
        <f>IF(OR(INDEX(Undirviðmið!$G$6:$G$105,ROW()-6)&lt;&gt;"Starfsbundinn",AK55="",$E55="",$D55=""),"",ROUND(AK55/$E55*$D55*KVARDI,2))</f>
        <v/>
      </c>
      <c r="AM55" s="66" t="n"/>
      <c r="AN55" s="78">
        <f>IF(OR(INDEX(Undirviðmið!$G$6:$G$105,ROW()-6)&lt;&gt;"Starfsbundinn",AM55="",$E55="",$D55=""),"",ROUND(AM55/$E55*$D55*KVARDI,2))</f>
        <v/>
      </c>
      <c r="AO55" s="66" t="n"/>
      <c r="AP55" s="78">
        <f>IF(OR(INDEX(Undirviðmið!$G$6:$G$105,ROW()-6)&lt;&gt;"Starfsbundinn",AO55="",$E55="",$D55=""),"",ROUND(AO55/$E55*$D55*KVARDI,2))</f>
        <v/>
      </c>
      <c r="AQ55" s="66" t="n"/>
      <c r="AR55" s="78">
        <f>IF(OR(INDEX(Undirviðmið!$G$6:$G$105,ROW()-6)&lt;&gt;"Starfsbundinn",AQ55="",$E55="",$D55=""),"",ROUND(AQ55/$E55*$D55*KVARDI,2))</f>
        <v/>
      </c>
      <c r="AS55" s="66" t="n"/>
      <c r="AT55" s="78">
        <f>IF(OR(INDEX(Undirviðmið!$G$6:$G$105,ROW()-6)&lt;&gt;"Starfsbundinn",AS55="",$E55="",$D55=""),"",ROUND(AS55/$E55*$D55*KVARDI,2))</f>
        <v/>
      </c>
      <c r="AU55" s="66" t="n"/>
      <c r="AV55" s="78">
        <f>IF(OR(INDEX(Undirviðmið!$G$6:$G$105,ROW()-6)&lt;&gt;"Starfsbundinn",AU55="",$E55="",$D55=""),"",ROUND(AU55/$E55*$D55*KVARDI,2))</f>
        <v/>
      </c>
      <c r="AW55" s="66" t="n"/>
      <c r="AX55" s="78">
        <f>IF(OR(INDEX(Undirviðmið!$G$6:$G$105,ROW()-6)&lt;&gt;"Starfsbundinn",AW55="",$E55="",$D55=""),"",ROUND(AW55/$E55*$D55*KVARDI,2))</f>
        <v/>
      </c>
      <c r="AY55" s="66" t="n"/>
      <c r="AZ55" s="78">
        <f>IF(OR(INDEX(Undirviðmið!$G$6:$G$105,ROW()-6)&lt;&gt;"Starfsbundinn",AY55="",$E55="",$D55=""),"",ROUND(AY55/$E55*$D55*KVARDI,2))</f>
        <v/>
      </c>
      <c r="BA55" s="66" t="n"/>
      <c r="BB55" s="78">
        <f>IF(OR(INDEX(Undirviðmið!$G$6:$G$105,ROW()-6)&lt;&gt;"Starfsbundinn",BA55="",$E55="",$D55=""),"",ROUND(BA55/$E55*$D55*KVARDI,2))</f>
        <v/>
      </c>
      <c r="BC55" s="66" t="n"/>
      <c r="BD55" s="78">
        <f>IF(OR(INDEX(Undirviðmið!$G$6:$G$105,ROW()-6)&lt;&gt;"Starfsbundinn",BC55="",$E55="",$D55=""),"",ROUND(BC55/$E55*$D55*KVARDI,2))</f>
        <v/>
      </c>
      <c r="BE55" s="66" t="n"/>
      <c r="BF55" s="78">
        <f>IF(OR(INDEX(Undirviðmið!$G$6:$G$105,ROW()-6)&lt;&gt;"Starfsbundinn",BE55="",$E55="",$D55=""),"",ROUND(BE55/$E55*$D55*KVARDI,2))</f>
        <v/>
      </c>
      <c r="BG55" s="66" t="n"/>
      <c r="BH55" s="78">
        <f>IF(OR(INDEX(Undirviðmið!$G$6:$G$105,ROW()-6)&lt;&gt;"Starfsbundinn",BG55="",$E55="",$D55=""),"",ROUND(BG55/$E55*$D55*KVARDI,2))</f>
        <v/>
      </c>
      <c r="BI55" s="66" t="n"/>
      <c r="BJ55" s="78">
        <f>IF(OR(INDEX(Undirviðmið!$G$6:$G$105,ROW()-6)&lt;&gt;"Starfsbundinn",BI55="",$E55="",$D55=""),"",ROUND(BI55/$E55*$D55*KVARDI,2))</f>
        <v/>
      </c>
      <c r="BK55" s="66" t="n"/>
      <c r="BL55" s="78">
        <f>IF(OR(INDEX(Undirviðmið!$G$6:$G$105,ROW()-6)&lt;&gt;"Starfsbundinn",BK55="",$E55="",$D55=""),"",ROUND(BK55/$E55*$D55*KVARDI,2))</f>
        <v/>
      </c>
      <c r="BM55" s="66" t="n"/>
      <c r="BN55" s="78">
        <f>IF(OR(INDEX(Undirviðmið!$G$6:$G$105,ROW()-6)&lt;&gt;"Starfsbundinn",BM55="",$E55="",$D55=""),"",ROUND(BM55/$E55*$D55*KVARDI,2))</f>
        <v/>
      </c>
      <c r="BO55" s="66" t="n"/>
      <c r="BP55" s="78">
        <f>IF(OR(INDEX(Undirviðmið!$G$6:$G$105,ROW()-6)&lt;&gt;"Starfsbundinn",BO55="",$E55="",$D55=""),"",ROUND(BO55/$E55*$D55*KVARDI,2))</f>
        <v/>
      </c>
      <c r="BQ55" s="66" t="n"/>
      <c r="BR55" s="78">
        <f>IF(OR(INDEX(Undirviðmið!$G$6:$G$105,ROW()-6)&lt;&gt;"Starfsbundinn",BQ55="",$E55="",$D55=""),"",ROUND(BQ55/$E55*$D55*KVARDI,2))</f>
        <v/>
      </c>
      <c r="BS55" s="66" t="n"/>
      <c r="BT55" s="78">
        <f>IF(OR(INDEX(Undirviðmið!$G$6:$G$105,ROW()-6)&lt;&gt;"Starfsbundinn",BS55="",$E55="",$D55=""),"",ROUND(BS55/$E55*$D55*KVARDI,2))</f>
        <v/>
      </c>
      <c r="BU55" s="66" t="n"/>
      <c r="BV55" s="78">
        <f>IF(OR(INDEX(Undirviðmið!$G$6:$G$105,ROW()-6)&lt;&gt;"Starfsbundinn",BU55="",$E55="",$D55=""),"",ROUND(BU55/$E55*$D55*KVARDI,2))</f>
        <v/>
      </c>
      <c r="BW55" s="66" t="n"/>
      <c r="BX55" s="78">
        <f>IF(OR(INDEX(Undirviðmið!$G$6:$G$105,ROW()-6)&lt;&gt;"Starfsbundinn",BW55="",$E55="",$D55=""),"",ROUND(BW55/$E55*$D55*KVARDI,2))</f>
        <v/>
      </c>
      <c r="BY55" s="66" t="n"/>
      <c r="BZ55" s="78">
        <f>IF(OR(INDEX(Undirviðmið!$G$6:$G$105,ROW()-6)&lt;&gt;"Starfsbundinn",BY55="",$E55="",$D55=""),"",ROUND(BY55/$E55*$D55*KVARDI,2))</f>
        <v/>
      </c>
      <c r="CA55" s="66" t="n"/>
      <c r="CB55" s="78">
        <f>IF(OR(INDEX(Undirviðmið!$G$6:$G$105,ROW()-6)&lt;&gt;"Starfsbundinn",CA55="",$E55="",$D55=""),"",ROUND(CA55/$E55*$D55*KVARDI,2))</f>
        <v/>
      </c>
      <c r="CC55" s="66" t="n"/>
      <c r="CD55" s="78">
        <f>IF(OR(INDEX(Undirviðmið!$G$6:$G$105,ROW()-6)&lt;&gt;"Starfsbundinn",CC55="",$E55="",$D55=""),"",ROUND(CC55/$E55*$D55*KVARDI,2))</f>
        <v/>
      </c>
      <c r="CE55" s="66" t="n"/>
      <c r="CF55" s="78">
        <f>IF(OR(INDEX(Undirviðmið!$G$6:$G$105,ROW()-6)&lt;&gt;"Starfsbundinn",CE55="",$E55="",$D55=""),"",ROUND(CE55/$E55*$D55*KVARDI,2))</f>
        <v/>
      </c>
      <c r="CG55" s="66" t="n"/>
      <c r="CH55" s="78">
        <f>IF(OR(INDEX(Undirviðmið!$G$6:$G$105,ROW()-6)&lt;&gt;"Starfsbundinn",CG55="",$E55="",$D55=""),"",ROUND(CG55/$E55*$D55*KVARDI,2))</f>
        <v/>
      </c>
      <c r="CI55" s="66" t="n"/>
      <c r="CJ55" s="78">
        <f>IF(OR(INDEX(Undirviðmið!$G$6:$G$105,ROW()-6)&lt;&gt;"Starfsbundinn",CI55="",$E55="",$D55=""),"",ROUND(CI55/$E55*$D55*KVARDI,2))</f>
        <v/>
      </c>
      <c r="CK55" s="66" t="n"/>
      <c r="CL55" s="78">
        <f>IF(OR(INDEX(Undirviðmið!$G$6:$G$105,ROW()-6)&lt;&gt;"Starfsbundinn",CK55="",$E55="",$D55=""),"",ROUND(CK55/$E55*$D55*KVARDI,2))</f>
        <v/>
      </c>
      <c r="CM55" s="66" t="n"/>
      <c r="CN55" s="78">
        <f>IF(OR(INDEX(Undirviðmið!$G$6:$G$105,ROW()-6)&lt;&gt;"Starfsbundinn",CM55="",$E55="",$D55=""),"",ROUND(CM55/$E55*$D55*KVARDI,2))</f>
        <v/>
      </c>
      <c r="CO55" s="66" t="n"/>
      <c r="CP55" s="78">
        <f>IF(OR(INDEX(Undirviðmið!$G$6:$G$105,ROW()-6)&lt;&gt;"Starfsbundinn",CO55="",$E55="",$D55=""),"",ROUND(CO55/$E55*$D55*KVARDI,2))</f>
        <v/>
      </c>
      <c r="CQ55" s="66" t="n"/>
      <c r="CR55" s="78">
        <f>IF(OR(INDEX(Undirviðmið!$G$6:$G$105,ROW()-6)&lt;&gt;"Starfsbundinn",CQ55="",$E55="",$D55=""),"",ROUND(CQ55/$E55*$D55*KVARDI,2))</f>
        <v/>
      </c>
      <c r="CS55" s="66" t="n"/>
      <c r="CT55" s="78">
        <f>IF(OR(INDEX(Undirviðmið!$G$6:$G$105,ROW()-6)&lt;&gt;"Starfsbundinn",CS55="",$E55="",$D55=""),"",ROUND(CS55/$E55*$D55*KVARDI,2))</f>
        <v/>
      </c>
      <c r="CU55" s="66" t="n"/>
      <c r="CV55" s="78">
        <f>IF(OR(INDEX(Undirviðmið!$G$6:$G$105,ROW()-6)&lt;&gt;"Starfsbundinn",CU55="",$E55="",$D55=""),"",ROUND(CU55/$E55*$D55*KVARDI,2))</f>
        <v/>
      </c>
      <c r="CW55" s="66" t="n"/>
      <c r="CX55" s="78">
        <f>IF(OR(INDEX(Undirviðmið!$G$6:$G$105,ROW()-6)&lt;&gt;"Starfsbundinn",CW55="",$E55="",$D55=""),"",ROUND(CW55/$E55*$D55*KVARDI,2))</f>
        <v/>
      </c>
      <c r="CY55" s="66" t="n"/>
      <c r="CZ55" s="78">
        <f>IF(OR(INDEX(Undirviðmið!$G$6:$G$105,ROW()-6)&lt;&gt;"Starfsbundinn",CY55="",$E55="",$D55=""),"",ROUND(CY55/$E55*$D55*KVARDI,2))</f>
        <v/>
      </c>
      <c r="DA55" s="66" t="n"/>
      <c r="DB55" s="78">
        <f>IF(OR(INDEX(Undirviðmið!$G$6:$G$105,ROW()-6)&lt;&gt;"Starfsbundinn",DA55="",$E55="",$D55=""),"",ROUND(DA55/$E55*$D55*KVARDI,2))</f>
        <v/>
      </c>
      <c r="DC55" s="66" t="n"/>
      <c r="DD55" s="78">
        <f>IF(OR(INDEX(Undirviðmið!$G$6:$G$105,ROW()-6)&lt;&gt;"Starfsbundinn",DC55="",$E55="",$D55=""),"",ROUND(DC55/$E55*$D55*KVARDI,2))</f>
        <v/>
      </c>
      <c r="DE55" s="66" t="n"/>
      <c r="DF55" s="78">
        <f>IF(OR(INDEX(Undirviðmið!$G$6:$G$105,ROW()-6)&lt;&gt;"Starfsbundinn",DE55="",$E55="",$D55=""),"",ROUND(DE55/$E55*$D55*KVARDI,2))</f>
        <v/>
      </c>
      <c r="DG55" s="66" t="n"/>
      <c r="DH55" s="78">
        <f>IF(OR(INDEX(Undirviðmið!$G$6:$G$105,ROW()-6)&lt;&gt;"Starfsbundinn",DG55="",$E55="",$D55=""),"",ROUND(DG55/$E55*$D55*KVARDI,2))</f>
        <v/>
      </c>
      <c r="DI55" s="66" t="n"/>
      <c r="DJ55" s="78">
        <f>IF(OR(INDEX(Undirviðmið!$G$6:$G$105,ROW()-6)&lt;&gt;"Starfsbundinn",DI55="",$E55="",$D55=""),"",ROUND(DI55/$E55*$D55*KVARDI,2))</f>
        <v/>
      </c>
      <c r="DK55" s="66" t="n"/>
      <c r="DL55" s="78">
        <f>IF(OR(INDEX(Undirviðmið!$G$6:$G$105,ROW()-6)&lt;&gt;"Starfsbundinn",DK55="",$E55="",$D55=""),"",ROUND(DK55/$E55*$D55*KVARDI,2))</f>
        <v/>
      </c>
      <c r="DM55" s="66" t="n"/>
      <c r="DN55" s="78">
        <f>IF(OR(INDEX(Undirviðmið!$G$6:$G$105,ROW()-6)&lt;&gt;"Starfsbundinn",DM55="",$E55="",$D55=""),"",ROUND(DM55/$E55*$D55*KVARDI,2))</f>
        <v/>
      </c>
      <c r="DO55" s="66" t="n"/>
      <c r="DP55" s="78">
        <f>IF(OR(INDEX(Undirviðmið!$G$6:$G$105,ROW()-6)&lt;&gt;"Starfsbundinn",DO55="",$E55="",$D55=""),"",ROUND(DO55/$E55*$D55*KVARDI,2))</f>
        <v/>
      </c>
      <c r="DQ55" s="66" t="n"/>
      <c r="DR55" s="78">
        <f>IF(OR(INDEX(Undirviðmið!$G$6:$G$105,ROW()-6)&lt;&gt;"Starfsbundinn",DQ55="",$E55="",$D55=""),"",ROUND(DQ55/$E55*$D55*KVARDI,2))</f>
        <v/>
      </c>
      <c r="DS55" s="66" t="n"/>
      <c r="DT55" s="78">
        <f>IF(OR(INDEX(Undirviðmið!$G$6:$G$105,ROW()-6)&lt;&gt;"Starfsbundinn",DS55="",$E55="",$D55=""),"",ROUND(DS55/$E55*$D55*KVARDI,2))</f>
        <v/>
      </c>
      <c r="DU55" s="66" t="n"/>
      <c r="DV55" s="78">
        <f>IF(OR(INDEX(Undirviðmið!$G$6:$G$105,ROW()-6)&lt;&gt;"Starfsbundinn",DU55="",$E55="",$D55=""),"",ROUND(DU55/$E55*$D55*KVARDI,2))</f>
        <v/>
      </c>
      <c r="DW55" s="66" t="n"/>
      <c r="DX55" s="78">
        <f>IF(OR(INDEX(Undirviðmið!$G$6:$G$105,ROW()-6)&lt;&gt;"Starfsbundinn",DW55="",$E55="",$D55=""),"",ROUND(DW55/$E55*$D55*KVARDI,2))</f>
        <v/>
      </c>
      <c r="DY55" s="66" t="n"/>
      <c r="DZ55" s="78">
        <f>IF(OR(INDEX(Undirviðmið!$G$6:$G$105,ROW()-6)&lt;&gt;"Starfsbundinn",DY55="",$E55="",$D55=""),"",ROUND(DY55/$E55*$D55*KVARDI,2))</f>
        <v/>
      </c>
      <c r="EA55" s="66" t="n"/>
      <c r="EB55" s="78">
        <f>IF(OR(INDEX(Undirviðmið!$G$6:$G$105,ROW()-6)&lt;&gt;"Starfsbundinn",EA55="",$E55="",$D55=""),"",ROUND(EA55/$E55*$D55*KVARDI,2))</f>
        <v/>
      </c>
      <c r="EC55" s="66" t="n"/>
      <c r="ED55" s="78">
        <f>IF(OR(INDEX(Undirviðmið!$G$6:$G$105,ROW()-6)&lt;&gt;"Starfsbundinn",EC55="",$E55="",$D55=""),"",ROUND(EC55/$E55*$D55*KVARDI,2))</f>
        <v/>
      </c>
      <c r="EE55" s="66" t="n"/>
      <c r="EF55" s="78">
        <f>IF(OR(INDEX(Undirviðmið!$G$6:$G$105,ROW()-6)&lt;&gt;"Starfsbundinn",EE55="",$E55="",$D55=""),"",ROUND(EE55/$E55*$D55*KVARDI,2))</f>
        <v/>
      </c>
      <c r="EG55" s="66" t="n"/>
      <c r="EH55" s="78">
        <f>IF(OR(INDEX(Undirviðmið!$G$6:$G$105,ROW()-6)&lt;&gt;"Starfsbundinn",EG55="",$E55="",$D55=""),"",ROUND(EG55/$E55*$D55*KVARDI,2))</f>
        <v/>
      </c>
      <c r="EI55" s="66" t="n"/>
      <c r="EJ55" s="78">
        <f>IF(OR(INDEX(Undirviðmið!$G$6:$G$105,ROW()-6)&lt;&gt;"Starfsbundinn",EI55="",$E55="",$D55=""),"",ROUND(EI55/$E55*$D55*KVARDI,2))</f>
        <v/>
      </c>
      <c r="EK55" s="66" t="n"/>
      <c r="EL55" s="78">
        <f>IF(OR(INDEX(Undirviðmið!$G$6:$G$105,ROW()-6)&lt;&gt;"Starfsbundinn",EK55="",$E55="",$D55=""),"",ROUND(EK55/$E55*$D55*KVARDI,2))</f>
        <v/>
      </c>
      <c r="EM55" s="66" t="n"/>
      <c r="EN55" s="78">
        <f>IF(OR(INDEX(Undirviðmið!$G$6:$G$105,ROW()-6)&lt;&gt;"Starfsbundinn",EM55="",$E55="",$D55=""),"",ROUND(EM55/$E55*$D55*KVARDI,2))</f>
        <v/>
      </c>
      <c r="EO55" s="66" t="n"/>
      <c r="EP55" s="78">
        <f>IF(OR(INDEX(Undirviðmið!$G$6:$G$105,ROW()-6)&lt;&gt;"Starfsbundinn",EO55="",$E55="",$D55=""),"",ROUND(EO55/$E55*$D55*KVARDI,2))</f>
        <v/>
      </c>
      <c r="EQ55" s="66" t="n"/>
      <c r="ER55" s="78">
        <f>IF(OR(INDEX(Undirviðmið!$G$6:$G$105,ROW()-6)&lt;&gt;"Starfsbundinn",EQ55="",$E55="",$D55=""),"",ROUND(EQ55/$E55*$D55*KVARDI,2))</f>
        <v/>
      </c>
      <c r="ES55" s="66" t="n"/>
      <c r="ET55" s="78">
        <f>IF(OR(INDEX(Undirviðmið!$G$6:$G$105,ROW()-6)&lt;&gt;"Starfsbundinn",ES55="",$E55="",$D55=""),"",ROUND(ES55/$E55*$D55*KVARDI,2))</f>
        <v/>
      </c>
      <c r="EU55" s="66" t="n"/>
      <c r="EV55" s="78">
        <f>IF(OR(INDEX(Undirviðmið!$G$6:$G$105,ROW()-6)&lt;&gt;"Starfsbundinn",EU55="",$E55="",$D55=""),"",ROUND(EU55/$E55*$D55*KVARDI,2))</f>
        <v/>
      </c>
      <c r="EW55" s="66" t="n"/>
      <c r="EX55" s="78">
        <f>IF(OR(INDEX(Undirviðmið!$G$6:$G$105,ROW()-6)&lt;&gt;"Starfsbundinn",EW55="",$E55="",$D55=""),"",ROUND(EW55/$E55*$D55*KVARDI,2))</f>
        <v/>
      </c>
      <c r="EY55" s="66" t="n"/>
      <c r="EZ55" s="78">
        <f>IF(OR(INDEX(Undirviðmið!$G$6:$G$105,ROW()-6)&lt;&gt;"Starfsbundinn",EY55="",$E55="",$D55=""),"",ROUND(EY55/$E55*$D55*KVARDI,2))</f>
        <v/>
      </c>
      <c r="FA55" s="66" t="n"/>
      <c r="FB55" s="78">
        <f>IF(OR(INDEX(Undirviðmið!$G$6:$G$105,ROW()-6)&lt;&gt;"Starfsbundinn",FA55="",$E55="",$D55=""),"",ROUND(FA55/$E55*$D55*KVARDI,2))</f>
        <v/>
      </c>
      <c r="FC55" s="66" t="n"/>
      <c r="FD55" s="78">
        <f>IF(OR(INDEX(Undirviðmið!$G$6:$G$105,ROW()-6)&lt;&gt;"Starfsbundinn",FC55="",$E55="",$D55=""),"",ROUND(FC55/$E55*$D55*KVARDI,2))</f>
        <v/>
      </c>
      <c r="FE55" s="66" t="n"/>
      <c r="FF55" s="78">
        <f>IF(OR(INDEX(Undirviðmið!$G$6:$G$105,ROW()-6)&lt;&gt;"Starfsbundinn",FE55="",$E55="",$D55=""),"",ROUND(FE55/$E55*$D55*KVARDI,2))</f>
        <v/>
      </c>
      <c r="FG55" s="66" t="n"/>
      <c r="FH55" s="78">
        <f>IF(OR(INDEX(Undirviðmið!$G$6:$G$105,ROW()-6)&lt;&gt;"Starfsbundinn",FG55="",$E55="",$D55=""),"",ROUND(FG55/$E55*$D55*KVARDI,2))</f>
        <v/>
      </c>
      <c r="FI55" s="66" t="n"/>
      <c r="FJ55" s="78">
        <f>IF(OR(INDEX(Undirviðmið!$G$6:$G$105,ROW()-6)&lt;&gt;"Starfsbundinn",FI55="",$E55="",$D55=""),"",ROUND(FI55/$E55*$D55*KVARDI,2))</f>
        <v/>
      </c>
      <c r="FK55" s="66" t="n"/>
      <c r="FL55" s="78">
        <f>IF(OR(INDEX(Undirviðmið!$G$6:$G$105,ROW()-6)&lt;&gt;"Starfsbundinn",FK55="",$E55="",$D55=""),"",ROUND(FK55/$E55*$D55*KVARDI,2))</f>
        <v/>
      </c>
      <c r="FM55" s="66" t="n"/>
      <c r="FN55" s="78">
        <f>IF(OR(INDEX(Undirviðmið!$G$6:$G$105,ROW()-6)&lt;&gt;"Starfsbundinn",FM55="",$E55="",$D55=""),"",ROUND(FM55/$E55*$D55*KVARDI,2))</f>
        <v/>
      </c>
      <c r="FO55" s="66" t="n"/>
      <c r="FP55" s="78">
        <f>IF(OR(INDEX(Undirviðmið!$G$6:$G$105,ROW()-6)&lt;&gt;"Starfsbundinn",FO55="",$E55="",$D55=""),"",ROUND(FO55/$E55*$D55*KVARDI,2))</f>
        <v/>
      </c>
      <c r="FQ55" s="66" t="n"/>
      <c r="FR55" s="78">
        <f>IF(OR(INDEX(Undirviðmið!$G$6:$G$105,ROW()-6)&lt;&gt;"Starfsbundinn",FQ55="",$E55="",$D55=""),"",ROUND(FQ55/$E55*$D55*KVARDI,2))</f>
        <v/>
      </c>
      <c r="FS55" s="66" t="n"/>
      <c r="FT55" s="78">
        <f>IF(OR(INDEX(Undirviðmið!$G$6:$G$105,ROW()-6)&lt;&gt;"Starfsbundinn",FS55="",$E55="",$D55=""),"",ROUND(FS55/$E55*$D55*KVARDI,2))</f>
        <v/>
      </c>
      <c r="FU55" s="66" t="n"/>
      <c r="FV55" s="78">
        <f>IF(OR(INDEX(Undirviðmið!$G$6:$G$105,ROW()-6)&lt;&gt;"Starfsbundinn",FU55="",$E55="",$D55=""),"",ROUND(FU55/$E55*$D55*KVARDI,2))</f>
        <v/>
      </c>
      <c r="FW55" s="66" t="n"/>
      <c r="FX55" s="78">
        <f>IF(OR(INDEX(Undirviðmið!$G$6:$G$105,ROW()-6)&lt;&gt;"Starfsbundinn",FW55="",$E55="",$D55=""),"",ROUND(FW55/$E55*$D55*KVARDI,2))</f>
        <v/>
      </c>
      <c r="FY55" s="66" t="n"/>
      <c r="FZ55" s="78">
        <f>IF(OR(INDEX(Undirviðmið!$G$6:$G$105,ROW()-6)&lt;&gt;"Starfsbundinn",FY55="",$E55="",$D55=""),"",ROUND(FY55/$E55*$D55*KVARDI,2))</f>
        <v/>
      </c>
      <c r="GA55" s="66" t="n"/>
      <c r="GB55" s="78">
        <f>IF(OR(INDEX(Undirviðmið!$G$6:$G$105,ROW()-6)&lt;&gt;"Starfsbundinn",GA55="",$E55="",$D55=""),"",ROUND(GA55/$E55*$D55*KVARDI,2))</f>
        <v/>
      </c>
      <c r="GC55" s="66" t="n"/>
      <c r="GD55" s="78">
        <f>IF(OR(INDEX(Undirviðmið!$G$6:$G$105,ROW()-6)&lt;&gt;"Starfsbundinn",GC55="",$E55="",$D55=""),"",ROUND(GC55/$E55*$D55*KVARDI,2))</f>
        <v/>
      </c>
      <c r="GE55" s="66" t="n"/>
      <c r="GF55" s="78">
        <f>IF(OR(INDEX(Undirviðmið!$G$6:$G$105,ROW()-6)&lt;&gt;"Starfsbundinn",GE55="",$E55="",$D55=""),"",ROUND(GE55/$E55*$D55*KVARDI,2))</f>
        <v/>
      </c>
      <c r="GG55" s="66" t="n"/>
      <c r="GH55" s="78">
        <f>IF(OR(INDEX(Undirviðmið!$G$6:$G$105,ROW()-6)&lt;&gt;"Starfsbundinn",GG55="",$E55="",$D55=""),"",ROUND(GG55/$E55*$D55*KVARDI,2))</f>
        <v/>
      </c>
      <c r="GI55" s="66" t="n"/>
      <c r="GJ55" s="78">
        <f>IF(OR(INDEX(Undirviðmið!$G$6:$G$105,ROW()-6)&lt;&gt;"Starfsbundinn",GI55="",$E55="",$D55=""),"",ROUND(GI55/$E55*$D55*KVARDI,2))</f>
        <v/>
      </c>
      <c r="GK55" s="66" t="n"/>
      <c r="GL55" s="78">
        <f>IF(OR(INDEX(Undirviðmið!$G$6:$G$105,ROW()-6)&lt;&gt;"Starfsbundinn",GK55="",$E55="",$D55=""),"",ROUND(GK55/$E55*$D55*KVARDI,2))</f>
        <v/>
      </c>
      <c r="GM55" s="66" t="n"/>
      <c r="GN55" s="78">
        <f>IF(OR(INDEX(Undirviðmið!$G$6:$G$105,ROW()-6)&lt;&gt;"Starfsbundinn",GM55="",$E55="",$D55=""),"",ROUND(GM55/$E55*$D55*KVARDI,2))</f>
        <v/>
      </c>
      <c r="GO55" s="66" t="n"/>
      <c r="GP55" s="78">
        <f>IF(OR(INDEX(Undirviðmið!$G$6:$G$105,ROW()-6)&lt;&gt;"Starfsbundinn",GO55="",$E55="",$D55=""),"",ROUND(GO55/$E55*$D55*KVARDI,2))</f>
        <v/>
      </c>
      <c r="GQ55" s="66" t="n"/>
      <c r="GR55" s="78">
        <f>IF(OR(INDEX(Undirviðmið!$G$6:$G$105,ROW()-6)&lt;&gt;"Starfsbundinn",GQ55="",$E55="",$D55=""),"",ROUND(GQ55/$E55*$D55*KVARDI,2))</f>
        <v/>
      </c>
      <c r="GS55" s="66" t="n"/>
      <c r="GT55" s="78">
        <f>IF(OR(INDEX(Undirviðmið!$G$6:$G$105,ROW()-6)&lt;&gt;"Starfsbundinn",GS55="",$E55="",$D55=""),"",ROUND(GS55/$E55*$D55*KVARDI,2))</f>
        <v/>
      </c>
      <c r="GU55" s="66" t="n"/>
      <c r="GV55" s="78">
        <f>IF(OR(INDEX(Undirviðmið!$G$6:$G$105,ROW()-6)&lt;&gt;"Starfsbundinn",GU55="",$E55="",$D55=""),"",ROUND(GU55/$E55*$D55*KVARDI,2))</f>
        <v/>
      </c>
      <c r="GW55" s="66" t="n"/>
      <c r="GX55" s="78">
        <f>IF(OR(INDEX(Undirviðmið!$G$6:$G$105,ROW()-6)&lt;&gt;"Starfsbundinn",GW55="",$E55="",$D55=""),"",ROUND(GW55/$E55*$D55*KVARDI,2))</f>
        <v/>
      </c>
    </row>
    <row r="56" ht="15" customHeight="1" s="47">
      <c r="B56" s="67">
        <f>IF(INDEX(Undirviðmið!$G$6:$G$105,ROW()-6)="Starfsbundinn",INDEX(Undirviðmið!$B$6:$B$105,ROW()-6),"")</f>
        <v/>
      </c>
      <c r="C56" s="67">
        <f>IF(INDEX(Undirviðmið!$G$6:$G$105,ROW()-6)="Starfsbundinn",INDEX(Undirviðmið!$C$6:$C$105,ROW()-6),"")</f>
        <v/>
      </c>
      <c r="D56" s="77">
        <f>IF(INDEX(Undirviðmið!$G$6:$G$105,ROW()-6)="Starfsbundinn",INDEX(Undirviðmið!$E$6:$E$105,ROW()-6),"")</f>
        <v/>
      </c>
      <c r="E56" s="77">
        <f>IF(INDEX(Undirviðmið!$G$6:$G$105,ROW()-6)="Starfsbundinn",INDEX(Undirviðmið!$F$6:$F$105,ROW()-6),"")</f>
        <v/>
      </c>
      <c r="F56" s="77">
        <f>IF(INDEX(Undirviðmið!$G$6:$G$105,ROW()-6)="Starfsbundinn",IFERROR(INDEX(Undirviðmið!$E$6:$E$105,ROW()-6)*KVARDI,""),"")</f>
        <v/>
      </c>
      <c r="G56" s="66" t="n"/>
      <c r="H56" s="78">
        <f>IF(OR(INDEX(Undirviðmið!$G$6:$G$105,ROW()-6)&lt;&gt;"Starfsbundinn",G56="",$E56="",$D56=""),"",ROUND(G56/$E56*$D56*KVARDI,2))</f>
        <v/>
      </c>
      <c r="I56" s="66" t="n"/>
      <c r="J56" s="78">
        <f>IF(OR(INDEX(Undirviðmið!$G$6:$G$105,ROW()-6)&lt;&gt;"Starfsbundinn",I56="",$E56="",$D56=""),"",ROUND(I56/$E56*$D56*KVARDI,2))</f>
        <v/>
      </c>
      <c r="K56" s="66" t="n"/>
      <c r="L56" s="78">
        <f>IF(OR(INDEX(Undirviðmið!$G$6:$G$105,ROW()-6)&lt;&gt;"Starfsbundinn",K56="",$E56="",$D56=""),"",ROUND(K56/$E56*$D56*KVARDI,2))</f>
        <v/>
      </c>
      <c r="M56" s="66" t="n"/>
      <c r="N56" s="78">
        <f>IF(OR(INDEX(Undirviðmið!$G$6:$G$105,ROW()-6)&lt;&gt;"Starfsbundinn",M56="",$E56="",$D56=""),"",ROUND(M56/$E56*$D56*KVARDI,2))</f>
        <v/>
      </c>
      <c r="O56" s="66" t="n"/>
      <c r="P56" s="78">
        <f>IF(OR(INDEX(Undirviðmið!$G$6:$G$105,ROW()-6)&lt;&gt;"Starfsbundinn",O56="",$E56="",$D56=""),"",ROUND(O56/$E56*$D56*KVARDI,2))</f>
        <v/>
      </c>
      <c r="Q56" s="66" t="n"/>
      <c r="R56" s="78">
        <f>IF(OR(INDEX(Undirviðmið!$G$6:$G$105,ROW()-6)&lt;&gt;"Starfsbundinn",Q56="",$E56="",$D56=""),"",ROUND(Q56/$E56*$D56*KVARDI,2))</f>
        <v/>
      </c>
      <c r="S56" s="66" t="n"/>
      <c r="T56" s="78">
        <f>IF(OR(INDEX(Undirviðmið!$G$6:$G$105,ROW()-6)&lt;&gt;"Starfsbundinn",S56="",$E56="",$D56=""),"",ROUND(S56/$E56*$D56*KVARDI,2))</f>
        <v/>
      </c>
      <c r="U56" s="66" t="n"/>
      <c r="V56" s="78">
        <f>IF(OR(INDEX(Undirviðmið!$G$6:$G$105,ROW()-6)&lt;&gt;"Starfsbundinn",U56="",$E56="",$D56=""),"",ROUND(U56/$E56*$D56*KVARDI,2))</f>
        <v/>
      </c>
      <c r="W56" s="66" t="n"/>
      <c r="X56" s="78">
        <f>IF(OR(INDEX(Undirviðmið!$G$6:$G$105,ROW()-6)&lt;&gt;"Starfsbundinn",W56="",$E56="",$D56=""),"",ROUND(W56/$E56*$D56*KVARDI,2))</f>
        <v/>
      </c>
      <c r="Y56" s="66" t="n"/>
      <c r="Z56" s="78">
        <f>IF(OR(INDEX(Undirviðmið!$G$6:$G$105,ROW()-6)&lt;&gt;"Starfsbundinn",Y56="",$E56="",$D56=""),"",ROUND(Y56/$E56*$D56*KVARDI,2))</f>
        <v/>
      </c>
      <c r="AA56" s="66" t="n"/>
      <c r="AB56" s="78">
        <f>IF(OR(INDEX(Undirviðmið!$G$6:$G$105,ROW()-6)&lt;&gt;"Starfsbundinn",AA56="",$E56="",$D56=""),"",ROUND(AA56/$E56*$D56*KVARDI,2))</f>
        <v/>
      </c>
      <c r="AC56" s="66" t="n"/>
      <c r="AD56" s="78">
        <f>IF(OR(INDEX(Undirviðmið!$G$6:$G$105,ROW()-6)&lt;&gt;"Starfsbundinn",AC56="",$E56="",$D56=""),"",ROUND(AC56/$E56*$D56*KVARDI,2))</f>
        <v/>
      </c>
      <c r="AE56" s="66" t="n"/>
      <c r="AF56" s="78">
        <f>IF(OR(INDEX(Undirviðmið!$G$6:$G$105,ROW()-6)&lt;&gt;"Starfsbundinn",AE56="",$E56="",$D56=""),"",ROUND(AE56/$E56*$D56*KVARDI,2))</f>
        <v/>
      </c>
      <c r="AG56" s="66" t="n"/>
      <c r="AH56" s="78">
        <f>IF(OR(INDEX(Undirviðmið!$G$6:$G$105,ROW()-6)&lt;&gt;"Starfsbundinn",AG56="",$E56="",$D56=""),"",ROUND(AG56/$E56*$D56*KVARDI,2))</f>
        <v/>
      </c>
      <c r="AI56" s="66" t="n"/>
      <c r="AJ56" s="78">
        <f>IF(OR(INDEX(Undirviðmið!$G$6:$G$105,ROW()-6)&lt;&gt;"Starfsbundinn",AI56="",$E56="",$D56=""),"",ROUND(AI56/$E56*$D56*KVARDI,2))</f>
        <v/>
      </c>
      <c r="AK56" s="66" t="n"/>
      <c r="AL56" s="78">
        <f>IF(OR(INDEX(Undirviðmið!$G$6:$G$105,ROW()-6)&lt;&gt;"Starfsbundinn",AK56="",$E56="",$D56=""),"",ROUND(AK56/$E56*$D56*KVARDI,2))</f>
        <v/>
      </c>
      <c r="AM56" s="66" t="n"/>
      <c r="AN56" s="78">
        <f>IF(OR(INDEX(Undirviðmið!$G$6:$G$105,ROW()-6)&lt;&gt;"Starfsbundinn",AM56="",$E56="",$D56=""),"",ROUND(AM56/$E56*$D56*KVARDI,2))</f>
        <v/>
      </c>
      <c r="AO56" s="66" t="n"/>
      <c r="AP56" s="78">
        <f>IF(OR(INDEX(Undirviðmið!$G$6:$G$105,ROW()-6)&lt;&gt;"Starfsbundinn",AO56="",$E56="",$D56=""),"",ROUND(AO56/$E56*$D56*KVARDI,2))</f>
        <v/>
      </c>
      <c r="AQ56" s="66" t="n"/>
      <c r="AR56" s="78">
        <f>IF(OR(INDEX(Undirviðmið!$G$6:$G$105,ROW()-6)&lt;&gt;"Starfsbundinn",AQ56="",$E56="",$D56=""),"",ROUND(AQ56/$E56*$D56*KVARDI,2))</f>
        <v/>
      </c>
      <c r="AS56" s="66" t="n"/>
      <c r="AT56" s="78">
        <f>IF(OR(INDEX(Undirviðmið!$G$6:$G$105,ROW()-6)&lt;&gt;"Starfsbundinn",AS56="",$E56="",$D56=""),"",ROUND(AS56/$E56*$D56*KVARDI,2))</f>
        <v/>
      </c>
      <c r="AU56" s="66" t="n"/>
      <c r="AV56" s="78">
        <f>IF(OR(INDEX(Undirviðmið!$G$6:$G$105,ROW()-6)&lt;&gt;"Starfsbundinn",AU56="",$E56="",$D56=""),"",ROUND(AU56/$E56*$D56*KVARDI,2))</f>
        <v/>
      </c>
      <c r="AW56" s="66" t="n"/>
      <c r="AX56" s="78">
        <f>IF(OR(INDEX(Undirviðmið!$G$6:$G$105,ROW()-6)&lt;&gt;"Starfsbundinn",AW56="",$E56="",$D56=""),"",ROUND(AW56/$E56*$D56*KVARDI,2))</f>
        <v/>
      </c>
      <c r="AY56" s="66" t="n"/>
      <c r="AZ56" s="78">
        <f>IF(OR(INDEX(Undirviðmið!$G$6:$G$105,ROW()-6)&lt;&gt;"Starfsbundinn",AY56="",$E56="",$D56=""),"",ROUND(AY56/$E56*$D56*KVARDI,2))</f>
        <v/>
      </c>
      <c r="BA56" s="66" t="n"/>
      <c r="BB56" s="78">
        <f>IF(OR(INDEX(Undirviðmið!$G$6:$G$105,ROW()-6)&lt;&gt;"Starfsbundinn",BA56="",$E56="",$D56=""),"",ROUND(BA56/$E56*$D56*KVARDI,2))</f>
        <v/>
      </c>
      <c r="BC56" s="66" t="n"/>
      <c r="BD56" s="78">
        <f>IF(OR(INDEX(Undirviðmið!$G$6:$G$105,ROW()-6)&lt;&gt;"Starfsbundinn",BC56="",$E56="",$D56=""),"",ROUND(BC56/$E56*$D56*KVARDI,2))</f>
        <v/>
      </c>
      <c r="BE56" s="66" t="n"/>
      <c r="BF56" s="78">
        <f>IF(OR(INDEX(Undirviðmið!$G$6:$G$105,ROW()-6)&lt;&gt;"Starfsbundinn",BE56="",$E56="",$D56=""),"",ROUND(BE56/$E56*$D56*KVARDI,2))</f>
        <v/>
      </c>
      <c r="BG56" s="66" t="n"/>
      <c r="BH56" s="78">
        <f>IF(OR(INDEX(Undirviðmið!$G$6:$G$105,ROW()-6)&lt;&gt;"Starfsbundinn",BG56="",$E56="",$D56=""),"",ROUND(BG56/$E56*$D56*KVARDI,2))</f>
        <v/>
      </c>
      <c r="BI56" s="66" t="n"/>
      <c r="BJ56" s="78">
        <f>IF(OR(INDEX(Undirviðmið!$G$6:$G$105,ROW()-6)&lt;&gt;"Starfsbundinn",BI56="",$E56="",$D56=""),"",ROUND(BI56/$E56*$D56*KVARDI,2))</f>
        <v/>
      </c>
      <c r="BK56" s="66" t="n"/>
      <c r="BL56" s="78">
        <f>IF(OR(INDEX(Undirviðmið!$G$6:$G$105,ROW()-6)&lt;&gt;"Starfsbundinn",BK56="",$E56="",$D56=""),"",ROUND(BK56/$E56*$D56*KVARDI,2))</f>
        <v/>
      </c>
      <c r="BM56" s="66" t="n"/>
      <c r="BN56" s="78">
        <f>IF(OR(INDEX(Undirviðmið!$G$6:$G$105,ROW()-6)&lt;&gt;"Starfsbundinn",BM56="",$E56="",$D56=""),"",ROUND(BM56/$E56*$D56*KVARDI,2))</f>
        <v/>
      </c>
      <c r="BO56" s="66" t="n"/>
      <c r="BP56" s="78">
        <f>IF(OR(INDEX(Undirviðmið!$G$6:$G$105,ROW()-6)&lt;&gt;"Starfsbundinn",BO56="",$E56="",$D56=""),"",ROUND(BO56/$E56*$D56*KVARDI,2))</f>
        <v/>
      </c>
      <c r="BQ56" s="66" t="n"/>
      <c r="BR56" s="78">
        <f>IF(OR(INDEX(Undirviðmið!$G$6:$G$105,ROW()-6)&lt;&gt;"Starfsbundinn",BQ56="",$E56="",$D56=""),"",ROUND(BQ56/$E56*$D56*KVARDI,2))</f>
        <v/>
      </c>
      <c r="BS56" s="66" t="n"/>
      <c r="BT56" s="78">
        <f>IF(OR(INDEX(Undirviðmið!$G$6:$G$105,ROW()-6)&lt;&gt;"Starfsbundinn",BS56="",$E56="",$D56=""),"",ROUND(BS56/$E56*$D56*KVARDI,2))</f>
        <v/>
      </c>
      <c r="BU56" s="66" t="n"/>
      <c r="BV56" s="78">
        <f>IF(OR(INDEX(Undirviðmið!$G$6:$G$105,ROW()-6)&lt;&gt;"Starfsbundinn",BU56="",$E56="",$D56=""),"",ROUND(BU56/$E56*$D56*KVARDI,2))</f>
        <v/>
      </c>
      <c r="BW56" s="66" t="n"/>
      <c r="BX56" s="78">
        <f>IF(OR(INDEX(Undirviðmið!$G$6:$G$105,ROW()-6)&lt;&gt;"Starfsbundinn",BW56="",$E56="",$D56=""),"",ROUND(BW56/$E56*$D56*KVARDI,2))</f>
        <v/>
      </c>
      <c r="BY56" s="66" t="n"/>
      <c r="BZ56" s="78">
        <f>IF(OR(INDEX(Undirviðmið!$G$6:$G$105,ROW()-6)&lt;&gt;"Starfsbundinn",BY56="",$E56="",$D56=""),"",ROUND(BY56/$E56*$D56*KVARDI,2))</f>
        <v/>
      </c>
      <c r="CA56" s="66" t="n"/>
      <c r="CB56" s="78">
        <f>IF(OR(INDEX(Undirviðmið!$G$6:$G$105,ROW()-6)&lt;&gt;"Starfsbundinn",CA56="",$E56="",$D56=""),"",ROUND(CA56/$E56*$D56*KVARDI,2))</f>
        <v/>
      </c>
      <c r="CC56" s="66" t="n"/>
      <c r="CD56" s="78">
        <f>IF(OR(INDEX(Undirviðmið!$G$6:$G$105,ROW()-6)&lt;&gt;"Starfsbundinn",CC56="",$E56="",$D56=""),"",ROUND(CC56/$E56*$D56*KVARDI,2))</f>
        <v/>
      </c>
      <c r="CE56" s="66" t="n"/>
      <c r="CF56" s="78">
        <f>IF(OR(INDEX(Undirviðmið!$G$6:$G$105,ROW()-6)&lt;&gt;"Starfsbundinn",CE56="",$E56="",$D56=""),"",ROUND(CE56/$E56*$D56*KVARDI,2))</f>
        <v/>
      </c>
      <c r="CG56" s="66" t="n"/>
      <c r="CH56" s="78">
        <f>IF(OR(INDEX(Undirviðmið!$G$6:$G$105,ROW()-6)&lt;&gt;"Starfsbundinn",CG56="",$E56="",$D56=""),"",ROUND(CG56/$E56*$D56*KVARDI,2))</f>
        <v/>
      </c>
      <c r="CI56" s="66" t="n"/>
      <c r="CJ56" s="78">
        <f>IF(OR(INDEX(Undirviðmið!$G$6:$G$105,ROW()-6)&lt;&gt;"Starfsbundinn",CI56="",$E56="",$D56=""),"",ROUND(CI56/$E56*$D56*KVARDI,2))</f>
        <v/>
      </c>
      <c r="CK56" s="66" t="n"/>
      <c r="CL56" s="78">
        <f>IF(OR(INDEX(Undirviðmið!$G$6:$G$105,ROW()-6)&lt;&gt;"Starfsbundinn",CK56="",$E56="",$D56=""),"",ROUND(CK56/$E56*$D56*KVARDI,2))</f>
        <v/>
      </c>
      <c r="CM56" s="66" t="n"/>
      <c r="CN56" s="78">
        <f>IF(OR(INDEX(Undirviðmið!$G$6:$G$105,ROW()-6)&lt;&gt;"Starfsbundinn",CM56="",$E56="",$D56=""),"",ROUND(CM56/$E56*$D56*KVARDI,2))</f>
        <v/>
      </c>
      <c r="CO56" s="66" t="n"/>
      <c r="CP56" s="78">
        <f>IF(OR(INDEX(Undirviðmið!$G$6:$G$105,ROW()-6)&lt;&gt;"Starfsbundinn",CO56="",$E56="",$D56=""),"",ROUND(CO56/$E56*$D56*KVARDI,2))</f>
        <v/>
      </c>
      <c r="CQ56" s="66" t="n"/>
      <c r="CR56" s="78">
        <f>IF(OR(INDEX(Undirviðmið!$G$6:$G$105,ROW()-6)&lt;&gt;"Starfsbundinn",CQ56="",$E56="",$D56=""),"",ROUND(CQ56/$E56*$D56*KVARDI,2))</f>
        <v/>
      </c>
      <c r="CS56" s="66" t="n"/>
      <c r="CT56" s="78">
        <f>IF(OR(INDEX(Undirviðmið!$G$6:$G$105,ROW()-6)&lt;&gt;"Starfsbundinn",CS56="",$E56="",$D56=""),"",ROUND(CS56/$E56*$D56*KVARDI,2))</f>
        <v/>
      </c>
      <c r="CU56" s="66" t="n"/>
      <c r="CV56" s="78">
        <f>IF(OR(INDEX(Undirviðmið!$G$6:$G$105,ROW()-6)&lt;&gt;"Starfsbundinn",CU56="",$E56="",$D56=""),"",ROUND(CU56/$E56*$D56*KVARDI,2))</f>
        <v/>
      </c>
      <c r="CW56" s="66" t="n"/>
      <c r="CX56" s="78">
        <f>IF(OR(INDEX(Undirviðmið!$G$6:$G$105,ROW()-6)&lt;&gt;"Starfsbundinn",CW56="",$E56="",$D56=""),"",ROUND(CW56/$E56*$D56*KVARDI,2))</f>
        <v/>
      </c>
      <c r="CY56" s="66" t="n"/>
      <c r="CZ56" s="78">
        <f>IF(OR(INDEX(Undirviðmið!$G$6:$G$105,ROW()-6)&lt;&gt;"Starfsbundinn",CY56="",$E56="",$D56=""),"",ROUND(CY56/$E56*$D56*KVARDI,2))</f>
        <v/>
      </c>
      <c r="DA56" s="66" t="n"/>
      <c r="DB56" s="78">
        <f>IF(OR(INDEX(Undirviðmið!$G$6:$G$105,ROW()-6)&lt;&gt;"Starfsbundinn",DA56="",$E56="",$D56=""),"",ROUND(DA56/$E56*$D56*KVARDI,2))</f>
        <v/>
      </c>
      <c r="DC56" s="66" t="n"/>
      <c r="DD56" s="78">
        <f>IF(OR(INDEX(Undirviðmið!$G$6:$G$105,ROW()-6)&lt;&gt;"Starfsbundinn",DC56="",$E56="",$D56=""),"",ROUND(DC56/$E56*$D56*KVARDI,2))</f>
        <v/>
      </c>
      <c r="DE56" s="66" t="n"/>
      <c r="DF56" s="78">
        <f>IF(OR(INDEX(Undirviðmið!$G$6:$G$105,ROW()-6)&lt;&gt;"Starfsbundinn",DE56="",$E56="",$D56=""),"",ROUND(DE56/$E56*$D56*KVARDI,2))</f>
        <v/>
      </c>
      <c r="DG56" s="66" t="n"/>
      <c r="DH56" s="78">
        <f>IF(OR(INDEX(Undirviðmið!$G$6:$G$105,ROW()-6)&lt;&gt;"Starfsbundinn",DG56="",$E56="",$D56=""),"",ROUND(DG56/$E56*$D56*KVARDI,2))</f>
        <v/>
      </c>
      <c r="DI56" s="66" t="n"/>
      <c r="DJ56" s="78">
        <f>IF(OR(INDEX(Undirviðmið!$G$6:$G$105,ROW()-6)&lt;&gt;"Starfsbundinn",DI56="",$E56="",$D56=""),"",ROUND(DI56/$E56*$D56*KVARDI,2))</f>
        <v/>
      </c>
      <c r="DK56" s="66" t="n"/>
      <c r="DL56" s="78">
        <f>IF(OR(INDEX(Undirviðmið!$G$6:$G$105,ROW()-6)&lt;&gt;"Starfsbundinn",DK56="",$E56="",$D56=""),"",ROUND(DK56/$E56*$D56*KVARDI,2))</f>
        <v/>
      </c>
      <c r="DM56" s="66" t="n"/>
      <c r="DN56" s="78">
        <f>IF(OR(INDEX(Undirviðmið!$G$6:$G$105,ROW()-6)&lt;&gt;"Starfsbundinn",DM56="",$E56="",$D56=""),"",ROUND(DM56/$E56*$D56*KVARDI,2))</f>
        <v/>
      </c>
      <c r="DO56" s="66" t="n"/>
      <c r="DP56" s="78">
        <f>IF(OR(INDEX(Undirviðmið!$G$6:$G$105,ROW()-6)&lt;&gt;"Starfsbundinn",DO56="",$E56="",$D56=""),"",ROUND(DO56/$E56*$D56*KVARDI,2))</f>
        <v/>
      </c>
      <c r="DQ56" s="66" t="n"/>
      <c r="DR56" s="78">
        <f>IF(OR(INDEX(Undirviðmið!$G$6:$G$105,ROW()-6)&lt;&gt;"Starfsbundinn",DQ56="",$E56="",$D56=""),"",ROUND(DQ56/$E56*$D56*KVARDI,2))</f>
        <v/>
      </c>
      <c r="DS56" s="66" t="n"/>
      <c r="DT56" s="78">
        <f>IF(OR(INDEX(Undirviðmið!$G$6:$G$105,ROW()-6)&lt;&gt;"Starfsbundinn",DS56="",$E56="",$D56=""),"",ROUND(DS56/$E56*$D56*KVARDI,2))</f>
        <v/>
      </c>
      <c r="DU56" s="66" t="n"/>
      <c r="DV56" s="78">
        <f>IF(OR(INDEX(Undirviðmið!$G$6:$G$105,ROW()-6)&lt;&gt;"Starfsbundinn",DU56="",$E56="",$D56=""),"",ROUND(DU56/$E56*$D56*KVARDI,2))</f>
        <v/>
      </c>
      <c r="DW56" s="66" t="n"/>
      <c r="DX56" s="78">
        <f>IF(OR(INDEX(Undirviðmið!$G$6:$G$105,ROW()-6)&lt;&gt;"Starfsbundinn",DW56="",$E56="",$D56=""),"",ROUND(DW56/$E56*$D56*KVARDI,2))</f>
        <v/>
      </c>
      <c r="DY56" s="66" t="n"/>
      <c r="DZ56" s="78">
        <f>IF(OR(INDEX(Undirviðmið!$G$6:$G$105,ROW()-6)&lt;&gt;"Starfsbundinn",DY56="",$E56="",$D56=""),"",ROUND(DY56/$E56*$D56*KVARDI,2))</f>
        <v/>
      </c>
      <c r="EA56" s="66" t="n"/>
      <c r="EB56" s="78">
        <f>IF(OR(INDEX(Undirviðmið!$G$6:$G$105,ROW()-6)&lt;&gt;"Starfsbundinn",EA56="",$E56="",$D56=""),"",ROUND(EA56/$E56*$D56*KVARDI,2))</f>
        <v/>
      </c>
      <c r="EC56" s="66" t="n"/>
      <c r="ED56" s="78">
        <f>IF(OR(INDEX(Undirviðmið!$G$6:$G$105,ROW()-6)&lt;&gt;"Starfsbundinn",EC56="",$E56="",$D56=""),"",ROUND(EC56/$E56*$D56*KVARDI,2))</f>
        <v/>
      </c>
      <c r="EE56" s="66" t="n"/>
      <c r="EF56" s="78">
        <f>IF(OR(INDEX(Undirviðmið!$G$6:$G$105,ROW()-6)&lt;&gt;"Starfsbundinn",EE56="",$E56="",$D56=""),"",ROUND(EE56/$E56*$D56*KVARDI,2))</f>
        <v/>
      </c>
      <c r="EG56" s="66" t="n"/>
      <c r="EH56" s="78">
        <f>IF(OR(INDEX(Undirviðmið!$G$6:$G$105,ROW()-6)&lt;&gt;"Starfsbundinn",EG56="",$E56="",$D56=""),"",ROUND(EG56/$E56*$D56*KVARDI,2))</f>
        <v/>
      </c>
      <c r="EI56" s="66" t="n"/>
      <c r="EJ56" s="78">
        <f>IF(OR(INDEX(Undirviðmið!$G$6:$G$105,ROW()-6)&lt;&gt;"Starfsbundinn",EI56="",$E56="",$D56=""),"",ROUND(EI56/$E56*$D56*KVARDI,2))</f>
        <v/>
      </c>
      <c r="EK56" s="66" t="n"/>
      <c r="EL56" s="78">
        <f>IF(OR(INDEX(Undirviðmið!$G$6:$G$105,ROW()-6)&lt;&gt;"Starfsbundinn",EK56="",$E56="",$D56=""),"",ROUND(EK56/$E56*$D56*KVARDI,2))</f>
        <v/>
      </c>
      <c r="EM56" s="66" t="n"/>
      <c r="EN56" s="78">
        <f>IF(OR(INDEX(Undirviðmið!$G$6:$G$105,ROW()-6)&lt;&gt;"Starfsbundinn",EM56="",$E56="",$D56=""),"",ROUND(EM56/$E56*$D56*KVARDI,2))</f>
        <v/>
      </c>
      <c r="EO56" s="66" t="n"/>
      <c r="EP56" s="78">
        <f>IF(OR(INDEX(Undirviðmið!$G$6:$G$105,ROW()-6)&lt;&gt;"Starfsbundinn",EO56="",$E56="",$D56=""),"",ROUND(EO56/$E56*$D56*KVARDI,2))</f>
        <v/>
      </c>
      <c r="EQ56" s="66" t="n"/>
      <c r="ER56" s="78">
        <f>IF(OR(INDEX(Undirviðmið!$G$6:$G$105,ROW()-6)&lt;&gt;"Starfsbundinn",EQ56="",$E56="",$D56=""),"",ROUND(EQ56/$E56*$D56*KVARDI,2))</f>
        <v/>
      </c>
      <c r="ES56" s="66" t="n"/>
      <c r="ET56" s="78">
        <f>IF(OR(INDEX(Undirviðmið!$G$6:$G$105,ROW()-6)&lt;&gt;"Starfsbundinn",ES56="",$E56="",$D56=""),"",ROUND(ES56/$E56*$D56*KVARDI,2))</f>
        <v/>
      </c>
      <c r="EU56" s="66" t="n"/>
      <c r="EV56" s="78">
        <f>IF(OR(INDEX(Undirviðmið!$G$6:$G$105,ROW()-6)&lt;&gt;"Starfsbundinn",EU56="",$E56="",$D56=""),"",ROUND(EU56/$E56*$D56*KVARDI,2))</f>
        <v/>
      </c>
      <c r="EW56" s="66" t="n"/>
      <c r="EX56" s="78">
        <f>IF(OR(INDEX(Undirviðmið!$G$6:$G$105,ROW()-6)&lt;&gt;"Starfsbundinn",EW56="",$E56="",$D56=""),"",ROUND(EW56/$E56*$D56*KVARDI,2))</f>
        <v/>
      </c>
      <c r="EY56" s="66" t="n"/>
      <c r="EZ56" s="78">
        <f>IF(OR(INDEX(Undirviðmið!$G$6:$G$105,ROW()-6)&lt;&gt;"Starfsbundinn",EY56="",$E56="",$D56=""),"",ROUND(EY56/$E56*$D56*KVARDI,2))</f>
        <v/>
      </c>
      <c r="FA56" s="66" t="n"/>
      <c r="FB56" s="78">
        <f>IF(OR(INDEX(Undirviðmið!$G$6:$G$105,ROW()-6)&lt;&gt;"Starfsbundinn",FA56="",$E56="",$D56=""),"",ROUND(FA56/$E56*$D56*KVARDI,2))</f>
        <v/>
      </c>
      <c r="FC56" s="66" t="n"/>
      <c r="FD56" s="78">
        <f>IF(OR(INDEX(Undirviðmið!$G$6:$G$105,ROW()-6)&lt;&gt;"Starfsbundinn",FC56="",$E56="",$D56=""),"",ROUND(FC56/$E56*$D56*KVARDI,2))</f>
        <v/>
      </c>
      <c r="FE56" s="66" t="n"/>
      <c r="FF56" s="78">
        <f>IF(OR(INDEX(Undirviðmið!$G$6:$G$105,ROW()-6)&lt;&gt;"Starfsbundinn",FE56="",$E56="",$D56=""),"",ROUND(FE56/$E56*$D56*KVARDI,2))</f>
        <v/>
      </c>
      <c r="FG56" s="66" t="n"/>
      <c r="FH56" s="78">
        <f>IF(OR(INDEX(Undirviðmið!$G$6:$G$105,ROW()-6)&lt;&gt;"Starfsbundinn",FG56="",$E56="",$D56=""),"",ROUND(FG56/$E56*$D56*KVARDI,2))</f>
        <v/>
      </c>
      <c r="FI56" s="66" t="n"/>
      <c r="FJ56" s="78">
        <f>IF(OR(INDEX(Undirviðmið!$G$6:$G$105,ROW()-6)&lt;&gt;"Starfsbundinn",FI56="",$E56="",$D56=""),"",ROUND(FI56/$E56*$D56*KVARDI,2))</f>
        <v/>
      </c>
      <c r="FK56" s="66" t="n"/>
      <c r="FL56" s="78">
        <f>IF(OR(INDEX(Undirviðmið!$G$6:$G$105,ROW()-6)&lt;&gt;"Starfsbundinn",FK56="",$E56="",$D56=""),"",ROUND(FK56/$E56*$D56*KVARDI,2))</f>
        <v/>
      </c>
      <c r="FM56" s="66" t="n"/>
      <c r="FN56" s="78">
        <f>IF(OR(INDEX(Undirviðmið!$G$6:$G$105,ROW()-6)&lt;&gt;"Starfsbundinn",FM56="",$E56="",$D56=""),"",ROUND(FM56/$E56*$D56*KVARDI,2))</f>
        <v/>
      </c>
      <c r="FO56" s="66" t="n"/>
      <c r="FP56" s="78">
        <f>IF(OR(INDEX(Undirviðmið!$G$6:$G$105,ROW()-6)&lt;&gt;"Starfsbundinn",FO56="",$E56="",$D56=""),"",ROUND(FO56/$E56*$D56*KVARDI,2))</f>
        <v/>
      </c>
      <c r="FQ56" s="66" t="n"/>
      <c r="FR56" s="78">
        <f>IF(OR(INDEX(Undirviðmið!$G$6:$G$105,ROW()-6)&lt;&gt;"Starfsbundinn",FQ56="",$E56="",$D56=""),"",ROUND(FQ56/$E56*$D56*KVARDI,2))</f>
        <v/>
      </c>
      <c r="FS56" s="66" t="n"/>
      <c r="FT56" s="78">
        <f>IF(OR(INDEX(Undirviðmið!$G$6:$G$105,ROW()-6)&lt;&gt;"Starfsbundinn",FS56="",$E56="",$D56=""),"",ROUND(FS56/$E56*$D56*KVARDI,2))</f>
        <v/>
      </c>
      <c r="FU56" s="66" t="n"/>
      <c r="FV56" s="78">
        <f>IF(OR(INDEX(Undirviðmið!$G$6:$G$105,ROW()-6)&lt;&gt;"Starfsbundinn",FU56="",$E56="",$D56=""),"",ROUND(FU56/$E56*$D56*KVARDI,2))</f>
        <v/>
      </c>
      <c r="FW56" s="66" t="n"/>
      <c r="FX56" s="78">
        <f>IF(OR(INDEX(Undirviðmið!$G$6:$G$105,ROW()-6)&lt;&gt;"Starfsbundinn",FW56="",$E56="",$D56=""),"",ROUND(FW56/$E56*$D56*KVARDI,2))</f>
        <v/>
      </c>
      <c r="FY56" s="66" t="n"/>
      <c r="FZ56" s="78">
        <f>IF(OR(INDEX(Undirviðmið!$G$6:$G$105,ROW()-6)&lt;&gt;"Starfsbundinn",FY56="",$E56="",$D56=""),"",ROUND(FY56/$E56*$D56*KVARDI,2))</f>
        <v/>
      </c>
      <c r="GA56" s="66" t="n"/>
      <c r="GB56" s="78">
        <f>IF(OR(INDEX(Undirviðmið!$G$6:$G$105,ROW()-6)&lt;&gt;"Starfsbundinn",GA56="",$E56="",$D56=""),"",ROUND(GA56/$E56*$D56*KVARDI,2))</f>
        <v/>
      </c>
      <c r="GC56" s="66" t="n"/>
      <c r="GD56" s="78">
        <f>IF(OR(INDEX(Undirviðmið!$G$6:$G$105,ROW()-6)&lt;&gt;"Starfsbundinn",GC56="",$E56="",$D56=""),"",ROUND(GC56/$E56*$D56*KVARDI,2))</f>
        <v/>
      </c>
      <c r="GE56" s="66" t="n"/>
      <c r="GF56" s="78">
        <f>IF(OR(INDEX(Undirviðmið!$G$6:$G$105,ROW()-6)&lt;&gt;"Starfsbundinn",GE56="",$E56="",$D56=""),"",ROUND(GE56/$E56*$D56*KVARDI,2))</f>
        <v/>
      </c>
      <c r="GG56" s="66" t="n"/>
      <c r="GH56" s="78">
        <f>IF(OR(INDEX(Undirviðmið!$G$6:$G$105,ROW()-6)&lt;&gt;"Starfsbundinn",GG56="",$E56="",$D56=""),"",ROUND(GG56/$E56*$D56*KVARDI,2))</f>
        <v/>
      </c>
      <c r="GI56" s="66" t="n"/>
      <c r="GJ56" s="78">
        <f>IF(OR(INDEX(Undirviðmið!$G$6:$G$105,ROW()-6)&lt;&gt;"Starfsbundinn",GI56="",$E56="",$D56=""),"",ROUND(GI56/$E56*$D56*KVARDI,2))</f>
        <v/>
      </c>
      <c r="GK56" s="66" t="n"/>
      <c r="GL56" s="78">
        <f>IF(OR(INDEX(Undirviðmið!$G$6:$G$105,ROW()-6)&lt;&gt;"Starfsbundinn",GK56="",$E56="",$D56=""),"",ROUND(GK56/$E56*$D56*KVARDI,2))</f>
        <v/>
      </c>
      <c r="GM56" s="66" t="n"/>
      <c r="GN56" s="78">
        <f>IF(OR(INDEX(Undirviðmið!$G$6:$G$105,ROW()-6)&lt;&gt;"Starfsbundinn",GM56="",$E56="",$D56=""),"",ROUND(GM56/$E56*$D56*KVARDI,2))</f>
        <v/>
      </c>
      <c r="GO56" s="66" t="n"/>
      <c r="GP56" s="78">
        <f>IF(OR(INDEX(Undirviðmið!$G$6:$G$105,ROW()-6)&lt;&gt;"Starfsbundinn",GO56="",$E56="",$D56=""),"",ROUND(GO56/$E56*$D56*KVARDI,2))</f>
        <v/>
      </c>
      <c r="GQ56" s="66" t="n"/>
      <c r="GR56" s="78">
        <f>IF(OR(INDEX(Undirviðmið!$G$6:$G$105,ROW()-6)&lt;&gt;"Starfsbundinn",GQ56="",$E56="",$D56=""),"",ROUND(GQ56/$E56*$D56*KVARDI,2))</f>
        <v/>
      </c>
      <c r="GS56" s="66" t="n"/>
      <c r="GT56" s="78">
        <f>IF(OR(INDEX(Undirviðmið!$G$6:$G$105,ROW()-6)&lt;&gt;"Starfsbundinn",GS56="",$E56="",$D56=""),"",ROUND(GS56/$E56*$D56*KVARDI,2))</f>
        <v/>
      </c>
      <c r="GU56" s="66" t="n"/>
      <c r="GV56" s="78">
        <f>IF(OR(INDEX(Undirviðmið!$G$6:$G$105,ROW()-6)&lt;&gt;"Starfsbundinn",GU56="",$E56="",$D56=""),"",ROUND(GU56/$E56*$D56*KVARDI,2))</f>
        <v/>
      </c>
      <c r="GW56" s="66" t="n"/>
      <c r="GX56" s="78">
        <f>IF(OR(INDEX(Undirviðmið!$G$6:$G$105,ROW()-6)&lt;&gt;"Starfsbundinn",GW56="",$E56="",$D56=""),"",ROUND(GW56/$E56*$D56*KVARDI,2))</f>
        <v/>
      </c>
    </row>
    <row r="57" ht="15" customHeight="1" s="47">
      <c r="B57" s="67">
        <f>IF(INDEX(Undirviðmið!$G$6:$G$105,ROW()-6)="Starfsbundinn",INDEX(Undirviðmið!$B$6:$B$105,ROW()-6),"")</f>
        <v/>
      </c>
      <c r="C57" s="67">
        <f>IF(INDEX(Undirviðmið!$G$6:$G$105,ROW()-6)="Starfsbundinn",INDEX(Undirviðmið!$C$6:$C$105,ROW()-6),"")</f>
        <v/>
      </c>
      <c r="D57" s="77">
        <f>IF(INDEX(Undirviðmið!$G$6:$G$105,ROW()-6)="Starfsbundinn",INDEX(Undirviðmið!$E$6:$E$105,ROW()-6),"")</f>
        <v/>
      </c>
      <c r="E57" s="77">
        <f>IF(INDEX(Undirviðmið!$G$6:$G$105,ROW()-6)="Starfsbundinn",INDEX(Undirviðmið!$F$6:$F$105,ROW()-6),"")</f>
        <v/>
      </c>
      <c r="F57" s="77">
        <f>IF(INDEX(Undirviðmið!$G$6:$G$105,ROW()-6)="Starfsbundinn",IFERROR(INDEX(Undirviðmið!$E$6:$E$105,ROW()-6)*KVARDI,""),"")</f>
        <v/>
      </c>
      <c r="G57" s="66" t="n"/>
      <c r="H57" s="78">
        <f>IF(OR(INDEX(Undirviðmið!$G$6:$G$105,ROW()-6)&lt;&gt;"Starfsbundinn",G57="",$E57="",$D57=""),"",ROUND(G57/$E57*$D57*KVARDI,2))</f>
        <v/>
      </c>
      <c r="I57" s="66" t="n"/>
      <c r="J57" s="78">
        <f>IF(OR(INDEX(Undirviðmið!$G$6:$G$105,ROW()-6)&lt;&gt;"Starfsbundinn",I57="",$E57="",$D57=""),"",ROUND(I57/$E57*$D57*KVARDI,2))</f>
        <v/>
      </c>
      <c r="K57" s="66" t="n"/>
      <c r="L57" s="78">
        <f>IF(OR(INDEX(Undirviðmið!$G$6:$G$105,ROW()-6)&lt;&gt;"Starfsbundinn",K57="",$E57="",$D57=""),"",ROUND(K57/$E57*$D57*KVARDI,2))</f>
        <v/>
      </c>
      <c r="M57" s="66" t="n"/>
      <c r="N57" s="78">
        <f>IF(OR(INDEX(Undirviðmið!$G$6:$G$105,ROW()-6)&lt;&gt;"Starfsbundinn",M57="",$E57="",$D57=""),"",ROUND(M57/$E57*$D57*KVARDI,2))</f>
        <v/>
      </c>
      <c r="O57" s="66" t="n"/>
      <c r="P57" s="78">
        <f>IF(OR(INDEX(Undirviðmið!$G$6:$G$105,ROW()-6)&lt;&gt;"Starfsbundinn",O57="",$E57="",$D57=""),"",ROUND(O57/$E57*$D57*KVARDI,2))</f>
        <v/>
      </c>
      <c r="Q57" s="66" t="n"/>
      <c r="R57" s="78">
        <f>IF(OR(INDEX(Undirviðmið!$G$6:$G$105,ROW()-6)&lt;&gt;"Starfsbundinn",Q57="",$E57="",$D57=""),"",ROUND(Q57/$E57*$D57*KVARDI,2))</f>
        <v/>
      </c>
      <c r="S57" s="66" t="n"/>
      <c r="T57" s="78">
        <f>IF(OR(INDEX(Undirviðmið!$G$6:$G$105,ROW()-6)&lt;&gt;"Starfsbundinn",S57="",$E57="",$D57=""),"",ROUND(S57/$E57*$D57*KVARDI,2))</f>
        <v/>
      </c>
      <c r="U57" s="66" t="n"/>
      <c r="V57" s="78">
        <f>IF(OR(INDEX(Undirviðmið!$G$6:$G$105,ROW()-6)&lt;&gt;"Starfsbundinn",U57="",$E57="",$D57=""),"",ROUND(U57/$E57*$D57*KVARDI,2))</f>
        <v/>
      </c>
      <c r="W57" s="66" t="n"/>
      <c r="X57" s="78">
        <f>IF(OR(INDEX(Undirviðmið!$G$6:$G$105,ROW()-6)&lt;&gt;"Starfsbundinn",W57="",$E57="",$D57=""),"",ROUND(W57/$E57*$D57*KVARDI,2))</f>
        <v/>
      </c>
      <c r="Y57" s="66" t="n"/>
      <c r="Z57" s="78">
        <f>IF(OR(INDEX(Undirviðmið!$G$6:$G$105,ROW()-6)&lt;&gt;"Starfsbundinn",Y57="",$E57="",$D57=""),"",ROUND(Y57/$E57*$D57*KVARDI,2))</f>
        <v/>
      </c>
      <c r="AA57" s="66" t="n"/>
      <c r="AB57" s="78">
        <f>IF(OR(INDEX(Undirviðmið!$G$6:$G$105,ROW()-6)&lt;&gt;"Starfsbundinn",AA57="",$E57="",$D57=""),"",ROUND(AA57/$E57*$D57*KVARDI,2))</f>
        <v/>
      </c>
      <c r="AC57" s="66" t="n"/>
      <c r="AD57" s="78">
        <f>IF(OR(INDEX(Undirviðmið!$G$6:$G$105,ROW()-6)&lt;&gt;"Starfsbundinn",AC57="",$E57="",$D57=""),"",ROUND(AC57/$E57*$D57*KVARDI,2))</f>
        <v/>
      </c>
      <c r="AE57" s="66" t="n"/>
      <c r="AF57" s="78">
        <f>IF(OR(INDEX(Undirviðmið!$G$6:$G$105,ROW()-6)&lt;&gt;"Starfsbundinn",AE57="",$E57="",$D57=""),"",ROUND(AE57/$E57*$D57*KVARDI,2))</f>
        <v/>
      </c>
      <c r="AG57" s="66" t="n"/>
      <c r="AH57" s="78">
        <f>IF(OR(INDEX(Undirviðmið!$G$6:$G$105,ROW()-6)&lt;&gt;"Starfsbundinn",AG57="",$E57="",$D57=""),"",ROUND(AG57/$E57*$D57*KVARDI,2))</f>
        <v/>
      </c>
      <c r="AI57" s="66" t="n"/>
      <c r="AJ57" s="78">
        <f>IF(OR(INDEX(Undirviðmið!$G$6:$G$105,ROW()-6)&lt;&gt;"Starfsbundinn",AI57="",$E57="",$D57=""),"",ROUND(AI57/$E57*$D57*KVARDI,2))</f>
        <v/>
      </c>
      <c r="AK57" s="66" t="n"/>
      <c r="AL57" s="78">
        <f>IF(OR(INDEX(Undirviðmið!$G$6:$G$105,ROW()-6)&lt;&gt;"Starfsbundinn",AK57="",$E57="",$D57=""),"",ROUND(AK57/$E57*$D57*KVARDI,2))</f>
        <v/>
      </c>
      <c r="AM57" s="66" t="n"/>
      <c r="AN57" s="78">
        <f>IF(OR(INDEX(Undirviðmið!$G$6:$G$105,ROW()-6)&lt;&gt;"Starfsbundinn",AM57="",$E57="",$D57=""),"",ROUND(AM57/$E57*$D57*KVARDI,2))</f>
        <v/>
      </c>
      <c r="AO57" s="66" t="n"/>
      <c r="AP57" s="78">
        <f>IF(OR(INDEX(Undirviðmið!$G$6:$G$105,ROW()-6)&lt;&gt;"Starfsbundinn",AO57="",$E57="",$D57=""),"",ROUND(AO57/$E57*$D57*KVARDI,2))</f>
        <v/>
      </c>
      <c r="AQ57" s="66" t="n"/>
      <c r="AR57" s="78">
        <f>IF(OR(INDEX(Undirviðmið!$G$6:$G$105,ROW()-6)&lt;&gt;"Starfsbundinn",AQ57="",$E57="",$D57=""),"",ROUND(AQ57/$E57*$D57*KVARDI,2))</f>
        <v/>
      </c>
      <c r="AS57" s="66" t="n"/>
      <c r="AT57" s="78">
        <f>IF(OR(INDEX(Undirviðmið!$G$6:$G$105,ROW()-6)&lt;&gt;"Starfsbundinn",AS57="",$E57="",$D57=""),"",ROUND(AS57/$E57*$D57*KVARDI,2))</f>
        <v/>
      </c>
      <c r="AU57" s="66" t="n"/>
      <c r="AV57" s="78">
        <f>IF(OR(INDEX(Undirviðmið!$G$6:$G$105,ROW()-6)&lt;&gt;"Starfsbundinn",AU57="",$E57="",$D57=""),"",ROUND(AU57/$E57*$D57*KVARDI,2))</f>
        <v/>
      </c>
      <c r="AW57" s="66" t="n"/>
      <c r="AX57" s="78">
        <f>IF(OR(INDEX(Undirviðmið!$G$6:$G$105,ROW()-6)&lt;&gt;"Starfsbundinn",AW57="",$E57="",$D57=""),"",ROUND(AW57/$E57*$D57*KVARDI,2))</f>
        <v/>
      </c>
      <c r="AY57" s="66" t="n"/>
      <c r="AZ57" s="78">
        <f>IF(OR(INDEX(Undirviðmið!$G$6:$G$105,ROW()-6)&lt;&gt;"Starfsbundinn",AY57="",$E57="",$D57=""),"",ROUND(AY57/$E57*$D57*KVARDI,2))</f>
        <v/>
      </c>
      <c r="BA57" s="66" t="n"/>
      <c r="BB57" s="78">
        <f>IF(OR(INDEX(Undirviðmið!$G$6:$G$105,ROW()-6)&lt;&gt;"Starfsbundinn",BA57="",$E57="",$D57=""),"",ROUND(BA57/$E57*$D57*KVARDI,2))</f>
        <v/>
      </c>
      <c r="BC57" s="66" t="n"/>
      <c r="BD57" s="78">
        <f>IF(OR(INDEX(Undirviðmið!$G$6:$G$105,ROW()-6)&lt;&gt;"Starfsbundinn",BC57="",$E57="",$D57=""),"",ROUND(BC57/$E57*$D57*KVARDI,2))</f>
        <v/>
      </c>
      <c r="BE57" s="66" t="n"/>
      <c r="BF57" s="78">
        <f>IF(OR(INDEX(Undirviðmið!$G$6:$G$105,ROW()-6)&lt;&gt;"Starfsbundinn",BE57="",$E57="",$D57=""),"",ROUND(BE57/$E57*$D57*KVARDI,2))</f>
        <v/>
      </c>
      <c r="BG57" s="66" t="n"/>
      <c r="BH57" s="78">
        <f>IF(OR(INDEX(Undirviðmið!$G$6:$G$105,ROW()-6)&lt;&gt;"Starfsbundinn",BG57="",$E57="",$D57=""),"",ROUND(BG57/$E57*$D57*KVARDI,2))</f>
        <v/>
      </c>
      <c r="BI57" s="66" t="n"/>
      <c r="BJ57" s="78">
        <f>IF(OR(INDEX(Undirviðmið!$G$6:$G$105,ROW()-6)&lt;&gt;"Starfsbundinn",BI57="",$E57="",$D57=""),"",ROUND(BI57/$E57*$D57*KVARDI,2))</f>
        <v/>
      </c>
      <c r="BK57" s="66" t="n"/>
      <c r="BL57" s="78">
        <f>IF(OR(INDEX(Undirviðmið!$G$6:$G$105,ROW()-6)&lt;&gt;"Starfsbundinn",BK57="",$E57="",$D57=""),"",ROUND(BK57/$E57*$D57*KVARDI,2))</f>
        <v/>
      </c>
      <c r="BM57" s="66" t="n"/>
      <c r="BN57" s="78">
        <f>IF(OR(INDEX(Undirviðmið!$G$6:$G$105,ROW()-6)&lt;&gt;"Starfsbundinn",BM57="",$E57="",$D57=""),"",ROUND(BM57/$E57*$D57*KVARDI,2))</f>
        <v/>
      </c>
      <c r="BO57" s="66" t="n"/>
      <c r="BP57" s="78">
        <f>IF(OR(INDEX(Undirviðmið!$G$6:$G$105,ROW()-6)&lt;&gt;"Starfsbundinn",BO57="",$E57="",$D57=""),"",ROUND(BO57/$E57*$D57*KVARDI,2))</f>
        <v/>
      </c>
      <c r="BQ57" s="66" t="n"/>
      <c r="BR57" s="78">
        <f>IF(OR(INDEX(Undirviðmið!$G$6:$G$105,ROW()-6)&lt;&gt;"Starfsbundinn",BQ57="",$E57="",$D57=""),"",ROUND(BQ57/$E57*$D57*KVARDI,2))</f>
        <v/>
      </c>
      <c r="BS57" s="66" t="n"/>
      <c r="BT57" s="78">
        <f>IF(OR(INDEX(Undirviðmið!$G$6:$G$105,ROW()-6)&lt;&gt;"Starfsbundinn",BS57="",$E57="",$D57=""),"",ROUND(BS57/$E57*$D57*KVARDI,2))</f>
        <v/>
      </c>
      <c r="BU57" s="66" t="n"/>
      <c r="BV57" s="78">
        <f>IF(OR(INDEX(Undirviðmið!$G$6:$G$105,ROW()-6)&lt;&gt;"Starfsbundinn",BU57="",$E57="",$D57=""),"",ROUND(BU57/$E57*$D57*KVARDI,2))</f>
        <v/>
      </c>
      <c r="BW57" s="66" t="n"/>
      <c r="BX57" s="78">
        <f>IF(OR(INDEX(Undirviðmið!$G$6:$G$105,ROW()-6)&lt;&gt;"Starfsbundinn",BW57="",$E57="",$D57=""),"",ROUND(BW57/$E57*$D57*KVARDI,2))</f>
        <v/>
      </c>
      <c r="BY57" s="66" t="n"/>
      <c r="BZ57" s="78">
        <f>IF(OR(INDEX(Undirviðmið!$G$6:$G$105,ROW()-6)&lt;&gt;"Starfsbundinn",BY57="",$E57="",$D57=""),"",ROUND(BY57/$E57*$D57*KVARDI,2))</f>
        <v/>
      </c>
      <c r="CA57" s="66" t="n"/>
      <c r="CB57" s="78">
        <f>IF(OR(INDEX(Undirviðmið!$G$6:$G$105,ROW()-6)&lt;&gt;"Starfsbundinn",CA57="",$E57="",$D57=""),"",ROUND(CA57/$E57*$D57*KVARDI,2))</f>
        <v/>
      </c>
      <c r="CC57" s="66" t="n"/>
      <c r="CD57" s="78">
        <f>IF(OR(INDEX(Undirviðmið!$G$6:$G$105,ROW()-6)&lt;&gt;"Starfsbundinn",CC57="",$E57="",$D57=""),"",ROUND(CC57/$E57*$D57*KVARDI,2))</f>
        <v/>
      </c>
      <c r="CE57" s="66" t="n"/>
      <c r="CF57" s="78">
        <f>IF(OR(INDEX(Undirviðmið!$G$6:$G$105,ROW()-6)&lt;&gt;"Starfsbundinn",CE57="",$E57="",$D57=""),"",ROUND(CE57/$E57*$D57*KVARDI,2))</f>
        <v/>
      </c>
      <c r="CG57" s="66" t="n"/>
      <c r="CH57" s="78">
        <f>IF(OR(INDEX(Undirviðmið!$G$6:$G$105,ROW()-6)&lt;&gt;"Starfsbundinn",CG57="",$E57="",$D57=""),"",ROUND(CG57/$E57*$D57*KVARDI,2))</f>
        <v/>
      </c>
      <c r="CI57" s="66" t="n"/>
      <c r="CJ57" s="78">
        <f>IF(OR(INDEX(Undirviðmið!$G$6:$G$105,ROW()-6)&lt;&gt;"Starfsbundinn",CI57="",$E57="",$D57=""),"",ROUND(CI57/$E57*$D57*KVARDI,2))</f>
        <v/>
      </c>
      <c r="CK57" s="66" t="n"/>
      <c r="CL57" s="78">
        <f>IF(OR(INDEX(Undirviðmið!$G$6:$G$105,ROW()-6)&lt;&gt;"Starfsbundinn",CK57="",$E57="",$D57=""),"",ROUND(CK57/$E57*$D57*KVARDI,2))</f>
        <v/>
      </c>
      <c r="CM57" s="66" t="n"/>
      <c r="CN57" s="78">
        <f>IF(OR(INDEX(Undirviðmið!$G$6:$G$105,ROW()-6)&lt;&gt;"Starfsbundinn",CM57="",$E57="",$D57=""),"",ROUND(CM57/$E57*$D57*KVARDI,2))</f>
        <v/>
      </c>
      <c r="CO57" s="66" t="n"/>
      <c r="CP57" s="78">
        <f>IF(OR(INDEX(Undirviðmið!$G$6:$G$105,ROW()-6)&lt;&gt;"Starfsbundinn",CO57="",$E57="",$D57=""),"",ROUND(CO57/$E57*$D57*KVARDI,2))</f>
        <v/>
      </c>
      <c r="CQ57" s="66" t="n"/>
      <c r="CR57" s="78">
        <f>IF(OR(INDEX(Undirviðmið!$G$6:$G$105,ROW()-6)&lt;&gt;"Starfsbundinn",CQ57="",$E57="",$D57=""),"",ROUND(CQ57/$E57*$D57*KVARDI,2))</f>
        <v/>
      </c>
      <c r="CS57" s="66" t="n"/>
      <c r="CT57" s="78">
        <f>IF(OR(INDEX(Undirviðmið!$G$6:$G$105,ROW()-6)&lt;&gt;"Starfsbundinn",CS57="",$E57="",$D57=""),"",ROUND(CS57/$E57*$D57*KVARDI,2))</f>
        <v/>
      </c>
      <c r="CU57" s="66" t="n"/>
      <c r="CV57" s="78">
        <f>IF(OR(INDEX(Undirviðmið!$G$6:$G$105,ROW()-6)&lt;&gt;"Starfsbundinn",CU57="",$E57="",$D57=""),"",ROUND(CU57/$E57*$D57*KVARDI,2))</f>
        <v/>
      </c>
      <c r="CW57" s="66" t="n"/>
      <c r="CX57" s="78">
        <f>IF(OR(INDEX(Undirviðmið!$G$6:$G$105,ROW()-6)&lt;&gt;"Starfsbundinn",CW57="",$E57="",$D57=""),"",ROUND(CW57/$E57*$D57*KVARDI,2))</f>
        <v/>
      </c>
      <c r="CY57" s="66" t="n"/>
      <c r="CZ57" s="78">
        <f>IF(OR(INDEX(Undirviðmið!$G$6:$G$105,ROW()-6)&lt;&gt;"Starfsbundinn",CY57="",$E57="",$D57=""),"",ROUND(CY57/$E57*$D57*KVARDI,2))</f>
        <v/>
      </c>
      <c r="DA57" s="66" t="n"/>
      <c r="DB57" s="78">
        <f>IF(OR(INDEX(Undirviðmið!$G$6:$G$105,ROW()-6)&lt;&gt;"Starfsbundinn",DA57="",$E57="",$D57=""),"",ROUND(DA57/$E57*$D57*KVARDI,2))</f>
        <v/>
      </c>
      <c r="DC57" s="66" t="n"/>
      <c r="DD57" s="78">
        <f>IF(OR(INDEX(Undirviðmið!$G$6:$G$105,ROW()-6)&lt;&gt;"Starfsbundinn",DC57="",$E57="",$D57=""),"",ROUND(DC57/$E57*$D57*KVARDI,2))</f>
        <v/>
      </c>
      <c r="DE57" s="66" t="n"/>
      <c r="DF57" s="78">
        <f>IF(OR(INDEX(Undirviðmið!$G$6:$G$105,ROW()-6)&lt;&gt;"Starfsbundinn",DE57="",$E57="",$D57=""),"",ROUND(DE57/$E57*$D57*KVARDI,2))</f>
        <v/>
      </c>
      <c r="DG57" s="66" t="n"/>
      <c r="DH57" s="78">
        <f>IF(OR(INDEX(Undirviðmið!$G$6:$G$105,ROW()-6)&lt;&gt;"Starfsbundinn",DG57="",$E57="",$D57=""),"",ROUND(DG57/$E57*$D57*KVARDI,2))</f>
        <v/>
      </c>
      <c r="DI57" s="66" t="n"/>
      <c r="DJ57" s="78">
        <f>IF(OR(INDEX(Undirviðmið!$G$6:$G$105,ROW()-6)&lt;&gt;"Starfsbundinn",DI57="",$E57="",$D57=""),"",ROUND(DI57/$E57*$D57*KVARDI,2))</f>
        <v/>
      </c>
      <c r="DK57" s="66" t="n"/>
      <c r="DL57" s="78">
        <f>IF(OR(INDEX(Undirviðmið!$G$6:$G$105,ROW()-6)&lt;&gt;"Starfsbundinn",DK57="",$E57="",$D57=""),"",ROUND(DK57/$E57*$D57*KVARDI,2))</f>
        <v/>
      </c>
      <c r="DM57" s="66" t="n"/>
      <c r="DN57" s="78">
        <f>IF(OR(INDEX(Undirviðmið!$G$6:$G$105,ROW()-6)&lt;&gt;"Starfsbundinn",DM57="",$E57="",$D57=""),"",ROUND(DM57/$E57*$D57*KVARDI,2))</f>
        <v/>
      </c>
      <c r="DO57" s="66" t="n"/>
      <c r="DP57" s="78">
        <f>IF(OR(INDEX(Undirviðmið!$G$6:$G$105,ROW()-6)&lt;&gt;"Starfsbundinn",DO57="",$E57="",$D57=""),"",ROUND(DO57/$E57*$D57*KVARDI,2))</f>
        <v/>
      </c>
      <c r="DQ57" s="66" t="n"/>
      <c r="DR57" s="78">
        <f>IF(OR(INDEX(Undirviðmið!$G$6:$G$105,ROW()-6)&lt;&gt;"Starfsbundinn",DQ57="",$E57="",$D57=""),"",ROUND(DQ57/$E57*$D57*KVARDI,2))</f>
        <v/>
      </c>
      <c r="DS57" s="66" t="n"/>
      <c r="DT57" s="78">
        <f>IF(OR(INDEX(Undirviðmið!$G$6:$G$105,ROW()-6)&lt;&gt;"Starfsbundinn",DS57="",$E57="",$D57=""),"",ROUND(DS57/$E57*$D57*KVARDI,2))</f>
        <v/>
      </c>
      <c r="DU57" s="66" t="n"/>
      <c r="DV57" s="78">
        <f>IF(OR(INDEX(Undirviðmið!$G$6:$G$105,ROW()-6)&lt;&gt;"Starfsbundinn",DU57="",$E57="",$D57=""),"",ROUND(DU57/$E57*$D57*KVARDI,2))</f>
        <v/>
      </c>
      <c r="DW57" s="66" t="n"/>
      <c r="DX57" s="78">
        <f>IF(OR(INDEX(Undirviðmið!$G$6:$G$105,ROW()-6)&lt;&gt;"Starfsbundinn",DW57="",$E57="",$D57=""),"",ROUND(DW57/$E57*$D57*KVARDI,2))</f>
        <v/>
      </c>
      <c r="DY57" s="66" t="n"/>
      <c r="DZ57" s="78">
        <f>IF(OR(INDEX(Undirviðmið!$G$6:$G$105,ROW()-6)&lt;&gt;"Starfsbundinn",DY57="",$E57="",$D57=""),"",ROUND(DY57/$E57*$D57*KVARDI,2))</f>
        <v/>
      </c>
      <c r="EA57" s="66" t="n"/>
      <c r="EB57" s="78">
        <f>IF(OR(INDEX(Undirviðmið!$G$6:$G$105,ROW()-6)&lt;&gt;"Starfsbundinn",EA57="",$E57="",$D57=""),"",ROUND(EA57/$E57*$D57*KVARDI,2))</f>
        <v/>
      </c>
      <c r="EC57" s="66" t="n"/>
      <c r="ED57" s="78">
        <f>IF(OR(INDEX(Undirviðmið!$G$6:$G$105,ROW()-6)&lt;&gt;"Starfsbundinn",EC57="",$E57="",$D57=""),"",ROUND(EC57/$E57*$D57*KVARDI,2))</f>
        <v/>
      </c>
      <c r="EE57" s="66" t="n"/>
      <c r="EF57" s="78">
        <f>IF(OR(INDEX(Undirviðmið!$G$6:$G$105,ROW()-6)&lt;&gt;"Starfsbundinn",EE57="",$E57="",$D57=""),"",ROUND(EE57/$E57*$D57*KVARDI,2))</f>
        <v/>
      </c>
      <c r="EG57" s="66" t="n"/>
      <c r="EH57" s="78">
        <f>IF(OR(INDEX(Undirviðmið!$G$6:$G$105,ROW()-6)&lt;&gt;"Starfsbundinn",EG57="",$E57="",$D57=""),"",ROUND(EG57/$E57*$D57*KVARDI,2))</f>
        <v/>
      </c>
      <c r="EI57" s="66" t="n"/>
      <c r="EJ57" s="78">
        <f>IF(OR(INDEX(Undirviðmið!$G$6:$G$105,ROW()-6)&lt;&gt;"Starfsbundinn",EI57="",$E57="",$D57=""),"",ROUND(EI57/$E57*$D57*KVARDI,2))</f>
        <v/>
      </c>
      <c r="EK57" s="66" t="n"/>
      <c r="EL57" s="78">
        <f>IF(OR(INDEX(Undirviðmið!$G$6:$G$105,ROW()-6)&lt;&gt;"Starfsbundinn",EK57="",$E57="",$D57=""),"",ROUND(EK57/$E57*$D57*KVARDI,2))</f>
        <v/>
      </c>
      <c r="EM57" s="66" t="n"/>
      <c r="EN57" s="78">
        <f>IF(OR(INDEX(Undirviðmið!$G$6:$G$105,ROW()-6)&lt;&gt;"Starfsbundinn",EM57="",$E57="",$D57=""),"",ROUND(EM57/$E57*$D57*KVARDI,2))</f>
        <v/>
      </c>
      <c r="EO57" s="66" t="n"/>
      <c r="EP57" s="78">
        <f>IF(OR(INDEX(Undirviðmið!$G$6:$G$105,ROW()-6)&lt;&gt;"Starfsbundinn",EO57="",$E57="",$D57=""),"",ROUND(EO57/$E57*$D57*KVARDI,2))</f>
        <v/>
      </c>
      <c r="EQ57" s="66" t="n"/>
      <c r="ER57" s="78">
        <f>IF(OR(INDEX(Undirviðmið!$G$6:$G$105,ROW()-6)&lt;&gt;"Starfsbundinn",EQ57="",$E57="",$D57=""),"",ROUND(EQ57/$E57*$D57*KVARDI,2))</f>
        <v/>
      </c>
      <c r="ES57" s="66" t="n"/>
      <c r="ET57" s="78">
        <f>IF(OR(INDEX(Undirviðmið!$G$6:$G$105,ROW()-6)&lt;&gt;"Starfsbundinn",ES57="",$E57="",$D57=""),"",ROUND(ES57/$E57*$D57*KVARDI,2))</f>
        <v/>
      </c>
      <c r="EU57" s="66" t="n"/>
      <c r="EV57" s="78">
        <f>IF(OR(INDEX(Undirviðmið!$G$6:$G$105,ROW()-6)&lt;&gt;"Starfsbundinn",EU57="",$E57="",$D57=""),"",ROUND(EU57/$E57*$D57*KVARDI,2))</f>
        <v/>
      </c>
      <c r="EW57" s="66" t="n"/>
      <c r="EX57" s="78">
        <f>IF(OR(INDEX(Undirviðmið!$G$6:$G$105,ROW()-6)&lt;&gt;"Starfsbundinn",EW57="",$E57="",$D57=""),"",ROUND(EW57/$E57*$D57*KVARDI,2))</f>
        <v/>
      </c>
      <c r="EY57" s="66" t="n"/>
      <c r="EZ57" s="78">
        <f>IF(OR(INDEX(Undirviðmið!$G$6:$G$105,ROW()-6)&lt;&gt;"Starfsbundinn",EY57="",$E57="",$D57=""),"",ROUND(EY57/$E57*$D57*KVARDI,2))</f>
        <v/>
      </c>
      <c r="FA57" s="66" t="n"/>
      <c r="FB57" s="78">
        <f>IF(OR(INDEX(Undirviðmið!$G$6:$G$105,ROW()-6)&lt;&gt;"Starfsbundinn",FA57="",$E57="",$D57=""),"",ROUND(FA57/$E57*$D57*KVARDI,2))</f>
        <v/>
      </c>
      <c r="FC57" s="66" t="n"/>
      <c r="FD57" s="78">
        <f>IF(OR(INDEX(Undirviðmið!$G$6:$G$105,ROW()-6)&lt;&gt;"Starfsbundinn",FC57="",$E57="",$D57=""),"",ROUND(FC57/$E57*$D57*KVARDI,2))</f>
        <v/>
      </c>
      <c r="FE57" s="66" t="n"/>
      <c r="FF57" s="78">
        <f>IF(OR(INDEX(Undirviðmið!$G$6:$G$105,ROW()-6)&lt;&gt;"Starfsbundinn",FE57="",$E57="",$D57=""),"",ROUND(FE57/$E57*$D57*KVARDI,2))</f>
        <v/>
      </c>
      <c r="FG57" s="66" t="n"/>
      <c r="FH57" s="78">
        <f>IF(OR(INDEX(Undirviðmið!$G$6:$G$105,ROW()-6)&lt;&gt;"Starfsbundinn",FG57="",$E57="",$D57=""),"",ROUND(FG57/$E57*$D57*KVARDI,2))</f>
        <v/>
      </c>
      <c r="FI57" s="66" t="n"/>
      <c r="FJ57" s="78">
        <f>IF(OR(INDEX(Undirviðmið!$G$6:$G$105,ROW()-6)&lt;&gt;"Starfsbundinn",FI57="",$E57="",$D57=""),"",ROUND(FI57/$E57*$D57*KVARDI,2))</f>
        <v/>
      </c>
      <c r="FK57" s="66" t="n"/>
      <c r="FL57" s="78">
        <f>IF(OR(INDEX(Undirviðmið!$G$6:$G$105,ROW()-6)&lt;&gt;"Starfsbundinn",FK57="",$E57="",$D57=""),"",ROUND(FK57/$E57*$D57*KVARDI,2))</f>
        <v/>
      </c>
      <c r="FM57" s="66" t="n"/>
      <c r="FN57" s="78">
        <f>IF(OR(INDEX(Undirviðmið!$G$6:$G$105,ROW()-6)&lt;&gt;"Starfsbundinn",FM57="",$E57="",$D57=""),"",ROUND(FM57/$E57*$D57*KVARDI,2))</f>
        <v/>
      </c>
      <c r="FO57" s="66" t="n"/>
      <c r="FP57" s="78">
        <f>IF(OR(INDEX(Undirviðmið!$G$6:$G$105,ROW()-6)&lt;&gt;"Starfsbundinn",FO57="",$E57="",$D57=""),"",ROUND(FO57/$E57*$D57*KVARDI,2))</f>
        <v/>
      </c>
      <c r="FQ57" s="66" t="n"/>
      <c r="FR57" s="78">
        <f>IF(OR(INDEX(Undirviðmið!$G$6:$G$105,ROW()-6)&lt;&gt;"Starfsbundinn",FQ57="",$E57="",$D57=""),"",ROUND(FQ57/$E57*$D57*KVARDI,2))</f>
        <v/>
      </c>
      <c r="FS57" s="66" t="n"/>
      <c r="FT57" s="78">
        <f>IF(OR(INDEX(Undirviðmið!$G$6:$G$105,ROW()-6)&lt;&gt;"Starfsbundinn",FS57="",$E57="",$D57=""),"",ROUND(FS57/$E57*$D57*KVARDI,2))</f>
        <v/>
      </c>
      <c r="FU57" s="66" t="n"/>
      <c r="FV57" s="78">
        <f>IF(OR(INDEX(Undirviðmið!$G$6:$G$105,ROW()-6)&lt;&gt;"Starfsbundinn",FU57="",$E57="",$D57=""),"",ROUND(FU57/$E57*$D57*KVARDI,2))</f>
        <v/>
      </c>
      <c r="FW57" s="66" t="n"/>
      <c r="FX57" s="78">
        <f>IF(OR(INDEX(Undirviðmið!$G$6:$G$105,ROW()-6)&lt;&gt;"Starfsbundinn",FW57="",$E57="",$D57=""),"",ROUND(FW57/$E57*$D57*KVARDI,2))</f>
        <v/>
      </c>
      <c r="FY57" s="66" t="n"/>
      <c r="FZ57" s="78">
        <f>IF(OR(INDEX(Undirviðmið!$G$6:$G$105,ROW()-6)&lt;&gt;"Starfsbundinn",FY57="",$E57="",$D57=""),"",ROUND(FY57/$E57*$D57*KVARDI,2))</f>
        <v/>
      </c>
      <c r="GA57" s="66" t="n"/>
      <c r="GB57" s="78">
        <f>IF(OR(INDEX(Undirviðmið!$G$6:$G$105,ROW()-6)&lt;&gt;"Starfsbundinn",GA57="",$E57="",$D57=""),"",ROUND(GA57/$E57*$D57*KVARDI,2))</f>
        <v/>
      </c>
      <c r="GC57" s="66" t="n"/>
      <c r="GD57" s="78">
        <f>IF(OR(INDEX(Undirviðmið!$G$6:$G$105,ROW()-6)&lt;&gt;"Starfsbundinn",GC57="",$E57="",$D57=""),"",ROUND(GC57/$E57*$D57*KVARDI,2))</f>
        <v/>
      </c>
      <c r="GE57" s="66" t="n"/>
      <c r="GF57" s="78">
        <f>IF(OR(INDEX(Undirviðmið!$G$6:$G$105,ROW()-6)&lt;&gt;"Starfsbundinn",GE57="",$E57="",$D57=""),"",ROUND(GE57/$E57*$D57*KVARDI,2))</f>
        <v/>
      </c>
      <c r="GG57" s="66" t="n"/>
      <c r="GH57" s="78">
        <f>IF(OR(INDEX(Undirviðmið!$G$6:$G$105,ROW()-6)&lt;&gt;"Starfsbundinn",GG57="",$E57="",$D57=""),"",ROUND(GG57/$E57*$D57*KVARDI,2))</f>
        <v/>
      </c>
      <c r="GI57" s="66" t="n"/>
      <c r="GJ57" s="78">
        <f>IF(OR(INDEX(Undirviðmið!$G$6:$G$105,ROW()-6)&lt;&gt;"Starfsbundinn",GI57="",$E57="",$D57=""),"",ROUND(GI57/$E57*$D57*KVARDI,2))</f>
        <v/>
      </c>
      <c r="GK57" s="66" t="n"/>
      <c r="GL57" s="78">
        <f>IF(OR(INDEX(Undirviðmið!$G$6:$G$105,ROW()-6)&lt;&gt;"Starfsbundinn",GK57="",$E57="",$D57=""),"",ROUND(GK57/$E57*$D57*KVARDI,2))</f>
        <v/>
      </c>
      <c r="GM57" s="66" t="n"/>
      <c r="GN57" s="78">
        <f>IF(OR(INDEX(Undirviðmið!$G$6:$G$105,ROW()-6)&lt;&gt;"Starfsbundinn",GM57="",$E57="",$D57=""),"",ROUND(GM57/$E57*$D57*KVARDI,2))</f>
        <v/>
      </c>
      <c r="GO57" s="66" t="n"/>
      <c r="GP57" s="78">
        <f>IF(OR(INDEX(Undirviðmið!$G$6:$G$105,ROW()-6)&lt;&gt;"Starfsbundinn",GO57="",$E57="",$D57=""),"",ROUND(GO57/$E57*$D57*KVARDI,2))</f>
        <v/>
      </c>
      <c r="GQ57" s="66" t="n"/>
      <c r="GR57" s="78">
        <f>IF(OR(INDEX(Undirviðmið!$G$6:$G$105,ROW()-6)&lt;&gt;"Starfsbundinn",GQ57="",$E57="",$D57=""),"",ROUND(GQ57/$E57*$D57*KVARDI,2))</f>
        <v/>
      </c>
      <c r="GS57" s="66" t="n"/>
      <c r="GT57" s="78">
        <f>IF(OR(INDEX(Undirviðmið!$G$6:$G$105,ROW()-6)&lt;&gt;"Starfsbundinn",GS57="",$E57="",$D57=""),"",ROUND(GS57/$E57*$D57*KVARDI,2))</f>
        <v/>
      </c>
      <c r="GU57" s="66" t="n"/>
      <c r="GV57" s="78">
        <f>IF(OR(INDEX(Undirviðmið!$G$6:$G$105,ROW()-6)&lt;&gt;"Starfsbundinn",GU57="",$E57="",$D57=""),"",ROUND(GU57/$E57*$D57*KVARDI,2))</f>
        <v/>
      </c>
      <c r="GW57" s="66" t="n"/>
      <c r="GX57" s="78">
        <f>IF(OR(INDEX(Undirviðmið!$G$6:$G$105,ROW()-6)&lt;&gt;"Starfsbundinn",GW57="",$E57="",$D57=""),"",ROUND(GW57/$E57*$D57*KVARDI,2))</f>
        <v/>
      </c>
    </row>
    <row r="58" ht="15" customHeight="1" s="47">
      <c r="B58" s="67">
        <f>IF(INDEX(Undirviðmið!$G$6:$G$105,ROW()-6)="Starfsbundinn",INDEX(Undirviðmið!$B$6:$B$105,ROW()-6),"")</f>
        <v/>
      </c>
      <c r="C58" s="67">
        <f>IF(INDEX(Undirviðmið!$G$6:$G$105,ROW()-6)="Starfsbundinn",INDEX(Undirviðmið!$C$6:$C$105,ROW()-6),"")</f>
        <v/>
      </c>
      <c r="D58" s="77">
        <f>IF(INDEX(Undirviðmið!$G$6:$G$105,ROW()-6)="Starfsbundinn",INDEX(Undirviðmið!$E$6:$E$105,ROW()-6),"")</f>
        <v/>
      </c>
      <c r="E58" s="77">
        <f>IF(INDEX(Undirviðmið!$G$6:$G$105,ROW()-6)="Starfsbundinn",INDEX(Undirviðmið!$F$6:$F$105,ROW()-6),"")</f>
        <v/>
      </c>
      <c r="F58" s="77">
        <f>IF(INDEX(Undirviðmið!$G$6:$G$105,ROW()-6)="Starfsbundinn",IFERROR(INDEX(Undirviðmið!$E$6:$E$105,ROW()-6)*KVARDI,""),"")</f>
        <v/>
      </c>
      <c r="G58" s="66" t="n"/>
      <c r="H58" s="78">
        <f>IF(OR(INDEX(Undirviðmið!$G$6:$G$105,ROW()-6)&lt;&gt;"Starfsbundinn",G58="",$E58="",$D58=""),"",ROUND(G58/$E58*$D58*KVARDI,2))</f>
        <v/>
      </c>
      <c r="I58" s="66" t="n"/>
      <c r="J58" s="78">
        <f>IF(OR(INDEX(Undirviðmið!$G$6:$G$105,ROW()-6)&lt;&gt;"Starfsbundinn",I58="",$E58="",$D58=""),"",ROUND(I58/$E58*$D58*KVARDI,2))</f>
        <v/>
      </c>
      <c r="K58" s="66" t="n"/>
      <c r="L58" s="78">
        <f>IF(OR(INDEX(Undirviðmið!$G$6:$G$105,ROW()-6)&lt;&gt;"Starfsbundinn",K58="",$E58="",$D58=""),"",ROUND(K58/$E58*$D58*KVARDI,2))</f>
        <v/>
      </c>
      <c r="M58" s="66" t="n"/>
      <c r="N58" s="78">
        <f>IF(OR(INDEX(Undirviðmið!$G$6:$G$105,ROW()-6)&lt;&gt;"Starfsbundinn",M58="",$E58="",$D58=""),"",ROUND(M58/$E58*$D58*KVARDI,2))</f>
        <v/>
      </c>
      <c r="O58" s="66" t="n"/>
      <c r="P58" s="78">
        <f>IF(OR(INDEX(Undirviðmið!$G$6:$G$105,ROW()-6)&lt;&gt;"Starfsbundinn",O58="",$E58="",$D58=""),"",ROUND(O58/$E58*$D58*KVARDI,2))</f>
        <v/>
      </c>
      <c r="Q58" s="66" t="n"/>
      <c r="R58" s="78">
        <f>IF(OR(INDEX(Undirviðmið!$G$6:$G$105,ROW()-6)&lt;&gt;"Starfsbundinn",Q58="",$E58="",$D58=""),"",ROUND(Q58/$E58*$D58*KVARDI,2))</f>
        <v/>
      </c>
      <c r="S58" s="66" t="n"/>
      <c r="T58" s="78">
        <f>IF(OR(INDEX(Undirviðmið!$G$6:$G$105,ROW()-6)&lt;&gt;"Starfsbundinn",S58="",$E58="",$D58=""),"",ROUND(S58/$E58*$D58*KVARDI,2))</f>
        <v/>
      </c>
      <c r="U58" s="66" t="n"/>
      <c r="V58" s="78">
        <f>IF(OR(INDEX(Undirviðmið!$G$6:$G$105,ROW()-6)&lt;&gt;"Starfsbundinn",U58="",$E58="",$D58=""),"",ROUND(U58/$E58*$D58*KVARDI,2))</f>
        <v/>
      </c>
      <c r="W58" s="66" t="n"/>
      <c r="X58" s="78">
        <f>IF(OR(INDEX(Undirviðmið!$G$6:$G$105,ROW()-6)&lt;&gt;"Starfsbundinn",W58="",$E58="",$D58=""),"",ROUND(W58/$E58*$D58*KVARDI,2))</f>
        <v/>
      </c>
      <c r="Y58" s="66" t="n"/>
      <c r="Z58" s="78">
        <f>IF(OR(INDEX(Undirviðmið!$G$6:$G$105,ROW()-6)&lt;&gt;"Starfsbundinn",Y58="",$E58="",$D58=""),"",ROUND(Y58/$E58*$D58*KVARDI,2))</f>
        <v/>
      </c>
      <c r="AA58" s="66" t="n"/>
      <c r="AB58" s="78">
        <f>IF(OR(INDEX(Undirviðmið!$G$6:$G$105,ROW()-6)&lt;&gt;"Starfsbundinn",AA58="",$E58="",$D58=""),"",ROUND(AA58/$E58*$D58*KVARDI,2))</f>
        <v/>
      </c>
      <c r="AC58" s="66" t="n"/>
      <c r="AD58" s="78">
        <f>IF(OR(INDEX(Undirviðmið!$G$6:$G$105,ROW()-6)&lt;&gt;"Starfsbundinn",AC58="",$E58="",$D58=""),"",ROUND(AC58/$E58*$D58*KVARDI,2))</f>
        <v/>
      </c>
      <c r="AE58" s="66" t="n"/>
      <c r="AF58" s="78">
        <f>IF(OR(INDEX(Undirviðmið!$G$6:$G$105,ROW()-6)&lt;&gt;"Starfsbundinn",AE58="",$E58="",$D58=""),"",ROUND(AE58/$E58*$D58*KVARDI,2))</f>
        <v/>
      </c>
      <c r="AG58" s="66" t="n"/>
      <c r="AH58" s="78">
        <f>IF(OR(INDEX(Undirviðmið!$G$6:$G$105,ROW()-6)&lt;&gt;"Starfsbundinn",AG58="",$E58="",$D58=""),"",ROUND(AG58/$E58*$D58*KVARDI,2))</f>
        <v/>
      </c>
      <c r="AI58" s="66" t="n"/>
      <c r="AJ58" s="78">
        <f>IF(OR(INDEX(Undirviðmið!$G$6:$G$105,ROW()-6)&lt;&gt;"Starfsbundinn",AI58="",$E58="",$D58=""),"",ROUND(AI58/$E58*$D58*KVARDI,2))</f>
        <v/>
      </c>
      <c r="AK58" s="66" t="n"/>
      <c r="AL58" s="78">
        <f>IF(OR(INDEX(Undirviðmið!$G$6:$G$105,ROW()-6)&lt;&gt;"Starfsbundinn",AK58="",$E58="",$D58=""),"",ROUND(AK58/$E58*$D58*KVARDI,2))</f>
        <v/>
      </c>
      <c r="AM58" s="66" t="n"/>
      <c r="AN58" s="78">
        <f>IF(OR(INDEX(Undirviðmið!$G$6:$G$105,ROW()-6)&lt;&gt;"Starfsbundinn",AM58="",$E58="",$D58=""),"",ROUND(AM58/$E58*$D58*KVARDI,2))</f>
        <v/>
      </c>
      <c r="AO58" s="66" t="n"/>
      <c r="AP58" s="78">
        <f>IF(OR(INDEX(Undirviðmið!$G$6:$G$105,ROW()-6)&lt;&gt;"Starfsbundinn",AO58="",$E58="",$D58=""),"",ROUND(AO58/$E58*$D58*KVARDI,2))</f>
        <v/>
      </c>
      <c r="AQ58" s="66" t="n"/>
      <c r="AR58" s="78">
        <f>IF(OR(INDEX(Undirviðmið!$G$6:$G$105,ROW()-6)&lt;&gt;"Starfsbundinn",AQ58="",$E58="",$D58=""),"",ROUND(AQ58/$E58*$D58*KVARDI,2))</f>
        <v/>
      </c>
      <c r="AS58" s="66" t="n"/>
      <c r="AT58" s="78">
        <f>IF(OR(INDEX(Undirviðmið!$G$6:$G$105,ROW()-6)&lt;&gt;"Starfsbundinn",AS58="",$E58="",$D58=""),"",ROUND(AS58/$E58*$D58*KVARDI,2))</f>
        <v/>
      </c>
      <c r="AU58" s="66" t="n"/>
      <c r="AV58" s="78">
        <f>IF(OR(INDEX(Undirviðmið!$G$6:$G$105,ROW()-6)&lt;&gt;"Starfsbundinn",AU58="",$E58="",$D58=""),"",ROUND(AU58/$E58*$D58*KVARDI,2))</f>
        <v/>
      </c>
      <c r="AW58" s="66" t="n"/>
      <c r="AX58" s="78">
        <f>IF(OR(INDEX(Undirviðmið!$G$6:$G$105,ROW()-6)&lt;&gt;"Starfsbundinn",AW58="",$E58="",$D58=""),"",ROUND(AW58/$E58*$D58*KVARDI,2))</f>
        <v/>
      </c>
      <c r="AY58" s="66" t="n"/>
      <c r="AZ58" s="78">
        <f>IF(OR(INDEX(Undirviðmið!$G$6:$G$105,ROW()-6)&lt;&gt;"Starfsbundinn",AY58="",$E58="",$D58=""),"",ROUND(AY58/$E58*$D58*KVARDI,2))</f>
        <v/>
      </c>
      <c r="BA58" s="66" t="n"/>
      <c r="BB58" s="78">
        <f>IF(OR(INDEX(Undirviðmið!$G$6:$G$105,ROW()-6)&lt;&gt;"Starfsbundinn",BA58="",$E58="",$D58=""),"",ROUND(BA58/$E58*$D58*KVARDI,2))</f>
        <v/>
      </c>
      <c r="BC58" s="66" t="n"/>
      <c r="BD58" s="78">
        <f>IF(OR(INDEX(Undirviðmið!$G$6:$G$105,ROW()-6)&lt;&gt;"Starfsbundinn",BC58="",$E58="",$D58=""),"",ROUND(BC58/$E58*$D58*KVARDI,2))</f>
        <v/>
      </c>
      <c r="BE58" s="66" t="n"/>
      <c r="BF58" s="78">
        <f>IF(OR(INDEX(Undirviðmið!$G$6:$G$105,ROW()-6)&lt;&gt;"Starfsbundinn",BE58="",$E58="",$D58=""),"",ROUND(BE58/$E58*$D58*KVARDI,2))</f>
        <v/>
      </c>
      <c r="BG58" s="66" t="n"/>
      <c r="BH58" s="78">
        <f>IF(OR(INDEX(Undirviðmið!$G$6:$G$105,ROW()-6)&lt;&gt;"Starfsbundinn",BG58="",$E58="",$D58=""),"",ROUND(BG58/$E58*$D58*KVARDI,2))</f>
        <v/>
      </c>
      <c r="BI58" s="66" t="n"/>
      <c r="BJ58" s="78">
        <f>IF(OR(INDEX(Undirviðmið!$G$6:$G$105,ROW()-6)&lt;&gt;"Starfsbundinn",BI58="",$E58="",$D58=""),"",ROUND(BI58/$E58*$D58*KVARDI,2))</f>
        <v/>
      </c>
      <c r="BK58" s="66" t="n"/>
      <c r="BL58" s="78">
        <f>IF(OR(INDEX(Undirviðmið!$G$6:$G$105,ROW()-6)&lt;&gt;"Starfsbundinn",BK58="",$E58="",$D58=""),"",ROUND(BK58/$E58*$D58*KVARDI,2))</f>
        <v/>
      </c>
      <c r="BM58" s="66" t="n"/>
      <c r="BN58" s="78">
        <f>IF(OR(INDEX(Undirviðmið!$G$6:$G$105,ROW()-6)&lt;&gt;"Starfsbundinn",BM58="",$E58="",$D58=""),"",ROUND(BM58/$E58*$D58*KVARDI,2))</f>
        <v/>
      </c>
      <c r="BO58" s="66" t="n"/>
      <c r="BP58" s="78">
        <f>IF(OR(INDEX(Undirviðmið!$G$6:$G$105,ROW()-6)&lt;&gt;"Starfsbundinn",BO58="",$E58="",$D58=""),"",ROUND(BO58/$E58*$D58*KVARDI,2))</f>
        <v/>
      </c>
      <c r="BQ58" s="66" t="n"/>
      <c r="BR58" s="78">
        <f>IF(OR(INDEX(Undirviðmið!$G$6:$G$105,ROW()-6)&lt;&gt;"Starfsbundinn",BQ58="",$E58="",$D58=""),"",ROUND(BQ58/$E58*$D58*KVARDI,2))</f>
        <v/>
      </c>
      <c r="BS58" s="66" t="n"/>
      <c r="BT58" s="78">
        <f>IF(OR(INDEX(Undirviðmið!$G$6:$G$105,ROW()-6)&lt;&gt;"Starfsbundinn",BS58="",$E58="",$D58=""),"",ROUND(BS58/$E58*$D58*KVARDI,2))</f>
        <v/>
      </c>
      <c r="BU58" s="66" t="n"/>
      <c r="BV58" s="78">
        <f>IF(OR(INDEX(Undirviðmið!$G$6:$G$105,ROW()-6)&lt;&gt;"Starfsbundinn",BU58="",$E58="",$D58=""),"",ROUND(BU58/$E58*$D58*KVARDI,2))</f>
        <v/>
      </c>
      <c r="BW58" s="66" t="n"/>
      <c r="BX58" s="78">
        <f>IF(OR(INDEX(Undirviðmið!$G$6:$G$105,ROW()-6)&lt;&gt;"Starfsbundinn",BW58="",$E58="",$D58=""),"",ROUND(BW58/$E58*$D58*KVARDI,2))</f>
        <v/>
      </c>
      <c r="BY58" s="66" t="n"/>
      <c r="BZ58" s="78">
        <f>IF(OR(INDEX(Undirviðmið!$G$6:$G$105,ROW()-6)&lt;&gt;"Starfsbundinn",BY58="",$E58="",$D58=""),"",ROUND(BY58/$E58*$D58*KVARDI,2))</f>
        <v/>
      </c>
      <c r="CA58" s="66" t="n"/>
      <c r="CB58" s="78">
        <f>IF(OR(INDEX(Undirviðmið!$G$6:$G$105,ROW()-6)&lt;&gt;"Starfsbundinn",CA58="",$E58="",$D58=""),"",ROUND(CA58/$E58*$D58*KVARDI,2))</f>
        <v/>
      </c>
      <c r="CC58" s="66" t="n"/>
      <c r="CD58" s="78">
        <f>IF(OR(INDEX(Undirviðmið!$G$6:$G$105,ROW()-6)&lt;&gt;"Starfsbundinn",CC58="",$E58="",$D58=""),"",ROUND(CC58/$E58*$D58*KVARDI,2))</f>
        <v/>
      </c>
      <c r="CE58" s="66" t="n"/>
      <c r="CF58" s="78">
        <f>IF(OR(INDEX(Undirviðmið!$G$6:$G$105,ROW()-6)&lt;&gt;"Starfsbundinn",CE58="",$E58="",$D58=""),"",ROUND(CE58/$E58*$D58*KVARDI,2))</f>
        <v/>
      </c>
      <c r="CG58" s="66" t="n"/>
      <c r="CH58" s="78">
        <f>IF(OR(INDEX(Undirviðmið!$G$6:$G$105,ROW()-6)&lt;&gt;"Starfsbundinn",CG58="",$E58="",$D58=""),"",ROUND(CG58/$E58*$D58*KVARDI,2))</f>
        <v/>
      </c>
      <c r="CI58" s="66" t="n"/>
      <c r="CJ58" s="78">
        <f>IF(OR(INDEX(Undirviðmið!$G$6:$G$105,ROW()-6)&lt;&gt;"Starfsbundinn",CI58="",$E58="",$D58=""),"",ROUND(CI58/$E58*$D58*KVARDI,2))</f>
        <v/>
      </c>
      <c r="CK58" s="66" t="n"/>
      <c r="CL58" s="78">
        <f>IF(OR(INDEX(Undirviðmið!$G$6:$G$105,ROW()-6)&lt;&gt;"Starfsbundinn",CK58="",$E58="",$D58=""),"",ROUND(CK58/$E58*$D58*KVARDI,2))</f>
        <v/>
      </c>
      <c r="CM58" s="66" t="n"/>
      <c r="CN58" s="78">
        <f>IF(OR(INDEX(Undirviðmið!$G$6:$G$105,ROW()-6)&lt;&gt;"Starfsbundinn",CM58="",$E58="",$D58=""),"",ROUND(CM58/$E58*$D58*KVARDI,2))</f>
        <v/>
      </c>
      <c r="CO58" s="66" t="n"/>
      <c r="CP58" s="78">
        <f>IF(OR(INDEX(Undirviðmið!$G$6:$G$105,ROW()-6)&lt;&gt;"Starfsbundinn",CO58="",$E58="",$D58=""),"",ROUND(CO58/$E58*$D58*KVARDI,2))</f>
        <v/>
      </c>
      <c r="CQ58" s="66" t="n"/>
      <c r="CR58" s="78">
        <f>IF(OR(INDEX(Undirviðmið!$G$6:$G$105,ROW()-6)&lt;&gt;"Starfsbundinn",CQ58="",$E58="",$D58=""),"",ROUND(CQ58/$E58*$D58*KVARDI,2))</f>
        <v/>
      </c>
      <c r="CS58" s="66" t="n"/>
      <c r="CT58" s="78">
        <f>IF(OR(INDEX(Undirviðmið!$G$6:$G$105,ROW()-6)&lt;&gt;"Starfsbundinn",CS58="",$E58="",$D58=""),"",ROUND(CS58/$E58*$D58*KVARDI,2))</f>
        <v/>
      </c>
      <c r="CU58" s="66" t="n"/>
      <c r="CV58" s="78">
        <f>IF(OR(INDEX(Undirviðmið!$G$6:$G$105,ROW()-6)&lt;&gt;"Starfsbundinn",CU58="",$E58="",$D58=""),"",ROUND(CU58/$E58*$D58*KVARDI,2))</f>
        <v/>
      </c>
      <c r="CW58" s="66" t="n"/>
      <c r="CX58" s="78">
        <f>IF(OR(INDEX(Undirviðmið!$G$6:$G$105,ROW()-6)&lt;&gt;"Starfsbundinn",CW58="",$E58="",$D58=""),"",ROUND(CW58/$E58*$D58*KVARDI,2))</f>
        <v/>
      </c>
      <c r="CY58" s="66" t="n"/>
      <c r="CZ58" s="78">
        <f>IF(OR(INDEX(Undirviðmið!$G$6:$G$105,ROW()-6)&lt;&gt;"Starfsbundinn",CY58="",$E58="",$D58=""),"",ROUND(CY58/$E58*$D58*KVARDI,2))</f>
        <v/>
      </c>
      <c r="DA58" s="66" t="n"/>
      <c r="DB58" s="78">
        <f>IF(OR(INDEX(Undirviðmið!$G$6:$G$105,ROW()-6)&lt;&gt;"Starfsbundinn",DA58="",$E58="",$D58=""),"",ROUND(DA58/$E58*$D58*KVARDI,2))</f>
        <v/>
      </c>
      <c r="DC58" s="66" t="n"/>
      <c r="DD58" s="78">
        <f>IF(OR(INDEX(Undirviðmið!$G$6:$G$105,ROW()-6)&lt;&gt;"Starfsbundinn",DC58="",$E58="",$D58=""),"",ROUND(DC58/$E58*$D58*KVARDI,2))</f>
        <v/>
      </c>
      <c r="DE58" s="66" t="n"/>
      <c r="DF58" s="78">
        <f>IF(OR(INDEX(Undirviðmið!$G$6:$G$105,ROW()-6)&lt;&gt;"Starfsbundinn",DE58="",$E58="",$D58=""),"",ROUND(DE58/$E58*$D58*KVARDI,2))</f>
        <v/>
      </c>
      <c r="DG58" s="66" t="n"/>
      <c r="DH58" s="78">
        <f>IF(OR(INDEX(Undirviðmið!$G$6:$G$105,ROW()-6)&lt;&gt;"Starfsbundinn",DG58="",$E58="",$D58=""),"",ROUND(DG58/$E58*$D58*KVARDI,2))</f>
        <v/>
      </c>
      <c r="DI58" s="66" t="n"/>
      <c r="DJ58" s="78">
        <f>IF(OR(INDEX(Undirviðmið!$G$6:$G$105,ROW()-6)&lt;&gt;"Starfsbundinn",DI58="",$E58="",$D58=""),"",ROUND(DI58/$E58*$D58*KVARDI,2))</f>
        <v/>
      </c>
      <c r="DK58" s="66" t="n"/>
      <c r="DL58" s="78">
        <f>IF(OR(INDEX(Undirviðmið!$G$6:$G$105,ROW()-6)&lt;&gt;"Starfsbundinn",DK58="",$E58="",$D58=""),"",ROUND(DK58/$E58*$D58*KVARDI,2))</f>
        <v/>
      </c>
      <c r="DM58" s="66" t="n"/>
      <c r="DN58" s="78">
        <f>IF(OR(INDEX(Undirviðmið!$G$6:$G$105,ROW()-6)&lt;&gt;"Starfsbundinn",DM58="",$E58="",$D58=""),"",ROUND(DM58/$E58*$D58*KVARDI,2))</f>
        <v/>
      </c>
      <c r="DO58" s="66" t="n"/>
      <c r="DP58" s="78">
        <f>IF(OR(INDEX(Undirviðmið!$G$6:$G$105,ROW()-6)&lt;&gt;"Starfsbundinn",DO58="",$E58="",$D58=""),"",ROUND(DO58/$E58*$D58*KVARDI,2))</f>
        <v/>
      </c>
      <c r="DQ58" s="66" t="n"/>
      <c r="DR58" s="78">
        <f>IF(OR(INDEX(Undirviðmið!$G$6:$G$105,ROW()-6)&lt;&gt;"Starfsbundinn",DQ58="",$E58="",$D58=""),"",ROUND(DQ58/$E58*$D58*KVARDI,2))</f>
        <v/>
      </c>
      <c r="DS58" s="66" t="n"/>
      <c r="DT58" s="78">
        <f>IF(OR(INDEX(Undirviðmið!$G$6:$G$105,ROW()-6)&lt;&gt;"Starfsbundinn",DS58="",$E58="",$D58=""),"",ROUND(DS58/$E58*$D58*KVARDI,2))</f>
        <v/>
      </c>
      <c r="DU58" s="66" t="n"/>
      <c r="DV58" s="78">
        <f>IF(OR(INDEX(Undirviðmið!$G$6:$G$105,ROW()-6)&lt;&gt;"Starfsbundinn",DU58="",$E58="",$D58=""),"",ROUND(DU58/$E58*$D58*KVARDI,2))</f>
        <v/>
      </c>
      <c r="DW58" s="66" t="n"/>
      <c r="DX58" s="78">
        <f>IF(OR(INDEX(Undirviðmið!$G$6:$G$105,ROW()-6)&lt;&gt;"Starfsbundinn",DW58="",$E58="",$D58=""),"",ROUND(DW58/$E58*$D58*KVARDI,2))</f>
        <v/>
      </c>
      <c r="DY58" s="66" t="n"/>
      <c r="DZ58" s="78">
        <f>IF(OR(INDEX(Undirviðmið!$G$6:$G$105,ROW()-6)&lt;&gt;"Starfsbundinn",DY58="",$E58="",$D58=""),"",ROUND(DY58/$E58*$D58*KVARDI,2))</f>
        <v/>
      </c>
      <c r="EA58" s="66" t="n"/>
      <c r="EB58" s="78">
        <f>IF(OR(INDEX(Undirviðmið!$G$6:$G$105,ROW()-6)&lt;&gt;"Starfsbundinn",EA58="",$E58="",$D58=""),"",ROUND(EA58/$E58*$D58*KVARDI,2))</f>
        <v/>
      </c>
      <c r="EC58" s="66" t="n"/>
      <c r="ED58" s="78">
        <f>IF(OR(INDEX(Undirviðmið!$G$6:$G$105,ROW()-6)&lt;&gt;"Starfsbundinn",EC58="",$E58="",$D58=""),"",ROUND(EC58/$E58*$D58*KVARDI,2))</f>
        <v/>
      </c>
      <c r="EE58" s="66" t="n"/>
      <c r="EF58" s="78">
        <f>IF(OR(INDEX(Undirviðmið!$G$6:$G$105,ROW()-6)&lt;&gt;"Starfsbundinn",EE58="",$E58="",$D58=""),"",ROUND(EE58/$E58*$D58*KVARDI,2))</f>
        <v/>
      </c>
      <c r="EG58" s="66" t="n"/>
      <c r="EH58" s="78">
        <f>IF(OR(INDEX(Undirviðmið!$G$6:$G$105,ROW()-6)&lt;&gt;"Starfsbundinn",EG58="",$E58="",$D58=""),"",ROUND(EG58/$E58*$D58*KVARDI,2))</f>
        <v/>
      </c>
      <c r="EI58" s="66" t="n"/>
      <c r="EJ58" s="78">
        <f>IF(OR(INDEX(Undirviðmið!$G$6:$G$105,ROW()-6)&lt;&gt;"Starfsbundinn",EI58="",$E58="",$D58=""),"",ROUND(EI58/$E58*$D58*KVARDI,2))</f>
        <v/>
      </c>
      <c r="EK58" s="66" t="n"/>
      <c r="EL58" s="78">
        <f>IF(OR(INDEX(Undirviðmið!$G$6:$G$105,ROW()-6)&lt;&gt;"Starfsbundinn",EK58="",$E58="",$D58=""),"",ROUND(EK58/$E58*$D58*KVARDI,2))</f>
        <v/>
      </c>
      <c r="EM58" s="66" t="n"/>
      <c r="EN58" s="78">
        <f>IF(OR(INDEX(Undirviðmið!$G$6:$G$105,ROW()-6)&lt;&gt;"Starfsbundinn",EM58="",$E58="",$D58=""),"",ROUND(EM58/$E58*$D58*KVARDI,2))</f>
        <v/>
      </c>
      <c r="EO58" s="66" t="n"/>
      <c r="EP58" s="78">
        <f>IF(OR(INDEX(Undirviðmið!$G$6:$G$105,ROW()-6)&lt;&gt;"Starfsbundinn",EO58="",$E58="",$D58=""),"",ROUND(EO58/$E58*$D58*KVARDI,2))</f>
        <v/>
      </c>
      <c r="EQ58" s="66" t="n"/>
      <c r="ER58" s="78">
        <f>IF(OR(INDEX(Undirviðmið!$G$6:$G$105,ROW()-6)&lt;&gt;"Starfsbundinn",EQ58="",$E58="",$D58=""),"",ROUND(EQ58/$E58*$D58*KVARDI,2))</f>
        <v/>
      </c>
      <c r="ES58" s="66" t="n"/>
      <c r="ET58" s="78">
        <f>IF(OR(INDEX(Undirviðmið!$G$6:$G$105,ROW()-6)&lt;&gt;"Starfsbundinn",ES58="",$E58="",$D58=""),"",ROUND(ES58/$E58*$D58*KVARDI,2))</f>
        <v/>
      </c>
      <c r="EU58" s="66" t="n"/>
      <c r="EV58" s="78">
        <f>IF(OR(INDEX(Undirviðmið!$G$6:$G$105,ROW()-6)&lt;&gt;"Starfsbundinn",EU58="",$E58="",$D58=""),"",ROUND(EU58/$E58*$D58*KVARDI,2))</f>
        <v/>
      </c>
      <c r="EW58" s="66" t="n"/>
      <c r="EX58" s="78">
        <f>IF(OR(INDEX(Undirviðmið!$G$6:$G$105,ROW()-6)&lt;&gt;"Starfsbundinn",EW58="",$E58="",$D58=""),"",ROUND(EW58/$E58*$D58*KVARDI,2))</f>
        <v/>
      </c>
      <c r="EY58" s="66" t="n"/>
      <c r="EZ58" s="78">
        <f>IF(OR(INDEX(Undirviðmið!$G$6:$G$105,ROW()-6)&lt;&gt;"Starfsbundinn",EY58="",$E58="",$D58=""),"",ROUND(EY58/$E58*$D58*KVARDI,2))</f>
        <v/>
      </c>
      <c r="FA58" s="66" t="n"/>
      <c r="FB58" s="78">
        <f>IF(OR(INDEX(Undirviðmið!$G$6:$G$105,ROW()-6)&lt;&gt;"Starfsbundinn",FA58="",$E58="",$D58=""),"",ROUND(FA58/$E58*$D58*KVARDI,2))</f>
        <v/>
      </c>
      <c r="FC58" s="66" t="n"/>
      <c r="FD58" s="78">
        <f>IF(OR(INDEX(Undirviðmið!$G$6:$G$105,ROW()-6)&lt;&gt;"Starfsbundinn",FC58="",$E58="",$D58=""),"",ROUND(FC58/$E58*$D58*KVARDI,2))</f>
        <v/>
      </c>
      <c r="FE58" s="66" t="n"/>
      <c r="FF58" s="78">
        <f>IF(OR(INDEX(Undirviðmið!$G$6:$G$105,ROW()-6)&lt;&gt;"Starfsbundinn",FE58="",$E58="",$D58=""),"",ROUND(FE58/$E58*$D58*KVARDI,2))</f>
        <v/>
      </c>
      <c r="FG58" s="66" t="n"/>
      <c r="FH58" s="78">
        <f>IF(OR(INDEX(Undirviðmið!$G$6:$G$105,ROW()-6)&lt;&gt;"Starfsbundinn",FG58="",$E58="",$D58=""),"",ROUND(FG58/$E58*$D58*KVARDI,2))</f>
        <v/>
      </c>
      <c r="FI58" s="66" t="n"/>
      <c r="FJ58" s="78">
        <f>IF(OR(INDEX(Undirviðmið!$G$6:$G$105,ROW()-6)&lt;&gt;"Starfsbundinn",FI58="",$E58="",$D58=""),"",ROUND(FI58/$E58*$D58*KVARDI,2))</f>
        <v/>
      </c>
      <c r="FK58" s="66" t="n"/>
      <c r="FL58" s="78">
        <f>IF(OR(INDEX(Undirviðmið!$G$6:$G$105,ROW()-6)&lt;&gt;"Starfsbundinn",FK58="",$E58="",$D58=""),"",ROUND(FK58/$E58*$D58*KVARDI,2))</f>
        <v/>
      </c>
      <c r="FM58" s="66" t="n"/>
      <c r="FN58" s="78">
        <f>IF(OR(INDEX(Undirviðmið!$G$6:$G$105,ROW()-6)&lt;&gt;"Starfsbundinn",FM58="",$E58="",$D58=""),"",ROUND(FM58/$E58*$D58*KVARDI,2))</f>
        <v/>
      </c>
      <c r="FO58" s="66" t="n"/>
      <c r="FP58" s="78">
        <f>IF(OR(INDEX(Undirviðmið!$G$6:$G$105,ROW()-6)&lt;&gt;"Starfsbundinn",FO58="",$E58="",$D58=""),"",ROUND(FO58/$E58*$D58*KVARDI,2))</f>
        <v/>
      </c>
      <c r="FQ58" s="66" t="n"/>
      <c r="FR58" s="78">
        <f>IF(OR(INDEX(Undirviðmið!$G$6:$G$105,ROW()-6)&lt;&gt;"Starfsbundinn",FQ58="",$E58="",$D58=""),"",ROUND(FQ58/$E58*$D58*KVARDI,2))</f>
        <v/>
      </c>
      <c r="FS58" s="66" t="n"/>
      <c r="FT58" s="78">
        <f>IF(OR(INDEX(Undirviðmið!$G$6:$G$105,ROW()-6)&lt;&gt;"Starfsbundinn",FS58="",$E58="",$D58=""),"",ROUND(FS58/$E58*$D58*KVARDI,2))</f>
        <v/>
      </c>
      <c r="FU58" s="66" t="n"/>
      <c r="FV58" s="78">
        <f>IF(OR(INDEX(Undirviðmið!$G$6:$G$105,ROW()-6)&lt;&gt;"Starfsbundinn",FU58="",$E58="",$D58=""),"",ROUND(FU58/$E58*$D58*KVARDI,2))</f>
        <v/>
      </c>
      <c r="FW58" s="66" t="n"/>
      <c r="FX58" s="78">
        <f>IF(OR(INDEX(Undirviðmið!$G$6:$G$105,ROW()-6)&lt;&gt;"Starfsbundinn",FW58="",$E58="",$D58=""),"",ROUND(FW58/$E58*$D58*KVARDI,2))</f>
        <v/>
      </c>
      <c r="FY58" s="66" t="n"/>
      <c r="FZ58" s="78">
        <f>IF(OR(INDEX(Undirviðmið!$G$6:$G$105,ROW()-6)&lt;&gt;"Starfsbundinn",FY58="",$E58="",$D58=""),"",ROUND(FY58/$E58*$D58*KVARDI,2))</f>
        <v/>
      </c>
      <c r="GA58" s="66" t="n"/>
      <c r="GB58" s="78">
        <f>IF(OR(INDEX(Undirviðmið!$G$6:$G$105,ROW()-6)&lt;&gt;"Starfsbundinn",GA58="",$E58="",$D58=""),"",ROUND(GA58/$E58*$D58*KVARDI,2))</f>
        <v/>
      </c>
      <c r="GC58" s="66" t="n"/>
      <c r="GD58" s="78">
        <f>IF(OR(INDEX(Undirviðmið!$G$6:$G$105,ROW()-6)&lt;&gt;"Starfsbundinn",GC58="",$E58="",$D58=""),"",ROUND(GC58/$E58*$D58*KVARDI,2))</f>
        <v/>
      </c>
      <c r="GE58" s="66" t="n"/>
      <c r="GF58" s="78">
        <f>IF(OR(INDEX(Undirviðmið!$G$6:$G$105,ROW()-6)&lt;&gt;"Starfsbundinn",GE58="",$E58="",$D58=""),"",ROUND(GE58/$E58*$D58*KVARDI,2))</f>
        <v/>
      </c>
      <c r="GG58" s="66" t="n"/>
      <c r="GH58" s="78">
        <f>IF(OR(INDEX(Undirviðmið!$G$6:$G$105,ROW()-6)&lt;&gt;"Starfsbundinn",GG58="",$E58="",$D58=""),"",ROUND(GG58/$E58*$D58*KVARDI,2))</f>
        <v/>
      </c>
      <c r="GI58" s="66" t="n"/>
      <c r="GJ58" s="78">
        <f>IF(OR(INDEX(Undirviðmið!$G$6:$G$105,ROW()-6)&lt;&gt;"Starfsbundinn",GI58="",$E58="",$D58=""),"",ROUND(GI58/$E58*$D58*KVARDI,2))</f>
        <v/>
      </c>
      <c r="GK58" s="66" t="n"/>
      <c r="GL58" s="78">
        <f>IF(OR(INDEX(Undirviðmið!$G$6:$G$105,ROW()-6)&lt;&gt;"Starfsbundinn",GK58="",$E58="",$D58=""),"",ROUND(GK58/$E58*$D58*KVARDI,2))</f>
        <v/>
      </c>
      <c r="GM58" s="66" t="n"/>
      <c r="GN58" s="78">
        <f>IF(OR(INDEX(Undirviðmið!$G$6:$G$105,ROW()-6)&lt;&gt;"Starfsbundinn",GM58="",$E58="",$D58=""),"",ROUND(GM58/$E58*$D58*KVARDI,2))</f>
        <v/>
      </c>
      <c r="GO58" s="66" t="n"/>
      <c r="GP58" s="78">
        <f>IF(OR(INDEX(Undirviðmið!$G$6:$G$105,ROW()-6)&lt;&gt;"Starfsbundinn",GO58="",$E58="",$D58=""),"",ROUND(GO58/$E58*$D58*KVARDI,2))</f>
        <v/>
      </c>
      <c r="GQ58" s="66" t="n"/>
      <c r="GR58" s="78">
        <f>IF(OR(INDEX(Undirviðmið!$G$6:$G$105,ROW()-6)&lt;&gt;"Starfsbundinn",GQ58="",$E58="",$D58=""),"",ROUND(GQ58/$E58*$D58*KVARDI,2))</f>
        <v/>
      </c>
      <c r="GS58" s="66" t="n"/>
      <c r="GT58" s="78">
        <f>IF(OR(INDEX(Undirviðmið!$G$6:$G$105,ROW()-6)&lt;&gt;"Starfsbundinn",GS58="",$E58="",$D58=""),"",ROUND(GS58/$E58*$D58*KVARDI,2))</f>
        <v/>
      </c>
      <c r="GU58" s="66" t="n"/>
      <c r="GV58" s="78">
        <f>IF(OR(INDEX(Undirviðmið!$G$6:$G$105,ROW()-6)&lt;&gt;"Starfsbundinn",GU58="",$E58="",$D58=""),"",ROUND(GU58/$E58*$D58*KVARDI,2))</f>
        <v/>
      </c>
      <c r="GW58" s="66" t="n"/>
      <c r="GX58" s="78">
        <f>IF(OR(INDEX(Undirviðmið!$G$6:$G$105,ROW()-6)&lt;&gt;"Starfsbundinn",GW58="",$E58="",$D58=""),"",ROUND(GW58/$E58*$D58*KVARDI,2))</f>
        <v/>
      </c>
    </row>
    <row r="59" ht="15" customHeight="1" s="47">
      <c r="B59" s="67">
        <f>IF(INDEX(Undirviðmið!$G$6:$G$105,ROW()-6)="Starfsbundinn",INDEX(Undirviðmið!$B$6:$B$105,ROW()-6),"")</f>
        <v/>
      </c>
      <c r="C59" s="67">
        <f>IF(INDEX(Undirviðmið!$G$6:$G$105,ROW()-6)="Starfsbundinn",INDEX(Undirviðmið!$C$6:$C$105,ROW()-6),"")</f>
        <v/>
      </c>
      <c r="D59" s="77">
        <f>IF(INDEX(Undirviðmið!$G$6:$G$105,ROW()-6)="Starfsbundinn",INDEX(Undirviðmið!$E$6:$E$105,ROW()-6),"")</f>
        <v/>
      </c>
      <c r="E59" s="77">
        <f>IF(INDEX(Undirviðmið!$G$6:$G$105,ROW()-6)="Starfsbundinn",INDEX(Undirviðmið!$F$6:$F$105,ROW()-6),"")</f>
        <v/>
      </c>
      <c r="F59" s="77">
        <f>IF(INDEX(Undirviðmið!$G$6:$G$105,ROW()-6)="Starfsbundinn",IFERROR(INDEX(Undirviðmið!$E$6:$E$105,ROW()-6)*KVARDI,""),"")</f>
        <v/>
      </c>
      <c r="G59" s="66" t="n"/>
      <c r="H59" s="78">
        <f>IF(OR(INDEX(Undirviðmið!$G$6:$G$105,ROW()-6)&lt;&gt;"Starfsbundinn",G59="",$E59="",$D59=""),"",ROUND(G59/$E59*$D59*KVARDI,2))</f>
        <v/>
      </c>
      <c r="I59" s="66" t="n"/>
      <c r="J59" s="78">
        <f>IF(OR(INDEX(Undirviðmið!$G$6:$G$105,ROW()-6)&lt;&gt;"Starfsbundinn",I59="",$E59="",$D59=""),"",ROUND(I59/$E59*$D59*KVARDI,2))</f>
        <v/>
      </c>
      <c r="K59" s="66" t="n"/>
      <c r="L59" s="78">
        <f>IF(OR(INDEX(Undirviðmið!$G$6:$G$105,ROW()-6)&lt;&gt;"Starfsbundinn",K59="",$E59="",$D59=""),"",ROUND(K59/$E59*$D59*KVARDI,2))</f>
        <v/>
      </c>
      <c r="M59" s="66" t="n"/>
      <c r="N59" s="78">
        <f>IF(OR(INDEX(Undirviðmið!$G$6:$G$105,ROW()-6)&lt;&gt;"Starfsbundinn",M59="",$E59="",$D59=""),"",ROUND(M59/$E59*$D59*KVARDI,2))</f>
        <v/>
      </c>
      <c r="O59" s="66" t="n"/>
      <c r="P59" s="78">
        <f>IF(OR(INDEX(Undirviðmið!$G$6:$G$105,ROW()-6)&lt;&gt;"Starfsbundinn",O59="",$E59="",$D59=""),"",ROUND(O59/$E59*$D59*KVARDI,2))</f>
        <v/>
      </c>
      <c r="Q59" s="66" t="n"/>
      <c r="R59" s="78">
        <f>IF(OR(INDEX(Undirviðmið!$G$6:$G$105,ROW()-6)&lt;&gt;"Starfsbundinn",Q59="",$E59="",$D59=""),"",ROUND(Q59/$E59*$D59*KVARDI,2))</f>
        <v/>
      </c>
      <c r="S59" s="66" t="n"/>
      <c r="T59" s="78">
        <f>IF(OR(INDEX(Undirviðmið!$G$6:$G$105,ROW()-6)&lt;&gt;"Starfsbundinn",S59="",$E59="",$D59=""),"",ROUND(S59/$E59*$D59*KVARDI,2))</f>
        <v/>
      </c>
      <c r="U59" s="66" t="n"/>
      <c r="V59" s="78">
        <f>IF(OR(INDEX(Undirviðmið!$G$6:$G$105,ROW()-6)&lt;&gt;"Starfsbundinn",U59="",$E59="",$D59=""),"",ROUND(U59/$E59*$D59*KVARDI,2))</f>
        <v/>
      </c>
      <c r="W59" s="66" t="n"/>
      <c r="X59" s="78">
        <f>IF(OR(INDEX(Undirviðmið!$G$6:$G$105,ROW()-6)&lt;&gt;"Starfsbundinn",W59="",$E59="",$D59=""),"",ROUND(W59/$E59*$D59*KVARDI,2))</f>
        <v/>
      </c>
      <c r="Y59" s="66" t="n"/>
      <c r="Z59" s="78">
        <f>IF(OR(INDEX(Undirviðmið!$G$6:$G$105,ROW()-6)&lt;&gt;"Starfsbundinn",Y59="",$E59="",$D59=""),"",ROUND(Y59/$E59*$D59*KVARDI,2))</f>
        <v/>
      </c>
      <c r="AA59" s="66" t="n"/>
      <c r="AB59" s="78">
        <f>IF(OR(INDEX(Undirviðmið!$G$6:$G$105,ROW()-6)&lt;&gt;"Starfsbundinn",AA59="",$E59="",$D59=""),"",ROUND(AA59/$E59*$D59*KVARDI,2))</f>
        <v/>
      </c>
      <c r="AC59" s="66" t="n"/>
      <c r="AD59" s="78">
        <f>IF(OR(INDEX(Undirviðmið!$G$6:$G$105,ROW()-6)&lt;&gt;"Starfsbundinn",AC59="",$E59="",$D59=""),"",ROUND(AC59/$E59*$D59*KVARDI,2))</f>
        <v/>
      </c>
      <c r="AE59" s="66" t="n"/>
      <c r="AF59" s="78">
        <f>IF(OR(INDEX(Undirviðmið!$G$6:$G$105,ROW()-6)&lt;&gt;"Starfsbundinn",AE59="",$E59="",$D59=""),"",ROUND(AE59/$E59*$D59*KVARDI,2))</f>
        <v/>
      </c>
      <c r="AG59" s="66" t="n"/>
      <c r="AH59" s="78">
        <f>IF(OR(INDEX(Undirviðmið!$G$6:$G$105,ROW()-6)&lt;&gt;"Starfsbundinn",AG59="",$E59="",$D59=""),"",ROUND(AG59/$E59*$D59*KVARDI,2))</f>
        <v/>
      </c>
      <c r="AI59" s="66" t="n"/>
      <c r="AJ59" s="78">
        <f>IF(OR(INDEX(Undirviðmið!$G$6:$G$105,ROW()-6)&lt;&gt;"Starfsbundinn",AI59="",$E59="",$D59=""),"",ROUND(AI59/$E59*$D59*KVARDI,2))</f>
        <v/>
      </c>
      <c r="AK59" s="66" t="n"/>
      <c r="AL59" s="78">
        <f>IF(OR(INDEX(Undirviðmið!$G$6:$G$105,ROW()-6)&lt;&gt;"Starfsbundinn",AK59="",$E59="",$D59=""),"",ROUND(AK59/$E59*$D59*KVARDI,2))</f>
        <v/>
      </c>
      <c r="AM59" s="66" t="n"/>
      <c r="AN59" s="78">
        <f>IF(OR(INDEX(Undirviðmið!$G$6:$G$105,ROW()-6)&lt;&gt;"Starfsbundinn",AM59="",$E59="",$D59=""),"",ROUND(AM59/$E59*$D59*KVARDI,2))</f>
        <v/>
      </c>
      <c r="AO59" s="66" t="n"/>
      <c r="AP59" s="78">
        <f>IF(OR(INDEX(Undirviðmið!$G$6:$G$105,ROW()-6)&lt;&gt;"Starfsbundinn",AO59="",$E59="",$D59=""),"",ROUND(AO59/$E59*$D59*KVARDI,2))</f>
        <v/>
      </c>
      <c r="AQ59" s="66" t="n"/>
      <c r="AR59" s="78">
        <f>IF(OR(INDEX(Undirviðmið!$G$6:$G$105,ROW()-6)&lt;&gt;"Starfsbundinn",AQ59="",$E59="",$D59=""),"",ROUND(AQ59/$E59*$D59*KVARDI,2))</f>
        <v/>
      </c>
      <c r="AS59" s="66" t="n"/>
      <c r="AT59" s="78">
        <f>IF(OR(INDEX(Undirviðmið!$G$6:$G$105,ROW()-6)&lt;&gt;"Starfsbundinn",AS59="",$E59="",$D59=""),"",ROUND(AS59/$E59*$D59*KVARDI,2))</f>
        <v/>
      </c>
      <c r="AU59" s="66" t="n"/>
      <c r="AV59" s="78">
        <f>IF(OR(INDEX(Undirviðmið!$G$6:$G$105,ROW()-6)&lt;&gt;"Starfsbundinn",AU59="",$E59="",$D59=""),"",ROUND(AU59/$E59*$D59*KVARDI,2))</f>
        <v/>
      </c>
      <c r="AW59" s="66" t="n"/>
      <c r="AX59" s="78">
        <f>IF(OR(INDEX(Undirviðmið!$G$6:$G$105,ROW()-6)&lt;&gt;"Starfsbundinn",AW59="",$E59="",$D59=""),"",ROUND(AW59/$E59*$D59*KVARDI,2))</f>
        <v/>
      </c>
      <c r="AY59" s="66" t="n"/>
      <c r="AZ59" s="78">
        <f>IF(OR(INDEX(Undirviðmið!$G$6:$G$105,ROW()-6)&lt;&gt;"Starfsbundinn",AY59="",$E59="",$D59=""),"",ROUND(AY59/$E59*$D59*KVARDI,2))</f>
        <v/>
      </c>
      <c r="BA59" s="66" t="n"/>
      <c r="BB59" s="78">
        <f>IF(OR(INDEX(Undirviðmið!$G$6:$G$105,ROW()-6)&lt;&gt;"Starfsbundinn",BA59="",$E59="",$D59=""),"",ROUND(BA59/$E59*$D59*KVARDI,2))</f>
        <v/>
      </c>
      <c r="BC59" s="66" t="n"/>
      <c r="BD59" s="78">
        <f>IF(OR(INDEX(Undirviðmið!$G$6:$G$105,ROW()-6)&lt;&gt;"Starfsbundinn",BC59="",$E59="",$D59=""),"",ROUND(BC59/$E59*$D59*KVARDI,2))</f>
        <v/>
      </c>
      <c r="BE59" s="66" t="n"/>
      <c r="BF59" s="78">
        <f>IF(OR(INDEX(Undirviðmið!$G$6:$G$105,ROW()-6)&lt;&gt;"Starfsbundinn",BE59="",$E59="",$D59=""),"",ROUND(BE59/$E59*$D59*KVARDI,2))</f>
        <v/>
      </c>
      <c r="BG59" s="66" t="n"/>
      <c r="BH59" s="78">
        <f>IF(OR(INDEX(Undirviðmið!$G$6:$G$105,ROW()-6)&lt;&gt;"Starfsbundinn",BG59="",$E59="",$D59=""),"",ROUND(BG59/$E59*$D59*KVARDI,2))</f>
        <v/>
      </c>
      <c r="BI59" s="66" t="n"/>
      <c r="BJ59" s="78">
        <f>IF(OR(INDEX(Undirviðmið!$G$6:$G$105,ROW()-6)&lt;&gt;"Starfsbundinn",BI59="",$E59="",$D59=""),"",ROUND(BI59/$E59*$D59*KVARDI,2))</f>
        <v/>
      </c>
      <c r="BK59" s="66" t="n"/>
      <c r="BL59" s="78">
        <f>IF(OR(INDEX(Undirviðmið!$G$6:$G$105,ROW()-6)&lt;&gt;"Starfsbundinn",BK59="",$E59="",$D59=""),"",ROUND(BK59/$E59*$D59*KVARDI,2))</f>
        <v/>
      </c>
      <c r="BM59" s="66" t="n"/>
      <c r="BN59" s="78">
        <f>IF(OR(INDEX(Undirviðmið!$G$6:$G$105,ROW()-6)&lt;&gt;"Starfsbundinn",BM59="",$E59="",$D59=""),"",ROUND(BM59/$E59*$D59*KVARDI,2))</f>
        <v/>
      </c>
      <c r="BO59" s="66" t="n"/>
      <c r="BP59" s="78">
        <f>IF(OR(INDEX(Undirviðmið!$G$6:$G$105,ROW()-6)&lt;&gt;"Starfsbundinn",BO59="",$E59="",$D59=""),"",ROUND(BO59/$E59*$D59*KVARDI,2))</f>
        <v/>
      </c>
      <c r="BQ59" s="66" t="n"/>
      <c r="BR59" s="78">
        <f>IF(OR(INDEX(Undirviðmið!$G$6:$G$105,ROW()-6)&lt;&gt;"Starfsbundinn",BQ59="",$E59="",$D59=""),"",ROUND(BQ59/$E59*$D59*KVARDI,2))</f>
        <v/>
      </c>
      <c r="BS59" s="66" t="n"/>
      <c r="BT59" s="78">
        <f>IF(OR(INDEX(Undirviðmið!$G$6:$G$105,ROW()-6)&lt;&gt;"Starfsbundinn",BS59="",$E59="",$D59=""),"",ROUND(BS59/$E59*$D59*KVARDI,2))</f>
        <v/>
      </c>
      <c r="BU59" s="66" t="n"/>
      <c r="BV59" s="78">
        <f>IF(OR(INDEX(Undirviðmið!$G$6:$G$105,ROW()-6)&lt;&gt;"Starfsbundinn",BU59="",$E59="",$D59=""),"",ROUND(BU59/$E59*$D59*KVARDI,2))</f>
        <v/>
      </c>
      <c r="BW59" s="66" t="n"/>
      <c r="BX59" s="78">
        <f>IF(OR(INDEX(Undirviðmið!$G$6:$G$105,ROW()-6)&lt;&gt;"Starfsbundinn",BW59="",$E59="",$D59=""),"",ROUND(BW59/$E59*$D59*KVARDI,2))</f>
        <v/>
      </c>
      <c r="BY59" s="66" t="n"/>
      <c r="BZ59" s="78">
        <f>IF(OR(INDEX(Undirviðmið!$G$6:$G$105,ROW()-6)&lt;&gt;"Starfsbundinn",BY59="",$E59="",$D59=""),"",ROUND(BY59/$E59*$D59*KVARDI,2))</f>
        <v/>
      </c>
      <c r="CA59" s="66" t="n"/>
      <c r="CB59" s="78">
        <f>IF(OR(INDEX(Undirviðmið!$G$6:$G$105,ROW()-6)&lt;&gt;"Starfsbundinn",CA59="",$E59="",$D59=""),"",ROUND(CA59/$E59*$D59*KVARDI,2))</f>
        <v/>
      </c>
      <c r="CC59" s="66" t="n"/>
      <c r="CD59" s="78">
        <f>IF(OR(INDEX(Undirviðmið!$G$6:$G$105,ROW()-6)&lt;&gt;"Starfsbundinn",CC59="",$E59="",$D59=""),"",ROUND(CC59/$E59*$D59*KVARDI,2))</f>
        <v/>
      </c>
      <c r="CE59" s="66" t="n"/>
      <c r="CF59" s="78">
        <f>IF(OR(INDEX(Undirviðmið!$G$6:$G$105,ROW()-6)&lt;&gt;"Starfsbundinn",CE59="",$E59="",$D59=""),"",ROUND(CE59/$E59*$D59*KVARDI,2))</f>
        <v/>
      </c>
      <c r="CG59" s="66" t="n"/>
      <c r="CH59" s="78">
        <f>IF(OR(INDEX(Undirviðmið!$G$6:$G$105,ROW()-6)&lt;&gt;"Starfsbundinn",CG59="",$E59="",$D59=""),"",ROUND(CG59/$E59*$D59*KVARDI,2))</f>
        <v/>
      </c>
      <c r="CI59" s="66" t="n"/>
      <c r="CJ59" s="78">
        <f>IF(OR(INDEX(Undirviðmið!$G$6:$G$105,ROW()-6)&lt;&gt;"Starfsbundinn",CI59="",$E59="",$D59=""),"",ROUND(CI59/$E59*$D59*KVARDI,2))</f>
        <v/>
      </c>
      <c r="CK59" s="66" t="n"/>
      <c r="CL59" s="78">
        <f>IF(OR(INDEX(Undirviðmið!$G$6:$G$105,ROW()-6)&lt;&gt;"Starfsbundinn",CK59="",$E59="",$D59=""),"",ROUND(CK59/$E59*$D59*KVARDI,2))</f>
        <v/>
      </c>
      <c r="CM59" s="66" t="n"/>
      <c r="CN59" s="78">
        <f>IF(OR(INDEX(Undirviðmið!$G$6:$G$105,ROW()-6)&lt;&gt;"Starfsbundinn",CM59="",$E59="",$D59=""),"",ROUND(CM59/$E59*$D59*KVARDI,2))</f>
        <v/>
      </c>
      <c r="CO59" s="66" t="n"/>
      <c r="CP59" s="78">
        <f>IF(OR(INDEX(Undirviðmið!$G$6:$G$105,ROW()-6)&lt;&gt;"Starfsbundinn",CO59="",$E59="",$D59=""),"",ROUND(CO59/$E59*$D59*KVARDI,2))</f>
        <v/>
      </c>
      <c r="CQ59" s="66" t="n"/>
      <c r="CR59" s="78">
        <f>IF(OR(INDEX(Undirviðmið!$G$6:$G$105,ROW()-6)&lt;&gt;"Starfsbundinn",CQ59="",$E59="",$D59=""),"",ROUND(CQ59/$E59*$D59*KVARDI,2))</f>
        <v/>
      </c>
      <c r="CS59" s="66" t="n"/>
      <c r="CT59" s="78">
        <f>IF(OR(INDEX(Undirviðmið!$G$6:$G$105,ROW()-6)&lt;&gt;"Starfsbundinn",CS59="",$E59="",$D59=""),"",ROUND(CS59/$E59*$D59*KVARDI,2))</f>
        <v/>
      </c>
      <c r="CU59" s="66" t="n"/>
      <c r="CV59" s="78">
        <f>IF(OR(INDEX(Undirviðmið!$G$6:$G$105,ROW()-6)&lt;&gt;"Starfsbundinn",CU59="",$E59="",$D59=""),"",ROUND(CU59/$E59*$D59*KVARDI,2))</f>
        <v/>
      </c>
      <c r="CW59" s="66" t="n"/>
      <c r="CX59" s="78">
        <f>IF(OR(INDEX(Undirviðmið!$G$6:$G$105,ROW()-6)&lt;&gt;"Starfsbundinn",CW59="",$E59="",$D59=""),"",ROUND(CW59/$E59*$D59*KVARDI,2))</f>
        <v/>
      </c>
      <c r="CY59" s="66" t="n"/>
      <c r="CZ59" s="78">
        <f>IF(OR(INDEX(Undirviðmið!$G$6:$G$105,ROW()-6)&lt;&gt;"Starfsbundinn",CY59="",$E59="",$D59=""),"",ROUND(CY59/$E59*$D59*KVARDI,2))</f>
        <v/>
      </c>
      <c r="DA59" s="66" t="n"/>
      <c r="DB59" s="78">
        <f>IF(OR(INDEX(Undirviðmið!$G$6:$G$105,ROW()-6)&lt;&gt;"Starfsbundinn",DA59="",$E59="",$D59=""),"",ROUND(DA59/$E59*$D59*KVARDI,2))</f>
        <v/>
      </c>
      <c r="DC59" s="66" t="n"/>
      <c r="DD59" s="78">
        <f>IF(OR(INDEX(Undirviðmið!$G$6:$G$105,ROW()-6)&lt;&gt;"Starfsbundinn",DC59="",$E59="",$D59=""),"",ROUND(DC59/$E59*$D59*KVARDI,2))</f>
        <v/>
      </c>
      <c r="DE59" s="66" t="n"/>
      <c r="DF59" s="78">
        <f>IF(OR(INDEX(Undirviðmið!$G$6:$G$105,ROW()-6)&lt;&gt;"Starfsbundinn",DE59="",$E59="",$D59=""),"",ROUND(DE59/$E59*$D59*KVARDI,2))</f>
        <v/>
      </c>
      <c r="DG59" s="66" t="n"/>
      <c r="DH59" s="78">
        <f>IF(OR(INDEX(Undirviðmið!$G$6:$G$105,ROW()-6)&lt;&gt;"Starfsbundinn",DG59="",$E59="",$D59=""),"",ROUND(DG59/$E59*$D59*KVARDI,2))</f>
        <v/>
      </c>
      <c r="DI59" s="66" t="n"/>
      <c r="DJ59" s="78">
        <f>IF(OR(INDEX(Undirviðmið!$G$6:$G$105,ROW()-6)&lt;&gt;"Starfsbundinn",DI59="",$E59="",$D59=""),"",ROUND(DI59/$E59*$D59*KVARDI,2))</f>
        <v/>
      </c>
      <c r="DK59" s="66" t="n"/>
      <c r="DL59" s="78">
        <f>IF(OR(INDEX(Undirviðmið!$G$6:$G$105,ROW()-6)&lt;&gt;"Starfsbundinn",DK59="",$E59="",$D59=""),"",ROUND(DK59/$E59*$D59*KVARDI,2))</f>
        <v/>
      </c>
      <c r="DM59" s="66" t="n"/>
      <c r="DN59" s="78">
        <f>IF(OR(INDEX(Undirviðmið!$G$6:$G$105,ROW()-6)&lt;&gt;"Starfsbundinn",DM59="",$E59="",$D59=""),"",ROUND(DM59/$E59*$D59*KVARDI,2))</f>
        <v/>
      </c>
      <c r="DO59" s="66" t="n"/>
      <c r="DP59" s="78">
        <f>IF(OR(INDEX(Undirviðmið!$G$6:$G$105,ROW()-6)&lt;&gt;"Starfsbundinn",DO59="",$E59="",$D59=""),"",ROUND(DO59/$E59*$D59*KVARDI,2))</f>
        <v/>
      </c>
      <c r="DQ59" s="66" t="n"/>
      <c r="DR59" s="78">
        <f>IF(OR(INDEX(Undirviðmið!$G$6:$G$105,ROW()-6)&lt;&gt;"Starfsbundinn",DQ59="",$E59="",$D59=""),"",ROUND(DQ59/$E59*$D59*KVARDI,2))</f>
        <v/>
      </c>
      <c r="DS59" s="66" t="n"/>
      <c r="DT59" s="78">
        <f>IF(OR(INDEX(Undirviðmið!$G$6:$G$105,ROW()-6)&lt;&gt;"Starfsbundinn",DS59="",$E59="",$D59=""),"",ROUND(DS59/$E59*$D59*KVARDI,2))</f>
        <v/>
      </c>
      <c r="DU59" s="66" t="n"/>
      <c r="DV59" s="78">
        <f>IF(OR(INDEX(Undirviðmið!$G$6:$G$105,ROW()-6)&lt;&gt;"Starfsbundinn",DU59="",$E59="",$D59=""),"",ROUND(DU59/$E59*$D59*KVARDI,2))</f>
        <v/>
      </c>
      <c r="DW59" s="66" t="n"/>
      <c r="DX59" s="78">
        <f>IF(OR(INDEX(Undirviðmið!$G$6:$G$105,ROW()-6)&lt;&gt;"Starfsbundinn",DW59="",$E59="",$D59=""),"",ROUND(DW59/$E59*$D59*KVARDI,2))</f>
        <v/>
      </c>
      <c r="DY59" s="66" t="n"/>
      <c r="DZ59" s="78">
        <f>IF(OR(INDEX(Undirviðmið!$G$6:$G$105,ROW()-6)&lt;&gt;"Starfsbundinn",DY59="",$E59="",$D59=""),"",ROUND(DY59/$E59*$D59*KVARDI,2))</f>
        <v/>
      </c>
      <c r="EA59" s="66" t="n"/>
      <c r="EB59" s="78">
        <f>IF(OR(INDEX(Undirviðmið!$G$6:$G$105,ROW()-6)&lt;&gt;"Starfsbundinn",EA59="",$E59="",$D59=""),"",ROUND(EA59/$E59*$D59*KVARDI,2))</f>
        <v/>
      </c>
      <c r="EC59" s="66" t="n"/>
      <c r="ED59" s="78">
        <f>IF(OR(INDEX(Undirviðmið!$G$6:$G$105,ROW()-6)&lt;&gt;"Starfsbundinn",EC59="",$E59="",$D59=""),"",ROUND(EC59/$E59*$D59*KVARDI,2))</f>
        <v/>
      </c>
      <c r="EE59" s="66" t="n"/>
      <c r="EF59" s="78">
        <f>IF(OR(INDEX(Undirviðmið!$G$6:$G$105,ROW()-6)&lt;&gt;"Starfsbundinn",EE59="",$E59="",$D59=""),"",ROUND(EE59/$E59*$D59*KVARDI,2))</f>
        <v/>
      </c>
      <c r="EG59" s="66" t="n"/>
      <c r="EH59" s="78">
        <f>IF(OR(INDEX(Undirviðmið!$G$6:$G$105,ROW()-6)&lt;&gt;"Starfsbundinn",EG59="",$E59="",$D59=""),"",ROUND(EG59/$E59*$D59*KVARDI,2))</f>
        <v/>
      </c>
      <c r="EI59" s="66" t="n"/>
      <c r="EJ59" s="78">
        <f>IF(OR(INDEX(Undirviðmið!$G$6:$G$105,ROW()-6)&lt;&gt;"Starfsbundinn",EI59="",$E59="",$D59=""),"",ROUND(EI59/$E59*$D59*KVARDI,2))</f>
        <v/>
      </c>
      <c r="EK59" s="66" t="n"/>
      <c r="EL59" s="78">
        <f>IF(OR(INDEX(Undirviðmið!$G$6:$G$105,ROW()-6)&lt;&gt;"Starfsbundinn",EK59="",$E59="",$D59=""),"",ROUND(EK59/$E59*$D59*KVARDI,2))</f>
        <v/>
      </c>
      <c r="EM59" s="66" t="n"/>
      <c r="EN59" s="78">
        <f>IF(OR(INDEX(Undirviðmið!$G$6:$G$105,ROW()-6)&lt;&gt;"Starfsbundinn",EM59="",$E59="",$D59=""),"",ROUND(EM59/$E59*$D59*KVARDI,2))</f>
        <v/>
      </c>
      <c r="EO59" s="66" t="n"/>
      <c r="EP59" s="78">
        <f>IF(OR(INDEX(Undirviðmið!$G$6:$G$105,ROW()-6)&lt;&gt;"Starfsbundinn",EO59="",$E59="",$D59=""),"",ROUND(EO59/$E59*$D59*KVARDI,2))</f>
        <v/>
      </c>
      <c r="EQ59" s="66" t="n"/>
      <c r="ER59" s="78">
        <f>IF(OR(INDEX(Undirviðmið!$G$6:$G$105,ROW()-6)&lt;&gt;"Starfsbundinn",EQ59="",$E59="",$D59=""),"",ROUND(EQ59/$E59*$D59*KVARDI,2))</f>
        <v/>
      </c>
      <c r="ES59" s="66" t="n"/>
      <c r="ET59" s="78">
        <f>IF(OR(INDEX(Undirviðmið!$G$6:$G$105,ROW()-6)&lt;&gt;"Starfsbundinn",ES59="",$E59="",$D59=""),"",ROUND(ES59/$E59*$D59*KVARDI,2))</f>
        <v/>
      </c>
      <c r="EU59" s="66" t="n"/>
      <c r="EV59" s="78">
        <f>IF(OR(INDEX(Undirviðmið!$G$6:$G$105,ROW()-6)&lt;&gt;"Starfsbundinn",EU59="",$E59="",$D59=""),"",ROUND(EU59/$E59*$D59*KVARDI,2))</f>
        <v/>
      </c>
      <c r="EW59" s="66" t="n"/>
      <c r="EX59" s="78">
        <f>IF(OR(INDEX(Undirviðmið!$G$6:$G$105,ROW()-6)&lt;&gt;"Starfsbundinn",EW59="",$E59="",$D59=""),"",ROUND(EW59/$E59*$D59*KVARDI,2))</f>
        <v/>
      </c>
      <c r="EY59" s="66" t="n"/>
      <c r="EZ59" s="78">
        <f>IF(OR(INDEX(Undirviðmið!$G$6:$G$105,ROW()-6)&lt;&gt;"Starfsbundinn",EY59="",$E59="",$D59=""),"",ROUND(EY59/$E59*$D59*KVARDI,2))</f>
        <v/>
      </c>
      <c r="FA59" s="66" t="n"/>
      <c r="FB59" s="78">
        <f>IF(OR(INDEX(Undirviðmið!$G$6:$G$105,ROW()-6)&lt;&gt;"Starfsbundinn",FA59="",$E59="",$D59=""),"",ROUND(FA59/$E59*$D59*KVARDI,2))</f>
        <v/>
      </c>
      <c r="FC59" s="66" t="n"/>
      <c r="FD59" s="78">
        <f>IF(OR(INDEX(Undirviðmið!$G$6:$G$105,ROW()-6)&lt;&gt;"Starfsbundinn",FC59="",$E59="",$D59=""),"",ROUND(FC59/$E59*$D59*KVARDI,2))</f>
        <v/>
      </c>
      <c r="FE59" s="66" t="n"/>
      <c r="FF59" s="78">
        <f>IF(OR(INDEX(Undirviðmið!$G$6:$G$105,ROW()-6)&lt;&gt;"Starfsbundinn",FE59="",$E59="",$D59=""),"",ROUND(FE59/$E59*$D59*KVARDI,2))</f>
        <v/>
      </c>
      <c r="FG59" s="66" t="n"/>
      <c r="FH59" s="78">
        <f>IF(OR(INDEX(Undirviðmið!$G$6:$G$105,ROW()-6)&lt;&gt;"Starfsbundinn",FG59="",$E59="",$D59=""),"",ROUND(FG59/$E59*$D59*KVARDI,2))</f>
        <v/>
      </c>
      <c r="FI59" s="66" t="n"/>
      <c r="FJ59" s="78">
        <f>IF(OR(INDEX(Undirviðmið!$G$6:$G$105,ROW()-6)&lt;&gt;"Starfsbundinn",FI59="",$E59="",$D59=""),"",ROUND(FI59/$E59*$D59*KVARDI,2))</f>
        <v/>
      </c>
      <c r="FK59" s="66" t="n"/>
      <c r="FL59" s="78">
        <f>IF(OR(INDEX(Undirviðmið!$G$6:$G$105,ROW()-6)&lt;&gt;"Starfsbundinn",FK59="",$E59="",$D59=""),"",ROUND(FK59/$E59*$D59*KVARDI,2))</f>
        <v/>
      </c>
      <c r="FM59" s="66" t="n"/>
      <c r="FN59" s="78">
        <f>IF(OR(INDEX(Undirviðmið!$G$6:$G$105,ROW()-6)&lt;&gt;"Starfsbundinn",FM59="",$E59="",$D59=""),"",ROUND(FM59/$E59*$D59*KVARDI,2))</f>
        <v/>
      </c>
      <c r="FO59" s="66" t="n"/>
      <c r="FP59" s="78">
        <f>IF(OR(INDEX(Undirviðmið!$G$6:$G$105,ROW()-6)&lt;&gt;"Starfsbundinn",FO59="",$E59="",$D59=""),"",ROUND(FO59/$E59*$D59*KVARDI,2))</f>
        <v/>
      </c>
      <c r="FQ59" s="66" t="n"/>
      <c r="FR59" s="78">
        <f>IF(OR(INDEX(Undirviðmið!$G$6:$G$105,ROW()-6)&lt;&gt;"Starfsbundinn",FQ59="",$E59="",$D59=""),"",ROUND(FQ59/$E59*$D59*KVARDI,2))</f>
        <v/>
      </c>
      <c r="FS59" s="66" t="n"/>
      <c r="FT59" s="78">
        <f>IF(OR(INDEX(Undirviðmið!$G$6:$G$105,ROW()-6)&lt;&gt;"Starfsbundinn",FS59="",$E59="",$D59=""),"",ROUND(FS59/$E59*$D59*KVARDI,2))</f>
        <v/>
      </c>
      <c r="FU59" s="66" t="n"/>
      <c r="FV59" s="78">
        <f>IF(OR(INDEX(Undirviðmið!$G$6:$G$105,ROW()-6)&lt;&gt;"Starfsbundinn",FU59="",$E59="",$D59=""),"",ROUND(FU59/$E59*$D59*KVARDI,2))</f>
        <v/>
      </c>
      <c r="FW59" s="66" t="n"/>
      <c r="FX59" s="78">
        <f>IF(OR(INDEX(Undirviðmið!$G$6:$G$105,ROW()-6)&lt;&gt;"Starfsbundinn",FW59="",$E59="",$D59=""),"",ROUND(FW59/$E59*$D59*KVARDI,2))</f>
        <v/>
      </c>
      <c r="FY59" s="66" t="n"/>
      <c r="FZ59" s="78">
        <f>IF(OR(INDEX(Undirviðmið!$G$6:$G$105,ROW()-6)&lt;&gt;"Starfsbundinn",FY59="",$E59="",$D59=""),"",ROUND(FY59/$E59*$D59*KVARDI,2))</f>
        <v/>
      </c>
      <c r="GA59" s="66" t="n"/>
      <c r="GB59" s="78">
        <f>IF(OR(INDEX(Undirviðmið!$G$6:$G$105,ROW()-6)&lt;&gt;"Starfsbundinn",GA59="",$E59="",$D59=""),"",ROUND(GA59/$E59*$D59*KVARDI,2))</f>
        <v/>
      </c>
      <c r="GC59" s="66" t="n"/>
      <c r="GD59" s="78">
        <f>IF(OR(INDEX(Undirviðmið!$G$6:$G$105,ROW()-6)&lt;&gt;"Starfsbundinn",GC59="",$E59="",$D59=""),"",ROUND(GC59/$E59*$D59*KVARDI,2))</f>
        <v/>
      </c>
      <c r="GE59" s="66" t="n"/>
      <c r="GF59" s="78">
        <f>IF(OR(INDEX(Undirviðmið!$G$6:$G$105,ROW()-6)&lt;&gt;"Starfsbundinn",GE59="",$E59="",$D59=""),"",ROUND(GE59/$E59*$D59*KVARDI,2))</f>
        <v/>
      </c>
      <c r="GG59" s="66" t="n"/>
      <c r="GH59" s="78">
        <f>IF(OR(INDEX(Undirviðmið!$G$6:$G$105,ROW()-6)&lt;&gt;"Starfsbundinn",GG59="",$E59="",$D59=""),"",ROUND(GG59/$E59*$D59*KVARDI,2))</f>
        <v/>
      </c>
      <c r="GI59" s="66" t="n"/>
      <c r="GJ59" s="78">
        <f>IF(OR(INDEX(Undirviðmið!$G$6:$G$105,ROW()-6)&lt;&gt;"Starfsbundinn",GI59="",$E59="",$D59=""),"",ROUND(GI59/$E59*$D59*KVARDI,2))</f>
        <v/>
      </c>
      <c r="GK59" s="66" t="n"/>
      <c r="GL59" s="78">
        <f>IF(OR(INDEX(Undirviðmið!$G$6:$G$105,ROW()-6)&lt;&gt;"Starfsbundinn",GK59="",$E59="",$D59=""),"",ROUND(GK59/$E59*$D59*KVARDI,2))</f>
        <v/>
      </c>
      <c r="GM59" s="66" t="n"/>
      <c r="GN59" s="78">
        <f>IF(OR(INDEX(Undirviðmið!$G$6:$G$105,ROW()-6)&lt;&gt;"Starfsbundinn",GM59="",$E59="",$D59=""),"",ROUND(GM59/$E59*$D59*KVARDI,2))</f>
        <v/>
      </c>
      <c r="GO59" s="66" t="n"/>
      <c r="GP59" s="78">
        <f>IF(OR(INDEX(Undirviðmið!$G$6:$G$105,ROW()-6)&lt;&gt;"Starfsbundinn",GO59="",$E59="",$D59=""),"",ROUND(GO59/$E59*$D59*KVARDI,2))</f>
        <v/>
      </c>
      <c r="GQ59" s="66" t="n"/>
      <c r="GR59" s="78">
        <f>IF(OR(INDEX(Undirviðmið!$G$6:$G$105,ROW()-6)&lt;&gt;"Starfsbundinn",GQ59="",$E59="",$D59=""),"",ROUND(GQ59/$E59*$D59*KVARDI,2))</f>
        <v/>
      </c>
      <c r="GS59" s="66" t="n"/>
      <c r="GT59" s="78">
        <f>IF(OR(INDEX(Undirviðmið!$G$6:$G$105,ROW()-6)&lt;&gt;"Starfsbundinn",GS59="",$E59="",$D59=""),"",ROUND(GS59/$E59*$D59*KVARDI,2))</f>
        <v/>
      </c>
      <c r="GU59" s="66" t="n"/>
      <c r="GV59" s="78">
        <f>IF(OR(INDEX(Undirviðmið!$G$6:$G$105,ROW()-6)&lt;&gt;"Starfsbundinn",GU59="",$E59="",$D59=""),"",ROUND(GU59/$E59*$D59*KVARDI,2))</f>
        <v/>
      </c>
      <c r="GW59" s="66" t="n"/>
      <c r="GX59" s="78">
        <f>IF(OR(INDEX(Undirviðmið!$G$6:$G$105,ROW()-6)&lt;&gt;"Starfsbundinn",GW59="",$E59="",$D59=""),"",ROUND(GW59/$E59*$D59*KVARDI,2))</f>
        <v/>
      </c>
    </row>
    <row r="60" ht="15" customHeight="1" s="47">
      <c r="B60" s="67">
        <f>IF(INDEX(Undirviðmið!$G$6:$G$105,ROW()-6)="Starfsbundinn",INDEX(Undirviðmið!$B$6:$B$105,ROW()-6),"")</f>
        <v/>
      </c>
      <c r="C60" s="67">
        <f>IF(INDEX(Undirviðmið!$G$6:$G$105,ROW()-6)="Starfsbundinn",INDEX(Undirviðmið!$C$6:$C$105,ROW()-6),"")</f>
        <v/>
      </c>
      <c r="D60" s="77">
        <f>IF(INDEX(Undirviðmið!$G$6:$G$105,ROW()-6)="Starfsbundinn",INDEX(Undirviðmið!$E$6:$E$105,ROW()-6),"")</f>
        <v/>
      </c>
      <c r="E60" s="77">
        <f>IF(INDEX(Undirviðmið!$G$6:$G$105,ROW()-6)="Starfsbundinn",INDEX(Undirviðmið!$F$6:$F$105,ROW()-6),"")</f>
        <v/>
      </c>
      <c r="F60" s="77">
        <f>IF(INDEX(Undirviðmið!$G$6:$G$105,ROW()-6)="Starfsbundinn",IFERROR(INDEX(Undirviðmið!$E$6:$E$105,ROW()-6)*KVARDI,""),"")</f>
        <v/>
      </c>
      <c r="G60" s="66" t="n"/>
      <c r="H60" s="78">
        <f>IF(OR(INDEX(Undirviðmið!$G$6:$G$105,ROW()-6)&lt;&gt;"Starfsbundinn",G60="",$E60="",$D60=""),"",ROUND(G60/$E60*$D60*KVARDI,2))</f>
        <v/>
      </c>
      <c r="I60" s="66" t="n"/>
      <c r="J60" s="78">
        <f>IF(OR(INDEX(Undirviðmið!$G$6:$G$105,ROW()-6)&lt;&gt;"Starfsbundinn",I60="",$E60="",$D60=""),"",ROUND(I60/$E60*$D60*KVARDI,2))</f>
        <v/>
      </c>
      <c r="K60" s="66" t="n"/>
      <c r="L60" s="78">
        <f>IF(OR(INDEX(Undirviðmið!$G$6:$G$105,ROW()-6)&lt;&gt;"Starfsbundinn",K60="",$E60="",$D60=""),"",ROUND(K60/$E60*$D60*KVARDI,2))</f>
        <v/>
      </c>
      <c r="M60" s="66" t="n"/>
      <c r="N60" s="78">
        <f>IF(OR(INDEX(Undirviðmið!$G$6:$G$105,ROW()-6)&lt;&gt;"Starfsbundinn",M60="",$E60="",$D60=""),"",ROUND(M60/$E60*$D60*KVARDI,2))</f>
        <v/>
      </c>
      <c r="O60" s="66" t="n"/>
      <c r="P60" s="78">
        <f>IF(OR(INDEX(Undirviðmið!$G$6:$G$105,ROW()-6)&lt;&gt;"Starfsbundinn",O60="",$E60="",$D60=""),"",ROUND(O60/$E60*$D60*KVARDI,2))</f>
        <v/>
      </c>
      <c r="Q60" s="66" t="n"/>
      <c r="R60" s="78">
        <f>IF(OR(INDEX(Undirviðmið!$G$6:$G$105,ROW()-6)&lt;&gt;"Starfsbundinn",Q60="",$E60="",$D60=""),"",ROUND(Q60/$E60*$D60*KVARDI,2))</f>
        <v/>
      </c>
      <c r="S60" s="66" t="n"/>
      <c r="T60" s="78">
        <f>IF(OR(INDEX(Undirviðmið!$G$6:$G$105,ROW()-6)&lt;&gt;"Starfsbundinn",S60="",$E60="",$D60=""),"",ROUND(S60/$E60*$D60*KVARDI,2))</f>
        <v/>
      </c>
      <c r="U60" s="66" t="n"/>
      <c r="V60" s="78">
        <f>IF(OR(INDEX(Undirviðmið!$G$6:$G$105,ROW()-6)&lt;&gt;"Starfsbundinn",U60="",$E60="",$D60=""),"",ROUND(U60/$E60*$D60*KVARDI,2))</f>
        <v/>
      </c>
      <c r="W60" s="66" t="n"/>
      <c r="X60" s="78">
        <f>IF(OR(INDEX(Undirviðmið!$G$6:$G$105,ROW()-6)&lt;&gt;"Starfsbundinn",W60="",$E60="",$D60=""),"",ROUND(W60/$E60*$D60*KVARDI,2))</f>
        <v/>
      </c>
      <c r="Y60" s="66" t="n"/>
      <c r="Z60" s="78">
        <f>IF(OR(INDEX(Undirviðmið!$G$6:$G$105,ROW()-6)&lt;&gt;"Starfsbundinn",Y60="",$E60="",$D60=""),"",ROUND(Y60/$E60*$D60*KVARDI,2))</f>
        <v/>
      </c>
      <c r="AA60" s="66" t="n"/>
      <c r="AB60" s="78">
        <f>IF(OR(INDEX(Undirviðmið!$G$6:$G$105,ROW()-6)&lt;&gt;"Starfsbundinn",AA60="",$E60="",$D60=""),"",ROUND(AA60/$E60*$D60*KVARDI,2))</f>
        <v/>
      </c>
      <c r="AC60" s="66" t="n"/>
      <c r="AD60" s="78">
        <f>IF(OR(INDEX(Undirviðmið!$G$6:$G$105,ROW()-6)&lt;&gt;"Starfsbundinn",AC60="",$E60="",$D60=""),"",ROUND(AC60/$E60*$D60*KVARDI,2))</f>
        <v/>
      </c>
      <c r="AE60" s="66" t="n"/>
      <c r="AF60" s="78">
        <f>IF(OR(INDEX(Undirviðmið!$G$6:$G$105,ROW()-6)&lt;&gt;"Starfsbundinn",AE60="",$E60="",$D60=""),"",ROUND(AE60/$E60*$D60*KVARDI,2))</f>
        <v/>
      </c>
      <c r="AG60" s="66" t="n"/>
      <c r="AH60" s="78">
        <f>IF(OR(INDEX(Undirviðmið!$G$6:$G$105,ROW()-6)&lt;&gt;"Starfsbundinn",AG60="",$E60="",$D60=""),"",ROUND(AG60/$E60*$D60*KVARDI,2))</f>
        <v/>
      </c>
      <c r="AI60" s="66" t="n"/>
      <c r="AJ60" s="78">
        <f>IF(OR(INDEX(Undirviðmið!$G$6:$G$105,ROW()-6)&lt;&gt;"Starfsbundinn",AI60="",$E60="",$D60=""),"",ROUND(AI60/$E60*$D60*KVARDI,2))</f>
        <v/>
      </c>
      <c r="AK60" s="66" t="n"/>
      <c r="AL60" s="78">
        <f>IF(OR(INDEX(Undirviðmið!$G$6:$G$105,ROW()-6)&lt;&gt;"Starfsbundinn",AK60="",$E60="",$D60=""),"",ROUND(AK60/$E60*$D60*KVARDI,2))</f>
        <v/>
      </c>
      <c r="AM60" s="66" t="n"/>
      <c r="AN60" s="78">
        <f>IF(OR(INDEX(Undirviðmið!$G$6:$G$105,ROW()-6)&lt;&gt;"Starfsbundinn",AM60="",$E60="",$D60=""),"",ROUND(AM60/$E60*$D60*KVARDI,2))</f>
        <v/>
      </c>
      <c r="AO60" s="66" t="n"/>
      <c r="AP60" s="78">
        <f>IF(OR(INDEX(Undirviðmið!$G$6:$G$105,ROW()-6)&lt;&gt;"Starfsbundinn",AO60="",$E60="",$D60=""),"",ROUND(AO60/$E60*$D60*KVARDI,2))</f>
        <v/>
      </c>
      <c r="AQ60" s="66" t="n"/>
      <c r="AR60" s="78">
        <f>IF(OR(INDEX(Undirviðmið!$G$6:$G$105,ROW()-6)&lt;&gt;"Starfsbundinn",AQ60="",$E60="",$D60=""),"",ROUND(AQ60/$E60*$D60*KVARDI,2))</f>
        <v/>
      </c>
      <c r="AS60" s="66" t="n"/>
      <c r="AT60" s="78">
        <f>IF(OR(INDEX(Undirviðmið!$G$6:$G$105,ROW()-6)&lt;&gt;"Starfsbundinn",AS60="",$E60="",$D60=""),"",ROUND(AS60/$E60*$D60*KVARDI,2))</f>
        <v/>
      </c>
      <c r="AU60" s="66" t="n"/>
      <c r="AV60" s="78">
        <f>IF(OR(INDEX(Undirviðmið!$G$6:$G$105,ROW()-6)&lt;&gt;"Starfsbundinn",AU60="",$E60="",$D60=""),"",ROUND(AU60/$E60*$D60*KVARDI,2))</f>
        <v/>
      </c>
      <c r="AW60" s="66" t="n"/>
      <c r="AX60" s="78">
        <f>IF(OR(INDEX(Undirviðmið!$G$6:$G$105,ROW()-6)&lt;&gt;"Starfsbundinn",AW60="",$E60="",$D60=""),"",ROUND(AW60/$E60*$D60*KVARDI,2))</f>
        <v/>
      </c>
      <c r="AY60" s="66" t="n"/>
      <c r="AZ60" s="78">
        <f>IF(OR(INDEX(Undirviðmið!$G$6:$G$105,ROW()-6)&lt;&gt;"Starfsbundinn",AY60="",$E60="",$D60=""),"",ROUND(AY60/$E60*$D60*KVARDI,2))</f>
        <v/>
      </c>
      <c r="BA60" s="66" t="n"/>
      <c r="BB60" s="78">
        <f>IF(OR(INDEX(Undirviðmið!$G$6:$G$105,ROW()-6)&lt;&gt;"Starfsbundinn",BA60="",$E60="",$D60=""),"",ROUND(BA60/$E60*$D60*KVARDI,2))</f>
        <v/>
      </c>
      <c r="BC60" s="66" t="n"/>
      <c r="BD60" s="78">
        <f>IF(OR(INDEX(Undirviðmið!$G$6:$G$105,ROW()-6)&lt;&gt;"Starfsbundinn",BC60="",$E60="",$D60=""),"",ROUND(BC60/$E60*$D60*KVARDI,2))</f>
        <v/>
      </c>
      <c r="BE60" s="66" t="n"/>
      <c r="BF60" s="78">
        <f>IF(OR(INDEX(Undirviðmið!$G$6:$G$105,ROW()-6)&lt;&gt;"Starfsbundinn",BE60="",$E60="",$D60=""),"",ROUND(BE60/$E60*$D60*KVARDI,2))</f>
        <v/>
      </c>
      <c r="BG60" s="66" t="n"/>
      <c r="BH60" s="78">
        <f>IF(OR(INDEX(Undirviðmið!$G$6:$G$105,ROW()-6)&lt;&gt;"Starfsbundinn",BG60="",$E60="",$D60=""),"",ROUND(BG60/$E60*$D60*KVARDI,2))</f>
        <v/>
      </c>
      <c r="BI60" s="66" t="n"/>
      <c r="BJ60" s="78">
        <f>IF(OR(INDEX(Undirviðmið!$G$6:$G$105,ROW()-6)&lt;&gt;"Starfsbundinn",BI60="",$E60="",$D60=""),"",ROUND(BI60/$E60*$D60*KVARDI,2))</f>
        <v/>
      </c>
      <c r="BK60" s="66" t="n"/>
      <c r="BL60" s="78">
        <f>IF(OR(INDEX(Undirviðmið!$G$6:$G$105,ROW()-6)&lt;&gt;"Starfsbundinn",BK60="",$E60="",$D60=""),"",ROUND(BK60/$E60*$D60*KVARDI,2))</f>
        <v/>
      </c>
      <c r="BM60" s="66" t="n"/>
      <c r="BN60" s="78">
        <f>IF(OR(INDEX(Undirviðmið!$G$6:$G$105,ROW()-6)&lt;&gt;"Starfsbundinn",BM60="",$E60="",$D60=""),"",ROUND(BM60/$E60*$D60*KVARDI,2))</f>
        <v/>
      </c>
      <c r="BO60" s="66" t="n"/>
      <c r="BP60" s="78">
        <f>IF(OR(INDEX(Undirviðmið!$G$6:$G$105,ROW()-6)&lt;&gt;"Starfsbundinn",BO60="",$E60="",$D60=""),"",ROUND(BO60/$E60*$D60*KVARDI,2))</f>
        <v/>
      </c>
      <c r="BQ60" s="66" t="n"/>
      <c r="BR60" s="78">
        <f>IF(OR(INDEX(Undirviðmið!$G$6:$G$105,ROW()-6)&lt;&gt;"Starfsbundinn",BQ60="",$E60="",$D60=""),"",ROUND(BQ60/$E60*$D60*KVARDI,2))</f>
        <v/>
      </c>
      <c r="BS60" s="66" t="n"/>
      <c r="BT60" s="78">
        <f>IF(OR(INDEX(Undirviðmið!$G$6:$G$105,ROW()-6)&lt;&gt;"Starfsbundinn",BS60="",$E60="",$D60=""),"",ROUND(BS60/$E60*$D60*KVARDI,2))</f>
        <v/>
      </c>
      <c r="BU60" s="66" t="n"/>
      <c r="BV60" s="78">
        <f>IF(OR(INDEX(Undirviðmið!$G$6:$G$105,ROW()-6)&lt;&gt;"Starfsbundinn",BU60="",$E60="",$D60=""),"",ROUND(BU60/$E60*$D60*KVARDI,2))</f>
        <v/>
      </c>
      <c r="BW60" s="66" t="n"/>
      <c r="BX60" s="78">
        <f>IF(OR(INDEX(Undirviðmið!$G$6:$G$105,ROW()-6)&lt;&gt;"Starfsbundinn",BW60="",$E60="",$D60=""),"",ROUND(BW60/$E60*$D60*KVARDI,2))</f>
        <v/>
      </c>
      <c r="BY60" s="66" t="n"/>
      <c r="BZ60" s="78">
        <f>IF(OR(INDEX(Undirviðmið!$G$6:$G$105,ROW()-6)&lt;&gt;"Starfsbundinn",BY60="",$E60="",$D60=""),"",ROUND(BY60/$E60*$D60*KVARDI,2))</f>
        <v/>
      </c>
      <c r="CA60" s="66" t="n"/>
      <c r="CB60" s="78">
        <f>IF(OR(INDEX(Undirviðmið!$G$6:$G$105,ROW()-6)&lt;&gt;"Starfsbundinn",CA60="",$E60="",$D60=""),"",ROUND(CA60/$E60*$D60*KVARDI,2))</f>
        <v/>
      </c>
      <c r="CC60" s="66" t="n"/>
      <c r="CD60" s="78">
        <f>IF(OR(INDEX(Undirviðmið!$G$6:$G$105,ROW()-6)&lt;&gt;"Starfsbundinn",CC60="",$E60="",$D60=""),"",ROUND(CC60/$E60*$D60*KVARDI,2))</f>
        <v/>
      </c>
      <c r="CE60" s="66" t="n"/>
      <c r="CF60" s="78">
        <f>IF(OR(INDEX(Undirviðmið!$G$6:$G$105,ROW()-6)&lt;&gt;"Starfsbundinn",CE60="",$E60="",$D60=""),"",ROUND(CE60/$E60*$D60*KVARDI,2))</f>
        <v/>
      </c>
      <c r="CG60" s="66" t="n"/>
      <c r="CH60" s="78">
        <f>IF(OR(INDEX(Undirviðmið!$G$6:$G$105,ROW()-6)&lt;&gt;"Starfsbundinn",CG60="",$E60="",$D60=""),"",ROUND(CG60/$E60*$D60*KVARDI,2))</f>
        <v/>
      </c>
      <c r="CI60" s="66" t="n"/>
      <c r="CJ60" s="78">
        <f>IF(OR(INDEX(Undirviðmið!$G$6:$G$105,ROW()-6)&lt;&gt;"Starfsbundinn",CI60="",$E60="",$D60=""),"",ROUND(CI60/$E60*$D60*KVARDI,2))</f>
        <v/>
      </c>
      <c r="CK60" s="66" t="n"/>
      <c r="CL60" s="78">
        <f>IF(OR(INDEX(Undirviðmið!$G$6:$G$105,ROW()-6)&lt;&gt;"Starfsbundinn",CK60="",$E60="",$D60=""),"",ROUND(CK60/$E60*$D60*KVARDI,2))</f>
        <v/>
      </c>
      <c r="CM60" s="66" t="n"/>
      <c r="CN60" s="78">
        <f>IF(OR(INDEX(Undirviðmið!$G$6:$G$105,ROW()-6)&lt;&gt;"Starfsbundinn",CM60="",$E60="",$D60=""),"",ROUND(CM60/$E60*$D60*KVARDI,2))</f>
        <v/>
      </c>
      <c r="CO60" s="66" t="n"/>
      <c r="CP60" s="78">
        <f>IF(OR(INDEX(Undirviðmið!$G$6:$G$105,ROW()-6)&lt;&gt;"Starfsbundinn",CO60="",$E60="",$D60=""),"",ROUND(CO60/$E60*$D60*KVARDI,2))</f>
        <v/>
      </c>
      <c r="CQ60" s="66" t="n"/>
      <c r="CR60" s="78">
        <f>IF(OR(INDEX(Undirviðmið!$G$6:$G$105,ROW()-6)&lt;&gt;"Starfsbundinn",CQ60="",$E60="",$D60=""),"",ROUND(CQ60/$E60*$D60*KVARDI,2))</f>
        <v/>
      </c>
      <c r="CS60" s="66" t="n"/>
      <c r="CT60" s="78">
        <f>IF(OR(INDEX(Undirviðmið!$G$6:$G$105,ROW()-6)&lt;&gt;"Starfsbundinn",CS60="",$E60="",$D60=""),"",ROUND(CS60/$E60*$D60*KVARDI,2))</f>
        <v/>
      </c>
      <c r="CU60" s="66" t="n"/>
      <c r="CV60" s="78">
        <f>IF(OR(INDEX(Undirviðmið!$G$6:$G$105,ROW()-6)&lt;&gt;"Starfsbundinn",CU60="",$E60="",$D60=""),"",ROUND(CU60/$E60*$D60*KVARDI,2))</f>
        <v/>
      </c>
      <c r="CW60" s="66" t="n"/>
      <c r="CX60" s="78">
        <f>IF(OR(INDEX(Undirviðmið!$G$6:$G$105,ROW()-6)&lt;&gt;"Starfsbundinn",CW60="",$E60="",$D60=""),"",ROUND(CW60/$E60*$D60*KVARDI,2))</f>
        <v/>
      </c>
      <c r="CY60" s="66" t="n"/>
      <c r="CZ60" s="78">
        <f>IF(OR(INDEX(Undirviðmið!$G$6:$G$105,ROW()-6)&lt;&gt;"Starfsbundinn",CY60="",$E60="",$D60=""),"",ROUND(CY60/$E60*$D60*KVARDI,2))</f>
        <v/>
      </c>
      <c r="DA60" s="66" t="n"/>
      <c r="DB60" s="78">
        <f>IF(OR(INDEX(Undirviðmið!$G$6:$G$105,ROW()-6)&lt;&gt;"Starfsbundinn",DA60="",$E60="",$D60=""),"",ROUND(DA60/$E60*$D60*KVARDI,2))</f>
        <v/>
      </c>
      <c r="DC60" s="66" t="n"/>
      <c r="DD60" s="78">
        <f>IF(OR(INDEX(Undirviðmið!$G$6:$G$105,ROW()-6)&lt;&gt;"Starfsbundinn",DC60="",$E60="",$D60=""),"",ROUND(DC60/$E60*$D60*KVARDI,2))</f>
        <v/>
      </c>
      <c r="DE60" s="66" t="n"/>
      <c r="DF60" s="78">
        <f>IF(OR(INDEX(Undirviðmið!$G$6:$G$105,ROW()-6)&lt;&gt;"Starfsbundinn",DE60="",$E60="",$D60=""),"",ROUND(DE60/$E60*$D60*KVARDI,2))</f>
        <v/>
      </c>
      <c r="DG60" s="66" t="n"/>
      <c r="DH60" s="78">
        <f>IF(OR(INDEX(Undirviðmið!$G$6:$G$105,ROW()-6)&lt;&gt;"Starfsbundinn",DG60="",$E60="",$D60=""),"",ROUND(DG60/$E60*$D60*KVARDI,2))</f>
        <v/>
      </c>
      <c r="DI60" s="66" t="n"/>
      <c r="DJ60" s="78">
        <f>IF(OR(INDEX(Undirviðmið!$G$6:$G$105,ROW()-6)&lt;&gt;"Starfsbundinn",DI60="",$E60="",$D60=""),"",ROUND(DI60/$E60*$D60*KVARDI,2))</f>
        <v/>
      </c>
      <c r="DK60" s="66" t="n"/>
      <c r="DL60" s="78">
        <f>IF(OR(INDEX(Undirviðmið!$G$6:$G$105,ROW()-6)&lt;&gt;"Starfsbundinn",DK60="",$E60="",$D60=""),"",ROUND(DK60/$E60*$D60*KVARDI,2))</f>
        <v/>
      </c>
      <c r="DM60" s="66" t="n"/>
      <c r="DN60" s="78">
        <f>IF(OR(INDEX(Undirviðmið!$G$6:$G$105,ROW()-6)&lt;&gt;"Starfsbundinn",DM60="",$E60="",$D60=""),"",ROUND(DM60/$E60*$D60*KVARDI,2))</f>
        <v/>
      </c>
      <c r="DO60" s="66" t="n"/>
      <c r="DP60" s="78">
        <f>IF(OR(INDEX(Undirviðmið!$G$6:$G$105,ROW()-6)&lt;&gt;"Starfsbundinn",DO60="",$E60="",$D60=""),"",ROUND(DO60/$E60*$D60*KVARDI,2))</f>
        <v/>
      </c>
      <c r="DQ60" s="66" t="n"/>
      <c r="DR60" s="78">
        <f>IF(OR(INDEX(Undirviðmið!$G$6:$G$105,ROW()-6)&lt;&gt;"Starfsbundinn",DQ60="",$E60="",$D60=""),"",ROUND(DQ60/$E60*$D60*KVARDI,2))</f>
        <v/>
      </c>
      <c r="DS60" s="66" t="n"/>
      <c r="DT60" s="78">
        <f>IF(OR(INDEX(Undirviðmið!$G$6:$G$105,ROW()-6)&lt;&gt;"Starfsbundinn",DS60="",$E60="",$D60=""),"",ROUND(DS60/$E60*$D60*KVARDI,2))</f>
        <v/>
      </c>
      <c r="DU60" s="66" t="n"/>
      <c r="DV60" s="78">
        <f>IF(OR(INDEX(Undirviðmið!$G$6:$G$105,ROW()-6)&lt;&gt;"Starfsbundinn",DU60="",$E60="",$D60=""),"",ROUND(DU60/$E60*$D60*KVARDI,2))</f>
        <v/>
      </c>
      <c r="DW60" s="66" t="n"/>
      <c r="DX60" s="78">
        <f>IF(OR(INDEX(Undirviðmið!$G$6:$G$105,ROW()-6)&lt;&gt;"Starfsbundinn",DW60="",$E60="",$D60=""),"",ROUND(DW60/$E60*$D60*KVARDI,2))</f>
        <v/>
      </c>
      <c r="DY60" s="66" t="n"/>
      <c r="DZ60" s="78">
        <f>IF(OR(INDEX(Undirviðmið!$G$6:$G$105,ROW()-6)&lt;&gt;"Starfsbundinn",DY60="",$E60="",$D60=""),"",ROUND(DY60/$E60*$D60*KVARDI,2))</f>
        <v/>
      </c>
      <c r="EA60" s="66" t="n"/>
      <c r="EB60" s="78">
        <f>IF(OR(INDEX(Undirviðmið!$G$6:$G$105,ROW()-6)&lt;&gt;"Starfsbundinn",EA60="",$E60="",$D60=""),"",ROUND(EA60/$E60*$D60*KVARDI,2))</f>
        <v/>
      </c>
      <c r="EC60" s="66" t="n"/>
      <c r="ED60" s="78">
        <f>IF(OR(INDEX(Undirviðmið!$G$6:$G$105,ROW()-6)&lt;&gt;"Starfsbundinn",EC60="",$E60="",$D60=""),"",ROUND(EC60/$E60*$D60*KVARDI,2))</f>
        <v/>
      </c>
      <c r="EE60" s="66" t="n"/>
      <c r="EF60" s="78">
        <f>IF(OR(INDEX(Undirviðmið!$G$6:$G$105,ROW()-6)&lt;&gt;"Starfsbundinn",EE60="",$E60="",$D60=""),"",ROUND(EE60/$E60*$D60*KVARDI,2))</f>
        <v/>
      </c>
      <c r="EG60" s="66" t="n"/>
      <c r="EH60" s="78">
        <f>IF(OR(INDEX(Undirviðmið!$G$6:$G$105,ROW()-6)&lt;&gt;"Starfsbundinn",EG60="",$E60="",$D60=""),"",ROUND(EG60/$E60*$D60*KVARDI,2))</f>
        <v/>
      </c>
      <c r="EI60" s="66" t="n"/>
      <c r="EJ60" s="78">
        <f>IF(OR(INDEX(Undirviðmið!$G$6:$G$105,ROW()-6)&lt;&gt;"Starfsbundinn",EI60="",$E60="",$D60=""),"",ROUND(EI60/$E60*$D60*KVARDI,2))</f>
        <v/>
      </c>
      <c r="EK60" s="66" t="n"/>
      <c r="EL60" s="78">
        <f>IF(OR(INDEX(Undirviðmið!$G$6:$G$105,ROW()-6)&lt;&gt;"Starfsbundinn",EK60="",$E60="",$D60=""),"",ROUND(EK60/$E60*$D60*KVARDI,2))</f>
        <v/>
      </c>
      <c r="EM60" s="66" t="n"/>
      <c r="EN60" s="78">
        <f>IF(OR(INDEX(Undirviðmið!$G$6:$G$105,ROW()-6)&lt;&gt;"Starfsbundinn",EM60="",$E60="",$D60=""),"",ROUND(EM60/$E60*$D60*KVARDI,2))</f>
        <v/>
      </c>
      <c r="EO60" s="66" t="n"/>
      <c r="EP60" s="78">
        <f>IF(OR(INDEX(Undirviðmið!$G$6:$G$105,ROW()-6)&lt;&gt;"Starfsbundinn",EO60="",$E60="",$D60=""),"",ROUND(EO60/$E60*$D60*KVARDI,2))</f>
        <v/>
      </c>
      <c r="EQ60" s="66" t="n"/>
      <c r="ER60" s="78">
        <f>IF(OR(INDEX(Undirviðmið!$G$6:$G$105,ROW()-6)&lt;&gt;"Starfsbundinn",EQ60="",$E60="",$D60=""),"",ROUND(EQ60/$E60*$D60*KVARDI,2))</f>
        <v/>
      </c>
      <c r="ES60" s="66" t="n"/>
      <c r="ET60" s="78">
        <f>IF(OR(INDEX(Undirviðmið!$G$6:$G$105,ROW()-6)&lt;&gt;"Starfsbundinn",ES60="",$E60="",$D60=""),"",ROUND(ES60/$E60*$D60*KVARDI,2))</f>
        <v/>
      </c>
      <c r="EU60" s="66" t="n"/>
      <c r="EV60" s="78">
        <f>IF(OR(INDEX(Undirviðmið!$G$6:$G$105,ROW()-6)&lt;&gt;"Starfsbundinn",EU60="",$E60="",$D60=""),"",ROUND(EU60/$E60*$D60*KVARDI,2))</f>
        <v/>
      </c>
      <c r="EW60" s="66" t="n"/>
      <c r="EX60" s="78">
        <f>IF(OR(INDEX(Undirviðmið!$G$6:$G$105,ROW()-6)&lt;&gt;"Starfsbundinn",EW60="",$E60="",$D60=""),"",ROUND(EW60/$E60*$D60*KVARDI,2))</f>
        <v/>
      </c>
      <c r="EY60" s="66" t="n"/>
      <c r="EZ60" s="78">
        <f>IF(OR(INDEX(Undirviðmið!$G$6:$G$105,ROW()-6)&lt;&gt;"Starfsbundinn",EY60="",$E60="",$D60=""),"",ROUND(EY60/$E60*$D60*KVARDI,2))</f>
        <v/>
      </c>
      <c r="FA60" s="66" t="n"/>
      <c r="FB60" s="78">
        <f>IF(OR(INDEX(Undirviðmið!$G$6:$G$105,ROW()-6)&lt;&gt;"Starfsbundinn",FA60="",$E60="",$D60=""),"",ROUND(FA60/$E60*$D60*KVARDI,2))</f>
        <v/>
      </c>
      <c r="FC60" s="66" t="n"/>
      <c r="FD60" s="78">
        <f>IF(OR(INDEX(Undirviðmið!$G$6:$G$105,ROW()-6)&lt;&gt;"Starfsbundinn",FC60="",$E60="",$D60=""),"",ROUND(FC60/$E60*$D60*KVARDI,2))</f>
        <v/>
      </c>
      <c r="FE60" s="66" t="n"/>
      <c r="FF60" s="78">
        <f>IF(OR(INDEX(Undirviðmið!$G$6:$G$105,ROW()-6)&lt;&gt;"Starfsbundinn",FE60="",$E60="",$D60=""),"",ROUND(FE60/$E60*$D60*KVARDI,2))</f>
        <v/>
      </c>
      <c r="FG60" s="66" t="n"/>
      <c r="FH60" s="78">
        <f>IF(OR(INDEX(Undirviðmið!$G$6:$G$105,ROW()-6)&lt;&gt;"Starfsbundinn",FG60="",$E60="",$D60=""),"",ROUND(FG60/$E60*$D60*KVARDI,2))</f>
        <v/>
      </c>
      <c r="FI60" s="66" t="n"/>
      <c r="FJ60" s="78">
        <f>IF(OR(INDEX(Undirviðmið!$G$6:$G$105,ROW()-6)&lt;&gt;"Starfsbundinn",FI60="",$E60="",$D60=""),"",ROUND(FI60/$E60*$D60*KVARDI,2))</f>
        <v/>
      </c>
      <c r="FK60" s="66" t="n"/>
      <c r="FL60" s="78">
        <f>IF(OR(INDEX(Undirviðmið!$G$6:$G$105,ROW()-6)&lt;&gt;"Starfsbundinn",FK60="",$E60="",$D60=""),"",ROUND(FK60/$E60*$D60*KVARDI,2))</f>
        <v/>
      </c>
      <c r="FM60" s="66" t="n"/>
      <c r="FN60" s="78">
        <f>IF(OR(INDEX(Undirviðmið!$G$6:$G$105,ROW()-6)&lt;&gt;"Starfsbundinn",FM60="",$E60="",$D60=""),"",ROUND(FM60/$E60*$D60*KVARDI,2))</f>
        <v/>
      </c>
      <c r="FO60" s="66" t="n"/>
      <c r="FP60" s="78">
        <f>IF(OR(INDEX(Undirviðmið!$G$6:$G$105,ROW()-6)&lt;&gt;"Starfsbundinn",FO60="",$E60="",$D60=""),"",ROUND(FO60/$E60*$D60*KVARDI,2))</f>
        <v/>
      </c>
      <c r="FQ60" s="66" t="n"/>
      <c r="FR60" s="78">
        <f>IF(OR(INDEX(Undirviðmið!$G$6:$G$105,ROW()-6)&lt;&gt;"Starfsbundinn",FQ60="",$E60="",$D60=""),"",ROUND(FQ60/$E60*$D60*KVARDI,2))</f>
        <v/>
      </c>
      <c r="FS60" s="66" t="n"/>
      <c r="FT60" s="78">
        <f>IF(OR(INDEX(Undirviðmið!$G$6:$G$105,ROW()-6)&lt;&gt;"Starfsbundinn",FS60="",$E60="",$D60=""),"",ROUND(FS60/$E60*$D60*KVARDI,2))</f>
        <v/>
      </c>
      <c r="FU60" s="66" t="n"/>
      <c r="FV60" s="78">
        <f>IF(OR(INDEX(Undirviðmið!$G$6:$G$105,ROW()-6)&lt;&gt;"Starfsbundinn",FU60="",$E60="",$D60=""),"",ROUND(FU60/$E60*$D60*KVARDI,2))</f>
        <v/>
      </c>
      <c r="FW60" s="66" t="n"/>
      <c r="FX60" s="78">
        <f>IF(OR(INDEX(Undirviðmið!$G$6:$G$105,ROW()-6)&lt;&gt;"Starfsbundinn",FW60="",$E60="",$D60=""),"",ROUND(FW60/$E60*$D60*KVARDI,2))</f>
        <v/>
      </c>
      <c r="FY60" s="66" t="n"/>
      <c r="FZ60" s="78">
        <f>IF(OR(INDEX(Undirviðmið!$G$6:$G$105,ROW()-6)&lt;&gt;"Starfsbundinn",FY60="",$E60="",$D60=""),"",ROUND(FY60/$E60*$D60*KVARDI,2))</f>
        <v/>
      </c>
      <c r="GA60" s="66" t="n"/>
      <c r="GB60" s="78">
        <f>IF(OR(INDEX(Undirviðmið!$G$6:$G$105,ROW()-6)&lt;&gt;"Starfsbundinn",GA60="",$E60="",$D60=""),"",ROUND(GA60/$E60*$D60*KVARDI,2))</f>
        <v/>
      </c>
      <c r="GC60" s="66" t="n"/>
      <c r="GD60" s="78">
        <f>IF(OR(INDEX(Undirviðmið!$G$6:$G$105,ROW()-6)&lt;&gt;"Starfsbundinn",GC60="",$E60="",$D60=""),"",ROUND(GC60/$E60*$D60*KVARDI,2))</f>
        <v/>
      </c>
      <c r="GE60" s="66" t="n"/>
      <c r="GF60" s="78">
        <f>IF(OR(INDEX(Undirviðmið!$G$6:$G$105,ROW()-6)&lt;&gt;"Starfsbundinn",GE60="",$E60="",$D60=""),"",ROUND(GE60/$E60*$D60*KVARDI,2))</f>
        <v/>
      </c>
      <c r="GG60" s="66" t="n"/>
      <c r="GH60" s="78">
        <f>IF(OR(INDEX(Undirviðmið!$G$6:$G$105,ROW()-6)&lt;&gt;"Starfsbundinn",GG60="",$E60="",$D60=""),"",ROUND(GG60/$E60*$D60*KVARDI,2))</f>
        <v/>
      </c>
      <c r="GI60" s="66" t="n"/>
      <c r="GJ60" s="78">
        <f>IF(OR(INDEX(Undirviðmið!$G$6:$G$105,ROW()-6)&lt;&gt;"Starfsbundinn",GI60="",$E60="",$D60=""),"",ROUND(GI60/$E60*$D60*KVARDI,2))</f>
        <v/>
      </c>
      <c r="GK60" s="66" t="n"/>
      <c r="GL60" s="78">
        <f>IF(OR(INDEX(Undirviðmið!$G$6:$G$105,ROW()-6)&lt;&gt;"Starfsbundinn",GK60="",$E60="",$D60=""),"",ROUND(GK60/$E60*$D60*KVARDI,2))</f>
        <v/>
      </c>
      <c r="GM60" s="66" t="n"/>
      <c r="GN60" s="78">
        <f>IF(OR(INDEX(Undirviðmið!$G$6:$G$105,ROW()-6)&lt;&gt;"Starfsbundinn",GM60="",$E60="",$D60=""),"",ROUND(GM60/$E60*$D60*KVARDI,2))</f>
        <v/>
      </c>
      <c r="GO60" s="66" t="n"/>
      <c r="GP60" s="78">
        <f>IF(OR(INDEX(Undirviðmið!$G$6:$G$105,ROW()-6)&lt;&gt;"Starfsbundinn",GO60="",$E60="",$D60=""),"",ROUND(GO60/$E60*$D60*KVARDI,2))</f>
        <v/>
      </c>
      <c r="GQ60" s="66" t="n"/>
      <c r="GR60" s="78">
        <f>IF(OR(INDEX(Undirviðmið!$G$6:$G$105,ROW()-6)&lt;&gt;"Starfsbundinn",GQ60="",$E60="",$D60=""),"",ROUND(GQ60/$E60*$D60*KVARDI,2))</f>
        <v/>
      </c>
      <c r="GS60" s="66" t="n"/>
      <c r="GT60" s="78">
        <f>IF(OR(INDEX(Undirviðmið!$G$6:$G$105,ROW()-6)&lt;&gt;"Starfsbundinn",GS60="",$E60="",$D60=""),"",ROUND(GS60/$E60*$D60*KVARDI,2))</f>
        <v/>
      </c>
      <c r="GU60" s="66" t="n"/>
      <c r="GV60" s="78">
        <f>IF(OR(INDEX(Undirviðmið!$G$6:$G$105,ROW()-6)&lt;&gt;"Starfsbundinn",GU60="",$E60="",$D60=""),"",ROUND(GU60/$E60*$D60*KVARDI,2))</f>
        <v/>
      </c>
      <c r="GW60" s="66" t="n"/>
      <c r="GX60" s="78">
        <f>IF(OR(INDEX(Undirviðmið!$G$6:$G$105,ROW()-6)&lt;&gt;"Starfsbundinn",GW60="",$E60="",$D60=""),"",ROUND(GW60/$E60*$D60*KVARDI,2))</f>
        <v/>
      </c>
    </row>
    <row r="61" ht="15" customHeight="1" s="47">
      <c r="B61" s="67">
        <f>IF(INDEX(Undirviðmið!$G$6:$G$105,ROW()-6)="Starfsbundinn",INDEX(Undirviðmið!$B$6:$B$105,ROW()-6),"")</f>
        <v/>
      </c>
      <c r="C61" s="67">
        <f>IF(INDEX(Undirviðmið!$G$6:$G$105,ROW()-6)="Starfsbundinn",INDEX(Undirviðmið!$C$6:$C$105,ROW()-6),"")</f>
        <v/>
      </c>
      <c r="D61" s="77">
        <f>IF(INDEX(Undirviðmið!$G$6:$G$105,ROW()-6)="Starfsbundinn",INDEX(Undirviðmið!$E$6:$E$105,ROW()-6),"")</f>
        <v/>
      </c>
      <c r="E61" s="77">
        <f>IF(INDEX(Undirviðmið!$G$6:$G$105,ROW()-6)="Starfsbundinn",INDEX(Undirviðmið!$F$6:$F$105,ROW()-6),"")</f>
        <v/>
      </c>
      <c r="F61" s="77">
        <f>IF(INDEX(Undirviðmið!$G$6:$G$105,ROW()-6)="Starfsbundinn",IFERROR(INDEX(Undirviðmið!$E$6:$E$105,ROW()-6)*KVARDI,""),"")</f>
        <v/>
      </c>
      <c r="G61" s="66" t="n"/>
      <c r="H61" s="78">
        <f>IF(OR(INDEX(Undirviðmið!$G$6:$G$105,ROW()-6)&lt;&gt;"Starfsbundinn",G61="",$E61="",$D61=""),"",ROUND(G61/$E61*$D61*KVARDI,2))</f>
        <v/>
      </c>
      <c r="I61" s="66" t="n"/>
      <c r="J61" s="78">
        <f>IF(OR(INDEX(Undirviðmið!$G$6:$G$105,ROW()-6)&lt;&gt;"Starfsbundinn",I61="",$E61="",$D61=""),"",ROUND(I61/$E61*$D61*KVARDI,2))</f>
        <v/>
      </c>
      <c r="K61" s="66" t="n"/>
      <c r="L61" s="78">
        <f>IF(OR(INDEX(Undirviðmið!$G$6:$G$105,ROW()-6)&lt;&gt;"Starfsbundinn",K61="",$E61="",$D61=""),"",ROUND(K61/$E61*$D61*KVARDI,2))</f>
        <v/>
      </c>
      <c r="M61" s="66" t="n"/>
      <c r="N61" s="78">
        <f>IF(OR(INDEX(Undirviðmið!$G$6:$G$105,ROW()-6)&lt;&gt;"Starfsbundinn",M61="",$E61="",$D61=""),"",ROUND(M61/$E61*$D61*KVARDI,2))</f>
        <v/>
      </c>
      <c r="O61" s="66" t="n"/>
      <c r="P61" s="78">
        <f>IF(OR(INDEX(Undirviðmið!$G$6:$G$105,ROW()-6)&lt;&gt;"Starfsbundinn",O61="",$E61="",$D61=""),"",ROUND(O61/$E61*$D61*KVARDI,2))</f>
        <v/>
      </c>
      <c r="Q61" s="66" t="n"/>
      <c r="R61" s="78">
        <f>IF(OR(INDEX(Undirviðmið!$G$6:$G$105,ROW()-6)&lt;&gt;"Starfsbundinn",Q61="",$E61="",$D61=""),"",ROUND(Q61/$E61*$D61*KVARDI,2))</f>
        <v/>
      </c>
      <c r="S61" s="66" t="n"/>
      <c r="T61" s="78">
        <f>IF(OR(INDEX(Undirviðmið!$G$6:$G$105,ROW()-6)&lt;&gt;"Starfsbundinn",S61="",$E61="",$D61=""),"",ROUND(S61/$E61*$D61*KVARDI,2))</f>
        <v/>
      </c>
      <c r="U61" s="66" t="n"/>
      <c r="V61" s="78">
        <f>IF(OR(INDEX(Undirviðmið!$G$6:$G$105,ROW()-6)&lt;&gt;"Starfsbundinn",U61="",$E61="",$D61=""),"",ROUND(U61/$E61*$D61*KVARDI,2))</f>
        <v/>
      </c>
      <c r="W61" s="66" t="n"/>
      <c r="X61" s="78">
        <f>IF(OR(INDEX(Undirviðmið!$G$6:$G$105,ROW()-6)&lt;&gt;"Starfsbundinn",W61="",$E61="",$D61=""),"",ROUND(W61/$E61*$D61*KVARDI,2))</f>
        <v/>
      </c>
      <c r="Y61" s="66" t="n"/>
      <c r="Z61" s="78">
        <f>IF(OR(INDEX(Undirviðmið!$G$6:$G$105,ROW()-6)&lt;&gt;"Starfsbundinn",Y61="",$E61="",$D61=""),"",ROUND(Y61/$E61*$D61*KVARDI,2))</f>
        <v/>
      </c>
      <c r="AA61" s="66" t="n"/>
      <c r="AB61" s="78">
        <f>IF(OR(INDEX(Undirviðmið!$G$6:$G$105,ROW()-6)&lt;&gt;"Starfsbundinn",AA61="",$E61="",$D61=""),"",ROUND(AA61/$E61*$D61*KVARDI,2))</f>
        <v/>
      </c>
      <c r="AC61" s="66" t="n"/>
      <c r="AD61" s="78">
        <f>IF(OR(INDEX(Undirviðmið!$G$6:$G$105,ROW()-6)&lt;&gt;"Starfsbundinn",AC61="",$E61="",$D61=""),"",ROUND(AC61/$E61*$D61*KVARDI,2))</f>
        <v/>
      </c>
      <c r="AE61" s="66" t="n"/>
      <c r="AF61" s="78">
        <f>IF(OR(INDEX(Undirviðmið!$G$6:$G$105,ROW()-6)&lt;&gt;"Starfsbundinn",AE61="",$E61="",$D61=""),"",ROUND(AE61/$E61*$D61*KVARDI,2))</f>
        <v/>
      </c>
      <c r="AG61" s="66" t="n"/>
      <c r="AH61" s="78">
        <f>IF(OR(INDEX(Undirviðmið!$G$6:$G$105,ROW()-6)&lt;&gt;"Starfsbundinn",AG61="",$E61="",$D61=""),"",ROUND(AG61/$E61*$D61*KVARDI,2))</f>
        <v/>
      </c>
      <c r="AI61" s="66" t="n"/>
      <c r="AJ61" s="78">
        <f>IF(OR(INDEX(Undirviðmið!$G$6:$G$105,ROW()-6)&lt;&gt;"Starfsbundinn",AI61="",$E61="",$D61=""),"",ROUND(AI61/$E61*$D61*KVARDI,2))</f>
        <v/>
      </c>
      <c r="AK61" s="66" t="n"/>
      <c r="AL61" s="78">
        <f>IF(OR(INDEX(Undirviðmið!$G$6:$G$105,ROW()-6)&lt;&gt;"Starfsbundinn",AK61="",$E61="",$D61=""),"",ROUND(AK61/$E61*$D61*KVARDI,2))</f>
        <v/>
      </c>
      <c r="AM61" s="66" t="n"/>
      <c r="AN61" s="78">
        <f>IF(OR(INDEX(Undirviðmið!$G$6:$G$105,ROW()-6)&lt;&gt;"Starfsbundinn",AM61="",$E61="",$D61=""),"",ROUND(AM61/$E61*$D61*KVARDI,2))</f>
        <v/>
      </c>
      <c r="AO61" s="66" t="n"/>
      <c r="AP61" s="78">
        <f>IF(OR(INDEX(Undirviðmið!$G$6:$G$105,ROW()-6)&lt;&gt;"Starfsbundinn",AO61="",$E61="",$D61=""),"",ROUND(AO61/$E61*$D61*KVARDI,2))</f>
        <v/>
      </c>
      <c r="AQ61" s="66" t="n"/>
      <c r="AR61" s="78">
        <f>IF(OR(INDEX(Undirviðmið!$G$6:$G$105,ROW()-6)&lt;&gt;"Starfsbundinn",AQ61="",$E61="",$D61=""),"",ROUND(AQ61/$E61*$D61*KVARDI,2))</f>
        <v/>
      </c>
      <c r="AS61" s="66" t="n"/>
      <c r="AT61" s="78">
        <f>IF(OR(INDEX(Undirviðmið!$G$6:$G$105,ROW()-6)&lt;&gt;"Starfsbundinn",AS61="",$E61="",$D61=""),"",ROUND(AS61/$E61*$D61*KVARDI,2))</f>
        <v/>
      </c>
      <c r="AU61" s="66" t="n"/>
      <c r="AV61" s="78">
        <f>IF(OR(INDEX(Undirviðmið!$G$6:$G$105,ROW()-6)&lt;&gt;"Starfsbundinn",AU61="",$E61="",$D61=""),"",ROUND(AU61/$E61*$D61*KVARDI,2))</f>
        <v/>
      </c>
      <c r="AW61" s="66" t="n"/>
      <c r="AX61" s="78">
        <f>IF(OR(INDEX(Undirviðmið!$G$6:$G$105,ROW()-6)&lt;&gt;"Starfsbundinn",AW61="",$E61="",$D61=""),"",ROUND(AW61/$E61*$D61*KVARDI,2))</f>
        <v/>
      </c>
      <c r="AY61" s="66" t="n"/>
      <c r="AZ61" s="78">
        <f>IF(OR(INDEX(Undirviðmið!$G$6:$G$105,ROW()-6)&lt;&gt;"Starfsbundinn",AY61="",$E61="",$D61=""),"",ROUND(AY61/$E61*$D61*KVARDI,2))</f>
        <v/>
      </c>
      <c r="BA61" s="66" t="n"/>
      <c r="BB61" s="78">
        <f>IF(OR(INDEX(Undirviðmið!$G$6:$G$105,ROW()-6)&lt;&gt;"Starfsbundinn",BA61="",$E61="",$D61=""),"",ROUND(BA61/$E61*$D61*KVARDI,2))</f>
        <v/>
      </c>
      <c r="BC61" s="66" t="n"/>
      <c r="BD61" s="78">
        <f>IF(OR(INDEX(Undirviðmið!$G$6:$G$105,ROW()-6)&lt;&gt;"Starfsbundinn",BC61="",$E61="",$D61=""),"",ROUND(BC61/$E61*$D61*KVARDI,2))</f>
        <v/>
      </c>
      <c r="BE61" s="66" t="n"/>
      <c r="BF61" s="78">
        <f>IF(OR(INDEX(Undirviðmið!$G$6:$G$105,ROW()-6)&lt;&gt;"Starfsbundinn",BE61="",$E61="",$D61=""),"",ROUND(BE61/$E61*$D61*KVARDI,2))</f>
        <v/>
      </c>
      <c r="BG61" s="66" t="n"/>
      <c r="BH61" s="78">
        <f>IF(OR(INDEX(Undirviðmið!$G$6:$G$105,ROW()-6)&lt;&gt;"Starfsbundinn",BG61="",$E61="",$D61=""),"",ROUND(BG61/$E61*$D61*KVARDI,2))</f>
        <v/>
      </c>
      <c r="BI61" s="66" t="n"/>
      <c r="BJ61" s="78">
        <f>IF(OR(INDEX(Undirviðmið!$G$6:$G$105,ROW()-6)&lt;&gt;"Starfsbundinn",BI61="",$E61="",$D61=""),"",ROUND(BI61/$E61*$D61*KVARDI,2))</f>
        <v/>
      </c>
      <c r="BK61" s="66" t="n"/>
      <c r="BL61" s="78">
        <f>IF(OR(INDEX(Undirviðmið!$G$6:$G$105,ROW()-6)&lt;&gt;"Starfsbundinn",BK61="",$E61="",$D61=""),"",ROUND(BK61/$E61*$D61*KVARDI,2))</f>
        <v/>
      </c>
      <c r="BM61" s="66" t="n"/>
      <c r="BN61" s="78">
        <f>IF(OR(INDEX(Undirviðmið!$G$6:$G$105,ROW()-6)&lt;&gt;"Starfsbundinn",BM61="",$E61="",$D61=""),"",ROUND(BM61/$E61*$D61*KVARDI,2))</f>
        <v/>
      </c>
      <c r="BO61" s="66" t="n"/>
      <c r="BP61" s="78">
        <f>IF(OR(INDEX(Undirviðmið!$G$6:$G$105,ROW()-6)&lt;&gt;"Starfsbundinn",BO61="",$E61="",$D61=""),"",ROUND(BO61/$E61*$D61*KVARDI,2))</f>
        <v/>
      </c>
      <c r="BQ61" s="66" t="n"/>
      <c r="BR61" s="78">
        <f>IF(OR(INDEX(Undirviðmið!$G$6:$G$105,ROW()-6)&lt;&gt;"Starfsbundinn",BQ61="",$E61="",$D61=""),"",ROUND(BQ61/$E61*$D61*KVARDI,2))</f>
        <v/>
      </c>
      <c r="BS61" s="66" t="n"/>
      <c r="BT61" s="78">
        <f>IF(OR(INDEX(Undirviðmið!$G$6:$G$105,ROW()-6)&lt;&gt;"Starfsbundinn",BS61="",$E61="",$D61=""),"",ROUND(BS61/$E61*$D61*KVARDI,2))</f>
        <v/>
      </c>
      <c r="BU61" s="66" t="n"/>
      <c r="BV61" s="78">
        <f>IF(OR(INDEX(Undirviðmið!$G$6:$G$105,ROW()-6)&lt;&gt;"Starfsbundinn",BU61="",$E61="",$D61=""),"",ROUND(BU61/$E61*$D61*KVARDI,2))</f>
        <v/>
      </c>
      <c r="BW61" s="66" t="n"/>
      <c r="BX61" s="78">
        <f>IF(OR(INDEX(Undirviðmið!$G$6:$G$105,ROW()-6)&lt;&gt;"Starfsbundinn",BW61="",$E61="",$D61=""),"",ROUND(BW61/$E61*$D61*KVARDI,2))</f>
        <v/>
      </c>
      <c r="BY61" s="66" t="n"/>
      <c r="BZ61" s="78">
        <f>IF(OR(INDEX(Undirviðmið!$G$6:$G$105,ROW()-6)&lt;&gt;"Starfsbundinn",BY61="",$E61="",$D61=""),"",ROUND(BY61/$E61*$D61*KVARDI,2))</f>
        <v/>
      </c>
      <c r="CA61" s="66" t="n"/>
      <c r="CB61" s="78">
        <f>IF(OR(INDEX(Undirviðmið!$G$6:$G$105,ROW()-6)&lt;&gt;"Starfsbundinn",CA61="",$E61="",$D61=""),"",ROUND(CA61/$E61*$D61*KVARDI,2))</f>
        <v/>
      </c>
      <c r="CC61" s="66" t="n"/>
      <c r="CD61" s="78">
        <f>IF(OR(INDEX(Undirviðmið!$G$6:$G$105,ROW()-6)&lt;&gt;"Starfsbundinn",CC61="",$E61="",$D61=""),"",ROUND(CC61/$E61*$D61*KVARDI,2))</f>
        <v/>
      </c>
      <c r="CE61" s="66" t="n"/>
      <c r="CF61" s="78">
        <f>IF(OR(INDEX(Undirviðmið!$G$6:$G$105,ROW()-6)&lt;&gt;"Starfsbundinn",CE61="",$E61="",$D61=""),"",ROUND(CE61/$E61*$D61*KVARDI,2))</f>
        <v/>
      </c>
      <c r="CG61" s="66" t="n"/>
      <c r="CH61" s="78">
        <f>IF(OR(INDEX(Undirviðmið!$G$6:$G$105,ROW()-6)&lt;&gt;"Starfsbundinn",CG61="",$E61="",$D61=""),"",ROUND(CG61/$E61*$D61*KVARDI,2))</f>
        <v/>
      </c>
      <c r="CI61" s="66" t="n"/>
      <c r="CJ61" s="78">
        <f>IF(OR(INDEX(Undirviðmið!$G$6:$G$105,ROW()-6)&lt;&gt;"Starfsbundinn",CI61="",$E61="",$D61=""),"",ROUND(CI61/$E61*$D61*KVARDI,2))</f>
        <v/>
      </c>
      <c r="CK61" s="66" t="n"/>
      <c r="CL61" s="78">
        <f>IF(OR(INDEX(Undirviðmið!$G$6:$G$105,ROW()-6)&lt;&gt;"Starfsbundinn",CK61="",$E61="",$D61=""),"",ROUND(CK61/$E61*$D61*KVARDI,2))</f>
        <v/>
      </c>
      <c r="CM61" s="66" t="n"/>
      <c r="CN61" s="78">
        <f>IF(OR(INDEX(Undirviðmið!$G$6:$G$105,ROW()-6)&lt;&gt;"Starfsbundinn",CM61="",$E61="",$D61=""),"",ROUND(CM61/$E61*$D61*KVARDI,2))</f>
        <v/>
      </c>
      <c r="CO61" s="66" t="n"/>
      <c r="CP61" s="78">
        <f>IF(OR(INDEX(Undirviðmið!$G$6:$G$105,ROW()-6)&lt;&gt;"Starfsbundinn",CO61="",$E61="",$D61=""),"",ROUND(CO61/$E61*$D61*KVARDI,2))</f>
        <v/>
      </c>
      <c r="CQ61" s="66" t="n"/>
      <c r="CR61" s="78">
        <f>IF(OR(INDEX(Undirviðmið!$G$6:$G$105,ROW()-6)&lt;&gt;"Starfsbundinn",CQ61="",$E61="",$D61=""),"",ROUND(CQ61/$E61*$D61*KVARDI,2))</f>
        <v/>
      </c>
      <c r="CS61" s="66" t="n"/>
      <c r="CT61" s="78">
        <f>IF(OR(INDEX(Undirviðmið!$G$6:$G$105,ROW()-6)&lt;&gt;"Starfsbundinn",CS61="",$E61="",$D61=""),"",ROUND(CS61/$E61*$D61*KVARDI,2))</f>
        <v/>
      </c>
      <c r="CU61" s="66" t="n"/>
      <c r="CV61" s="78">
        <f>IF(OR(INDEX(Undirviðmið!$G$6:$G$105,ROW()-6)&lt;&gt;"Starfsbundinn",CU61="",$E61="",$D61=""),"",ROUND(CU61/$E61*$D61*KVARDI,2))</f>
        <v/>
      </c>
      <c r="CW61" s="66" t="n"/>
      <c r="CX61" s="78">
        <f>IF(OR(INDEX(Undirviðmið!$G$6:$G$105,ROW()-6)&lt;&gt;"Starfsbundinn",CW61="",$E61="",$D61=""),"",ROUND(CW61/$E61*$D61*KVARDI,2))</f>
        <v/>
      </c>
      <c r="CY61" s="66" t="n"/>
      <c r="CZ61" s="78">
        <f>IF(OR(INDEX(Undirviðmið!$G$6:$G$105,ROW()-6)&lt;&gt;"Starfsbundinn",CY61="",$E61="",$D61=""),"",ROUND(CY61/$E61*$D61*KVARDI,2))</f>
        <v/>
      </c>
      <c r="DA61" s="66" t="n"/>
      <c r="DB61" s="78">
        <f>IF(OR(INDEX(Undirviðmið!$G$6:$G$105,ROW()-6)&lt;&gt;"Starfsbundinn",DA61="",$E61="",$D61=""),"",ROUND(DA61/$E61*$D61*KVARDI,2))</f>
        <v/>
      </c>
      <c r="DC61" s="66" t="n"/>
      <c r="DD61" s="78">
        <f>IF(OR(INDEX(Undirviðmið!$G$6:$G$105,ROW()-6)&lt;&gt;"Starfsbundinn",DC61="",$E61="",$D61=""),"",ROUND(DC61/$E61*$D61*KVARDI,2))</f>
        <v/>
      </c>
      <c r="DE61" s="66" t="n"/>
      <c r="DF61" s="78">
        <f>IF(OR(INDEX(Undirviðmið!$G$6:$G$105,ROW()-6)&lt;&gt;"Starfsbundinn",DE61="",$E61="",$D61=""),"",ROUND(DE61/$E61*$D61*KVARDI,2))</f>
        <v/>
      </c>
      <c r="DG61" s="66" t="n"/>
      <c r="DH61" s="78">
        <f>IF(OR(INDEX(Undirviðmið!$G$6:$G$105,ROW()-6)&lt;&gt;"Starfsbundinn",DG61="",$E61="",$D61=""),"",ROUND(DG61/$E61*$D61*KVARDI,2))</f>
        <v/>
      </c>
      <c r="DI61" s="66" t="n"/>
      <c r="DJ61" s="78">
        <f>IF(OR(INDEX(Undirviðmið!$G$6:$G$105,ROW()-6)&lt;&gt;"Starfsbundinn",DI61="",$E61="",$D61=""),"",ROUND(DI61/$E61*$D61*KVARDI,2))</f>
        <v/>
      </c>
      <c r="DK61" s="66" t="n"/>
      <c r="DL61" s="78">
        <f>IF(OR(INDEX(Undirviðmið!$G$6:$G$105,ROW()-6)&lt;&gt;"Starfsbundinn",DK61="",$E61="",$D61=""),"",ROUND(DK61/$E61*$D61*KVARDI,2))</f>
        <v/>
      </c>
      <c r="DM61" s="66" t="n"/>
      <c r="DN61" s="78">
        <f>IF(OR(INDEX(Undirviðmið!$G$6:$G$105,ROW()-6)&lt;&gt;"Starfsbundinn",DM61="",$E61="",$D61=""),"",ROUND(DM61/$E61*$D61*KVARDI,2))</f>
        <v/>
      </c>
      <c r="DO61" s="66" t="n"/>
      <c r="DP61" s="78">
        <f>IF(OR(INDEX(Undirviðmið!$G$6:$G$105,ROW()-6)&lt;&gt;"Starfsbundinn",DO61="",$E61="",$D61=""),"",ROUND(DO61/$E61*$D61*KVARDI,2))</f>
        <v/>
      </c>
      <c r="DQ61" s="66" t="n"/>
      <c r="DR61" s="78">
        <f>IF(OR(INDEX(Undirviðmið!$G$6:$G$105,ROW()-6)&lt;&gt;"Starfsbundinn",DQ61="",$E61="",$D61=""),"",ROUND(DQ61/$E61*$D61*KVARDI,2))</f>
        <v/>
      </c>
      <c r="DS61" s="66" t="n"/>
      <c r="DT61" s="78">
        <f>IF(OR(INDEX(Undirviðmið!$G$6:$G$105,ROW()-6)&lt;&gt;"Starfsbundinn",DS61="",$E61="",$D61=""),"",ROUND(DS61/$E61*$D61*KVARDI,2))</f>
        <v/>
      </c>
      <c r="DU61" s="66" t="n"/>
      <c r="DV61" s="78">
        <f>IF(OR(INDEX(Undirviðmið!$G$6:$G$105,ROW()-6)&lt;&gt;"Starfsbundinn",DU61="",$E61="",$D61=""),"",ROUND(DU61/$E61*$D61*KVARDI,2))</f>
        <v/>
      </c>
      <c r="DW61" s="66" t="n"/>
      <c r="DX61" s="78">
        <f>IF(OR(INDEX(Undirviðmið!$G$6:$G$105,ROW()-6)&lt;&gt;"Starfsbundinn",DW61="",$E61="",$D61=""),"",ROUND(DW61/$E61*$D61*KVARDI,2))</f>
        <v/>
      </c>
      <c r="DY61" s="66" t="n"/>
      <c r="DZ61" s="78">
        <f>IF(OR(INDEX(Undirviðmið!$G$6:$G$105,ROW()-6)&lt;&gt;"Starfsbundinn",DY61="",$E61="",$D61=""),"",ROUND(DY61/$E61*$D61*KVARDI,2))</f>
        <v/>
      </c>
      <c r="EA61" s="66" t="n"/>
      <c r="EB61" s="78">
        <f>IF(OR(INDEX(Undirviðmið!$G$6:$G$105,ROW()-6)&lt;&gt;"Starfsbundinn",EA61="",$E61="",$D61=""),"",ROUND(EA61/$E61*$D61*KVARDI,2))</f>
        <v/>
      </c>
      <c r="EC61" s="66" t="n"/>
      <c r="ED61" s="78">
        <f>IF(OR(INDEX(Undirviðmið!$G$6:$G$105,ROW()-6)&lt;&gt;"Starfsbundinn",EC61="",$E61="",$D61=""),"",ROUND(EC61/$E61*$D61*KVARDI,2))</f>
        <v/>
      </c>
      <c r="EE61" s="66" t="n"/>
      <c r="EF61" s="78">
        <f>IF(OR(INDEX(Undirviðmið!$G$6:$G$105,ROW()-6)&lt;&gt;"Starfsbundinn",EE61="",$E61="",$D61=""),"",ROUND(EE61/$E61*$D61*KVARDI,2))</f>
        <v/>
      </c>
      <c r="EG61" s="66" t="n"/>
      <c r="EH61" s="78">
        <f>IF(OR(INDEX(Undirviðmið!$G$6:$G$105,ROW()-6)&lt;&gt;"Starfsbundinn",EG61="",$E61="",$D61=""),"",ROUND(EG61/$E61*$D61*KVARDI,2))</f>
        <v/>
      </c>
      <c r="EI61" s="66" t="n"/>
      <c r="EJ61" s="78">
        <f>IF(OR(INDEX(Undirviðmið!$G$6:$G$105,ROW()-6)&lt;&gt;"Starfsbundinn",EI61="",$E61="",$D61=""),"",ROUND(EI61/$E61*$D61*KVARDI,2))</f>
        <v/>
      </c>
      <c r="EK61" s="66" t="n"/>
      <c r="EL61" s="78">
        <f>IF(OR(INDEX(Undirviðmið!$G$6:$G$105,ROW()-6)&lt;&gt;"Starfsbundinn",EK61="",$E61="",$D61=""),"",ROUND(EK61/$E61*$D61*KVARDI,2))</f>
        <v/>
      </c>
      <c r="EM61" s="66" t="n"/>
      <c r="EN61" s="78">
        <f>IF(OR(INDEX(Undirviðmið!$G$6:$G$105,ROW()-6)&lt;&gt;"Starfsbundinn",EM61="",$E61="",$D61=""),"",ROUND(EM61/$E61*$D61*KVARDI,2))</f>
        <v/>
      </c>
      <c r="EO61" s="66" t="n"/>
      <c r="EP61" s="78">
        <f>IF(OR(INDEX(Undirviðmið!$G$6:$G$105,ROW()-6)&lt;&gt;"Starfsbundinn",EO61="",$E61="",$D61=""),"",ROUND(EO61/$E61*$D61*KVARDI,2))</f>
        <v/>
      </c>
      <c r="EQ61" s="66" t="n"/>
      <c r="ER61" s="78">
        <f>IF(OR(INDEX(Undirviðmið!$G$6:$G$105,ROW()-6)&lt;&gt;"Starfsbundinn",EQ61="",$E61="",$D61=""),"",ROUND(EQ61/$E61*$D61*KVARDI,2))</f>
        <v/>
      </c>
      <c r="ES61" s="66" t="n"/>
      <c r="ET61" s="78">
        <f>IF(OR(INDEX(Undirviðmið!$G$6:$G$105,ROW()-6)&lt;&gt;"Starfsbundinn",ES61="",$E61="",$D61=""),"",ROUND(ES61/$E61*$D61*KVARDI,2))</f>
        <v/>
      </c>
      <c r="EU61" s="66" t="n"/>
      <c r="EV61" s="78">
        <f>IF(OR(INDEX(Undirviðmið!$G$6:$G$105,ROW()-6)&lt;&gt;"Starfsbundinn",EU61="",$E61="",$D61=""),"",ROUND(EU61/$E61*$D61*KVARDI,2))</f>
        <v/>
      </c>
      <c r="EW61" s="66" t="n"/>
      <c r="EX61" s="78">
        <f>IF(OR(INDEX(Undirviðmið!$G$6:$G$105,ROW()-6)&lt;&gt;"Starfsbundinn",EW61="",$E61="",$D61=""),"",ROUND(EW61/$E61*$D61*KVARDI,2))</f>
        <v/>
      </c>
      <c r="EY61" s="66" t="n"/>
      <c r="EZ61" s="78">
        <f>IF(OR(INDEX(Undirviðmið!$G$6:$G$105,ROW()-6)&lt;&gt;"Starfsbundinn",EY61="",$E61="",$D61=""),"",ROUND(EY61/$E61*$D61*KVARDI,2))</f>
        <v/>
      </c>
      <c r="FA61" s="66" t="n"/>
      <c r="FB61" s="78">
        <f>IF(OR(INDEX(Undirviðmið!$G$6:$G$105,ROW()-6)&lt;&gt;"Starfsbundinn",FA61="",$E61="",$D61=""),"",ROUND(FA61/$E61*$D61*KVARDI,2))</f>
        <v/>
      </c>
      <c r="FC61" s="66" t="n"/>
      <c r="FD61" s="78">
        <f>IF(OR(INDEX(Undirviðmið!$G$6:$G$105,ROW()-6)&lt;&gt;"Starfsbundinn",FC61="",$E61="",$D61=""),"",ROUND(FC61/$E61*$D61*KVARDI,2))</f>
        <v/>
      </c>
      <c r="FE61" s="66" t="n"/>
      <c r="FF61" s="78">
        <f>IF(OR(INDEX(Undirviðmið!$G$6:$G$105,ROW()-6)&lt;&gt;"Starfsbundinn",FE61="",$E61="",$D61=""),"",ROUND(FE61/$E61*$D61*KVARDI,2))</f>
        <v/>
      </c>
      <c r="FG61" s="66" t="n"/>
      <c r="FH61" s="78">
        <f>IF(OR(INDEX(Undirviðmið!$G$6:$G$105,ROW()-6)&lt;&gt;"Starfsbundinn",FG61="",$E61="",$D61=""),"",ROUND(FG61/$E61*$D61*KVARDI,2))</f>
        <v/>
      </c>
      <c r="FI61" s="66" t="n"/>
      <c r="FJ61" s="78">
        <f>IF(OR(INDEX(Undirviðmið!$G$6:$G$105,ROW()-6)&lt;&gt;"Starfsbundinn",FI61="",$E61="",$D61=""),"",ROUND(FI61/$E61*$D61*KVARDI,2))</f>
        <v/>
      </c>
      <c r="FK61" s="66" t="n"/>
      <c r="FL61" s="78">
        <f>IF(OR(INDEX(Undirviðmið!$G$6:$G$105,ROW()-6)&lt;&gt;"Starfsbundinn",FK61="",$E61="",$D61=""),"",ROUND(FK61/$E61*$D61*KVARDI,2))</f>
        <v/>
      </c>
      <c r="FM61" s="66" t="n"/>
      <c r="FN61" s="78">
        <f>IF(OR(INDEX(Undirviðmið!$G$6:$G$105,ROW()-6)&lt;&gt;"Starfsbundinn",FM61="",$E61="",$D61=""),"",ROUND(FM61/$E61*$D61*KVARDI,2))</f>
        <v/>
      </c>
      <c r="FO61" s="66" t="n"/>
      <c r="FP61" s="78">
        <f>IF(OR(INDEX(Undirviðmið!$G$6:$G$105,ROW()-6)&lt;&gt;"Starfsbundinn",FO61="",$E61="",$D61=""),"",ROUND(FO61/$E61*$D61*KVARDI,2))</f>
        <v/>
      </c>
      <c r="FQ61" s="66" t="n"/>
      <c r="FR61" s="78">
        <f>IF(OR(INDEX(Undirviðmið!$G$6:$G$105,ROW()-6)&lt;&gt;"Starfsbundinn",FQ61="",$E61="",$D61=""),"",ROUND(FQ61/$E61*$D61*KVARDI,2))</f>
        <v/>
      </c>
      <c r="FS61" s="66" t="n"/>
      <c r="FT61" s="78">
        <f>IF(OR(INDEX(Undirviðmið!$G$6:$G$105,ROW()-6)&lt;&gt;"Starfsbundinn",FS61="",$E61="",$D61=""),"",ROUND(FS61/$E61*$D61*KVARDI,2))</f>
        <v/>
      </c>
      <c r="FU61" s="66" t="n"/>
      <c r="FV61" s="78">
        <f>IF(OR(INDEX(Undirviðmið!$G$6:$G$105,ROW()-6)&lt;&gt;"Starfsbundinn",FU61="",$E61="",$D61=""),"",ROUND(FU61/$E61*$D61*KVARDI,2))</f>
        <v/>
      </c>
      <c r="FW61" s="66" t="n"/>
      <c r="FX61" s="78">
        <f>IF(OR(INDEX(Undirviðmið!$G$6:$G$105,ROW()-6)&lt;&gt;"Starfsbundinn",FW61="",$E61="",$D61=""),"",ROUND(FW61/$E61*$D61*KVARDI,2))</f>
        <v/>
      </c>
      <c r="FY61" s="66" t="n"/>
      <c r="FZ61" s="78">
        <f>IF(OR(INDEX(Undirviðmið!$G$6:$G$105,ROW()-6)&lt;&gt;"Starfsbundinn",FY61="",$E61="",$D61=""),"",ROUND(FY61/$E61*$D61*KVARDI,2))</f>
        <v/>
      </c>
      <c r="GA61" s="66" t="n"/>
      <c r="GB61" s="78">
        <f>IF(OR(INDEX(Undirviðmið!$G$6:$G$105,ROW()-6)&lt;&gt;"Starfsbundinn",GA61="",$E61="",$D61=""),"",ROUND(GA61/$E61*$D61*KVARDI,2))</f>
        <v/>
      </c>
      <c r="GC61" s="66" t="n"/>
      <c r="GD61" s="78">
        <f>IF(OR(INDEX(Undirviðmið!$G$6:$G$105,ROW()-6)&lt;&gt;"Starfsbundinn",GC61="",$E61="",$D61=""),"",ROUND(GC61/$E61*$D61*KVARDI,2))</f>
        <v/>
      </c>
      <c r="GE61" s="66" t="n"/>
      <c r="GF61" s="78">
        <f>IF(OR(INDEX(Undirviðmið!$G$6:$G$105,ROW()-6)&lt;&gt;"Starfsbundinn",GE61="",$E61="",$D61=""),"",ROUND(GE61/$E61*$D61*KVARDI,2))</f>
        <v/>
      </c>
      <c r="GG61" s="66" t="n"/>
      <c r="GH61" s="78">
        <f>IF(OR(INDEX(Undirviðmið!$G$6:$G$105,ROW()-6)&lt;&gt;"Starfsbundinn",GG61="",$E61="",$D61=""),"",ROUND(GG61/$E61*$D61*KVARDI,2))</f>
        <v/>
      </c>
      <c r="GI61" s="66" t="n"/>
      <c r="GJ61" s="78">
        <f>IF(OR(INDEX(Undirviðmið!$G$6:$G$105,ROW()-6)&lt;&gt;"Starfsbundinn",GI61="",$E61="",$D61=""),"",ROUND(GI61/$E61*$D61*KVARDI,2))</f>
        <v/>
      </c>
      <c r="GK61" s="66" t="n"/>
      <c r="GL61" s="78">
        <f>IF(OR(INDEX(Undirviðmið!$G$6:$G$105,ROW()-6)&lt;&gt;"Starfsbundinn",GK61="",$E61="",$D61=""),"",ROUND(GK61/$E61*$D61*KVARDI,2))</f>
        <v/>
      </c>
      <c r="GM61" s="66" t="n"/>
      <c r="GN61" s="78">
        <f>IF(OR(INDEX(Undirviðmið!$G$6:$G$105,ROW()-6)&lt;&gt;"Starfsbundinn",GM61="",$E61="",$D61=""),"",ROUND(GM61/$E61*$D61*KVARDI,2))</f>
        <v/>
      </c>
      <c r="GO61" s="66" t="n"/>
      <c r="GP61" s="78">
        <f>IF(OR(INDEX(Undirviðmið!$G$6:$G$105,ROW()-6)&lt;&gt;"Starfsbundinn",GO61="",$E61="",$D61=""),"",ROUND(GO61/$E61*$D61*KVARDI,2))</f>
        <v/>
      </c>
      <c r="GQ61" s="66" t="n"/>
      <c r="GR61" s="78">
        <f>IF(OR(INDEX(Undirviðmið!$G$6:$G$105,ROW()-6)&lt;&gt;"Starfsbundinn",GQ61="",$E61="",$D61=""),"",ROUND(GQ61/$E61*$D61*KVARDI,2))</f>
        <v/>
      </c>
      <c r="GS61" s="66" t="n"/>
      <c r="GT61" s="78">
        <f>IF(OR(INDEX(Undirviðmið!$G$6:$G$105,ROW()-6)&lt;&gt;"Starfsbundinn",GS61="",$E61="",$D61=""),"",ROUND(GS61/$E61*$D61*KVARDI,2))</f>
        <v/>
      </c>
      <c r="GU61" s="66" t="n"/>
      <c r="GV61" s="78">
        <f>IF(OR(INDEX(Undirviðmið!$G$6:$G$105,ROW()-6)&lt;&gt;"Starfsbundinn",GU61="",$E61="",$D61=""),"",ROUND(GU61/$E61*$D61*KVARDI,2))</f>
        <v/>
      </c>
      <c r="GW61" s="66" t="n"/>
      <c r="GX61" s="78">
        <f>IF(OR(INDEX(Undirviðmið!$G$6:$G$105,ROW()-6)&lt;&gt;"Starfsbundinn",GW61="",$E61="",$D61=""),"",ROUND(GW61/$E61*$D61*KVARDI,2))</f>
        <v/>
      </c>
    </row>
    <row r="62" ht="15" customHeight="1" s="47">
      <c r="B62" s="67">
        <f>IF(INDEX(Undirviðmið!$G$6:$G$105,ROW()-6)="Starfsbundinn",INDEX(Undirviðmið!$B$6:$B$105,ROW()-6),"")</f>
        <v/>
      </c>
      <c r="C62" s="67">
        <f>IF(INDEX(Undirviðmið!$G$6:$G$105,ROW()-6)="Starfsbundinn",INDEX(Undirviðmið!$C$6:$C$105,ROW()-6),"")</f>
        <v/>
      </c>
      <c r="D62" s="77">
        <f>IF(INDEX(Undirviðmið!$G$6:$G$105,ROW()-6)="Starfsbundinn",INDEX(Undirviðmið!$E$6:$E$105,ROW()-6),"")</f>
        <v/>
      </c>
      <c r="E62" s="77">
        <f>IF(INDEX(Undirviðmið!$G$6:$G$105,ROW()-6)="Starfsbundinn",INDEX(Undirviðmið!$F$6:$F$105,ROW()-6),"")</f>
        <v/>
      </c>
      <c r="F62" s="77">
        <f>IF(INDEX(Undirviðmið!$G$6:$G$105,ROW()-6)="Starfsbundinn",IFERROR(INDEX(Undirviðmið!$E$6:$E$105,ROW()-6)*KVARDI,""),"")</f>
        <v/>
      </c>
      <c r="G62" s="66" t="n"/>
      <c r="H62" s="78">
        <f>IF(OR(INDEX(Undirviðmið!$G$6:$G$105,ROW()-6)&lt;&gt;"Starfsbundinn",G62="",$E62="",$D62=""),"",ROUND(G62/$E62*$D62*KVARDI,2))</f>
        <v/>
      </c>
      <c r="I62" s="66" t="n"/>
      <c r="J62" s="78">
        <f>IF(OR(INDEX(Undirviðmið!$G$6:$G$105,ROW()-6)&lt;&gt;"Starfsbundinn",I62="",$E62="",$D62=""),"",ROUND(I62/$E62*$D62*KVARDI,2))</f>
        <v/>
      </c>
      <c r="K62" s="66" t="n"/>
      <c r="L62" s="78">
        <f>IF(OR(INDEX(Undirviðmið!$G$6:$G$105,ROW()-6)&lt;&gt;"Starfsbundinn",K62="",$E62="",$D62=""),"",ROUND(K62/$E62*$D62*KVARDI,2))</f>
        <v/>
      </c>
      <c r="M62" s="66" t="n"/>
      <c r="N62" s="78">
        <f>IF(OR(INDEX(Undirviðmið!$G$6:$G$105,ROW()-6)&lt;&gt;"Starfsbundinn",M62="",$E62="",$D62=""),"",ROUND(M62/$E62*$D62*KVARDI,2))</f>
        <v/>
      </c>
      <c r="O62" s="66" t="n"/>
      <c r="P62" s="78">
        <f>IF(OR(INDEX(Undirviðmið!$G$6:$G$105,ROW()-6)&lt;&gt;"Starfsbundinn",O62="",$E62="",$D62=""),"",ROUND(O62/$E62*$D62*KVARDI,2))</f>
        <v/>
      </c>
      <c r="Q62" s="66" t="n"/>
      <c r="R62" s="78">
        <f>IF(OR(INDEX(Undirviðmið!$G$6:$G$105,ROW()-6)&lt;&gt;"Starfsbundinn",Q62="",$E62="",$D62=""),"",ROUND(Q62/$E62*$D62*KVARDI,2))</f>
        <v/>
      </c>
      <c r="S62" s="66" t="n"/>
      <c r="T62" s="78">
        <f>IF(OR(INDEX(Undirviðmið!$G$6:$G$105,ROW()-6)&lt;&gt;"Starfsbundinn",S62="",$E62="",$D62=""),"",ROUND(S62/$E62*$D62*KVARDI,2))</f>
        <v/>
      </c>
      <c r="U62" s="66" t="n"/>
      <c r="V62" s="78">
        <f>IF(OR(INDEX(Undirviðmið!$G$6:$G$105,ROW()-6)&lt;&gt;"Starfsbundinn",U62="",$E62="",$D62=""),"",ROUND(U62/$E62*$D62*KVARDI,2))</f>
        <v/>
      </c>
      <c r="W62" s="66" t="n"/>
      <c r="X62" s="78">
        <f>IF(OR(INDEX(Undirviðmið!$G$6:$G$105,ROW()-6)&lt;&gt;"Starfsbundinn",W62="",$E62="",$D62=""),"",ROUND(W62/$E62*$D62*KVARDI,2))</f>
        <v/>
      </c>
      <c r="Y62" s="66" t="n"/>
      <c r="Z62" s="78">
        <f>IF(OR(INDEX(Undirviðmið!$G$6:$G$105,ROW()-6)&lt;&gt;"Starfsbundinn",Y62="",$E62="",$D62=""),"",ROUND(Y62/$E62*$D62*KVARDI,2))</f>
        <v/>
      </c>
      <c r="AA62" s="66" t="n"/>
      <c r="AB62" s="78">
        <f>IF(OR(INDEX(Undirviðmið!$G$6:$G$105,ROW()-6)&lt;&gt;"Starfsbundinn",AA62="",$E62="",$D62=""),"",ROUND(AA62/$E62*$D62*KVARDI,2))</f>
        <v/>
      </c>
      <c r="AC62" s="66" t="n"/>
      <c r="AD62" s="78">
        <f>IF(OR(INDEX(Undirviðmið!$G$6:$G$105,ROW()-6)&lt;&gt;"Starfsbundinn",AC62="",$E62="",$D62=""),"",ROUND(AC62/$E62*$D62*KVARDI,2))</f>
        <v/>
      </c>
      <c r="AE62" s="66" t="n"/>
      <c r="AF62" s="78">
        <f>IF(OR(INDEX(Undirviðmið!$G$6:$G$105,ROW()-6)&lt;&gt;"Starfsbundinn",AE62="",$E62="",$D62=""),"",ROUND(AE62/$E62*$D62*KVARDI,2))</f>
        <v/>
      </c>
      <c r="AG62" s="66" t="n"/>
      <c r="AH62" s="78">
        <f>IF(OR(INDEX(Undirviðmið!$G$6:$G$105,ROW()-6)&lt;&gt;"Starfsbundinn",AG62="",$E62="",$D62=""),"",ROUND(AG62/$E62*$D62*KVARDI,2))</f>
        <v/>
      </c>
      <c r="AI62" s="66" t="n"/>
      <c r="AJ62" s="78">
        <f>IF(OR(INDEX(Undirviðmið!$G$6:$G$105,ROW()-6)&lt;&gt;"Starfsbundinn",AI62="",$E62="",$D62=""),"",ROUND(AI62/$E62*$D62*KVARDI,2))</f>
        <v/>
      </c>
      <c r="AK62" s="66" t="n"/>
      <c r="AL62" s="78">
        <f>IF(OR(INDEX(Undirviðmið!$G$6:$G$105,ROW()-6)&lt;&gt;"Starfsbundinn",AK62="",$E62="",$D62=""),"",ROUND(AK62/$E62*$D62*KVARDI,2))</f>
        <v/>
      </c>
      <c r="AM62" s="66" t="n"/>
      <c r="AN62" s="78">
        <f>IF(OR(INDEX(Undirviðmið!$G$6:$G$105,ROW()-6)&lt;&gt;"Starfsbundinn",AM62="",$E62="",$D62=""),"",ROUND(AM62/$E62*$D62*KVARDI,2))</f>
        <v/>
      </c>
      <c r="AO62" s="66" t="n"/>
      <c r="AP62" s="78">
        <f>IF(OR(INDEX(Undirviðmið!$G$6:$G$105,ROW()-6)&lt;&gt;"Starfsbundinn",AO62="",$E62="",$D62=""),"",ROUND(AO62/$E62*$D62*KVARDI,2))</f>
        <v/>
      </c>
      <c r="AQ62" s="66" t="n"/>
      <c r="AR62" s="78">
        <f>IF(OR(INDEX(Undirviðmið!$G$6:$G$105,ROW()-6)&lt;&gt;"Starfsbundinn",AQ62="",$E62="",$D62=""),"",ROUND(AQ62/$E62*$D62*KVARDI,2))</f>
        <v/>
      </c>
      <c r="AS62" s="66" t="n"/>
      <c r="AT62" s="78">
        <f>IF(OR(INDEX(Undirviðmið!$G$6:$G$105,ROW()-6)&lt;&gt;"Starfsbundinn",AS62="",$E62="",$D62=""),"",ROUND(AS62/$E62*$D62*KVARDI,2))</f>
        <v/>
      </c>
      <c r="AU62" s="66" t="n"/>
      <c r="AV62" s="78">
        <f>IF(OR(INDEX(Undirviðmið!$G$6:$G$105,ROW()-6)&lt;&gt;"Starfsbundinn",AU62="",$E62="",$D62=""),"",ROUND(AU62/$E62*$D62*KVARDI,2))</f>
        <v/>
      </c>
      <c r="AW62" s="66" t="n"/>
      <c r="AX62" s="78">
        <f>IF(OR(INDEX(Undirviðmið!$G$6:$G$105,ROW()-6)&lt;&gt;"Starfsbundinn",AW62="",$E62="",$D62=""),"",ROUND(AW62/$E62*$D62*KVARDI,2))</f>
        <v/>
      </c>
      <c r="AY62" s="66" t="n"/>
      <c r="AZ62" s="78">
        <f>IF(OR(INDEX(Undirviðmið!$G$6:$G$105,ROW()-6)&lt;&gt;"Starfsbundinn",AY62="",$E62="",$D62=""),"",ROUND(AY62/$E62*$D62*KVARDI,2))</f>
        <v/>
      </c>
      <c r="BA62" s="66" t="n"/>
      <c r="BB62" s="78">
        <f>IF(OR(INDEX(Undirviðmið!$G$6:$G$105,ROW()-6)&lt;&gt;"Starfsbundinn",BA62="",$E62="",$D62=""),"",ROUND(BA62/$E62*$D62*KVARDI,2))</f>
        <v/>
      </c>
      <c r="BC62" s="66" t="n"/>
      <c r="BD62" s="78">
        <f>IF(OR(INDEX(Undirviðmið!$G$6:$G$105,ROW()-6)&lt;&gt;"Starfsbundinn",BC62="",$E62="",$D62=""),"",ROUND(BC62/$E62*$D62*KVARDI,2))</f>
        <v/>
      </c>
      <c r="BE62" s="66" t="n"/>
      <c r="BF62" s="78">
        <f>IF(OR(INDEX(Undirviðmið!$G$6:$G$105,ROW()-6)&lt;&gt;"Starfsbundinn",BE62="",$E62="",$D62=""),"",ROUND(BE62/$E62*$D62*KVARDI,2))</f>
        <v/>
      </c>
      <c r="BG62" s="66" t="n"/>
      <c r="BH62" s="78">
        <f>IF(OR(INDEX(Undirviðmið!$G$6:$G$105,ROW()-6)&lt;&gt;"Starfsbundinn",BG62="",$E62="",$D62=""),"",ROUND(BG62/$E62*$D62*KVARDI,2))</f>
        <v/>
      </c>
      <c r="BI62" s="66" t="n"/>
      <c r="BJ62" s="78">
        <f>IF(OR(INDEX(Undirviðmið!$G$6:$G$105,ROW()-6)&lt;&gt;"Starfsbundinn",BI62="",$E62="",$D62=""),"",ROUND(BI62/$E62*$D62*KVARDI,2))</f>
        <v/>
      </c>
      <c r="BK62" s="66" t="n"/>
      <c r="BL62" s="78">
        <f>IF(OR(INDEX(Undirviðmið!$G$6:$G$105,ROW()-6)&lt;&gt;"Starfsbundinn",BK62="",$E62="",$D62=""),"",ROUND(BK62/$E62*$D62*KVARDI,2))</f>
        <v/>
      </c>
      <c r="BM62" s="66" t="n"/>
      <c r="BN62" s="78">
        <f>IF(OR(INDEX(Undirviðmið!$G$6:$G$105,ROW()-6)&lt;&gt;"Starfsbundinn",BM62="",$E62="",$D62=""),"",ROUND(BM62/$E62*$D62*KVARDI,2))</f>
        <v/>
      </c>
      <c r="BO62" s="66" t="n"/>
      <c r="BP62" s="78">
        <f>IF(OR(INDEX(Undirviðmið!$G$6:$G$105,ROW()-6)&lt;&gt;"Starfsbundinn",BO62="",$E62="",$D62=""),"",ROUND(BO62/$E62*$D62*KVARDI,2))</f>
        <v/>
      </c>
      <c r="BQ62" s="66" t="n"/>
      <c r="BR62" s="78">
        <f>IF(OR(INDEX(Undirviðmið!$G$6:$G$105,ROW()-6)&lt;&gt;"Starfsbundinn",BQ62="",$E62="",$D62=""),"",ROUND(BQ62/$E62*$D62*KVARDI,2))</f>
        <v/>
      </c>
      <c r="BS62" s="66" t="n"/>
      <c r="BT62" s="78">
        <f>IF(OR(INDEX(Undirviðmið!$G$6:$G$105,ROW()-6)&lt;&gt;"Starfsbundinn",BS62="",$E62="",$D62=""),"",ROUND(BS62/$E62*$D62*KVARDI,2))</f>
        <v/>
      </c>
      <c r="BU62" s="66" t="n"/>
      <c r="BV62" s="78">
        <f>IF(OR(INDEX(Undirviðmið!$G$6:$G$105,ROW()-6)&lt;&gt;"Starfsbundinn",BU62="",$E62="",$D62=""),"",ROUND(BU62/$E62*$D62*KVARDI,2))</f>
        <v/>
      </c>
      <c r="BW62" s="66" t="n"/>
      <c r="BX62" s="78">
        <f>IF(OR(INDEX(Undirviðmið!$G$6:$G$105,ROW()-6)&lt;&gt;"Starfsbundinn",BW62="",$E62="",$D62=""),"",ROUND(BW62/$E62*$D62*KVARDI,2))</f>
        <v/>
      </c>
      <c r="BY62" s="66" t="n"/>
      <c r="BZ62" s="78">
        <f>IF(OR(INDEX(Undirviðmið!$G$6:$G$105,ROW()-6)&lt;&gt;"Starfsbundinn",BY62="",$E62="",$D62=""),"",ROUND(BY62/$E62*$D62*KVARDI,2))</f>
        <v/>
      </c>
      <c r="CA62" s="66" t="n"/>
      <c r="CB62" s="78">
        <f>IF(OR(INDEX(Undirviðmið!$G$6:$G$105,ROW()-6)&lt;&gt;"Starfsbundinn",CA62="",$E62="",$D62=""),"",ROUND(CA62/$E62*$D62*KVARDI,2))</f>
        <v/>
      </c>
      <c r="CC62" s="66" t="n"/>
      <c r="CD62" s="78">
        <f>IF(OR(INDEX(Undirviðmið!$G$6:$G$105,ROW()-6)&lt;&gt;"Starfsbundinn",CC62="",$E62="",$D62=""),"",ROUND(CC62/$E62*$D62*KVARDI,2))</f>
        <v/>
      </c>
      <c r="CE62" s="66" t="n"/>
      <c r="CF62" s="78">
        <f>IF(OR(INDEX(Undirviðmið!$G$6:$G$105,ROW()-6)&lt;&gt;"Starfsbundinn",CE62="",$E62="",$D62=""),"",ROUND(CE62/$E62*$D62*KVARDI,2))</f>
        <v/>
      </c>
      <c r="CG62" s="66" t="n"/>
      <c r="CH62" s="78">
        <f>IF(OR(INDEX(Undirviðmið!$G$6:$G$105,ROW()-6)&lt;&gt;"Starfsbundinn",CG62="",$E62="",$D62=""),"",ROUND(CG62/$E62*$D62*KVARDI,2))</f>
        <v/>
      </c>
      <c r="CI62" s="66" t="n"/>
      <c r="CJ62" s="78">
        <f>IF(OR(INDEX(Undirviðmið!$G$6:$G$105,ROW()-6)&lt;&gt;"Starfsbundinn",CI62="",$E62="",$D62=""),"",ROUND(CI62/$E62*$D62*KVARDI,2))</f>
        <v/>
      </c>
      <c r="CK62" s="66" t="n"/>
      <c r="CL62" s="78">
        <f>IF(OR(INDEX(Undirviðmið!$G$6:$G$105,ROW()-6)&lt;&gt;"Starfsbundinn",CK62="",$E62="",$D62=""),"",ROUND(CK62/$E62*$D62*KVARDI,2))</f>
        <v/>
      </c>
      <c r="CM62" s="66" t="n"/>
      <c r="CN62" s="78">
        <f>IF(OR(INDEX(Undirviðmið!$G$6:$G$105,ROW()-6)&lt;&gt;"Starfsbundinn",CM62="",$E62="",$D62=""),"",ROUND(CM62/$E62*$D62*KVARDI,2))</f>
        <v/>
      </c>
      <c r="CO62" s="66" t="n"/>
      <c r="CP62" s="78">
        <f>IF(OR(INDEX(Undirviðmið!$G$6:$G$105,ROW()-6)&lt;&gt;"Starfsbundinn",CO62="",$E62="",$D62=""),"",ROUND(CO62/$E62*$D62*KVARDI,2))</f>
        <v/>
      </c>
      <c r="CQ62" s="66" t="n"/>
      <c r="CR62" s="78">
        <f>IF(OR(INDEX(Undirviðmið!$G$6:$G$105,ROW()-6)&lt;&gt;"Starfsbundinn",CQ62="",$E62="",$D62=""),"",ROUND(CQ62/$E62*$D62*KVARDI,2))</f>
        <v/>
      </c>
      <c r="CS62" s="66" t="n"/>
      <c r="CT62" s="78">
        <f>IF(OR(INDEX(Undirviðmið!$G$6:$G$105,ROW()-6)&lt;&gt;"Starfsbundinn",CS62="",$E62="",$D62=""),"",ROUND(CS62/$E62*$D62*KVARDI,2))</f>
        <v/>
      </c>
      <c r="CU62" s="66" t="n"/>
      <c r="CV62" s="78">
        <f>IF(OR(INDEX(Undirviðmið!$G$6:$G$105,ROW()-6)&lt;&gt;"Starfsbundinn",CU62="",$E62="",$D62=""),"",ROUND(CU62/$E62*$D62*KVARDI,2))</f>
        <v/>
      </c>
      <c r="CW62" s="66" t="n"/>
      <c r="CX62" s="78">
        <f>IF(OR(INDEX(Undirviðmið!$G$6:$G$105,ROW()-6)&lt;&gt;"Starfsbundinn",CW62="",$E62="",$D62=""),"",ROUND(CW62/$E62*$D62*KVARDI,2))</f>
        <v/>
      </c>
      <c r="CY62" s="66" t="n"/>
      <c r="CZ62" s="78">
        <f>IF(OR(INDEX(Undirviðmið!$G$6:$G$105,ROW()-6)&lt;&gt;"Starfsbundinn",CY62="",$E62="",$D62=""),"",ROUND(CY62/$E62*$D62*KVARDI,2))</f>
        <v/>
      </c>
      <c r="DA62" s="66" t="n"/>
      <c r="DB62" s="78">
        <f>IF(OR(INDEX(Undirviðmið!$G$6:$G$105,ROW()-6)&lt;&gt;"Starfsbundinn",DA62="",$E62="",$D62=""),"",ROUND(DA62/$E62*$D62*KVARDI,2))</f>
        <v/>
      </c>
      <c r="DC62" s="66" t="n"/>
      <c r="DD62" s="78">
        <f>IF(OR(INDEX(Undirviðmið!$G$6:$G$105,ROW()-6)&lt;&gt;"Starfsbundinn",DC62="",$E62="",$D62=""),"",ROUND(DC62/$E62*$D62*KVARDI,2))</f>
        <v/>
      </c>
      <c r="DE62" s="66" t="n"/>
      <c r="DF62" s="78">
        <f>IF(OR(INDEX(Undirviðmið!$G$6:$G$105,ROW()-6)&lt;&gt;"Starfsbundinn",DE62="",$E62="",$D62=""),"",ROUND(DE62/$E62*$D62*KVARDI,2))</f>
        <v/>
      </c>
      <c r="DG62" s="66" t="n"/>
      <c r="DH62" s="78">
        <f>IF(OR(INDEX(Undirviðmið!$G$6:$G$105,ROW()-6)&lt;&gt;"Starfsbundinn",DG62="",$E62="",$D62=""),"",ROUND(DG62/$E62*$D62*KVARDI,2))</f>
        <v/>
      </c>
      <c r="DI62" s="66" t="n"/>
      <c r="DJ62" s="78">
        <f>IF(OR(INDEX(Undirviðmið!$G$6:$G$105,ROW()-6)&lt;&gt;"Starfsbundinn",DI62="",$E62="",$D62=""),"",ROUND(DI62/$E62*$D62*KVARDI,2))</f>
        <v/>
      </c>
      <c r="DK62" s="66" t="n"/>
      <c r="DL62" s="78">
        <f>IF(OR(INDEX(Undirviðmið!$G$6:$G$105,ROW()-6)&lt;&gt;"Starfsbundinn",DK62="",$E62="",$D62=""),"",ROUND(DK62/$E62*$D62*KVARDI,2))</f>
        <v/>
      </c>
      <c r="DM62" s="66" t="n"/>
      <c r="DN62" s="78">
        <f>IF(OR(INDEX(Undirviðmið!$G$6:$G$105,ROW()-6)&lt;&gt;"Starfsbundinn",DM62="",$E62="",$D62=""),"",ROUND(DM62/$E62*$D62*KVARDI,2))</f>
        <v/>
      </c>
      <c r="DO62" s="66" t="n"/>
      <c r="DP62" s="78">
        <f>IF(OR(INDEX(Undirviðmið!$G$6:$G$105,ROW()-6)&lt;&gt;"Starfsbundinn",DO62="",$E62="",$D62=""),"",ROUND(DO62/$E62*$D62*KVARDI,2))</f>
        <v/>
      </c>
      <c r="DQ62" s="66" t="n"/>
      <c r="DR62" s="78">
        <f>IF(OR(INDEX(Undirviðmið!$G$6:$G$105,ROW()-6)&lt;&gt;"Starfsbundinn",DQ62="",$E62="",$D62=""),"",ROUND(DQ62/$E62*$D62*KVARDI,2))</f>
        <v/>
      </c>
      <c r="DS62" s="66" t="n"/>
      <c r="DT62" s="78">
        <f>IF(OR(INDEX(Undirviðmið!$G$6:$G$105,ROW()-6)&lt;&gt;"Starfsbundinn",DS62="",$E62="",$D62=""),"",ROUND(DS62/$E62*$D62*KVARDI,2))</f>
        <v/>
      </c>
      <c r="DU62" s="66" t="n"/>
      <c r="DV62" s="78">
        <f>IF(OR(INDEX(Undirviðmið!$G$6:$G$105,ROW()-6)&lt;&gt;"Starfsbundinn",DU62="",$E62="",$D62=""),"",ROUND(DU62/$E62*$D62*KVARDI,2))</f>
        <v/>
      </c>
      <c r="DW62" s="66" t="n"/>
      <c r="DX62" s="78">
        <f>IF(OR(INDEX(Undirviðmið!$G$6:$G$105,ROW()-6)&lt;&gt;"Starfsbundinn",DW62="",$E62="",$D62=""),"",ROUND(DW62/$E62*$D62*KVARDI,2))</f>
        <v/>
      </c>
      <c r="DY62" s="66" t="n"/>
      <c r="DZ62" s="78">
        <f>IF(OR(INDEX(Undirviðmið!$G$6:$G$105,ROW()-6)&lt;&gt;"Starfsbundinn",DY62="",$E62="",$D62=""),"",ROUND(DY62/$E62*$D62*KVARDI,2))</f>
        <v/>
      </c>
      <c r="EA62" s="66" t="n"/>
      <c r="EB62" s="78">
        <f>IF(OR(INDEX(Undirviðmið!$G$6:$G$105,ROW()-6)&lt;&gt;"Starfsbundinn",EA62="",$E62="",$D62=""),"",ROUND(EA62/$E62*$D62*KVARDI,2))</f>
        <v/>
      </c>
      <c r="EC62" s="66" t="n"/>
      <c r="ED62" s="78">
        <f>IF(OR(INDEX(Undirviðmið!$G$6:$G$105,ROW()-6)&lt;&gt;"Starfsbundinn",EC62="",$E62="",$D62=""),"",ROUND(EC62/$E62*$D62*KVARDI,2))</f>
        <v/>
      </c>
      <c r="EE62" s="66" t="n"/>
      <c r="EF62" s="78">
        <f>IF(OR(INDEX(Undirviðmið!$G$6:$G$105,ROW()-6)&lt;&gt;"Starfsbundinn",EE62="",$E62="",$D62=""),"",ROUND(EE62/$E62*$D62*KVARDI,2))</f>
        <v/>
      </c>
      <c r="EG62" s="66" t="n"/>
      <c r="EH62" s="78">
        <f>IF(OR(INDEX(Undirviðmið!$G$6:$G$105,ROW()-6)&lt;&gt;"Starfsbundinn",EG62="",$E62="",$D62=""),"",ROUND(EG62/$E62*$D62*KVARDI,2))</f>
        <v/>
      </c>
      <c r="EI62" s="66" t="n"/>
      <c r="EJ62" s="78">
        <f>IF(OR(INDEX(Undirviðmið!$G$6:$G$105,ROW()-6)&lt;&gt;"Starfsbundinn",EI62="",$E62="",$D62=""),"",ROUND(EI62/$E62*$D62*KVARDI,2))</f>
        <v/>
      </c>
      <c r="EK62" s="66" t="n"/>
      <c r="EL62" s="78">
        <f>IF(OR(INDEX(Undirviðmið!$G$6:$G$105,ROW()-6)&lt;&gt;"Starfsbundinn",EK62="",$E62="",$D62=""),"",ROUND(EK62/$E62*$D62*KVARDI,2))</f>
        <v/>
      </c>
      <c r="EM62" s="66" t="n"/>
      <c r="EN62" s="78">
        <f>IF(OR(INDEX(Undirviðmið!$G$6:$G$105,ROW()-6)&lt;&gt;"Starfsbundinn",EM62="",$E62="",$D62=""),"",ROUND(EM62/$E62*$D62*KVARDI,2))</f>
        <v/>
      </c>
      <c r="EO62" s="66" t="n"/>
      <c r="EP62" s="78">
        <f>IF(OR(INDEX(Undirviðmið!$G$6:$G$105,ROW()-6)&lt;&gt;"Starfsbundinn",EO62="",$E62="",$D62=""),"",ROUND(EO62/$E62*$D62*KVARDI,2))</f>
        <v/>
      </c>
      <c r="EQ62" s="66" t="n"/>
      <c r="ER62" s="78">
        <f>IF(OR(INDEX(Undirviðmið!$G$6:$G$105,ROW()-6)&lt;&gt;"Starfsbundinn",EQ62="",$E62="",$D62=""),"",ROUND(EQ62/$E62*$D62*KVARDI,2))</f>
        <v/>
      </c>
      <c r="ES62" s="66" t="n"/>
      <c r="ET62" s="78">
        <f>IF(OR(INDEX(Undirviðmið!$G$6:$G$105,ROW()-6)&lt;&gt;"Starfsbundinn",ES62="",$E62="",$D62=""),"",ROUND(ES62/$E62*$D62*KVARDI,2))</f>
        <v/>
      </c>
      <c r="EU62" s="66" t="n"/>
      <c r="EV62" s="78">
        <f>IF(OR(INDEX(Undirviðmið!$G$6:$G$105,ROW()-6)&lt;&gt;"Starfsbundinn",EU62="",$E62="",$D62=""),"",ROUND(EU62/$E62*$D62*KVARDI,2))</f>
        <v/>
      </c>
      <c r="EW62" s="66" t="n"/>
      <c r="EX62" s="78">
        <f>IF(OR(INDEX(Undirviðmið!$G$6:$G$105,ROW()-6)&lt;&gt;"Starfsbundinn",EW62="",$E62="",$D62=""),"",ROUND(EW62/$E62*$D62*KVARDI,2))</f>
        <v/>
      </c>
      <c r="EY62" s="66" t="n"/>
      <c r="EZ62" s="78">
        <f>IF(OR(INDEX(Undirviðmið!$G$6:$G$105,ROW()-6)&lt;&gt;"Starfsbundinn",EY62="",$E62="",$D62=""),"",ROUND(EY62/$E62*$D62*KVARDI,2))</f>
        <v/>
      </c>
      <c r="FA62" s="66" t="n"/>
      <c r="FB62" s="78">
        <f>IF(OR(INDEX(Undirviðmið!$G$6:$G$105,ROW()-6)&lt;&gt;"Starfsbundinn",FA62="",$E62="",$D62=""),"",ROUND(FA62/$E62*$D62*KVARDI,2))</f>
        <v/>
      </c>
      <c r="FC62" s="66" t="n"/>
      <c r="FD62" s="78">
        <f>IF(OR(INDEX(Undirviðmið!$G$6:$G$105,ROW()-6)&lt;&gt;"Starfsbundinn",FC62="",$E62="",$D62=""),"",ROUND(FC62/$E62*$D62*KVARDI,2))</f>
        <v/>
      </c>
      <c r="FE62" s="66" t="n"/>
      <c r="FF62" s="78">
        <f>IF(OR(INDEX(Undirviðmið!$G$6:$G$105,ROW()-6)&lt;&gt;"Starfsbundinn",FE62="",$E62="",$D62=""),"",ROUND(FE62/$E62*$D62*KVARDI,2))</f>
        <v/>
      </c>
      <c r="FG62" s="66" t="n"/>
      <c r="FH62" s="78">
        <f>IF(OR(INDEX(Undirviðmið!$G$6:$G$105,ROW()-6)&lt;&gt;"Starfsbundinn",FG62="",$E62="",$D62=""),"",ROUND(FG62/$E62*$D62*KVARDI,2))</f>
        <v/>
      </c>
      <c r="FI62" s="66" t="n"/>
      <c r="FJ62" s="78">
        <f>IF(OR(INDEX(Undirviðmið!$G$6:$G$105,ROW()-6)&lt;&gt;"Starfsbundinn",FI62="",$E62="",$D62=""),"",ROUND(FI62/$E62*$D62*KVARDI,2))</f>
        <v/>
      </c>
      <c r="FK62" s="66" t="n"/>
      <c r="FL62" s="78">
        <f>IF(OR(INDEX(Undirviðmið!$G$6:$G$105,ROW()-6)&lt;&gt;"Starfsbundinn",FK62="",$E62="",$D62=""),"",ROUND(FK62/$E62*$D62*KVARDI,2))</f>
        <v/>
      </c>
      <c r="FM62" s="66" t="n"/>
      <c r="FN62" s="78">
        <f>IF(OR(INDEX(Undirviðmið!$G$6:$G$105,ROW()-6)&lt;&gt;"Starfsbundinn",FM62="",$E62="",$D62=""),"",ROUND(FM62/$E62*$D62*KVARDI,2))</f>
        <v/>
      </c>
      <c r="FO62" s="66" t="n"/>
      <c r="FP62" s="78">
        <f>IF(OR(INDEX(Undirviðmið!$G$6:$G$105,ROW()-6)&lt;&gt;"Starfsbundinn",FO62="",$E62="",$D62=""),"",ROUND(FO62/$E62*$D62*KVARDI,2))</f>
        <v/>
      </c>
      <c r="FQ62" s="66" t="n"/>
      <c r="FR62" s="78">
        <f>IF(OR(INDEX(Undirviðmið!$G$6:$G$105,ROW()-6)&lt;&gt;"Starfsbundinn",FQ62="",$E62="",$D62=""),"",ROUND(FQ62/$E62*$D62*KVARDI,2))</f>
        <v/>
      </c>
      <c r="FS62" s="66" t="n"/>
      <c r="FT62" s="78">
        <f>IF(OR(INDEX(Undirviðmið!$G$6:$G$105,ROW()-6)&lt;&gt;"Starfsbundinn",FS62="",$E62="",$D62=""),"",ROUND(FS62/$E62*$D62*KVARDI,2))</f>
        <v/>
      </c>
      <c r="FU62" s="66" t="n"/>
      <c r="FV62" s="78">
        <f>IF(OR(INDEX(Undirviðmið!$G$6:$G$105,ROW()-6)&lt;&gt;"Starfsbundinn",FU62="",$E62="",$D62=""),"",ROUND(FU62/$E62*$D62*KVARDI,2))</f>
        <v/>
      </c>
      <c r="FW62" s="66" t="n"/>
      <c r="FX62" s="78">
        <f>IF(OR(INDEX(Undirviðmið!$G$6:$G$105,ROW()-6)&lt;&gt;"Starfsbundinn",FW62="",$E62="",$D62=""),"",ROUND(FW62/$E62*$D62*KVARDI,2))</f>
        <v/>
      </c>
      <c r="FY62" s="66" t="n"/>
      <c r="FZ62" s="78">
        <f>IF(OR(INDEX(Undirviðmið!$G$6:$G$105,ROW()-6)&lt;&gt;"Starfsbundinn",FY62="",$E62="",$D62=""),"",ROUND(FY62/$E62*$D62*KVARDI,2))</f>
        <v/>
      </c>
      <c r="GA62" s="66" t="n"/>
      <c r="GB62" s="78">
        <f>IF(OR(INDEX(Undirviðmið!$G$6:$G$105,ROW()-6)&lt;&gt;"Starfsbundinn",GA62="",$E62="",$D62=""),"",ROUND(GA62/$E62*$D62*KVARDI,2))</f>
        <v/>
      </c>
      <c r="GC62" s="66" t="n"/>
      <c r="GD62" s="78">
        <f>IF(OR(INDEX(Undirviðmið!$G$6:$G$105,ROW()-6)&lt;&gt;"Starfsbundinn",GC62="",$E62="",$D62=""),"",ROUND(GC62/$E62*$D62*KVARDI,2))</f>
        <v/>
      </c>
      <c r="GE62" s="66" t="n"/>
      <c r="GF62" s="78">
        <f>IF(OR(INDEX(Undirviðmið!$G$6:$G$105,ROW()-6)&lt;&gt;"Starfsbundinn",GE62="",$E62="",$D62=""),"",ROUND(GE62/$E62*$D62*KVARDI,2))</f>
        <v/>
      </c>
      <c r="GG62" s="66" t="n"/>
      <c r="GH62" s="78">
        <f>IF(OR(INDEX(Undirviðmið!$G$6:$G$105,ROW()-6)&lt;&gt;"Starfsbundinn",GG62="",$E62="",$D62=""),"",ROUND(GG62/$E62*$D62*KVARDI,2))</f>
        <v/>
      </c>
      <c r="GI62" s="66" t="n"/>
      <c r="GJ62" s="78">
        <f>IF(OR(INDEX(Undirviðmið!$G$6:$G$105,ROW()-6)&lt;&gt;"Starfsbundinn",GI62="",$E62="",$D62=""),"",ROUND(GI62/$E62*$D62*KVARDI,2))</f>
        <v/>
      </c>
      <c r="GK62" s="66" t="n"/>
      <c r="GL62" s="78">
        <f>IF(OR(INDEX(Undirviðmið!$G$6:$G$105,ROW()-6)&lt;&gt;"Starfsbundinn",GK62="",$E62="",$D62=""),"",ROUND(GK62/$E62*$D62*KVARDI,2))</f>
        <v/>
      </c>
      <c r="GM62" s="66" t="n"/>
      <c r="GN62" s="78">
        <f>IF(OR(INDEX(Undirviðmið!$G$6:$G$105,ROW()-6)&lt;&gt;"Starfsbundinn",GM62="",$E62="",$D62=""),"",ROUND(GM62/$E62*$D62*KVARDI,2))</f>
        <v/>
      </c>
      <c r="GO62" s="66" t="n"/>
      <c r="GP62" s="78">
        <f>IF(OR(INDEX(Undirviðmið!$G$6:$G$105,ROW()-6)&lt;&gt;"Starfsbundinn",GO62="",$E62="",$D62=""),"",ROUND(GO62/$E62*$D62*KVARDI,2))</f>
        <v/>
      </c>
      <c r="GQ62" s="66" t="n"/>
      <c r="GR62" s="78">
        <f>IF(OR(INDEX(Undirviðmið!$G$6:$G$105,ROW()-6)&lt;&gt;"Starfsbundinn",GQ62="",$E62="",$D62=""),"",ROUND(GQ62/$E62*$D62*KVARDI,2))</f>
        <v/>
      </c>
      <c r="GS62" s="66" t="n"/>
      <c r="GT62" s="78">
        <f>IF(OR(INDEX(Undirviðmið!$G$6:$G$105,ROW()-6)&lt;&gt;"Starfsbundinn",GS62="",$E62="",$D62=""),"",ROUND(GS62/$E62*$D62*KVARDI,2))</f>
        <v/>
      </c>
      <c r="GU62" s="66" t="n"/>
      <c r="GV62" s="78">
        <f>IF(OR(INDEX(Undirviðmið!$G$6:$G$105,ROW()-6)&lt;&gt;"Starfsbundinn",GU62="",$E62="",$D62=""),"",ROUND(GU62/$E62*$D62*KVARDI,2))</f>
        <v/>
      </c>
      <c r="GW62" s="66" t="n"/>
      <c r="GX62" s="78">
        <f>IF(OR(INDEX(Undirviðmið!$G$6:$G$105,ROW()-6)&lt;&gt;"Starfsbundinn",GW62="",$E62="",$D62=""),"",ROUND(GW62/$E62*$D62*KVARDI,2))</f>
        <v/>
      </c>
    </row>
    <row r="63" ht="15" customHeight="1" s="47">
      <c r="B63" s="67">
        <f>IF(INDEX(Undirviðmið!$G$6:$G$105,ROW()-6)="Starfsbundinn",INDEX(Undirviðmið!$B$6:$B$105,ROW()-6),"")</f>
        <v/>
      </c>
      <c r="C63" s="67">
        <f>IF(INDEX(Undirviðmið!$G$6:$G$105,ROW()-6)="Starfsbundinn",INDEX(Undirviðmið!$C$6:$C$105,ROW()-6),"")</f>
        <v/>
      </c>
      <c r="D63" s="77">
        <f>IF(INDEX(Undirviðmið!$G$6:$G$105,ROW()-6)="Starfsbundinn",INDEX(Undirviðmið!$E$6:$E$105,ROW()-6),"")</f>
        <v/>
      </c>
      <c r="E63" s="77">
        <f>IF(INDEX(Undirviðmið!$G$6:$G$105,ROW()-6)="Starfsbundinn",INDEX(Undirviðmið!$F$6:$F$105,ROW()-6),"")</f>
        <v/>
      </c>
      <c r="F63" s="77">
        <f>IF(INDEX(Undirviðmið!$G$6:$G$105,ROW()-6)="Starfsbundinn",IFERROR(INDEX(Undirviðmið!$E$6:$E$105,ROW()-6)*KVARDI,""),"")</f>
        <v/>
      </c>
      <c r="G63" s="66" t="n"/>
      <c r="H63" s="78">
        <f>IF(OR(INDEX(Undirviðmið!$G$6:$G$105,ROW()-6)&lt;&gt;"Starfsbundinn",G63="",$E63="",$D63=""),"",ROUND(G63/$E63*$D63*KVARDI,2))</f>
        <v/>
      </c>
      <c r="I63" s="66" t="n"/>
      <c r="J63" s="78">
        <f>IF(OR(INDEX(Undirviðmið!$G$6:$G$105,ROW()-6)&lt;&gt;"Starfsbundinn",I63="",$E63="",$D63=""),"",ROUND(I63/$E63*$D63*KVARDI,2))</f>
        <v/>
      </c>
      <c r="K63" s="66" t="n"/>
      <c r="L63" s="78">
        <f>IF(OR(INDEX(Undirviðmið!$G$6:$G$105,ROW()-6)&lt;&gt;"Starfsbundinn",K63="",$E63="",$D63=""),"",ROUND(K63/$E63*$D63*KVARDI,2))</f>
        <v/>
      </c>
      <c r="M63" s="66" t="n"/>
      <c r="N63" s="78">
        <f>IF(OR(INDEX(Undirviðmið!$G$6:$G$105,ROW()-6)&lt;&gt;"Starfsbundinn",M63="",$E63="",$D63=""),"",ROUND(M63/$E63*$D63*KVARDI,2))</f>
        <v/>
      </c>
      <c r="O63" s="66" t="n"/>
      <c r="P63" s="78">
        <f>IF(OR(INDEX(Undirviðmið!$G$6:$G$105,ROW()-6)&lt;&gt;"Starfsbundinn",O63="",$E63="",$D63=""),"",ROUND(O63/$E63*$D63*KVARDI,2))</f>
        <v/>
      </c>
      <c r="Q63" s="66" t="n"/>
      <c r="R63" s="78">
        <f>IF(OR(INDEX(Undirviðmið!$G$6:$G$105,ROW()-6)&lt;&gt;"Starfsbundinn",Q63="",$E63="",$D63=""),"",ROUND(Q63/$E63*$D63*KVARDI,2))</f>
        <v/>
      </c>
      <c r="S63" s="66" t="n"/>
      <c r="T63" s="78">
        <f>IF(OR(INDEX(Undirviðmið!$G$6:$G$105,ROW()-6)&lt;&gt;"Starfsbundinn",S63="",$E63="",$D63=""),"",ROUND(S63/$E63*$D63*KVARDI,2))</f>
        <v/>
      </c>
      <c r="U63" s="66" t="n"/>
      <c r="V63" s="78">
        <f>IF(OR(INDEX(Undirviðmið!$G$6:$G$105,ROW()-6)&lt;&gt;"Starfsbundinn",U63="",$E63="",$D63=""),"",ROUND(U63/$E63*$D63*KVARDI,2))</f>
        <v/>
      </c>
      <c r="W63" s="66" t="n"/>
      <c r="X63" s="78">
        <f>IF(OR(INDEX(Undirviðmið!$G$6:$G$105,ROW()-6)&lt;&gt;"Starfsbundinn",W63="",$E63="",$D63=""),"",ROUND(W63/$E63*$D63*KVARDI,2))</f>
        <v/>
      </c>
      <c r="Y63" s="66" t="n"/>
      <c r="Z63" s="78">
        <f>IF(OR(INDEX(Undirviðmið!$G$6:$G$105,ROW()-6)&lt;&gt;"Starfsbundinn",Y63="",$E63="",$D63=""),"",ROUND(Y63/$E63*$D63*KVARDI,2))</f>
        <v/>
      </c>
      <c r="AA63" s="66" t="n"/>
      <c r="AB63" s="78">
        <f>IF(OR(INDEX(Undirviðmið!$G$6:$G$105,ROW()-6)&lt;&gt;"Starfsbundinn",AA63="",$E63="",$D63=""),"",ROUND(AA63/$E63*$D63*KVARDI,2))</f>
        <v/>
      </c>
      <c r="AC63" s="66" t="n"/>
      <c r="AD63" s="78">
        <f>IF(OR(INDEX(Undirviðmið!$G$6:$G$105,ROW()-6)&lt;&gt;"Starfsbundinn",AC63="",$E63="",$D63=""),"",ROUND(AC63/$E63*$D63*KVARDI,2))</f>
        <v/>
      </c>
      <c r="AE63" s="66" t="n"/>
      <c r="AF63" s="78">
        <f>IF(OR(INDEX(Undirviðmið!$G$6:$G$105,ROW()-6)&lt;&gt;"Starfsbundinn",AE63="",$E63="",$D63=""),"",ROUND(AE63/$E63*$D63*KVARDI,2))</f>
        <v/>
      </c>
      <c r="AG63" s="66" t="n"/>
      <c r="AH63" s="78">
        <f>IF(OR(INDEX(Undirviðmið!$G$6:$G$105,ROW()-6)&lt;&gt;"Starfsbundinn",AG63="",$E63="",$D63=""),"",ROUND(AG63/$E63*$D63*KVARDI,2))</f>
        <v/>
      </c>
      <c r="AI63" s="66" t="n"/>
      <c r="AJ63" s="78">
        <f>IF(OR(INDEX(Undirviðmið!$G$6:$G$105,ROW()-6)&lt;&gt;"Starfsbundinn",AI63="",$E63="",$D63=""),"",ROUND(AI63/$E63*$D63*KVARDI,2))</f>
        <v/>
      </c>
      <c r="AK63" s="66" t="n"/>
      <c r="AL63" s="78">
        <f>IF(OR(INDEX(Undirviðmið!$G$6:$G$105,ROW()-6)&lt;&gt;"Starfsbundinn",AK63="",$E63="",$D63=""),"",ROUND(AK63/$E63*$D63*KVARDI,2))</f>
        <v/>
      </c>
      <c r="AM63" s="66" t="n"/>
      <c r="AN63" s="78">
        <f>IF(OR(INDEX(Undirviðmið!$G$6:$G$105,ROW()-6)&lt;&gt;"Starfsbundinn",AM63="",$E63="",$D63=""),"",ROUND(AM63/$E63*$D63*KVARDI,2))</f>
        <v/>
      </c>
      <c r="AO63" s="66" t="n"/>
      <c r="AP63" s="78">
        <f>IF(OR(INDEX(Undirviðmið!$G$6:$G$105,ROW()-6)&lt;&gt;"Starfsbundinn",AO63="",$E63="",$D63=""),"",ROUND(AO63/$E63*$D63*KVARDI,2))</f>
        <v/>
      </c>
      <c r="AQ63" s="66" t="n"/>
      <c r="AR63" s="78">
        <f>IF(OR(INDEX(Undirviðmið!$G$6:$G$105,ROW()-6)&lt;&gt;"Starfsbundinn",AQ63="",$E63="",$D63=""),"",ROUND(AQ63/$E63*$D63*KVARDI,2))</f>
        <v/>
      </c>
      <c r="AS63" s="66" t="n"/>
      <c r="AT63" s="78">
        <f>IF(OR(INDEX(Undirviðmið!$G$6:$G$105,ROW()-6)&lt;&gt;"Starfsbundinn",AS63="",$E63="",$D63=""),"",ROUND(AS63/$E63*$D63*KVARDI,2))</f>
        <v/>
      </c>
      <c r="AU63" s="66" t="n"/>
      <c r="AV63" s="78">
        <f>IF(OR(INDEX(Undirviðmið!$G$6:$G$105,ROW()-6)&lt;&gt;"Starfsbundinn",AU63="",$E63="",$D63=""),"",ROUND(AU63/$E63*$D63*KVARDI,2))</f>
        <v/>
      </c>
      <c r="AW63" s="66" t="n"/>
      <c r="AX63" s="78">
        <f>IF(OR(INDEX(Undirviðmið!$G$6:$G$105,ROW()-6)&lt;&gt;"Starfsbundinn",AW63="",$E63="",$D63=""),"",ROUND(AW63/$E63*$D63*KVARDI,2))</f>
        <v/>
      </c>
      <c r="AY63" s="66" t="n"/>
      <c r="AZ63" s="78">
        <f>IF(OR(INDEX(Undirviðmið!$G$6:$G$105,ROW()-6)&lt;&gt;"Starfsbundinn",AY63="",$E63="",$D63=""),"",ROUND(AY63/$E63*$D63*KVARDI,2))</f>
        <v/>
      </c>
      <c r="BA63" s="66" t="n"/>
      <c r="BB63" s="78">
        <f>IF(OR(INDEX(Undirviðmið!$G$6:$G$105,ROW()-6)&lt;&gt;"Starfsbundinn",BA63="",$E63="",$D63=""),"",ROUND(BA63/$E63*$D63*KVARDI,2))</f>
        <v/>
      </c>
      <c r="BC63" s="66" t="n"/>
      <c r="BD63" s="78">
        <f>IF(OR(INDEX(Undirviðmið!$G$6:$G$105,ROW()-6)&lt;&gt;"Starfsbundinn",BC63="",$E63="",$D63=""),"",ROUND(BC63/$E63*$D63*KVARDI,2))</f>
        <v/>
      </c>
      <c r="BE63" s="66" t="n"/>
      <c r="BF63" s="78">
        <f>IF(OR(INDEX(Undirviðmið!$G$6:$G$105,ROW()-6)&lt;&gt;"Starfsbundinn",BE63="",$E63="",$D63=""),"",ROUND(BE63/$E63*$D63*KVARDI,2))</f>
        <v/>
      </c>
      <c r="BG63" s="66" t="n"/>
      <c r="BH63" s="78">
        <f>IF(OR(INDEX(Undirviðmið!$G$6:$G$105,ROW()-6)&lt;&gt;"Starfsbundinn",BG63="",$E63="",$D63=""),"",ROUND(BG63/$E63*$D63*KVARDI,2))</f>
        <v/>
      </c>
      <c r="BI63" s="66" t="n"/>
      <c r="BJ63" s="78">
        <f>IF(OR(INDEX(Undirviðmið!$G$6:$G$105,ROW()-6)&lt;&gt;"Starfsbundinn",BI63="",$E63="",$D63=""),"",ROUND(BI63/$E63*$D63*KVARDI,2))</f>
        <v/>
      </c>
      <c r="BK63" s="66" t="n"/>
      <c r="BL63" s="78">
        <f>IF(OR(INDEX(Undirviðmið!$G$6:$G$105,ROW()-6)&lt;&gt;"Starfsbundinn",BK63="",$E63="",$D63=""),"",ROUND(BK63/$E63*$D63*KVARDI,2))</f>
        <v/>
      </c>
      <c r="BM63" s="66" t="n"/>
      <c r="BN63" s="78">
        <f>IF(OR(INDEX(Undirviðmið!$G$6:$G$105,ROW()-6)&lt;&gt;"Starfsbundinn",BM63="",$E63="",$D63=""),"",ROUND(BM63/$E63*$D63*KVARDI,2))</f>
        <v/>
      </c>
      <c r="BO63" s="66" t="n"/>
      <c r="BP63" s="78">
        <f>IF(OR(INDEX(Undirviðmið!$G$6:$G$105,ROW()-6)&lt;&gt;"Starfsbundinn",BO63="",$E63="",$D63=""),"",ROUND(BO63/$E63*$D63*KVARDI,2))</f>
        <v/>
      </c>
      <c r="BQ63" s="66" t="n"/>
      <c r="BR63" s="78">
        <f>IF(OR(INDEX(Undirviðmið!$G$6:$G$105,ROW()-6)&lt;&gt;"Starfsbundinn",BQ63="",$E63="",$D63=""),"",ROUND(BQ63/$E63*$D63*KVARDI,2))</f>
        <v/>
      </c>
      <c r="BS63" s="66" t="n"/>
      <c r="BT63" s="78">
        <f>IF(OR(INDEX(Undirviðmið!$G$6:$G$105,ROW()-6)&lt;&gt;"Starfsbundinn",BS63="",$E63="",$D63=""),"",ROUND(BS63/$E63*$D63*KVARDI,2))</f>
        <v/>
      </c>
      <c r="BU63" s="66" t="n"/>
      <c r="BV63" s="78">
        <f>IF(OR(INDEX(Undirviðmið!$G$6:$G$105,ROW()-6)&lt;&gt;"Starfsbundinn",BU63="",$E63="",$D63=""),"",ROUND(BU63/$E63*$D63*KVARDI,2))</f>
        <v/>
      </c>
      <c r="BW63" s="66" t="n"/>
      <c r="BX63" s="78">
        <f>IF(OR(INDEX(Undirviðmið!$G$6:$G$105,ROW()-6)&lt;&gt;"Starfsbundinn",BW63="",$E63="",$D63=""),"",ROUND(BW63/$E63*$D63*KVARDI,2))</f>
        <v/>
      </c>
      <c r="BY63" s="66" t="n"/>
      <c r="BZ63" s="78">
        <f>IF(OR(INDEX(Undirviðmið!$G$6:$G$105,ROW()-6)&lt;&gt;"Starfsbundinn",BY63="",$E63="",$D63=""),"",ROUND(BY63/$E63*$D63*KVARDI,2))</f>
        <v/>
      </c>
      <c r="CA63" s="66" t="n"/>
      <c r="CB63" s="78">
        <f>IF(OR(INDEX(Undirviðmið!$G$6:$G$105,ROW()-6)&lt;&gt;"Starfsbundinn",CA63="",$E63="",$D63=""),"",ROUND(CA63/$E63*$D63*KVARDI,2))</f>
        <v/>
      </c>
      <c r="CC63" s="66" t="n"/>
      <c r="CD63" s="78">
        <f>IF(OR(INDEX(Undirviðmið!$G$6:$G$105,ROW()-6)&lt;&gt;"Starfsbundinn",CC63="",$E63="",$D63=""),"",ROUND(CC63/$E63*$D63*KVARDI,2))</f>
        <v/>
      </c>
      <c r="CE63" s="66" t="n"/>
      <c r="CF63" s="78">
        <f>IF(OR(INDEX(Undirviðmið!$G$6:$G$105,ROW()-6)&lt;&gt;"Starfsbundinn",CE63="",$E63="",$D63=""),"",ROUND(CE63/$E63*$D63*KVARDI,2))</f>
        <v/>
      </c>
      <c r="CG63" s="66" t="n"/>
      <c r="CH63" s="78">
        <f>IF(OR(INDEX(Undirviðmið!$G$6:$G$105,ROW()-6)&lt;&gt;"Starfsbundinn",CG63="",$E63="",$D63=""),"",ROUND(CG63/$E63*$D63*KVARDI,2))</f>
        <v/>
      </c>
      <c r="CI63" s="66" t="n"/>
      <c r="CJ63" s="78">
        <f>IF(OR(INDEX(Undirviðmið!$G$6:$G$105,ROW()-6)&lt;&gt;"Starfsbundinn",CI63="",$E63="",$D63=""),"",ROUND(CI63/$E63*$D63*KVARDI,2))</f>
        <v/>
      </c>
      <c r="CK63" s="66" t="n"/>
      <c r="CL63" s="78">
        <f>IF(OR(INDEX(Undirviðmið!$G$6:$G$105,ROW()-6)&lt;&gt;"Starfsbundinn",CK63="",$E63="",$D63=""),"",ROUND(CK63/$E63*$D63*KVARDI,2))</f>
        <v/>
      </c>
      <c r="CM63" s="66" t="n"/>
      <c r="CN63" s="78">
        <f>IF(OR(INDEX(Undirviðmið!$G$6:$G$105,ROW()-6)&lt;&gt;"Starfsbundinn",CM63="",$E63="",$D63=""),"",ROUND(CM63/$E63*$D63*KVARDI,2))</f>
        <v/>
      </c>
      <c r="CO63" s="66" t="n"/>
      <c r="CP63" s="78">
        <f>IF(OR(INDEX(Undirviðmið!$G$6:$G$105,ROW()-6)&lt;&gt;"Starfsbundinn",CO63="",$E63="",$D63=""),"",ROUND(CO63/$E63*$D63*KVARDI,2))</f>
        <v/>
      </c>
      <c r="CQ63" s="66" t="n"/>
      <c r="CR63" s="78">
        <f>IF(OR(INDEX(Undirviðmið!$G$6:$G$105,ROW()-6)&lt;&gt;"Starfsbundinn",CQ63="",$E63="",$D63=""),"",ROUND(CQ63/$E63*$D63*KVARDI,2))</f>
        <v/>
      </c>
      <c r="CS63" s="66" t="n"/>
      <c r="CT63" s="78">
        <f>IF(OR(INDEX(Undirviðmið!$G$6:$G$105,ROW()-6)&lt;&gt;"Starfsbundinn",CS63="",$E63="",$D63=""),"",ROUND(CS63/$E63*$D63*KVARDI,2))</f>
        <v/>
      </c>
      <c r="CU63" s="66" t="n"/>
      <c r="CV63" s="78">
        <f>IF(OR(INDEX(Undirviðmið!$G$6:$G$105,ROW()-6)&lt;&gt;"Starfsbundinn",CU63="",$E63="",$D63=""),"",ROUND(CU63/$E63*$D63*KVARDI,2))</f>
        <v/>
      </c>
      <c r="CW63" s="66" t="n"/>
      <c r="CX63" s="78">
        <f>IF(OR(INDEX(Undirviðmið!$G$6:$G$105,ROW()-6)&lt;&gt;"Starfsbundinn",CW63="",$E63="",$D63=""),"",ROUND(CW63/$E63*$D63*KVARDI,2))</f>
        <v/>
      </c>
      <c r="CY63" s="66" t="n"/>
      <c r="CZ63" s="78">
        <f>IF(OR(INDEX(Undirviðmið!$G$6:$G$105,ROW()-6)&lt;&gt;"Starfsbundinn",CY63="",$E63="",$D63=""),"",ROUND(CY63/$E63*$D63*KVARDI,2))</f>
        <v/>
      </c>
      <c r="DA63" s="66" t="n"/>
      <c r="DB63" s="78">
        <f>IF(OR(INDEX(Undirviðmið!$G$6:$G$105,ROW()-6)&lt;&gt;"Starfsbundinn",DA63="",$E63="",$D63=""),"",ROUND(DA63/$E63*$D63*KVARDI,2))</f>
        <v/>
      </c>
      <c r="DC63" s="66" t="n"/>
      <c r="DD63" s="78">
        <f>IF(OR(INDEX(Undirviðmið!$G$6:$G$105,ROW()-6)&lt;&gt;"Starfsbundinn",DC63="",$E63="",$D63=""),"",ROUND(DC63/$E63*$D63*KVARDI,2))</f>
        <v/>
      </c>
      <c r="DE63" s="66" t="n"/>
      <c r="DF63" s="78">
        <f>IF(OR(INDEX(Undirviðmið!$G$6:$G$105,ROW()-6)&lt;&gt;"Starfsbundinn",DE63="",$E63="",$D63=""),"",ROUND(DE63/$E63*$D63*KVARDI,2))</f>
        <v/>
      </c>
      <c r="DG63" s="66" t="n"/>
      <c r="DH63" s="78">
        <f>IF(OR(INDEX(Undirviðmið!$G$6:$G$105,ROW()-6)&lt;&gt;"Starfsbundinn",DG63="",$E63="",$D63=""),"",ROUND(DG63/$E63*$D63*KVARDI,2))</f>
        <v/>
      </c>
      <c r="DI63" s="66" t="n"/>
      <c r="DJ63" s="78">
        <f>IF(OR(INDEX(Undirviðmið!$G$6:$G$105,ROW()-6)&lt;&gt;"Starfsbundinn",DI63="",$E63="",$D63=""),"",ROUND(DI63/$E63*$D63*KVARDI,2))</f>
        <v/>
      </c>
      <c r="DK63" s="66" t="n"/>
      <c r="DL63" s="78">
        <f>IF(OR(INDEX(Undirviðmið!$G$6:$G$105,ROW()-6)&lt;&gt;"Starfsbundinn",DK63="",$E63="",$D63=""),"",ROUND(DK63/$E63*$D63*KVARDI,2))</f>
        <v/>
      </c>
      <c r="DM63" s="66" t="n"/>
      <c r="DN63" s="78">
        <f>IF(OR(INDEX(Undirviðmið!$G$6:$G$105,ROW()-6)&lt;&gt;"Starfsbundinn",DM63="",$E63="",$D63=""),"",ROUND(DM63/$E63*$D63*KVARDI,2))</f>
        <v/>
      </c>
      <c r="DO63" s="66" t="n"/>
      <c r="DP63" s="78">
        <f>IF(OR(INDEX(Undirviðmið!$G$6:$G$105,ROW()-6)&lt;&gt;"Starfsbundinn",DO63="",$E63="",$D63=""),"",ROUND(DO63/$E63*$D63*KVARDI,2))</f>
        <v/>
      </c>
      <c r="DQ63" s="66" t="n"/>
      <c r="DR63" s="78">
        <f>IF(OR(INDEX(Undirviðmið!$G$6:$G$105,ROW()-6)&lt;&gt;"Starfsbundinn",DQ63="",$E63="",$D63=""),"",ROUND(DQ63/$E63*$D63*KVARDI,2))</f>
        <v/>
      </c>
      <c r="DS63" s="66" t="n"/>
      <c r="DT63" s="78">
        <f>IF(OR(INDEX(Undirviðmið!$G$6:$G$105,ROW()-6)&lt;&gt;"Starfsbundinn",DS63="",$E63="",$D63=""),"",ROUND(DS63/$E63*$D63*KVARDI,2))</f>
        <v/>
      </c>
      <c r="DU63" s="66" t="n"/>
      <c r="DV63" s="78">
        <f>IF(OR(INDEX(Undirviðmið!$G$6:$G$105,ROW()-6)&lt;&gt;"Starfsbundinn",DU63="",$E63="",$D63=""),"",ROUND(DU63/$E63*$D63*KVARDI,2))</f>
        <v/>
      </c>
      <c r="DW63" s="66" t="n"/>
      <c r="DX63" s="78">
        <f>IF(OR(INDEX(Undirviðmið!$G$6:$G$105,ROW()-6)&lt;&gt;"Starfsbundinn",DW63="",$E63="",$D63=""),"",ROUND(DW63/$E63*$D63*KVARDI,2))</f>
        <v/>
      </c>
      <c r="DY63" s="66" t="n"/>
      <c r="DZ63" s="78">
        <f>IF(OR(INDEX(Undirviðmið!$G$6:$G$105,ROW()-6)&lt;&gt;"Starfsbundinn",DY63="",$E63="",$D63=""),"",ROUND(DY63/$E63*$D63*KVARDI,2))</f>
        <v/>
      </c>
      <c r="EA63" s="66" t="n"/>
      <c r="EB63" s="78">
        <f>IF(OR(INDEX(Undirviðmið!$G$6:$G$105,ROW()-6)&lt;&gt;"Starfsbundinn",EA63="",$E63="",$D63=""),"",ROUND(EA63/$E63*$D63*KVARDI,2))</f>
        <v/>
      </c>
      <c r="EC63" s="66" t="n"/>
      <c r="ED63" s="78">
        <f>IF(OR(INDEX(Undirviðmið!$G$6:$G$105,ROW()-6)&lt;&gt;"Starfsbundinn",EC63="",$E63="",$D63=""),"",ROUND(EC63/$E63*$D63*KVARDI,2))</f>
        <v/>
      </c>
      <c r="EE63" s="66" t="n"/>
      <c r="EF63" s="78">
        <f>IF(OR(INDEX(Undirviðmið!$G$6:$G$105,ROW()-6)&lt;&gt;"Starfsbundinn",EE63="",$E63="",$D63=""),"",ROUND(EE63/$E63*$D63*KVARDI,2))</f>
        <v/>
      </c>
      <c r="EG63" s="66" t="n"/>
      <c r="EH63" s="78">
        <f>IF(OR(INDEX(Undirviðmið!$G$6:$G$105,ROW()-6)&lt;&gt;"Starfsbundinn",EG63="",$E63="",$D63=""),"",ROUND(EG63/$E63*$D63*KVARDI,2))</f>
        <v/>
      </c>
      <c r="EI63" s="66" t="n"/>
      <c r="EJ63" s="78">
        <f>IF(OR(INDEX(Undirviðmið!$G$6:$G$105,ROW()-6)&lt;&gt;"Starfsbundinn",EI63="",$E63="",$D63=""),"",ROUND(EI63/$E63*$D63*KVARDI,2))</f>
        <v/>
      </c>
      <c r="EK63" s="66" t="n"/>
      <c r="EL63" s="78">
        <f>IF(OR(INDEX(Undirviðmið!$G$6:$G$105,ROW()-6)&lt;&gt;"Starfsbundinn",EK63="",$E63="",$D63=""),"",ROUND(EK63/$E63*$D63*KVARDI,2))</f>
        <v/>
      </c>
      <c r="EM63" s="66" t="n"/>
      <c r="EN63" s="78">
        <f>IF(OR(INDEX(Undirviðmið!$G$6:$G$105,ROW()-6)&lt;&gt;"Starfsbundinn",EM63="",$E63="",$D63=""),"",ROUND(EM63/$E63*$D63*KVARDI,2))</f>
        <v/>
      </c>
      <c r="EO63" s="66" t="n"/>
      <c r="EP63" s="78">
        <f>IF(OR(INDEX(Undirviðmið!$G$6:$G$105,ROW()-6)&lt;&gt;"Starfsbundinn",EO63="",$E63="",$D63=""),"",ROUND(EO63/$E63*$D63*KVARDI,2))</f>
        <v/>
      </c>
      <c r="EQ63" s="66" t="n"/>
      <c r="ER63" s="78">
        <f>IF(OR(INDEX(Undirviðmið!$G$6:$G$105,ROW()-6)&lt;&gt;"Starfsbundinn",EQ63="",$E63="",$D63=""),"",ROUND(EQ63/$E63*$D63*KVARDI,2))</f>
        <v/>
      </c>
      <c r="ES63" s="66" t="n"/>
      <c r="ET63" s="78">
        <f>IF(OR(INDEX(Undirviðmið!$G$6:$G$105,ROW()-6)&lt;&gt;"Starfsbundinn",ES63="",$E63="",$D63=""),"",ROUND(ES63/$E63*$D63*KVARDI,2))</f>
        <v/>
      </c>
      <c r="EU63" s="66" t="n"/>
      <c r="EV63" s="78">
        <f>IF(OR(INDEX(Undirviðmið!$G$6:$G$105,ROW()-6)&lt;&gt;"Starfsbundinn",EU63="",$E63="",$D63=""),"",ROUND(EU63/$E63*$D63*KVARDI,2))</f>
        <v/>
      </c>
      <c r="EW63" s="66" t="n"/>
      <c r="EX63" s="78">
        <f>IF(OR(INDEX(Undirviðmið!$G$6:$G$105,ROW()-6)&lt;&gt;"Starfsbundinn",EW63="",$E63="",$D63=""),"",ROUND(EW63/$E63*$D63*KVARDI,2))</f>
        <v/>
      </c>
      <c r="EY63" s="66" t="n"/>
      <c r="EZ63" s="78">
        <f>IF(OR(INDEX(Undirviðmið!$G$6:$G$105,ROW()-6)&lt;&gt;"Starfsbundinn",EY63="",$E63="",$D63=""),"",ROUND(EY63/$E63*$D63*KVARDI,2))</f>
        <v/>
      </c>
      <c r="FA63" s="66" t="n"/>
      <c r="FB63" s="78">
        <f>IF(OR(INDEX(Undirviðmið!$G$6:$G$105,ROW()-6)&lt;&gt;"Starfsbundinn",FA63="",$E63="",$D63=""),"",ROUND(FA63/$E63*$D63*KVARDI,2))</f>
        <v/>
      </c>
      <c r="FC63" s="66" t="n"/>
      <c r="FD63" s="78">
        <f>IF(OR(INDEX(Undirviðmið!$G$6:$G$105,ROW()-6)&lt;&gt;"Starfsbundinn",FC63="",$E63="",$D63=""),"",ROUND(FC63/$E63*$D63*KVARDI,2))</f>
        <v/>
      </c>
      <c r="FE63" s="66" t="n"/>
      <c r="FF63" s="78">
        <f>IF(OR(INDEX(Undirviðmið!$G$6:$G$105,ROW()-6)&lt;&gt;"Starfsbundinn",FE63="",$E63="",$D63=""),"",ROUND(FE63/$E63*$D63*KVARDI,2))</f>
        <v/>
      </c>
      <c r="FG63" s="66" t="n"/>
      <c r="FH63" s="78">
        <f>IF(OR(INDEX(Undirviðmið!$G$6:$G$105,ROW()-6)&lt;&gt;"Starfsbundinn",FG63="",$E63="",$D63=""),"",ROUND(FG63/$E63*$D63*KVARDI,2))</f>
        <v/>
      </c>
      <c r="FI63" s="66" t="n"/>
      <c r="FJ63" s="78">
        <f>IF(OR(INDEX(Undirviðmið!$G$6:$G$105,ROW()-6)&lt;&gt;"Starfsbundinn",FI63="",$E63="",$D63=""),"",ROUND(FI63/$E63*$D63*KVARDI,2))</f>
        <v/>
      </c>
      <c r="FK63" s="66" t="n"/>
      <c r="FL63" s="78">
        <f>IF(OR(INDEX(Undirviðmið!$G$6:$G$105,ROW()-6)&lt;&gt;"Starfsbundinn",FK63="",$E63="",$D63=""),"",ROUND(FK63/$E63*$D63*KVARDI,2))</f>
        <v/>
      </c>
      <c r="FM63" s="66" t="n"/>
      <c r="FN63" s="78">
        <f>IF(OR(INDEX(Undirviðmið!$G$6:$G$105,ROW()-6)&lt;&gt;"Starfsbundinn",FM63="",$E63="",$D63=""),"",ROUND(FM63/$E63*$D63*KVARDI,2))</f>
        <v/>
      </c>
      <c r="FO63" s="66" t="n"/>
      <c r="FP63" s="78">
        <f>IF(OR(INDEX(Undirviðmið!$G$6:$G$105,ROW()-6)&lt;&gt;"Starfsbundinn",FO63="",$E63="",$D63=""),"",ROUND(FO63/$E63*$D63*KVARDI,2))</f>
        <v/>
      </c>
      <c r="FQ63" s="66" t="n"/>
      <c r="FR63" s="78">
        <f>IF(OR(INDEX(Undirviðmið!$G$6:$G$105,ROW()-6)&lt;&gt;"Starfsbundinn",FQ63="",$E63="",$D63=""),"",ROUND(FQ63/$E63*$D63*KVARDI,2))</f>
        <v/>
      </c>
      <c r="FS63" s="66" t="n"/>
      <c r="FT63" s="78">
        <f>IF(OR(INDEX(Undirviðmið!$G$6:$G$105,ROW()-6)&lt;&gt;"Starfsbundinn",FS63="",$E63="",$D63=""),"",ROUND(FS63/$E63*$D63*KVARDI,2))</f>
        <v/>
      </c>
      <c r="FU63" s="66" t="n"/>
      <c r="FV63" s="78">
        <f>IF(OR(INDEX(Undirviðmið!$G$6:$G$105,ROW()-6)&lt;&gt;"Starfsbundinn",FU63="",$E63="",$D63=""),"",ROUND(FU63/$E63*$D63*KVARDI,2))</f>
        <v/>
      </c>
      <c r="FW63" s="66" t="n"/>
      <c r="FX63" s="78">
        <f>IF(OR(INDEX(Undirviðmið!$G$6:$G$105,ROW()-6)&lt;&gt;"Starfsbundinn",FW63="",$E63="",$D63=""),"",ROUND(FW63/$E63*$D63*KVARDI,2))</f>
        <v/>
      </c>
      <c r="FY63" s="66" t="n"/>
      <c r="FZ63" s="78">
        <f>IF(OR(INDEX(Undirviðmið!$G$6:$G$105,ROW()-6)&lt;&gt;"Starfsbundinn",FY63="",$E63="",$D63=""),"",ROUND(FY63/$E63*$D63*KVARDI,2))</f>
        <v/>
      </c>
      <c r="GA63" s="66" t="n"/>
      <c r="GB63" s="78">
        <f>IF(OR(INDEX(Undirviðmið!$G$6:$G$105,ROW()-6)&lt;&gt;"Starfsbundinn",GA63="",$E63="",$D63=""),"",ROUND(GA63/$E63*$D63*KVARDI,2))</f>
        <v/>
      </c>
      <c r="GC63" s="66" t="n"/>
      <c r="GD63" s="78">
        <f>IF(OR(INDEX(Undirviðmið!$G$6:$G$105,ROW()-6)&lt;&gt;"Starfsbundinn",GC63="",$E63="",$D63=""),"",ROUND(GC63/$E63*$D63*KVARDI,2))</f>
        <v/>
      </c>
      <c r="GE63" s="66" t="n"/>
      <c r="GF63" s="78">
        <f>IF(OR(INDEX(Undirviðmið!$G$6:$G$105,ROW()-6)&lt;&gt;"Starfsbundinn",GE63="",$E63="",$D63=""),"",ROUND(GE63/$E63*$D63*KVARDI,2))</f>
        <v/>
      </c>
      <c r="GG63" s="66" t="n"/>
      <c r="GH63" s="78">
        <f>IF(OR(INDEX(Undirviðmið!$G$6:$G$105,ROW()-6)&lt;&gt;"Starfsbundinn",GG63="",$E63="",$D63=""),"",ROUND(GG63/$E63*$D63*KVARDI,2))</f>
        <v/>
      </c>
      <c r="GI63" s="66" t="n"/>
      <c r="GJ63" s="78">
        <f>IF(OR(INDEX(Undirviðmið!$G$6:$G$105,ROW()-6)&lt;&gt;"Starfsbundinn",GI63="",$E63="",$D63=""),"",ROUND(GI63/$E63*$D63*KVARDI,2))</f>
        <v/>
      </c>
      <c r="GK63" s="66" t="n"/>
      <c r="GL63" s="78">
        <f>IF(OR(INDEX(Undirviðmið!$G$6:$G$105,ROW()-6)&lt;&gt;"Starfsbundinn",GK63="",$E63="",$D63=""),"",ROUND(GK63/$E63*$D63*KVARDI,2))</f>
        <v/>
      </c>
      <c r="GM63" s="66" t="n"/>
      <c r="GN63" s="78">
        <f>IF(OR(INDEX(Undirviðmið!$G$6:$G$105,ROW()-6)&lt;&gt;"Starfsbundinn",GM63="",$E63="",$D63=""),"",ROUND(GM63/$E63*$D63*KVARDI,2))</f>
        <v/>
      </c>
      <c r="GO63" s="66" t="n"/>
      <c r="GP63" s="78">
        <f>IF(OR(INDEX(Undirviðmið!$G$6:$G$105,ROW()-6)&lt;&gt;"Starfsbundinn",GO63="",$E63="",$D63=""),"",ROUND(GO63/$E63*$D63*KVARDI,2))</f>
        <v/>
      </c>
      <c r="GQ63" s="66" t="n"/>
      <c r="GR63" s="78">
        <f>IF(OR(INDEX(Undirviðmið!$G$6:$G$105,ROW()-6)&lt;&gt;"Starfsbundinn",GQ63="",$E63="",$D63=""),"",ROUND(GQ63/$E63*$D63*KVARDI,2))</f>
        <v/>
      </c>
      <c r="GS63" s="66" t="n"/>
      <c r="GT63" s="78">
        <f>IF(OR(INDEX(Undirviðmið!$G$6:$G$105,ROW()-6)&lt;&gt;"Starfsbundinn",GS63="",$E63="",$D63=""),"",ROUND(GS63/$E63*$D63*KVARDI,2))</f>
        <v/>
      </c>
      <c r="GU63" s="66" t="n"/>
      <c r="GV63" s="78">
        <f>IF(OR(INDEX(Undirviðmið!$G$6:$G$105,ROW()-6)&lt;&gt;"Starfsbundinn",GU63="",$E63="",$D63=""),"",ROUND(GU63/$E63*$D63*KVARDI,2))</f>
        <v/>
      </c>
      <c r="GW63" s="66" t="n"/>
      <c r="GX63" s="78">
        <f>IF(OR(INDEX(Undirviðmið!$G$6:$G$105,ROW()-6)&lt;&gt;"Starfsbundinn",GW63="",$E63="",$D63=""),"",ROUND(GW63/$E63*$D63*KVARDI,2))</f>
        <v/>
      </c>
    </row>
    <row r="64" ht="15" customHeight="1" s="47">
      <c r="B64" s="67">
        <f>IF(INDEX(Undirviðmið!$G$6:$G$105,ROW()-6)="Starfsbundinn",INDEX(Undirviðmið!$B$6:$B$105,ROW()-6),"")</f>
        <v/>
      </c>
      <c r="C64" s="67">
        <f>IF(INDEX(Undirviðmið!$G$6:$G$105,ROW()-6)="Starfsbundinn",INDEX(Undirviðmið!$C$6:$C$105,ROW()-6),"")</f>
        <v/>
      </c>
      <c r="D64" s="77">
        <f>IF(INDEX(Undirviðmið!$G$6:$G$105,ROW()-6)="Starfsbundinn",INDEX(Undirviðmið!$E$6:$E$105,ROW()-6),"")</f>
        <v/>
      </c>
      <c r="E64" s="77">
        <f>IF(INDEX(Undirviðmið!$G$6:$G$105,ROW()-6)="Starfsbundinn",INDEX(Undirviðmið!$F$6:$F$105,ROW()-6),"")</f>
        <v/>
      </c>
      <c r="F64" s="77">
        <f>IF(INDEX(Undirviðmið!$G$6:$G$105,ROW()-6)="Starfsbundinn",IFERROR(INDEX(Undirviðmið!$E$6:$E$105,ROW()-6)*KVARDI,""),"")</f>
        <v/>
      </c>
      <c r="G64" s="66" t="n"/>
      <c r="H64" s="78">
        <f>IF(OR(INDEX(Undirviðmið!$G$6:$G$105,ROW()-6)&lt;&gt;"Starfsbundinn",G64="",$E64="",$D64=""),"",ROUND(G64/$E64*$D64*KVARDI,2))</f>
        <v/>
      </c>
      <c r="I64" s="66" t="n"/>
      <c r="J64" s="78">
        <f>IF(OR(INDEX(Undirviðmið!$G$6:$G$105,ROW()-6)&lt;&gt;"Starfsbundinn",I64="",$E64="",$D64=""),"",ROUND(I64/$E64*$D64*KVARDI,2))</f>
        <v/>
      </c>
      <c r="K64" s="66" t="n"/>
      <c r="L64" s="78">
        <f>IF(OR(INDEX(Undirviðmið!$G$6:$G$105,ROW()-6)&lt;&gt;"Starfsbundinn",K64="",$E64="",$D64=""),"",ROUND(K64/$E64*$D64*KVARDI,2))</f>
        <v/>
      </c>
      <c r="M64" s="66" t="n"/>
      <c r="N64" s="78">
        <f>IF(OR(INDEX(Undirviðmið!$G$6:$G$105,ROW()-6)&lt;&gt;"Starfsbundinn",M64="",$E64="",$D64=""),"",ROUND(M64/$E64*$D64*KVARDI,2))</f>
        <v/>
      </c>
      <c r="O64" s="66" t="n"/>
      <c r="P64" s="78">
        <f>IF(OR(INDEX(Undirviðmið!$G$6:$G$105,ROW()-6)&lt;&gt;"Starfsbundinn",O64="",$E64="",$D64=""),"",ROUND(O64/$E64*$D64*KVARDI,2))</f>
        <v/>
      </c>
      <c r="Q64" s="66" t="n"/>
      <c r="R64" s="78">
        <f>IF(OR(INDEX(Undirviðmið!$G$6:$G$105,ROW()-6)&lt;&gt;"Starfsbundinn",Q64="",$E64="",$D64=""),"",ROUND(Q64/$E64*$D64*KVARDI,2))</f>
        <v/>
      </c>
      <c r="S64" s="66" t="n"/>
      <c r="T64" s="78">
        <f>IF(OR(INDEX(Undirviðmið!$G$6:$G$105,ROW()-6)&lt;&gt;"Starfsbundinn",S64="",$E64="",$D64=""),"",ROUND(S64/$E64*$D64*KVARDI,2))</f>
        <v/>
      </c>
      <c r="U64" s="66" t="n"/>
      <c r="V64" s="78">
        <f>IF(OR(INDEX(Undirviðmið!$G$6:$G$105,ROW()-6)&lt;&gt;"Starfsbundinn",U64="",$E64="",$D64=""),"",ROUND(U64/$E64*$D64*KVARDI,2))</f>
        <v/>
      </c>
      <c r="W64" s="66" t="n"/>
      <c r="X64" s="78">
        <f>IF(OR(INDEX(Undirviðmið!$G$6:$G$105,ROW()-6)&lt;&gt;"Starfsbundinn",W64="",$E64="",$D64=""),"",ROUND(W64/$E64*$D64*KVARDI,2))</f>
        <v/>
      </c>
      <c r="Y64" s="66" t="n"/>
      <c r="Z64" s="78">
        <f>IF(OR(INDEX(Undirviðmið!$G$6:$G$105,ROW()-6)&lt;&gt;"Starfsbundinn",Y64="",$E64="",$D64=""),"",ROUND(Y64/$E64*$D64*KVARDI,2))</f>
        <v/>
      </c>
      <c r="AA64" s="66" t="n"/>
      <c r="AB64" s="78">
        <f>IF(OR(INDEX(Undirviðmið!$G$6:$G$105,ROW()-6)&lt;&gt;"Starfsbundinn",AA64="",$E64="",$D64=""),"",ROUND(AA64/$E64*$D64*KVARDI,2))</f>
        <v/>
      </c>
      <c r="AC64" s="66" t="n"/>
      <c r="AD64" s="78">
        <f>IF(OR(INDEX(Undirviðmið!$G$6:$G$105,ROW()-6)&lt;&gt;"Starfsbundinn",AC64="",$E64="",$D64=""),"",ROUND(AC64/$E64*$D64*KVARDI,2))</f>
        <v/>
      </c>
      <c r="AE64" s="66" t="n"/>
      <c r="AF64" s="78">
        <f>IF(OR(INDEX(Undirviðmið!$G$6:$G$105,ROW()-6)&lt;&gt;"Starfsbundinn",AE64="",$E64="",$D64=""),"",ROUND(AE64/$E64*$D64*KVARDI,2))</f>
        <v/>
      </c>
      <c r="AG64" s="66" t="n"/>
      <c r="AH64" s="78">
        <f>IF(OR(INDEX(Undirviðmið!$G$6:$G$105,ROW()-6)&lt;&gt;"Starfsbundinn",AG64="",$E64="",$D64=""),"",ROUND(AG64/$E64*$D64*KVARDI,2))</f>
        <v/>
      </c>
      <c r="AI64" s="66" t="n"/>
      <c r="AJ64" s="78">
        <f>IF(OR(INDEX(Undirviðmið!$G$6:$G$105,ROW()-6)&lt;&gt;"Starfsbundinn",AI64="",$E64="",$D64=""),"",ROUND(AI64/$E64*$D64*KVARDI,2))</f>
        <v/>
      </c>
      <c r="AK64" s="66" t="n"/>
      <c r="AL64" s="78">
        <f>IF(OR(INDEX(Undirviðmið!$G$6:$G$105,ROW()-6)&lt;&gt;"Starfsbundinn",AK64="",$E64="",$D64=""),"",ROUND(AK64/$E64*$D64*KVARDI,2))</f>
        <v/>
      </c>
      <c r="AM64" s="66" t="n"/>
      <c r="AN64" s="78">
        <f>IF(OR(INDEX(Undirviðmið!$G$6:$G$105,ROW()-6)&lt;&gt;"Starfsbundinn",AM64="",$E64="",$D64=""),"",ROUND(AM64/$E64*$D64*KVARDI,2))</f>
        <v/>
      </c>
      <c r="AO64" s="66" t="n"/>
      <c r="AP64" s="78">
        <f>IF(OR(INDEX(Undirviðmið!$G$6:$G$105,ROW()-6)&lt;&gt;"Starfsbundinn",AO64="",$E64="",$D64=""),"",ROUND(AO64/$E64*$D64*KVARDI,2))</f>
        <v/>
      </c>
      <c r="AQ64" s="66" t="n"/>
      <c r="AR64" s="78">
        <f>IF(OR(INDEX(Undirviðmið!$G$6:$G$105,ROW()-6)&lt;&gt;"Starfsbundinn",AQ64="",$E64="",$D64=""),"",ROUND(AQ64/$E64*$D64*KVARDI,2))</f>
        <v/>
      </c>
      <c r="AS64" s="66" t="n"/>
      <c r="AT64" s="78">
        <f>IF(OR(INDEX(Undirviðmið!$G$6:$G$105,ROW()-6)&lt;&gt;"Starfsbundinn",AS64="",$E64="",$D64=""),"",ROUND(AS64/$E64*$D64*KVARDI,2))</f>
        <v/>
      </c>
      <c r="AU64" s="66" t="n"/>
      <c r="AV64" s="78">
        <f>IF(OR(INDEX(Undirviðmið!$G$6:$G$105,ROW()-6)&lt;&gt;"Starfsbundinn",AU64="",$E64="",$D64=""),"",ROUND(AU64/$E64*$D64*KVARDI,2))</f>
        <v/>
      </c>
      <c r="AW64" s="66" t="n"/>
      <c r="AX64" s="78">
        <f>IF(OR(INDEX(Undirviðmið!$G$6:$G$105,ROW()-6)&lt;&gt;"Starfsbundinn",AW64="",$E64="",$D64=""),"",ROUND(AW64/$E64*$D64*KVARDI,2))</f>
        <v/>
      </c>
      <c r="AY64" s="66" t="n"/>
      <c r="AZ64" s="78">
        <f>IF(OR(INDEX(Undirviðmið!$G$6:$G$105,ROW()-6)&lt;&gt;"Starfsbundinn",AY64="",$E64="",$D64=""),"",ROUND(AY64/$E64*$D64*KVARDI,2))</f>
        <v/>
      </c>
      <c r="BA64" s="66" t="n"/>
      <c r="BB64" s="78">
        <f>IF(OR(INDEX(Undirviðmið!$G$6:$G$105,ROW()-6)&lt;&gt;"Starfsbundinn",BA64="",$E64="",$D64=""),"",ROUND(BA64/$E64*$D64*KVARDI,2))</f>
        <v/>
      </c>
      <c r="BC64" s="66" t="n"/>
      <c r="BD64" s="78">
        <f>IF(OR(INDEX(Undirviðmið!$G$6:$G$105,ROW()-6)&lt;&gt;"Starfsbundinn",BC64="",$E64="",$D64=""),"",ROUND(BC64/$E64*$D64*KVARDI,2))</f>
        <v/>
      </c>
      <c r="BE64" s="66" t="n"/>
      <c r="BF64" s="78">
        <f>IF(OR(INDEX(Undirviðmið!$G$6:$G$105,ROW()-6)&lt;&gt;"Starfsbundinn",BE64="",$E64="",$D64=""),"",ROUND(BE64/$E64*$D64*KVARDI,2))</f>
        <v/>
      </c>
      <c r="BG64" s="66" t="n"/>
      <c r="BH64" s="78">
        <f>IF(OR(INDEX(Undirviðmið!$G$6:$G$105,ROW()-6)&lt;&gt;"Starfsbundinn",BG64="",$E64="",$D64=""),"",ROUND(BG64/$E64*$D64*KVARDI,2))</f>
        <v/>
      </c>
      <c r="BI64" s="66" t="n"/>
      <c r="BJ64" s="78">
        <f>IF(OR(INDEX(Undirviðmið!$G$6:$G$105,ROW()-6)&lt;&gt;"Starfsbundinn",BI64="",$E64="",$D64=""),"",ROUND(BI64/$E64*$D64*KVARDI,2))</f>
        <v/>
      </c>
      <c r="BK64" s="66" t="n"/>
      <c r="BL64" s="78">
        <f>IF(OR(INDEX(Undirviðmið!$G$6:$G$105,ROW()-6)&lt;&gt;"Starfsbundinn",BK64="",$E64="",$D64=""),"",ROUND(BK64/$E64*$D64*KVARDI,2))</f>
        <v/>
      </c>
      <c r="BM64" s="66" t="n"/>
      <c r="BN64" s="78">
        <f>IF(OR(INDEX(Undirviðmið!$G$6:$G$105,ROW()-6)&lt;&gt;"Starfsbundinn",BM64="",$E64="",$D64=""),"",ROUND(BM64/$E64*$D64*KVARDI,2))</f>
        <v/>
      </c>
      <c r="BO64" s="66" t="n"/>
      <c r="BP64" s="78">
        <f>IF(OR(INDEX(Undirviðmið!$G$6:$G$105,ROW()-6)&lt;&gt;"Starfsbundinn",BO64="",$E64="",$D64=""),"",ROUND(BO64/$E64*$D64*KVARDI,2))</f>
        <v/>
      </c>
      <c r="BQ64" s="66" t="n"/>
      <c r="BR64" s="78">
        <f>IF(OR(INDEX(Undirviðmið!$G$6:$G$105,ROW()-6)&lt;&gt;"Starfsbundinn",BQ64="",$E64="",$D64=""),"",ROUND(BQ64/$E64*$D64*KVARDI,2))</f>
        <v/>
      </c>
      <c r="BS64" s="66" t="n"/>
      <c r="BT64" s="78">
        <f>IF(OR(INDEX(Undirviðmið!$G$6:$G$105,ROW()-6)&lt;&gt;"Starfsbundinn",BS64="",$E64="",$D64=""),"",ROUND(BS64/$E64*$D64*KVARDI,2))</f>
        <v/>
      </c>
      <c r="BU64" s="66" t="n"/>
      <c r="BV64" s="78">
        <f>IF(OR(INDEX(Undirviðmið!$G$6:$G$105,ROW()-6)&lt;&gt;"Starfsbundinn",BU64="",$E64="",$D64=""),"",ROUND(BU64/$E64*$D64*KVARDI,2))</f>
        <v/>
      </c>
      <c r="BW64" s="66" t="n"/>
      <c r="BX64" s="78">
        <f>IF(OR(INDEX(Undirviðmið!$G$6:$G$105,ROW()-6)&lt;&gt;"Starfsbundinn",BW64="",$E64="",$D64=""),"",ROUND(BW64/$E64*$D64*KVARDI,2))</f>
        <v/>
      </c>
      <c r="BY64" s="66" t="n"/>
      <c r="BZ64" s="78">
        <f>IF(OR(INDEX(Undirviðmið!$G$6:$G$105,ROW()-6)&lt;&gt;"Starfsbundinn",BY64="",$E64="",$D64=""),"",ROUND(BY64/$E64*$D64*KVARDI,2))</f>
        <v/>
      </c>
      <c r="CA64" s="66" t="n"/>
      <c r="CB64" s="78">
        <f>IF(OR(INDEX(Undirviðmið!$G$6:$G$105,ROW()-6)&lt;&gt;"Starfsbundinn",CA64="",$E64="",$D64=""),"",ROUND(CA64/$E64*$D64*KVARDI,2))</f>
        <v/>
      </c>
      <c r="CC64" s="66" t="n"/>
      <c r="CD64" s="78">
        <f>IF(OR(INDEX(Undirviðmið!$G$6:$G$105,ROW()-6)&lt;&gt;"Starfsbundinn",CC64="",$E64="",$D64=""),"",ROUND(CC64/$E64*$D64*KVARDI,2))</f>
        <v/>
      </c>
      <c r="CE64" s="66" t="n"/>
      <c r="CF64" s="78">
        <f>IF(OR(INDEX(Undirviðmið!$G$6:$G$105,ROW()-6)&lt;&gt;"Starfsbundinn",CE64="",$E64="",$D64=""),"",ROUND(CE64/$E64*$D64*KVARDI,2))</f>
        <v/>
      </c>
      <c r="CG64" s="66" t="n"/>
      <c r="CH64" s="78">
        <f>IF(OR(INDEX(Undirviðmið!$G$6:$G$105,ROW()-6)&lt;&gt;"Starfsbundinn",CG64="",$E64="",$D64=""),"",ROUND(CG64/$E64*$D64*KVARDI,2))</f>
        <v/>
      </c>
      <c r="CI64" s="66" t="n"/>
      <c r="CJ64" s="78">
        <f>IF(OR(INDEX(Undirviðmið!$G$6:$G$105,ROW()-6)&lt;&gt;"Starfsbundinn",CI64="",$E64="",$D64=""),"",ROUND(CI64/$E64*$D64*KVARDI,2))</f>
        <v/>
      </c>
      <c r="CK64" s="66" t="n"/>
      <c r="CL64" s="78">
        <f>IF(OR(INDEX(Undirviðmið!$G$6:$G$105,ROW()-6)&lt;&gt;"Starfsbundinn",CK64="",$E64="",$D64=""),"",ROUND(CK64/$E64*$D64*KVARDI,2))</f>
        <v/>
      </c>
      <c r="CM64" s="66" t="n"/>
      <c r="CN64" s="78">
        <f>IF(OR(INDEX(Undirviðmið!$G$6:$G$105,ROW()-6)&lt;&gt;"Starfsbundinn",CM64="",$E64="",$D64=""),"",ROUND(CM64/$E64*$D64*KVARDI,2))</f>
        <v/>
      </c>
      <c r="CO64" s="66" t="n"/>
      <c r="CP64" s="78">
        <f>IF(OR(INDEX(Undirviðmið!$G$6:$G$105,ROW()-6)&lt;&gt;"Starfsbundinn",CO64="",$E64="",$D64=""),"",ROUND(CO64/$E64*$D64*KVARDI,2))</f>
        <v/>
      </c>
      <c r="CQ64" s="66" t="n"/>
      <c r="CR64" s="78">
        <f>IF(OR(INDEX(Undirviðmið!$G$6:$G$105,ROW()-6)&lt;&gt;"Starfsbundinn",CQ64="",$E64="",$D64=""),"",ROUND(CQ64/$E64*$D64*KVARDI,2))</f>
        <v/>
      </c>
      <c r="CS64" s="66" t="n"/>
      <c r="CT64" s="78">
        <f>IF(OR(INDEX(Undirviðmið!$G$6:$G$105,ROW()-6)&lt;&gt;"Starfsbundinn",CS64="",$E64="",$D64=""),"",ROUND(CS64/$E64*$D64*KVARDI,2))</f>
        <v/>
      </c>
      <c r="CU64" s="66" t="n"/>
      <c r="CV64" s="78">
        <f>IF(OR(INDEX(Undirviðmið!$G$6:$G$105,ROW()-6)&lt;&gt;"Starfsbundinn",CU64="",$E64="",$D64=""),"",ROUND(CU64/$E64*$D64*KVARDI,2))</f>
        <v/>
      </c>
      <c r="CW64" s="66" t="n"/>
      <c r="CX64" s="78">
        <f>IF(OR(INDEX(Undirviðmið!$G$6:$G$105,ROW()-6)&lt;&gt;"Starfsbundinn",CW64="",$E64="",$D64=""),"",ROUND(CW64/$E64*$D64*KVARDI,2))</f>
        <v/>
      </c>
      <c r="CY64" s="66" t="n"/>
      <c r="CZ64" s="78">
        <f>IF(OR(INDEX(Undirviðmið!$G$6:$G$105,ROW()-6)&lt;&gt;"Starfsbundinn",CY64="",$E64="",$D64=""),"",ROUND(CY64/$E64*$D64*KVARDI,2))</f>
        <v/>
      </c>
      <c r="DA64" s="66" t="n"/>
      <c r="DB64" s="78">
        <f>IF(OR(INDEX(Undirviðmið!$G$6:$G$105,ROW()-6)&lt;&gt;"Starfsbundinn",DA64="",$E64="",$D64=""),"",ROUND(DA64/$E64*$D64*KVARDI,2))</f>
        <v/>
      </c>
      <c r="DC64" s="66" t="n"/>
      <c r="DD64" s="78">
        <f>IF(OR(INDEX(Undirviðmið!$G$6:$G$105,ROW()-6)&lt;&gt;"Starfsbundinn",DC64="",$E64="",$D64=""),"",ROUND(DC64/$E64*$D64*KVARDI,2))</f>
        <v/>
      </c>
      <c r="DE64" s="66" t="n"/>
      <c r="DF64" s="78">
        <f>IF(OR(INDEX(Undirviðmið!$G$6:$G$105,ROW()-6)&lt;&gt;"Starfsbundinn",DE64="",$E64="",$D64=""),"",ROUND(DE64/$E64*$D64*KVARDI,2))</f>
        <v/>
      </c>
      <c r="DG64" s="66" t="n"/>
      <c r="DH64" s="78">
        <f>IF(OR(INDEX(Undirviðmið!$G$6:$G$105,ROW()-6)&lt;&gt;"Starfsbundinn",DG64="",$E64="",$D64=""),"",ROUND(DG64/$E64*$D64*KVARDI,2))</f>
        <v/>
      </c>
      <c r="DI64" s="66" t="n"/>
      <c r="DJ64" s="78">
        <f>IF(OR(INDEX(Undirviðmið!$G$6:$G$105,ROW()-6)&lt;&gt;"Starfsbundinn",DI64="",$E64="",$D64=""),"",ROUND(DI64/$E64*$D64*KVARDI,2))</f>
        <v/>
      </c>
      <c r="DK64" s="66" t="n"/>
      <c r="DL64" s="78">
        <f>IF(OR(INDEX(Undirviðmið!$G$6:$G$105,ROW()-6)&lt;&gt;"Starfsbundinn",DK64="",$E64="",$D64=""),"",ROUND(DK64/$E64*$D64*KVARDI,2))</f>
        <v/>
      </c>
      <c r="DM64" s="66" t="n"/>
      <c r="DN64" s="78">
        <f>IF(OR(INDEX(Undirviðmið!$G$6:$G$105,ROW()-6)&lt;&gt;"Starfsbundinn",DM64="",$E64="",$D64=""),"",ROUND(DM64/$E64*$D64*KVARDI,2))</f>
        <v/>
      </c>
      <c r="DO64" s="66" t="n"/>
      <c r="DP64" s="78">
        <f>IF(OR(INDEX(Undirviðmið!$G$6:$G$105,ROW()-6)&lt;&gt;"Starfsbundinn",DO64="",$E64="",$D64=""),"",ROUND(DO64/$E64*$D64*KVARDI,2))</f>
        <v/>
      </c>
      <c r="DQ64" s="66" t="n"/>
      <c r="DR64" s="78">
        <f>IF(OR(INDEX(Undirviðmið!$G$6:$G$105,ROW()-6)&lt;&gt;"Starfsbundinn",DQ64="",$E64="",$D64=""),"",ROUND(DQ64/$E64*$D64*KVARDI,2))</f>
        <v/>
      </c>
      <c r="DS64" s="66" t="n"/>
      <c r="DT64" s="78">
        <f>IF(OR(INDEX(Undirviðmið!$G$6:$G$105,ROW()-6)&lt;&gt;"Starfsbundinn",DS64="",$E64="",$D64=""),"",ROUND(DS64/$E64*$D64*KVARDI,2))</f>
        <v/>
      </c>
      <c r="DU64" s="66" t="n"/>
      <c r="DV64" s="78">
        <f>IF(OR(INDEX(Undirviðmið!$G$6:$G$105,ROW()-6)&lt;&gt;"Starfsbundinn",DU64="",$E64="",$D64=""),"",ROUND(DU64/$E64*$D64*KVARDI,2))</f>
        <v/>
      </c>
      <c r="DW64" s="66" t="n"/>
      <c r="DX64" s="78">
        <f>IF(OR(INDEX(Undirviðmið!$G$6:$G$105,ROW()-6)&lt;&gt;"Starfsbundinn",DW64="",$E64="",$D64=""),"",ROUND(DW64/$E64*$D64*KVARDI,2))</f>
        <v/>
      </c>
      <c r="DY64" s="66" t="n"/>
      <c r="DZ64" s="78">
        <f>IF(OR(INDEX(Undirviðmið!$G$6:$G$105,ROW()-6)&lt;&gt;"Starfsbundinn",DY64="",$E64="",$D64=""),"",ROUND(DY64/$E64*$D64*KVARDI,2))</f>
        <v/>
      </c>
      <c r="EA64" s="66" t="n"/>
      <c r="EB64" s="78">
        <f>IF(OR(INDEX(Undirviðmið!$G$6:$G$105,ROW()-6)&lt;&gt;"Starfsbundinn",EA64="",$E64="",$D64=""),"",ROUND(EA64/$E64*$D64*KVARDI,2))</f>
        <v/>
      </c>
      <c r="EC64" s="66" t="n"/>
      <c r="ED64" s="78">
        <f>IF(OR(INDEX(Undirviðmið!$G$6:$G$105,ROW()-6)&lt;&gt;"Starfsbundinn",EC64="",$E64="",$D64=""),"",ROUND(EC64/$E64*$D64*KVARDI,2))</f>
        <v/>
      </c>
      <c r="EE64" s="66" t="n"/>
      <c r="EF64" s="78">
        <f>IF(OR(INDEX(Undirviðmið!$G$6:$G$105,ROW()-6)&lt;&gt;"Starfsbundinn",EE64="",$E64="",$D64=""),"",ROUND(EE64/$E64*$D64*KVARDI,2))</f>
        <v/>
      </c>
      <c r="EG64" s="66" t="n"/>
      <c r="EH64" s="78">
        <f>IF(OR(INDEX(Undirviðmið!$G$6:$G$105,ROW()-6)&lt;&gt;"Starfsbundinn",EG64="",$E64="",$D64=""),"",ROUND(EG64/$E64*$D64*KVARDI,2))</f>
        <v/>
      </c>
      <c r="EI64" s="66" t="n"/>
      <c r="EJ64" s="78">
        <f>IF(OR(INDEX(Undirviðmið!$G$6:$G$105,ROW()-6)&lt;&gt;"Starfsbundinn",EI64="",$E64="",$D64=""),"",ROUND(EI64/$E64*$D64*KVARDI,2))</f>
        <v/>
      </c>
      <c r="EK64" s="66" t="n"/>
      <c r="EL64" s="78">
        <f>IF(OR(INDEX(Undirviðmið!$G$6:$G$105,ROW()-6)&lt;&gt;"Starfsbundinn",EK64="",$E64="",$D64=""),"",ROUND(EK64/$E64*$D64*KVARDI,2))</f>
        <v/>
      </c>
      <c r="EM64" s="66" t="n"/>
      <c r="EN64" s="78">
        <f>IF(OR(INDEX(Undirviðmið!$G$6:$G$105,ROW()-6)&lt;&gt;"Starfsbundinn",EM64="",$E64="",$D64=""),"",ROUND(EM64/$E64*$D64*KVARDI,2))</f>
        <v/>
      </c>
      <c r="EO64" s="66" t="n"/>
      <c r="EP64" s="78">
        <f>IF(OR(INDEX(Undirviðmið!$G$6:$G$105,ROW()-6)&lt;&gt;"Starfsbundinn",EO64="",$E64="",$D64=""),"",ROUND(EO64/$E64*$D64*KVARDI,2))</f>
        <v/>
      </c>
      <c r="EQ64" s="66" t="n"/>
      <c r="ER64" s="78">
        <f>IF(OR(INDEX(Undirviðmið!$G$6:$G$105,ROW()-6)&lt;&gt;"Starfsbundinn",EQ64="",$E64="",$D64=""),"",ROUND(EQ64/$E64*$D64*KVARDI,2))</f>
        <v/>
      </c>
      <c r="ES64" s="66" t="n"/>
      <c r="ET64" s="78">
        <f>IF(OR(INDEX(Undirviðmið!$G$6:$G$105,ROW()-6)&lt;&gt;"Starfsbundinn",ES64="",$E64="",$D64=""),"",ROUND(ES64/$E64*$D64*KVARDI,2))</f>
        <v/>
      </c>
      <c r="EU64" s="66" t="n"/>
      <c r="EV64" s="78">
        <f>IF(OR(INDEX(Undirviðmið!$G$6:$G$105,ROW()-6)&lt;&gt;"Starfsbundinn",EU64="",$E64="",$D64=""),"",ROUND(EU64/$E64*$D64*KVARDI,2))</f>
        <v/>
      </c>
      <c r="EW64" s="66" t="n"/>
      <c r="EX64" s="78">
        <f>IF(OR(INDEX(Undirviðmið!$G$6:$G$105,ROW()-6)&lt;&gt;"Starfsbundinn",EW64="",$E64="",$D64=""),"",ROUND(EW64/$E64*$D64*KVARDI,2))</f>
        <v/>
      </c>
      <c r="EY64" s="66" t="n"/>
      <c r="EZ64" s="78">
        <f>IF(OR(INDEX(Undirviðmið!$G$6:$G$105,ROW()-6)&lt;&gt;"Starfsbundinn",EY64="",$E64="",$D64=""),"",ROUND(EY64/$E64*$D64*KVARDI,2))</f>
        <v/>
      </c>
      <c r="FA64" s="66" t="n"/>
      <c r="FB64" s="78">
        <f>IF(OR(INDEX(Undirviðmið!$G$6:$G$105,ROW()-6)&lt;&gt;"Starfsbundinn",FA64="",$E64="",$D64=""),"",ROUND(FA64/$E64*$D64*KVARDI,2))</f>
        <v/>
      </c>
      <c r="FC64" s="66" t="n"/>
      <c r="FD64" s="78">
        <f>IF(OR(INDEX(Undirviðmið!$G$6:$G$105,ROW()-6)&lt;&gt;"Starfsbundinn",FC64="",$E64="",$D64=""),"",ROUND(FC64/$E64*$D64*KVARDI,2))</f>
        <v/>
      </c>
      <c r="FE64" s="66" t="n"/>
      <c r="FF64" s="78">
        <f>IF(OR(INDEX(Undirviðmið!$G$6:$G$105,ROW()-6)&lt;&gt;"Starfsbundinn",FE64="",$E64="",$D64=""),"",ROUND(FE64/$E64*$D64*KVARDI,2))</f>
        <v/>
      </c>
      <c r="FG64" s="66" t="n"/>
      <c r="FH64" s="78">
        <f>IF(OR(INDEX(Undirviðmið!$G$6:$G$105,ROW()-6)&lt;&gt;"Starfsbundinn",FG64="",$E64="",$D64=""),"",ROUND(FG64/$E64*$D64*KVARDI,2))</f>
        <v/>
      </c>
      <c r="FI64" s="66" t="n"/>
      <c r="FJ64" s="78">
        <f>IF(OR(INDEX(Undirviðmið!$G$6:$G$105,ROW()-6)&lt;&gt;"Starfsbundinn",FI64="",$E64="",$D64=""),"",ROUND(FI64/$E64*$D64*KVARDI,2))</f>
        <v/>
      </c>
      <c r="FK64" s="66" t="n"/>
      <c r="FL64" s="78">
        <f>IF(OR(INDEX(Undirviðmið!$G$6:$G$105,ROW()-6)&lt;&gt;"Starfsbundinn",FK64="",$E64="",$D64=""),"",ROUND(FK64/$E64*$D64*KVARDI,2))</f>
        <v/>
      </c>
      <c r="FM64" s="66" t="n"/>
      <c r="FN64" s="78">
        <f>IF(OR(INDEX(Undirviðmið!$G$6:$G$105,ROW()-6)&lt;&gt;"Starfsbundinn",FM64="",$E64="",$D64=""),"",ROUND(FM64/$E64*$D64*KVARDI,2))</f>
        <v/>
      </c>
      <c r="FO64" s="66" t="n"/>
      <c r="FP64" s="78">
        <f>IF(OR(INDEX(Undirviðmið!$G$6:$G$105,ROW()-6)&lt;&gt;"Starfsbundinn",FO64="",$E64="",$D64=""),"",ROUND(FO64/$E64*$D64*KVARDI,2))</f>
        <v/>
      </c>
      <c r="FQ64" s="66" t="n"/>
      <c r="FR64" s="78">
        <f>IF(OR(INDEX(Undirviðmið!$G$6:$G$105,ROW()-6)&lt;&gt;"Starfsbundinn",FQ64="",$E64="",$D64=""),"",ROUND(FQ64/$E64*$D64*KVARDI,2))</f>
        <v/>
      </c>
      <c r="FS64" s="66" t="n"/>
      <c r="FT64" s="78">
        <f>IF(OR(INDEX(Undirviðmið!$G$6:$G$105,ROW()-6)&lt;&gt;"Starfsbundinn",FS64="",$E64="",$D64=""),"",ROUND(FS64/$E64*$D64*KVARDI,2))</f>
        <v/>
      </c>
      <c r="FU64" s="66" t="n"/>
      <c r="FV64" s="78">
        <f>IF(OR(INDEX(Undirviðmið!$G$6:$G$105,ROW()-6)&lt;&gt;"Starfsbundinn",FU64="",$E64="",$D64=""),"",ROUND(FU64/$E64*$D64*KVARDI,2))</f>
        <v/>
      </c>
      <c r="FW64" s="66" t="n"/>
      <c r="FX64" s="78">
        <f>IF(OR(INDEX(Undirviðmið!$G$6:$G$105,ROW()-6)&lt;&gt;"Starfsbundinn",FW64="",$E64="",$D64=""),"",ROUND(FW64/$E64*$D64*KVARDI,2))</f>
        <v/>
      </c>
      <c r="FY64" s="66" t="n"/>
      <c r="FZ64" s="78">
        <f>IF(OR(INDEX(Undirviðmið!$G$6:$G$105,ROW()-6)&lt;&gt;"Starfsbundinn",FY64="",$E64="",$D64=""),"",ROUND(FY64/$E64*$D64*KVARDI,2))</f>
        <v/>
      </c>
      <c r="GA64" s="66" t="n"/>
      <c r="GB64" s="78">
        <f>IF(OR(INDEX(Undirviðmið!$G$6:$G$105,ROW()-6)&lt;&gt;"Starfsbundinn",GA64="",$E64="",$D64=""),"",ROUND(GA64/$E64*$D64*KVARDI,2))</f>
        <v/>
      </c>
      <c r="GC64" s="66" t="n"/>
      <c r="GD64" s="78">
        <f>IF(OR(INDEX(Undirviðmið!$G$6:$G$105,ROW()-6)&lt;&gt;"Starfsbundinn",GC64="",$E64="",$D64=""),"",ROUND(GC64/$E64*$D64*KVARDI,2))</f>
        <v/>
      </c>
      <c r="GE64" s="66" t="n"/>
      <c r="GF64" s="78">
        <f>IF(OR(INDEX(Undirviðmið!$G$6:$G$105,ROW()-6)&lt;&gt;"Starfsbundinn",GE64="",$E64="",$D64=""),"",ROUND(GE64/$E64*$D64*KVARDI,2))</f>
        <v/>
      </c>
      <c r="GG64" s="66" t="n"/>
      <c r="GH64" s="78">
        <f>IF(OR(INDEX(Undirviðmið!$G$6:$G$105,ROW()-6)&lt;&gt;"Starfsbundinn",GG64="",$E64="",$D64=""),"",ROUND(GG64/$E64*$D64*KVARDI,2))</f>
        <v/>
      </c>
      <c r="GI64" s="66" t="n"/>
      <c r="GJ64" s="78">
        <f>IF(OR(INDEX(Undirviðmið!$G$6:$G$105,ROW()-6)&lt;&gt;"Starfsbundinn",GI64="",$E64="",$D64=""),"",ROUND(GI64/$E64*$D64*KVARDI,2))</f>
        <v/>
      </c>
      <c r="GK64" s="66" t="n"/>
      <c r="GL64" s="78">
        <f>IF(OR(INDEX(Undirviðmið!$G$6:$G$105,ROW()-6)&lt;&gt;"Starfsbundinn",GK64="",$E64="",$D64=""),"",ROUND(GK64/$E64*$D64*KVARDI,2))</f>
        <v/>
      </c>
      <c r="GM64" s="66" t="n"/>
      <c r="GN64" s="78">
        <f>IF(OR(INDEX(Undirviðmið!$G$6:$G$105,ROW()-6)&lt;&gt;"Starfsbundinn",GM64="",$E64="",$D64=""),"",ROUND(GM64/$E64*$D64*KVARDI,2))</f>
        <v/>
      </c>
      <c r="GO64" s="66" t="n"/>
      <c r="GP64" s="78">
        <f>IF(OR(INDEX(Undirviðmið!$G$6:$G$105,ROW()-6)&lt;&gt;"Starfsbundinn",GO64="",$E64="",$D64=""),"",ROUND(GO64/$E64*$D64*KVARDI,2))</f>
        <v/>
      </c>
      <c r="GQ64" s="66" t="n"/>
      <c r="GR64" s="78">
        <f>IF(OR(INDEX(Undirviðmið!$G$6:$G$105,ROW()-6)&lt;&gt;"Starfsbundinn",GQ64="",$E64="",$D64=""),"",ROUND(GQ64/$E64*$D64*KVARDI,2))</f>
        <v/>
      </c>
      <c r="GS64" s="66" t="n"/>
      <c r="GT64" s="78">
        <f>IF(OR(INDEX(Undirviðmið!$G$6:$G$105,ROW()-6)&lt;&gt;"Starfsbundinn",GS64="",$E64="",$D64=""),"",ROUND(GS64/$E64*$D64*KVARDI,2))</f>
        <v/>
      </c>
      <c r="GU64" s="66" t="n"/>
      <c r="GV64" s="78">
        <f>IF(OR(INDEX(Undirviðmið!$G$6:$G$105,ROW()-6)&lt;&gt;"Starfsbundinn",GU64="",$E64="",$D64=""),"",ROUND(GU64/$E64*$D64*KVARDI,2))</f>
        <v/>
      </c>
      <c r="GW64" s="66" t="n"/>
      <c r="GX64" s="78">
        <f>IF(OR(INDEX(Undirviðmið!$G$6:$G$105,ROW()-6)&lt;&gt;"Starfsbundinn",GW64="",$E64="",$D64=""),"",ROUND(GW64/$E64*$D64*KVARDI,2))</f>
        <v/>
      </c>
    </row>
    <row r="65" ht="15" customHeight="1" s="47">
      <c r="B65" s="67">
        <f>IF(INDEX(Undirviðmið!$G$6:$G$105,ROW()-6)="Starfsbundinn",INDEX(Undirviðmið!$B$6:$B$105,ROW()-6),"")</f>
        <v/>
      </c>
      <c r="C65" s="67">
        <f>IF(INDEX(Undirviðmið!$G$6:$G$105,ROW()-6)="Starfsbundinn",INDEX(Undirviðmið!$C$6:$C$105,ROW()-6),"")</f>
        <v/>
      </c>
      <c r="D65" s="77">
        <f>IF(INDEX(Undirviðmið!$G$6:$G$105,ROW()-6)="Starfsbundinn",INDEX(Undirviðmið!$E$6:$E$105,ROW()-6),"")</f>
        <v/>
      </c>
      <c r="E65" s="77">
        <f>IF(INDEX(Undirviðmið!$G$6:$G$105,ROW()-6)="Starfsbundinn",INDEX(Undirviðmið!$F$6:$F$105,ROW()-6),"")</f>
        <v/>
      </c>
      <c r="F65" s="77">
        <f>IF(INDEX(Undirviðmið!$G$6:$G$105,ROW()-6)="Starfsbundinn",IFERROR(INDEX(Undirviðmið!$E$6:$E$105,ROW()-6)*KVARDI,""),"")</f>
        <v/>
      </c>
      <c r="G65" s="66" t="n"/>
      <c r="H65" s="78">
        <f>IF(OR(INDEX(Undirviðmið!$G$6:$G$105,ROW()-6)&lt;&gt;"Starfsbundinn",G65="",$E65="",$D65=""),"",ROUND(G65/$E65*$D65*KVARDI,2))</f>
        <v/>
      </c>
      <c r="I65" s="66" t="n"/>
      <c r="J65" s="78">
        <f>IF(OR(INDEX(Undirviðmið!$G$6:$G$105,ROW()-6)&lt;&gt;"Starfsbundinn",I65="",$E65="",$D65=""),"",ROUND(I65/$E65*$D65*KVARDI,2))</f>
        <v/>
      </c>
      <c r="K65" s="66" t="n"/>
      <c r="L65" s="78">
        <f>IF(OR(INDEX(Undirviðmið!$G$6:$G$105,ROW()-6)&lt;&gt;"Starfsbundinn",K65="",$E65="",$D65=""),"",ROUND(K65/$E65*$D65*KVARDI,2))</f>
        <v/>
      </c>
      <c r="M65" s="66" t="n"/>
      <c r="N65" s="78">
        <f>IF(OR(INDEX(Undirviðmið!$G$6:$G$105,ROW()-6)&lt;&gt;"Starfsbundinn",M65="",$E65="",$D65=""),"",ROUND(M65/$E65*$D65*KVARDI,2))</f>
        <v/>
      </c>
      <c r="O65" s="66" t="n"/>
      <c r="P65" s="78">
        <f>IF(OR(INDEX(Undirviðmið!$G$6:$G$105,ROW()-6)&lt;&gt;"Starfsbundinn",O65="",$E65="",$D65=""),"",ROUND(O65/$E65*$D65*KVARDI,2))</f>
        <v/>
      </c>
      <c r="Q65" s="66" t="n"/>
      <c r="R65" s="78">
        <f>IF(OR(INDEX(Undirviðmið!$G$6:$G$105,ROW()-6)&lt;&gt;"Starfsbundinn",Q65="",$E65="",$D65=""),"",ROUND(Q65/$E65*$D65*KVARDI,2))</f>
        <v/>
      </c>
      <c r="S65" s="66" t="n"/>
      <c r="T65" s="78">
        <f>IF(OR(INDEX(Undirviðmið!$G$6:$G$105,ROW()-6)&lt;&gt;"Starfsbundinn",S65="",$E65="",$D65=""),"",ROUND(S65/$E65*$D65*KVARDI,2))</f>
        <v/>
      </c>
      <c r="U65" s="66" t="n"/>
      <c r="V65" s="78">
        <f>IF(OR(INDEX(Undirviðmið!$G$6:$G$105,ROW()-6)&lt;&gt;"Starfsbundinn",U65="",$E65="",$D65=""),"",ROUND(U65/$E65*$D65*KVARDI,2))</f>
        <v/>
      </c>
      <c r="W65" s="66" t="n"/>
      <c r="X65" s="78">
        <f>IF(OR(INDEX(Undirviðmið!$G$6:$G$105,ROW()-6)&lt;&gt;"Starfsbundinn",W65="",$E65="",$D65=""),"",ROUND(W65/$E65*$D65*KVARDI,2))</f>
        <v/>
      </c>
      <c r="Y65" s="66" t="n"/>
      <c r="Z65" s="78">
        <f>IF(OR(INDEX(Undirviðmið!$G$6:$G$105,ROW()-6)&lt;&gt;"Starfsbundinn",Y65="",$E65="",$D65=""),"",ROUND(Y65/$E65*$D65*KVARDI,2))</f>
        <v/>
      </c>
      <c r="AA65" s="66" t="n"/>
      <c r="AB65" s="78">
        <f>IF(OR(INDEX(Undirviðmið!$G$6:$G$105,ROW()-6)&lt;&gt;"Starfsbundinn",AA65="",$E65="",$D65=""),"",ROUND(AA65/$E65*$D65*KVARDI,2))</f>
        <v/>
      </c>
      <c r="AC65" s="66" t="n"/>
      <c r="AD65" s="78">
        <f>IF(OR(INDEX(Undirviðmið!$G$6:$G$105,ROW()-6)&lt;&gt;"Starfsbundinn",AC65="",$E65="",$D65=""),"",ROUND(AC65/$E65*$D65*KVARDI,2))</f>
        <v/>
      </c>
      <c r="AE65" s="66" t="n"/>
      <c r="AF65" s="78">
        <f>IF(OR(INDEX(Undirviðmið!$G$6:$G$105,ROW()-6)&lt;&gt;"Starfsbundinn",AE65="",$E65="",$D65=""),"",ROUND(AE65/$E65*$D65*KVARDI,2))</f>
        <v/>
      </c>
      <c r="AG65" s="66" t="n"/>
      <c r="AH65" s="78">
        <f>IF(OR(INDEX(Undirviðmið!$G$6:$G$105,ROW()-6)&lt;&gt;"Starfsbundinn",AG65="",$E65="",$D65=""),"",ROUND(AG65/$E65*$D65*KVARDI,2))</f>
        <v/>
      </c>
      <c r="AI65" s="66" t="n"/>
      <c r="AJ65" s="78">
        <f>IF(OR(INDEX(Undirviðmið!$G$6:$G$105,ROW()-6)&lt;&gt;"Starfsbundinn",AI65="",$E65="",$D65=""),"",ROUND(AI65/$E65*$D65*KVARDI,2))</f>
        <v/>
      </c>
      <c r="AK65" s="66" t="n"/>
      <c r="AL65" s="78">
        <f>IF(OR(INDEX(Undirviðmið!$G$6:$G$105,ROW()-6)&lt;&gt;"Starfsbundinn",AK65="",$E65="",$D65=""),"",ROUND(AK65/$E65*$D65*KVARDI,2))</f>
        <v/>
      </c>
      <c r="AM65" s="66" t="n"/>
      <c r="AN65" s="78">
        <f>IF(OR(INDEX(Undirviðmið!$G$6:$G$105,ROW()-6)&lt;&gt;"Starfsbundinn",AM65="",$E65="",$D65=""),"",ROUND(AM65/$E65*$D65*KVARDI,2))</f>
        <v/>
      </c>
      <c r="AO65" s="66" t="n"/>
      <c r="AP65" s="78">
        <f>IF(OR(INDEX(Undirviðmið!$G$6:$G$105,ROW()-6)&lt;&gt;"Starfsbundinn",AO65="",$E65="",$D65=""),"",ROUND(AO65/$E65*$D65*KVARDI,2))</f>
        <v/>
      </c>
      <c r="AQ65" s="66" t="n"/>
      <c r="AR65" s="78">
        <f>IF(OR(INDEX(Undirviðmið!$G$6:$G$105,ROW()-6)&lt;&gt;"Starfsbundinn",AQ65="",$E65="",$D65=""),"",ROUND(AQ65/$E65*$D65*KVARDI,2))</f>
        <v/>
      </c>
      <c r="AS65" s="66" t="n"/>
      <c r="AT65" s="78">
        <f>IF(OR(INDEX(Undirviðmið!$G$6:$G$105,ROW()-6)&lt;&gt;"Starfsbundinn",AS65="",$E65="",$D65=""),"",ROUND(AS65/$E65*$D65*KVARDI,2))</f>
        <v/>
      </c>
      <c r="AU65" s="66" t="n"/>
      <c r="AV65" s="78">
        <f>IF(OR(INDEX(Undirviðmið!$G$6:$G$105,ROW()-6)&lt;&gt;"Starfsbundinn",AU65="",$E65="",$D65=""),"",ROUND(AU65/$E65*$D65*KVARDI,2))</f>
        <v/>
      </c>
      <c r="AW65" s="66" t="n"/>
      <c r="AX65" s="78">
        <f>IF(OR(INDEX(Undirviðmið!$G$6:$G$105,ROW()-6)&lt;&gt;"Starfsbundinn",AW65="",$E65="",$D65=""),"",ROUND(AW65/$E65*$D65*KVARDI,2))</f>
        <v/>
      </c>
      <c r="AY65" s="66" t="n"/>
      <c r="AZ65" s="78">
        <f>IF(OR(INDEX(Undirviðmið!$G$6:$G$105,ROW()-6)&lt;&gt;"Starfsbundinn",AY65="",$E65="",$D65=""),"",ROUND(AY65/$E65*$D65*KVARDI,2))</f>
        <v/>
      </c>
      <c r="BA65" s="66" t="n"/>
      <c r="BB65" s="78">
        <f>IF(OR(INDEX(Undirviðmið!$G$6:$G$105,ROW()-6)&lt;&gt;"Starfsbundinn",BA65="",$E65="",$D65=""),"",ROUND(BA65/$E65*$D65*KVARDI,2))</f>
        <v/>
      </c>
      <c r="BC65" s="66" t="n"/>
      <c r="BD65" s="78">
        <f>IF(OR(INDEX(Undirviðmið!$G$6:$G$105,ROW()-6)&lt;&gt;"Starfsbundinn",BC65="",$E65="",$D65=""),"",ROUND(BC65/$E65*$D65*KVARDI,2))</f>
        <v/>
      </c>
      <c r="BE65" s="66" t="n"/>
      <c r="BF65" s="78">
        <f>IF(OR(INDEX(Undirviðmið!$G$6:$G$105,ROW()-6)&lt;&gt;"Starfsbundinn",BE65="",$E65="",$D65=""),"",ROUND(BE65/$E65*$D65*KVARDI,2))</f>
        <v/>
      </c>
      <c r="BG65" s="66" t="n"/>
      <c r="BH65" s="78">
        <f>IF(OR(INDEX(Undirviðmið!$G$6:$G$105,ROW()-6)&lt;&gt;"Starfsbundinn",BG65="",$E65="",$D65=""),"",ROUND(BG65/$E65*$D65*KVARDI,2))</f>
        <v/>
      </c>
      <c r="BI65" s="66" t="n"/>
      <c r="BJ65" s="78">
        <f>IF(OR(INDEX(Undirviðmið!$G$6:$G$105,ROW()-6)&lt;&gt;"Starfsbundinn",BI65="",$E65="",$D65=""),"",ROUND(BI65/$E65*$D65*KVARDI,2))</f>
        <v/>
      </c>
      <c r="BK65" s="66" t="n"/>
      <c r="BL65" s="78">
        <f>IF(OR(INDEX(Undirviðmið!$G$6:$G$105,ROW()-6)&lt;&gt;"Starfsbundinn",BK65="",$E65="",$D65=""),"",ROUND(BK65/$E65*$D65*KVARDI,2))</f>
        <v/>
      </c>
      <c r="BM65" s="66" t="n"/>
      <c r="BN65" s="78">
        <f>IF(OR(INDEX(Undirviðmið!$G$6:$G$105,ROW()-6)&lt;&gt;"Starfsbundinn",BM65="",$E65="",$D65=""),"",ROUND(BM65/$E65*$D65*KVARDI,2))</f>
        <v/>
      </c>
      <c r="BO65" s="66" t="n"/>
      <c r="BP65" s="78">
        <f>IF(OR(INDEX(Undirviðmið!$G$6:$G$105,ROW()-6)&lt;&gt;"Starfsbundinn",BO65="",$E65="",$D65=""),"",ROUND(BO65/$E65*$D65*KVARDI,2))</f>
        <v/>
      </c>
      <c r="BQ65" s="66" t="n"/>
      <c r="BR65" s="78">
        <f>IF(OR(INDEX(Undirviðmið!$G$6:$G$105,ROW()-6)&lt;&gt;"Starfsbundinn",BQ65="",$E65="",$D65=""),"",ROUND(BQ65/$E65*$D65*KVARDI,2))</f>
        <v/>
      </c>
      <c r="BS65" s="66" t="n"/>
      <c r="BT65" s="78">
        <f>IF(OR(INDEX(Undirviðmið!$G$6:$G$105,ROW()-6)&lt;&gt;"Starfsbundinn",BS65="",$E65="",$D65=""),"",ROUND(BS65/$E65*$D65*KVARDI,2))</f>
        <v/>
      </c>
      <c r="BU65" s="66" t="n"/>
      <c r="BV65" s="78">
        <f>IF(OR(INDEX(Undirviðmið!$G$6:$G$105,ROW()-6)&lt;&gt;"Starfsbundinn",BU65="",$E65="",$D65=""),"",ROUND(BU65/$E65*$D65*KVARDI,2))</f>
        <v/>
      </c>
      <c r="BW65" s="66" t="n"/>
      <c r="BX65" s="78">
        <f>IF(OR(INDEX(Undirviðmið!$G$6:$G$105,ROW()-6)&lt;&gt;"Starfsbundinn",BW65="",$E65="",$D65=""),"",ROUND(BW65/$E65*$D65*KVARDI,2))</f>
        <v/>
      </c>
      <c r="BY65" s="66" t="n"/>
      <c r="BZ65" s="78">
        <f>IF(OR(INDEX(Undirviðmið!$G$6:$G$105,ROW()-6)&lt;&gt;"Starfsbundinn",BY65="",$E65="",$D65=""),"",ROUND(BY65/$E65*$D65*KVARDI,2))</f>
        <v/>
      </c>
      <c r="CA65" s="66" t="n"/>
      <c r="CB65" s="78">
        <f>IF(OR(INDEX(Undirviðmið!$G$6:$G$105,ROW()-6)&lt;&gt;"Starfsbundinn",CA65="",$E65="",$D65=""),"",ROUND(CA65/$E65*$D65*KVARDI,2))</f>
        <v/>
      </c>
      <c r="CC65" s="66" t="n"/>
      <c r="CD65" s="78">
        <f>IF(OR(INDEX(Undirviðmið!$G$6:$G$105,ROW()-6)&lt;&gt;"Starfsbundinn",CC65="",$E65="",$D65=""),"",ROUND(CC65/$E65*$D65*KVARDI,2))</f>
        <v/>
      </c>
      <c r="CE65" s="66" t="n"/>
      <c r="CF65" s="78">
        <f>IF(OR(INDEX(Undirviðmið!$G$6:$G$105,ROW()-6)&lt;&gt;"Starfsbundinn",CE65="",$E65="",$D65=""),"",ROUND(CE65/$E65*$D65*KVARDI,2))</f>
        <v/>
      </c>
      <c r="CG65" s="66" t="n"/>
      <c r="CH65" s="78">
        <f>IF(OR(INDEX(Undirviðmið!$G$6:$G$105,ROW()-6)&lt;&gt;"Starfsbundinn",CG65="",$E65="",$D65=""),"",ROUND(CG65/$E65*$D65*KVARDI,2))</f>
        <v/>
      </c>
      <c r="CI65" s="66" t="n"/>
      <c r="CJ65" s="78">
        <f>IF(OR(INDEX(Undirviðmið!$G$6:$G$105,ROW()-6)&lt;&gt;"Starfsbundinn",CI65="",$E65="",$D65=""),"",ROUND(CI65/$E65*$D65*KVARDI,2))</f>
        <v/>
      </c>
      <c r="CK65" s="66" t="n"/>
      <c r="CL65" s="78">
        <f>IF(OR(INDEX(Undirviðmið!$G$6:$G$105,ROW()-6)&lt;&gt;"Starfsbundinn",CK65="",$E65="",$D65=""),"",ROUND(CK65/$E65*$D65*KVARDI,2))</f>
        <v/>
      </c>
      <c r="CM65" s="66" t="n"/>
      <c r="CN65" s="78">
        <f>IF(OR(INDEX(Undirviðmið!$G$6:$G$105,ROW()-6)&lt;&gt;"Starfsbundinn",CM65="",$E65="",$D65=""),"",ROUND(CM65/$E65*$D65*KVARDI,2))</f>
        <v/>
      </c>
      <c r="CO65" s="66" t="n"/>
      <c r="CP65" s="78">
        <f>IF(OR(INDEX(Undirviðmið!$G$6:$G$105,ROW()-6)&lt;&gt;"Starfsbundinn",CO65="",$E65="",$D65=""),"",ROUND(CO65/$E65*$D65*KVARDI,2))</f>
        <v/>
      </c>
      <c r="CQ65" s="66" t="n"/>
      <c r="CR65" s="78">
        <f>IF(OR(INDEX(Undirviðmið!$G$6:$G$105,ROW()-6)&lt;&gt;"Starfsbundinn",CQ65="",$E65="",$D65=""),"",ROUND(CQ65/$E65*$D65*KVARDI,2))</f>
        <v/>
      </c>
      <c r="CS65" s="66" t="n"/>
      <c r="CT65" s="78">
        <f>IF(OR(INDEX(Undirviðmið!$G$6:$G$105,ROW()-6)&lt;&gt;"Starfsbundinn",CS65="",$E65="",$D65=""),"",ROUND(CS65/$E65*$D65*KVARDI,2))</f>
        <v/>
      </c>
      <c r="CU65" s="66" t="n"/>
      <c r="CV65" s="78">
        <f>IF(OR(INDEX(Undirviðmið!$G$6:$G$105,ROW()-6)&lt;&gt;"Starfsbundinn",CU65="",$E65="",$D65=""),"",ROUND(CU65/$E65*$D65*KVARDI,2))</f>
        <v/>
      </c>
      <c r="CW65" s="66" t="n"/>
      <c r="CX65" s="78">
        <f>IF(OR(INDEX(Undirviðmið!$G$6:$G$105,ROW()-6)&lt;&gt;"Starfsbundinn",CW65="",$E65="",$D65=""),"",ROUND(CW65/$E65*$D65*KVARDI,2))</f>
        <v/>
      </c>
      <c r="CY65" s="66" t="n"/>
      <c r="CZ65" s="78">
        <f>IF(OR(INDEX(Undirviðmið!$G$6:$G$105,ROW()-6)&lt;&gt;"Starfsbundinn",CY65="",$E65="",$D65=""),"",ROUND(CY65/$E65*$D65*KVARDI,2))</f>
        <v/>
      </c>
      <c r="DA65" s="66" t="n"/>
      <c r="DB65" s="78">
        <f>IF(OR(INDEX(Undirviðmið!$G$6:$G$105,ROW()-6)&lt;&gt;"Starfsbundinn",DA65="",$E65="",$D65=""),"",ROUND(DA65/$E65*$D65*KVARDI,2))</f>
        <v/>
      </c>
      <c r="DC65" s="66" t="n"/>
      <c r="DD65" s="78">
        <f>IF(OR(INDEX(Undirviðmið!$G$6:$G$105,ROW()-6)&lt;&gt;"Starfsbundinn",DC65="",$E65="",$D65=""),"",ROUND(DC65/$E65*$D65*KVARDI,2))</f>
        <v/>
      </c>
      <c r="DE65" s="66" t="n"/>
      <c r="DF65" s="78">
        <f>IF(OR(INDEX(Undirviðmið!$G$6:$G$105,ROW()-6)&lt;&gt;"Starfsbundinn",DE65="",$E65="",$D65=""),"",ROUND(DE65/$E65*$D65*KVARDI,2))</f>
        <v/>
      </c>
      <c r="DG65" s="66" t="n"/>
      <c r="DH65" s="78">
        <f>IF(OR(INDEX(Undirviðmið!$G$6:$G$105,ROW()-6)&lt;&gt;"Starfsbundinn",DG65="",$E65="",$D65=""),"",ROUND(DG65/$E65*$D65*KVARDI,2))</f>
        <v/>
      </c>
      <c r="DI65" s="66" t="n"/>
      <c r="DJ65" s="78">
        <f>IF(OR(INDEX(Undirviðmið!$G$6:$G$105,ROW()-6)&lt;&gt;"Starfsbundinn",DI65="",$E65="",$D65=""),"",ROUND(DI65/$E65*$D65*KVARDI,2))</f>
        <v/>
      </c>
      <c r="DK65" s="66" t="n"/>
      <c r="DL65" s="78">
        <f>IF(OR(INDEX(Undirviðmið!$G$6:$G$105,ROW()-6)&lt;&gt;"Starfsbundinn",DK65="",$E65="",$D65=""),"",ROUND(DK65/$E65*$D65*KVARDI,2))</f>
        <v/>
      </c>
      <c r="DM65" s="66" t="n"/>
      <c r="DN65" s="78">
        <f>IF(OR(INDEX(Undirviðmið!$G$6:$G$105,ROW()-6)&lt;&gt;"Starfsbundinn",DM65="",$E65="",$D65=""),"",ROUND(DM65/$E65*$D65*KVARDI,2))</f>
        <v/>
      </c>
      <c r="DO65" s="66" t="n"/>
      <c r="DP65" s="78">
        <f>IF(OR(INDEX(Undirviðmið!$G$6:$G$105,ROW()-6)&lt;&gt;"Starfsbundinn",DO65="",$E65="",$D65=""),"",ROUND(DO65/$E65*$D65*KVARDI,2))</f>
        <v/>
      </c>
      <c r="DQ65" s="66" t="n"/>
      <c r="DR65" s="78">
        <f>IF(OR(INDEX(Undirviðmið!$G$6:$G$105,ROW()-6)&lt;&gt;"Starfsbundinn",DQ65="",$E65="",$D65=""),"",ROUND(DQ65/$E65*$D65*KVARDI,2))</f>
        <v/>
      </c>
      <c r="DS65" s="66" t="n"/>
      <c r="DT65" s="78">
        <f>IF(OR(INDEX(Undirviðmið!$G$6:$G$105,ROW()-6)&lt;&gt;"Starfsbundinn",DS65="",$E65="",$D65=""),"",ROUND(DS65/$E65*$D65*KVARDI,2))</f>
        <v/>
      </c>
      <c r="DU65" s="66" t="n"/>
      <c r="DV65" s="78">
        <f>IF(OR(INDEX(Undirviðmið!$G$6:$G$105,ROW()-6)&lt;&gt;"Starfsbundinn",DU65="",$E65="",$D65=""),"",ROUND(DU65/$E65*$D65*KVARDI,2))</f>
        <v/>
      </c>
      <c r="DW65" s="66" t="n"/>
      <c r="DX65" s="78">
        <f>IF(OR(INDEX(Undirviðmið!$G$6:$G$105,ROW()-6)&lt;&gt;"Starfsbundinn",DW65="",$E65="",$D65=""),"",ROUND(DW65/$E65*$D65*KVARDI,2))</f>
        <v/>
      </c>
      <c r="DY65" s="66" t="n"/>
      <c r="DZ65" s="78">
        <f>IF(OR(INDEX(Undirviðmið!$G$6:$G$105,ROW()-6)&lt;&gt;"Starfsbundinn",DY65="",$E65="",$D65=""),"",ROUND(DY65/$E65*$D65*KVARDI,2))</f>
        <v/>
      </c>
      <c r="EA65" s="66" t="n"/>
      <c r="EB65" s="78">
        <f>IF(OR(INDEX(Undirviðmið!$G$6:$G$105,ROW()-6)&lt;&gt;"Starfsbundinn",EA65="",$E65="",$D65=""),"",ROUND(EA65/$E65*$D65*KVARDI,2))</f>
        <v/>
      </c>
      <c r="EC65" s="66" t="n"/>
      <c r="ED65" s="78">
        <f>IF(OR(INDEX(Undirviðmið!$G$6:$G$105,ROW()-6)&lt;&gt;"Starfsbundinn",EC65="",$E65="",$D65=""),"",ROUND(EC65/$E65*$D65*KVARDI,2))</f>
        <v/>
      </c>
      <c r="EE65" s="66" t="n"/>
      <c r="EF65" s="78">
        <f>IF(OR(INDEX(Undirviðmið!$G$6:$G$105,ROW()-6)&lt;&gt;"Starfsbundinn",EE65="",$E65="",$D65=""),"",ROUND(EE65/$E65*$D65*KVARDI,2))</f>
        <v/>
      </c>
      <c r="EG65" s="66" t="n"/>
      <c r="EH65" s="78">
        <f>IF(OR(INDEX(Undirviðmið!$G$6:$G$105,ROW()-6)&lt;&gt;"Starfsbundinn",EG65="",$E65="",$D65=""),"",ROUND(EG65/$E65*$D65*KVARDI,2))</f>
        <v/>
      </c>
      <c r="EI65" s="66" t="n"/>
      <c r="EJ65" s="78">
        <f>IF(OR(INDEX(Undirviðmið!$G$6:$G$105,ROW()-6)&lt;&gt;"Starfsbundinn",EI65="",$E65="",$D65=""),"",ROUND(EI65/$E65*$D65*KVARDI,2))</f>
        <v/>
      </c>
      <c r="EK65" s="66" t="n"/>
      <c r="EL65" s="78">
        <f>IF(OR(INDEX(Undirviðmið!$G$6:$G$105,ROW()-6)&lt;&gt;"Starfsbundinn",EK65="",$E65="",$D65=""),"",ROUND(EK65/$E65*$D65*KVARDI,2))</f>
        <v/>
      </c>
      <c r="EM65" s="66" t="n"/>
      <c r="EN65" s="78">
        <f>IF(OR(INDEX(Undirviðmið!$G$6:$G$105,ROW()-6)&lt;&gt;"Starfsbundinn",EM65="",$E65="",$D65=""),"",ROUND(EM65/$E65*$D65*KVARDI,2))</f>
        <v/>
      </c>
      <c r="EO65" s="66" t="n"/>
      <c r="EP65" s="78">
        <f>IF(OR(INDEX(Undirviðmið!$G$6:$G$105,ROW()-6)&lt;&gt;"Starfsbundinn",EO65="",$E65="",$D65=""),"",ROUND(EO65/$E65*$D65*KVARDI,2))</f>
        <v/>
      </c>
      <c r="EQ65" s="66" t="n"/>
      <c r="ER65" s="78">
        <f>IF(OR(INDEX(Undirviðmið!$G$6:$G$105,ROW()-6)&lt;&gt;"Starfsbundinn",EQ65="",$E65="",$D65=""),"",ROUND(EQ65/$E65*$D65*KVARDI,2))</f>
        <v/>
      </c>
      <c r="ES65" s="66" t="n"/>
      <c r="ET65" s="78">
        <f>IF(OR(INDEX(Undirviðmið!$G$6:$G$105,ROW()-6)&lt;&gt;"Starfsbundinn",ES65="",$E65="",$D65=""),"",ROUND(ES65/$E65*$D65*KVARDI,2))</f>
        <v/>
      </c>
      <c r="EU65" s="66" t="n"/>
      <c r="EV65" s="78">
        <f>IF(OR(INDEX(Undirviðmið!$G$6:$G$105,ROW()-6)&lt;&gt;"Starfsbundinn",EU65="",$E65="",$D65=""),"",ROUND(EU65/$E65*$D65*KVARDI,2))</f>
        <v/>
      </c>
      <c r="EW65" s="66" t="n"/>
      <c r="EX65" s="78">
        <f>IF(OR(INDEX(Undirviðmið!$G$6:$G$105,ROW()-6)&lt;&gt;"Starfsbundinn",EW65="",$E65="",$D65=""),"",ROUND(EW65/$E65*$D65*KVARDI,2))</f>
        <v/>
      </c>
      <c r="EY65" s="66" t="n"/>
      <c r="EZ65" s="78">
        <f>IF(OR(INDEX(Undirviðmið!$G$6:$G$105,ROW()-6)&lt;&gt;"Starfsbundinn",EY65="",$E65="",$D65=""),"",ROUND(EY65/$E65*$D65*KVARDI,2))</f>
        <v/>
      </c>
      <c r="FA65" s="66" t="n"/>
      <c r="FB65" s="78">
        <f>IF(OR(INDEX(Undirviðmið!$G$6:$G$105,ROW()-6)&lt;&gt;"Starfsbundinn",FA65="",$E65="",$D65=""),"",ROUND(FA65/$E65*$D65*KVARDI,2))</f>
        <v/>
      </c>
      <c r="FC65" s="66" t="n"/>
      <c r="FD65" s="78">
        <f>IF(OR(INDEX(Undirviðmið!$G$6:$G$105,ROW()-6)&lt;&gt;"Starfsbundinn",FC65="",$E65="",$D65=""),"",ROUND(FC65/$E65*$D65*KVARDI,2))</f>
        <v/>
      </c>
      <c r="FE65" s="66" t="n"/>
      <c r="FF65" s="78">
        <f>IF(OR(INDEX(Undirviðmið!$G$6:$G$105,ROW()-6)&lt;&gt;"Starfsbundinn",FE65="",$E65="",$D65=""),"",ROUND(FE65/$E65*$D65*KVARDI,2))</f>
        <v/>
      </c>
      <c r="FG65" s="66" t="n"/>
      <c r="FH65" s="78">
        <f>IF(OR(INDEX(Undirviðmið!$G$6:$G$105,ROW()-6)&lt;&gt;"Starfsbundinn",FG65="",$E65="",$D65=""),"",ROUND(FG65/$E65*$D65*KVARDI,2))</f>
        <v/>
      </c>
      <c r="FI65" s="66" t="n"/>
      <c r="FJ65" s="78">
        <f>IF(OR(INDEX(Undirviðmið!$G$6:$G$105,ROW()-6)&lt;&gt;"Starfsbundinn",FI65="",$E65="",$D65=""),"",ROUND(FI65/$E65*$D65*KVARDI,2))</f>
        <v/>
      </c>
      <c r="FK65" s="66" t="n"/>
      <c r="FL65" s="78">
        <f>IF(OR(INDEX(Undirviðmið!$G$6:$G$105,ROW()-6)&lt;&gt;"Starfsbundinn",FK65="",$E65="",$D65=""),"",ROUND(FK65/$E65*$D65*KVARDI,2))</f>
        <v/>
      </c>
      <c r="FM65" s="66" t="n"/>
      <c r="FN65" s="78">
        <f>IF(OR(INDEX(Undirviðmið!$G$6:$G$105,ROW()-6)&lt;&gt;"Starfsbundinn",FM65="",$E65="",$D65=""),"",ROUND(FM65/$E65*$D65*KVARDI,2))</f>
        <v/>
      </c>
      <c r="FO65" s="66" t="n"/>
      <c r="FP65" s="78">
        <f>IF(OR(INDEX(Undirviðmið!$G$6:$G$105,ROW()-6)&lt;&gt;"Starfsbundinn",FO65="",$E65="",$D65=""),"",ROUND(FO65/$E65*$D65*KVARDI,2))</f>
        <v/>
      </c>
      <c r="FQ65" s="66" t="n"/>
      <c r="FR65" s="78">
        <f>IF(OR(INDEX(Undirviðmið!$G$6:$G$105,ROW()-6)&lt;&gt;"Starfsbundinn",FQ65="",$E65="",$D65=""),"",ROUND(FQ65/$E65*$D65*KVARDI,2))</f>
        <v/>
      </c>
      <c r="FS65" s="66" t="n"/>
      <c r="FT65" s="78">
        <f>IF(OR(INDEX(Undirviðmið!$G$6:$G$105,ROW()-6)&lt;&gt;"Starfsbundinn",FS65="",$E65="",$D65=""),"",ROUND(FS65/$E65*$D65*KVARDI,2))</f>
        <v/>
      </c>
      <c r="FU65" s="66" t="n"/>
      <c r="FV65" s="78">
        <f>IF(OR(INDEX(Undirviðmið!$G$6:$G$105,ROW()-6)&lt;&gt;"Starfsbundinn",FU65="",$E65="",$D65=""),"",ROUND(FU65/$E65*$D65*KVARDI,2))</f>
        <v/>
      </c>
      <c r="FW65" s="66" t="n"/>
      <c r="FX65" s="78">
        <f>IF(OR(INDEX(Undirviðmið!$G$6:$G$105,ROW()-6)&lt;&gt;"Starfsbundinn",FW65="",$E65="",$D65=""),"",ROUND(FW65/$E65*$D65*KVARDI,2))</f>
        <v/>
      </c>
      <c r="FY65" s="66" t="n"/>
      <c r="FZ65" s="78">
        <f>IF(OR(INDEX(Undirviðmið!$G$6:$G$105,ROW()-6)&lt;&gt;"Starfsbundinn",FY65="",$E65="",$D65=""),"",ROUND(FY65/$E65*$D65*KVARDI,2))</f>
        <v/>
      </c>
      <c r="GA65" s="66" t="n"/>
      <c r="GB65" s="78">
        <f>IF(OR(INDEX(Undirviðmið!$G$6:$G$105,ROW()-6)&lt;&gt;"Starfsbundinn",GA65="",$E65="",$D65=""),"",ROUND(GA65/$E65*$D65*KVARDI,2))</f>
        <v/>
      </c>
      <c r="GC65" s="66" t="n"/>
      <c r="GD65" s="78">
        <f>IF(OR(INDEX(Undirviðmið!$G$6:$G$105,ROW()-6)&lt;&gt;"Starfsbundinn",GC65="",$E65="",$D65=""),"",ROUND(GC65/$E65*$D65*KVARDI,2))</f>
        <v/>
      </c>
      <c r="GE65" s="66" t="n"/>
      <c r="GF65" s="78">
        <f>IF(OR(INDEX(Undirviðmið!$G$6:$G$105,ROW()-6)&lt;&gt;"Starfsbundinn",GE65="",$E65="",$D65=""),"",ROUND(GE65/$E65*$D65*KVARDI,2))</f>
        <v/>
      </c>
      <c r="GG65" s="66" t="n"/>
      <c r="GH65" s="78">
        <f>IF(OR(INDEX(Undirviðmið!$G$6:$G$105,ROW()-6)&lt;&gt;"Starfsbundinn",GG65="",$E65="",$D65=""),"",ROUND(GG65/$E65*$D65*KVARDI,2))</f>
        <v/>
      </c>
      <c r="GI65" s="66" t="n"/>
      <c r="GJ65" s="78">
        <f>IF(OR(INDEX(Undirviðmið!$G$6:$G$105,ROW()-6)&lt;&gt;"Starfsbundinn",GI65="",$E65="",$D65=""),"",ROUND(GI65/$E65*$D65*KVARDI,2))</f>
        <v/>
      </c>
      <c r="GK65" s="66" t="n"/>
      <c r="GL65" s="78">
        <f>IF(OR(INDEX(Undirviðmið!$G$6:$G$105,ROW()-6)&lt;&gt;"Starfsbundinn",GK65="",$E65="",$D65=""),"",ROUND(GK65/$E65*$D65*KVARDI,2))</f>
        <v/>
      </c>
      <c r="GM65" s="66" t="n"/>
      <c r="GN65" s="78">
        <f>IF(OR(INDEX(Undirviðmið!$G$6:$G$105,ROW()-6)&lt;&gt;"Starfsbundinn",GM65="",$E65="",$D65=""),"",ROUND(GM65/$E65*$D65*KVARDI,2))</f>
        <v/>
      </c>
      <c r="GO65" s="66" t="n"/>
      <c r="GP65" s="78">
        <f>IF(OR(INDEX(Undirviðmið!$G$6:$G$105,ROW()-6)&lt;&gt;"Starfsbundinn",GO65="",$E65="",$D65=""),"",ROUND(GO65/$E65*$D65*KVARDI,2))</f>
        <v/>
      </c>
      <c r="GQ65" s="66" t="n"/>
      <c r="GR65" s="78">
        <f>IF(OR(INDEX(Undirviðmið!$G$6:$G$105,ROW()-6)&lt;&gt;"Starfsbundinn",GQ65="",$E65="",$D65=""),"",ROUND(GQ65/$E65*$D65*KVARDI,2))</f>
        <v/>
      </c>
      <c r="GS65" s="66" t="n"/>
      <c r="GT65" s="78">
        <f>IF(OR(INDEX(Undirviðmið!$G$6:$G$105,ROW()-6)&lt;&gt;"Starfsbundinn",GS65="",$E65="",$D65=""),"",ROUND(GS65/$E65*$D65*KVARDI,2))</f>
        <v/>
      </c>
      <c r="GU65" s="66" t="n"/>
      <c r="GV65" s="78">
        <f>IF(OR(INDEX(Undirviðmið!$G$6:$G$105,ROW()-6)&lt;&gt;"Starfsbundinn",GU65="",$E65="",$D65=""),"",ROUND(GU65/$E65*$D65*KVARDI,2))</f>
        <v/>
      </c>
      <c r="GW65" s="66" t="n"/>
      <c r="GX65" s="78">
        <f>IF(OR(INDEX(Undirviðmið!$G$6:$G$105,ROW()-6)&lt;&gt;"Starfsbundinn",GW65="",$E65="",$D65=""),"",ROUND(GW65/$E65*$D65*KVARDI,2))</f>
        <v/>
      </c>
    </row>
    <row r="66" ht="15" customHeight="1" s="47">
      <c r="B66" s="67">
        <f>IF(INDEX(Undirviðmið!$G$6:$G$105,ROW()-6)="Starfsbundinn",INDEX(Undirviðmið!$B$6:$B$105,ROW()-6),"")</f>
        <v/>
      </c>
      <c r="C66" s="67">
        <f>IF(INDEX(Undirviðmið!$G$6:$G$105,ROW()-6)="Starfsbundinn",INDEX(Undirviðmið!$C$6:$C$105,ROW()-6),"")</f>
        <v/>
      </c>
      <c r="D66" s="77">
        <f>IF(INDEX(Undirviðmið!$G$6:$G$105,ROW()-6)="Starfsbundinn",INDEX(Undirviðmið!$E$6:$E$105,ROW()-6),"")</f>
        <v/>
      </c>
      <c r="E66" s="77">
        <f>IF(INDEX(Undirviðmið!$G$6:$G$105,ROW()-6)="Starfsbundinn",INDEX(Undirviðmið!$F$6:$F$105,ROW()-6),"")</f>
        <v/>
      </c>
      <c r="F66" s="77">
        <f>IF(INDEX(Undirviðmið!$G$6:$G$105,ROW()-6)="Starfsbundinn",IFERROR(INDEX(Undirviðmið!$E$6:$E$105,ROW()-6)*KVARDI,""),"")</f>
        <v/>
      </c>
      <c r="G66" s="66" t="n"/>
      <c r="H66" s="78">
        <f>IF(OR(INDEX(Undirviðmið!$G$6:$G$105,ROW()-6)&lt;&gt;"Starfsbundinn",G66="",$E66="",$D66=""),"",ROUND(G66/$E66*$D66*KVARDI,2))</f>
        <v/>
      </c>
      <c r="I66" s="66" t="n"/>
      <c r="J66" s="78">
        <f>IF(OR(INDEX(Undirviðmið!$G$6:$G$105,ROW()-6)&lt;&gt;"Starfsbundinn",I66="",$E66="",$D66=""),"",ROUND(I66/$E66*$D66*KVARDI,2))</f>
        <v/>
      </c>
      <c r="K66" s="66" t="n"/>
      <c r="L66" s="78">
        <f>IF(OR(INDEX(Undirviðmið!$G$6:$G$105,ROW()-6)&lt;&gt;"Starfsbundinn",K66="",$E66="",$D66=""),"",ROUND(K66/$E66*$D66*KVARDI,2))</f>
        <v/>
      </c>
      <c r="M66" s="66" t="n"/>
      <c r="N66" s="78">
        <f>IF(OR(INDEX(Undirviðmið!$G$6:$G$105,ROW()-6)&lt;&gt;"Starfsbundinn",M66="",$E66="",$D66=""),"",ROUND(M66/$E66*$D66*KVARDI,2))</f>
        <v/>
      </c>
      <c r="O66" s="66" t="n"/>
      <c r="P66" s="78">
        <f>IF(OR(INDEX(Undirviðmið!$G$6:$G$105,ROW()-6)&lt;&gt;"Starfsbundinn",O66="",$E66="",$D66=""),"",ROUND(O66/$E66*$D66*KVARDI,2))</f>
        <v/>
      </c>
      <c r="Q66" s="66" t="n"/>
      <c r="R66" s="78">
        <f>IF(OR(INDEX(Undirviðmið!$G$6:$G$105,ROW()-6)&lt;&gt;"Starfsbundinn",Q66="",$E66="",$D66=""),"",ROUND(Q66/$E66*$D66*KVARDI,2))</f>
        <v/>
      </c>
      <c r="S66" s="66" t="n"/>
      <c r="T66" s="78">
        <f>IF(OR(INDEX(Undirviðmið!$G$6:$G$105,ROW()-6)&lt;&gt;"Starfsbundinn",S66="",$E66="",$D66=""),"",ROUND(S66/$E66*$D66*KVARDI,2))</f>
        <v/>
      </c>
      <c r="U66" s="66" t="n"/>
      <c r="V66" s="78">
        <f>IF(OR(INDEX(Undirviðmið!$G$6:$G$105,ROW()-6)&lt;&gt;"Starfsbundinn",U66="",$E66="",$D66=""),"",ROUND(U66/$E66*$D66*KVARDI,2))</f>
        <v/>
      </c>
      <c r="W66" s="66" t="n"/>
      <c r="X66" s="78">
        <f>IF(OR(INDEX(Undirviðmið!$G$6:$G$105,ROW()-6)&lt;&gt;"Starfsbundinn",W66="",$E66="",$D66=""),"",ROUND(W66/$E66*$D66*KVARDI,2))</f>
        <v/>
      </c>
      <c r="Y66" s="66" t="n"/>
      <c r="Z66" s="78">
        <f>IF(OR(INDEX(Undirviðmið!$G$6:$G$105,ROW()-6)&lt;&gt;"Starfsbundinn",Y66="",$E66="",$D66=""),"",ROUND(Y66/$E66*$D66*KVARDI,2))</f>
        <v/>
      </c>
      <c r="AA66" s="66" t="n"/>
      <c r="AB66" s="78">
        <f>IF(OR(INDEX(Undirviðmið!$G$6:$G$105,ROW()-6)&lt;&gt;"Starfsbundinn",AA66="",$E66="",$D66=""),"",ROUND(AA66/$E66*$D66*KVARDI,2))</f>
        <v/>
      </c>
      <c r="AC66" s="66" t="n"/>
      <c r="AD66" s="78">
        <f>IF(OR(INDEX(Undirviðmið!$G$6:$G$105,ROW()-6)&lt;&gt;"Starfsbundinn",AC66="",$E66="",$D66=""),"",ROUND(AC66/$E66*$D66*KVARDI,2))</f>
        <v/>
      </c>
      <c r="AE66" s="66" t="n"/>
      <c r="AF66" s="78">
        <f>IF(OR(INDEX(Undirviðmið!$G$6:$G$105,ROW()-6)&lt;&gt;"Starfsbundinn",AE66="",$E66="",$D66=""),"",ROUND(AE66/$E66*$D66*KVARDI,2))</f>
        <v/>
      </c>
      <c r="AG66" s="66" t="n"/>
      <c r="AH66" s="78">
        <f>IF(OR(INDEX(Undirviðmið!$G$6:$G$105,ROW()-6)&lt;&gt;"Starfsbundinn",AG66="",$E66="",$D66=""),"",ROUND(AG66/$E66*$D66*KVARDI,2))</f>
        <v/>
      </c>
      <c r="AI66" s="66" t="n"/>
      <c r="AJ66" s="78">
        <f>IF(OR(INDEX(Undirviðmið!$G$6:$G$105,ROW()-6)&lt;&gt;"Starfsbundinn",AI66="",$E66="",$D66=""),"",ROUND(AI66/$E66*$D66*KVARDI,2))</f>
        <v/>
      </c>
      <c r="AK66" s="66" t="n"/>
      <c r="AL66" s="78">
        <f>IF(OR(INDEX(Undirviðmið!$G$6:$G$105,ROW()-6)&lt;&gt;"Starfsbundinn",AK66="",$E66="",$D66=""),"",ROUND(AK66/$E66*$D66*KVARDI,2))</f>
        <v/>
      </c>
      <c r="AM66" s="66" t="n"/>
      <c r="AN66" s="78">
        <f>IF(OR(INDEX(Undirviðmið!$G$6:$G$105,ROW()-6)&lt;&gt;"Starfsbundinn",AM66="",$E66="",$D66=""),"",ROUND(AM66/$E66*$D66*KVARDI,2))</f>
        <v/>
      </c>
      <c r="AO66" s="66" t="n"/>
      <c r="AP66" s="78">
        <f>IF(OR(INDEX(Undirviðmið!$G$6:$G$105,ROW()-6)&lt;&gt;"Starfsbundinn",AO66="",$E66="",$D66=""),"",ROUND(AO66/$E66*$D66*KVARDI,2))</f>
        <v/>
      </c>
      <c r="AQ66" s="66" t="n"/>
      <c r="AR66" s="78">
        <f>IF(OR(INDEX(Undirviðmið!$G$6:$G$105,ROW()-6)&lt;&gt;"Starfsbundinn",AQ66="",$E66="",$D66=""),"",ROUND(AQ66/$E66*$D66*KVARDI,2))</f>
        <v/>
      </c>
      <c r="AS66" s="66" t="n"/>
      <c r="AT66" s="78">
        <f>IF(OR(INDEX(Undirviðmið!$G$6:$G$105,ROW()-6)&lt;&gt;"Starfsbundinn",AS66="",$E66="",$D66=""),"",ROUND(AS66/$E66*$D66*KVARDI,2))</f>
        <v/>
      </c>
      <c r="AU66" s="66" t="n"/>
      <c r="AV66" s="78">
        <f>IF(OR(INDEX(Undirviðmið!$G$6:$G$105,ROW()-6)&lt;&gt;"Starfsbundinn",AU66="",$E66="",$D66=""),"",ROUND(AU66/$E66*$D66*KVARDI,2))</f>
        <v/>
      </c>
      <c r="AW66" s="66" t="n"/>
      <c r="AX66" s="78">
        <f>IF(OR(INDEX(Undirviðmið!$G$6:$G$105,ROW()-6)&lt;&gt;"Starfsbundinn",AW66="",$E66="",$D66=""),"",ROUND(AW66/$E66*$D66*KVARDI,2))</f>
        <v/>
      </c>
      <c r="AY66" s="66" t="n"/>
      <c r="AZ66" s="78">
        <f>IF(OR(INDEX(Undirviðmið!$G$6:$G$105,ROW()-6)&lt;&gt;"Starfsbundinn",AY66="",$E66="",$D66=""),"",ROUND(AY66/$E66*$D66*KVARDI,2))</f>
        <v/>
      </c>
      <c r="BA66" s="66" t="n"/>
      <c r="BB66" s="78">
        <f>IF(OR(INDEX(Undirviðmið!$G$6:$G$105,ROW()-6)&lt;&gt;"Starfsbundinn",BA66="",$E66="",$D66=""),"",ROUND(BA66/$E66*$D66*KVARDI,2))</f>
        <v/>
      </c>
      <c r="BC66" s="66" t="n"/>
      <c r="BD66" s="78">
        <f>IF(OR(INDEX(Undirviðmið!$G$6:$G$105,ROW()-6)&lt;&gt;"Starfsbundinn",BC66="",$E66="",$D66=""),"",ROUND(BC66/$E66*$D66*KVARDI,2))</f>
        <v/>
      </c>
      <c r="BE66" s="66" t="n"/>
      <c r="BF66" s="78">
        <f>IF(OR(INDEX(Undirviðmið!$G$6:$G$105,ROW()-6)&lt;&gt;"Starfsbundinn",BE66="",$E66="",$D66=""),"",ROUND(BE66/$E66*$D66*KVARDI,2))</f>
        <v/>
      </c>
      <c r="BG66" s="66" t="n"/>
      <c r="BH66" s="78">
        <f>IF(OR(INDEX(Undirviðmið!$G$6:$G$105,ROW()-6)&lt;&gt;"Starfsbundinn",BG66="",$E66="",$D66=""),"",ROUND(BG66/$E66*$D66*KVARDI,2))</f>
        <v/>
      </c>
      <c r="BI66" s="66" t="n"/>
      <c r="BJ66" s="78">
        <f>IF(OR(INDEX(Undirviðmið!$G$6:$G$105,ROW()-6)&lt;&gt;"Starfsbundinn",BI66="",$E66="",$D66=""),"",ROUND(BI66/$E66*$D66*KVARDI,2))</f>
        <v/>
      </c>
      <c r="BK66" s="66" t="n"/>
      <c r="BL66" s="78">
        <f>IF(OR(INDEX(Undirviðmið!$G$6:$G$105,ROW()-6)&lt;&gt;"Starfsbundinn",BK66="",$E66="",$D66=""),"",ROUND(BK66/$E66*$D66*KVARDI,2))</f>
        <v/>
      </c>
      <c r="BM66" s="66" t="n"/>
      <c r="BN66" s="78">
        <f>IF(OR(INDEX(Undirviðmið!$G$6:$G$105,ROW()-6)&lt;&gt;"Starfsbundinn",BM66="",$E66="",$D66=""),"",ROUND(BM66/$E66*$D66*KVARDI,2))</f>
        <v/>
      </c>
      <c r="BO66" s="66" t="n"/>
      <c r="BP66" s="78">
        <f>IF(OR(INDEX(Undirviðmið!$G$6:$G$105,ROW()-6)&lt;&gt;"Starfsbundinn",BO66="",$E66="",$D66=""),"",ROUND(BO66/$E66*$D66*KVARDI,2))</f>
        <v/>
      </c>
      <c r="BQ66" s="66" t="n"/>
      <c r="BR66" s="78">
        <f>IF(OR(INDEX(Undirviðmið!$G$6:$G$105,ROW()-6)&lt;&gt;"Starfsbundinn",BQ66="",$E66="",$D66=""),"",ROUND(BQ66/$E66*$D66*KVARDI,2))</f>
        <v/>
      </c>
      <c r="BS66" s="66" t="n"/>
      <c r="BT66" s="78">
        <f>IF(OR(INDEX(Undirviðmið!$G$6:$G$105,ROW()-6)&lt;&gt;"Starfsbundinn",BS66="",$E66="",$D66=""),"",ROUND(BS66/$E66*$D66*KVARDI,2))</f>
        <v/>
      </c>
      <c r="BU66" s="66" t="n"/>
      <c r="BV66" s="78">
        <f>IF(OR(INDEX(Undirviðmið!$G$6:$G$105,ROW()-6)&lt;&gt;"Starfsbundinn",BU66="",$E66="",$D66=""),"",ROUND(BU66/$E66*$D66*KVARDI,2))</f>
        <v/>
      </c>
      <c r="BW66" s="66" t="n"/>
      <c r="BX66" s="78">
        <f>IF(OR(INDEX(Undirviðmið!$G$6:$G$105,ROW()-6)&lt;&gt;"Starfsbundinn",BW66="",$E66="",$D66=""),"",ROUND(BW66/$E66*$D66*KVARDI,2))</f>
        <v/>
      </c>
      <c r="BY66" s="66" t="n"/>
      <c r="BZ66" s="78">
        <f>IF(OR(INDEX(Undirviðmið!$G$6:$G$105,ROW()-6)&lt;&gt;"Starfsbundinn",BY66="",$E66="",$D66=""),"",ROUND(BY66/$E66*$D66*KVARDI,2))</f>
        <v/>
      </c>
      <c r="CA66" s="66" t="n"/>
      <c r="CB66" s="78">
        <f>IF(OR(INDEX(Undirviðmið!$G$6:$G$105,ROW()-6)&lt;&gt;"Starfsbundinn",CA66="",$E66="",$D66=""),"",ROUND(CA66/$E66*$D66*KVARDI,2))</f>
        <v/>
      </c>
      <c r="CC66" s="66" t="n"/>
      <c r="CD66" s="78">
        <f>IF(OR(INDEX(Undirviðmið!$G$6:$G$105,ROW()-6)&lt;&gt;"Starfsbundinn",CC66="",$E66="",$D66=""),"",ROUND(CC66/$E66*$D66*KVARDI,2))</f>
        <v/>
      </c>
      <c r="CE66" s="66" t="n"/>
      <c r="CF66" s="78">
        <f>IF(OR(INDEX(Undirviðmið!$G$6:$G$105,ROW()-6)&lt;&gt;"Starfsbundinn",CE66="",$E66="",$D66=""),"",ROUND(CE66/$E66*$D66*KVARDI,2))</f>
        <v/>
      </c>
      <c r="CG66" s="66" t="n"/>
      <c r="CH66" s="78">
        <f>IF(OR(INDEX(Undirviðmið!$G$6:$G$105,ROW()-6)&lt;&gt;"Starfsbundinn",CG66="",$E66="",$D66=""),"",ROUND(CG66/$E66*$D66*KVARDI,2))</f>
        <v/>
      </c>
      <c r="CI66" s="66" t="n"/>
      <c r="CJ66" s="78">
        <f>IF(OR(INDEX(Undirviðmið!$G$6:$G$105,ROW()-6)&lt;&gt;"Starfsbundinn",CI66="",$E66="",$D66=""),"",ROUND(CI66/$E66*$D66*KVARDI,2))</f>
        <v/>
      </c>
      <c r="CK66" s="66" t="n"/>
      <c r="CL66" s="78">
        <f>IF(OR(INDEX(Undirviðmið!$G$6:$G$105,ROW()-6)&lt;&gt;"Starfsbundinn",CK66="",$E66="",$D66=""),"",ROUND(CK66/$E66*$D66*KVARDI,2))</f>
        <v/>
      </c>
      <c r="CM66" s="66" t="n"/>
      <c r="CN66" s="78">
        <f>IF(OR(INDEX(Undirviðmið!$G$6:$G$105,ROW()-6)&lt;&gt;"Starfsbundinn",CM66="",$E66="",$D66=""),"",ROUND(CM66/$E66*$D66*KVARDI,2))</f>
        <v/>
      </c>
      <c r="CO66" s="66" t="n"/>
      <c r="CP66" s="78">
        <f>IF(OR(INDEX(Undirviðmið!$G$6:$G$105,ROW()-6)&lt;&gt;"Starfsbundinn",CO66="",$E66="",$D66=""),"",ROUND(CO66/$E66*$D66*KVARDI,2))</f>
        <v/>
      </c>
      <c r="CQ66" s="66" t="n"/>
      <c r="CR66" s="78">
        <f>IF(OR(INDEX(Undirviðmið!$G$6:$G$105,ROW()-6)&lt;&gt;"Starfsbundinn",CQ66="",$E66="",$D66=""),"",ROUND(CQ66/$E66*$D66*KVARDI,2))</f>
        <v/>
      </c>
      <c r="CS66" s="66" t="n"/>
      <c r="CT66" s="78">
        <f>IF(OR(INDEX(Undirviðmið!$G$6:$G$105,ROW()-6)&lt;&gt;"Starfsbundinn",CS66="",$E66="",$D66=""),"",ROUND(CS66/$E66*$D66*KVARDI,2))</f>
        <v/>
      </c>
      <c r="CU66" s="66" t="n"/>
      <c r="CV66" s="78">
        <f>IF(OR(INDEX(Undirviðmið!$G$6:$G$105,ROW()-6)&lt;&gt;"Starfsbundinn",CU66="",$E66="",$D66=""),"",ROUND(CU66/$E66*$D66*KVARDI,2))</f>
        <v/>
      </c>
      <c r="CW66" s="66" t="n"/>
      <c r="CX66" s="78">
        <f>IF(OR(INDEX(Undirviðmið!$G$6:$G$105,ROW()-6)&lt;&gt;"Starfsbundinn",CW66="",$E66="",$D66=""),"",ROUND(CW66/$E66*$D66*KVARDI,2))</f>
        <v/>
      </c>
      <c r="CY66" s="66" t="n"/>
      <c r="CZ66" s="78">
        <f>IF(OR(INDEX(Undirviðmið!$G$6:$G$105,ROW()-6)&lt;&gt;"Starfsbundinn",CY66="",$E66="",$D66=""),"",ROUND(CY66/$E66*$D66*KVARDI,2))</f>
        <v/>
      </c>
      <c r="DA66" s="66" t="n"/>
      <c r="DB66" s="78">
        <f>IF(OR(INDEX(Undirviðmið!$G$6:$G$105,ROW()-6)&lt;&gt;"Starfsbundinn",DA66="",$E66="",$D66=""),"",ROUND(DA66/$E66*$D66*KVARDI,2))</f>
        <v/>
      </c>
      <c r="DC66" s="66" t="n"/>
      <c r="DD66" s="78">
        <f>IF(OR(INDEX(Undirviðmið!$G$6:$G$105,ROW()-6)&lt;&gt;"Starfsbundinn",DC66="",$E66="",$D66=""),"",ROUND(DC66/$E66*$D66*KVARDI,2))</f>
        <v/>
      </c>
      <c r="DE66" s="66" t="n"/>
      <c r="DF66" s="78">
        <f>IF(OR(INDEX(Undirviðmið!$G$6:$G$105,ROW()-6)&lt;&gt;"Starfsbundinn",DE66="",$E66="",$D66=""),"",ROUND(DE66/$E66*$D66*KVARDI,2))</f>
        <v/>
      </c>
      <c r="DG66" s="66" t="n"/>
      <c r="DH66" s="78">
        <f>IF(OR(INDEX(Undirviðmið!$G$6:$G$105,ROW()-6)&lt;&gt;"Starfsbundinn",DG66="",$E66="",$D66=""),"",ROUND(DG66/$E66*$D66*KVARDI,2))</f>
        <v/>
      </c>
      <c r="DI66" s="66" t="n"/>
      <c r="DJ66" s="78">
        <f>IF(OR(INDEX(Undirviðmið!$G$6:$G$105,ROW()-6)&lt;&gt;"Starfsbundinn",DI66="",$E66="",$D66=""),"",ROUND(DI66/$E66*$D66*KVARDI,2))</f>
        <v/>
      </c>
      <c r="DK66" s="66" t="n"/>
      <c r="DL66" s="78">
        <f>IF(OR(INDEX(Undirviðmið!$G$6:$G$105,ROW()-6)&lt;&gt;"Starfsbundinn",DK66="",$E66="",$D66=""),"",ROUND(DK66/$E66*$D66*KVARDI,2))</f>
        <v/>
      </c>
      <c r="DM66" s="66" t="n"/>
      <c r="DN66" s="78">
        <f>IF(OR(INDEX(Undirviðmið!$G$6:$G$105,ROW()-6)&lt;&gt;"Starfsbundinn",DM66="",$E66="",$D66=""),"",ROUND(DM66/$E66*$D66*KVARDI,2))</f>
        <v/>
      </c>
      <c r="DO66" s="66" t="n"/>
      <c r="DP66" s="78">
        <f>IF(OR(INDEX(Undirviðmið!$G$6:$G$105,ROW()-6)&lt;&gt;"Starfsbundinn",DO66="",$E66="",$D66=""),"",ROUND(DO66/$E66*$D66*KVARDI,2))</f>
        <v/>
      </c>
      <c r="DQ66" s="66" t="n"/>
      <c r="DR66" s="78">
        <f>IF(OR(INDEX(Undirviðmið!$G$6:$G$105,ROW()-6)&lt;&gt;"Starfsbundinn",DQ66="",$E66="",$D66=""),"",ROUND(DQ66/$E66*$D66*KVARDI,2))</f>
        <v/>
      </c>
      <c r="DS66" s="66" t="n"/>
      <c r="DT66" s="78">
        <f>IF(OR(INDEX(Undirviðmið!$G$6:$G$105,ROW()-6)&lt;&gt;"Starfsbundinn",DS66="",$E66="",$D66=""),"",ROUND(DS66/$E66*$D66*KVARDI,2))</f>
        <v/>
      </c>
      <c r="DU66" s="66" t="n"/>
      <c r="DV66" s="78">
        <f>IF(OR(INDEX(Undirviðmið!$G$6:$G$105,ROW()-6)&lt;&gt;"Starfsbundinn",DU66="",$E66="",$D66=""),"",ROUND(DU66/$E66*$D66*KVARDI,2))</f>
        <v/>
      </c>
      <c r="DW66" s="66" t="n"/>
      <c r="DX66" s="78">
        <f>IF(OR(INDEX(Undirviðmið!$G$6:$G$105,ROW()-6)&lt;&gt;"Starfsbundinn",DW66="",$E66="",$D66=""),"",ROUND(DW66/$E66*$D66*KVARDI,2))</f>
        <v/>
      </c>
      <c r="DY66" s="66" t="n"/>
      <c r="DZ66" s="78">
        <f>IF(OR(INDEX(Undirviðmið!$G$6:$G$105,ROW()-6)&lt;&gt;"Starfsbundinn",DY66="",$E66="",$D66=""),"",ROUND(DY66/$E66*$D66*KVARDI,2))</f>
        <v/>
      </c>
      <c r="EA66" s="66" t="n"/>
      <c r="EB66" s="78">
        <f>IF(OR(INDEX(Undirviðmið!$G$6:$G$105,ROW()-6)&lt;&gt;"Starfsbundinn",EA66="",$E66="",$D66=""),"",ROUND(EA66/$E66*$D66*KVARDI,2))</f>
        <v/>
      </c>
      <c r="EC66" s="66" t="n"/>
      <c r="ED66" s="78">
        <f>IF(OR(INDEX(Undirviðmið!$G$6:$G$105,ROW()-6)&lt;&gt;"Starfsbundinn",EC66="",$E66="",$D66=""),"",ROUND(EC66/$E66*$D66*KVARDI,2))</f>
        <v/>
      </c>
      <c r="EE66" s="66" t="n"/>
      <c r="EF66" s="78">
        <f>IF(OR(INDEX(Undirviðmið!$G$6:$G$105,ROW()-6)&lt;&gt;"Starfsbundinn",EE66="",$E66="",$D66=""),"",ROUND(EE66/$E66*$D66*KVARDI,2))</f>
        <v/>
      </c>
      <c r="EG66" s="66" t="n"/>
      <c r="EH66" s="78">
        <f>IF(OR(INDEX(Undirviðmið!$G$6:$G$105,ROW()-6)&lt;&gt;"Starfsbundinn",EG66="",$E66="",$D66=""),"",ROUND(EG66/$E66*$D66*KVARDI,2))</f>
        <v/>
      </c>
      <c r="EI66" s="66" t="n"/>
      <c r="EJ66" s="78">
        <f>IF(OR(INDEX(Undirviðmið!$G$6:$G$105,ROW()-6)&lt;&gt;"Starfsbundinn",EI66="",$E66="",$D66=""),"",ROUND(EI66/$E66*$D66*KVARDI,2))</f>
        <v/>
      </c>
      <c r="EK66" s="66" t="n"/>
      <c r="EL66" s="78">
        <f>IF(OR(INDEX(Undirviðmið!$G$6:$G$105,ROW()-6)&lt;&gt;"Starfsbundinn",EK66="",$E66="",$D66=""),"",ROUND(EK66/$E66*$D66*KVARDI,2))</f>
        <v/>
      </c>
      <c r="EM66" s="66" t="n"/>
      <c r="EN66" s="78">
        <f>IF(OR(INDEX(Undirviðmið!$G$6:$G$105,ROW()-6)&lt;&gt;"Starfsbundinn",EM66="",$E66="",$D66=""),"",ROUND(EM66/$E66*$D66*KVARDI,2))</f>
        <v/>
      </c>
      <c r="EO66" s="66" t="n"/>
      <c r="EP66" s="78">
        <f>IF(OR(INDEX(Undirviðmið!$G$6:$G$105,ROW()-6)&lt;&gt;"Starfsbundinn",EO66="",$E66="",$D66=""),"",ROUND(EO66/$E66*$D66*KVARDI,2))</f>
        <v/>
      </c>
      <c r="EQ66" s="66" t="n"/>
      <c r="ER66" s="78">
        <f>IF(OR(INDEX(Undirviðmið!$G$6:$G$105,ROW()-6)&lt;&gt;"Starfsbundinn",EQ66="",$E66="",$D66=""),"",ROUND(EQ66/$E66*$D66*KVARDI,2))</f>
        <v/>
      </c>
      <c r="ES66" s="66" t="n"/>
      <c r="ET66" s="78">
        <f>IF(OR(INDEX(Undirviðmið!$G$6:$G$105,ROW()-6)&lt;&gt;"Starfsbundinn",ES66="",$E66="",$D66=""),"",ROUND(ES66/$E66*$D66*KVARDI,2))</f>
        <v/>
      </c>
      <c r="EU66" s="66" t="n"/>
      <c r="EV66" s="78">
        <f>IF(OR(INDEX(Undirviðmið!$G$6:$G$105,ROW()-6)&lt;&gt;"Starfsbundinn",EU66="",$E66="",$D66=""),"",ROUND(EU66/$E66*$D66*KVARDI,2))</f>
        <v/>
      </c>
      <c r="EW66" s="66" t="n"/>
      <c r="EX66" s="78">
        <f>IF(OR(INDEX(Undirviðmið!$G$6:$G$105,ROW()-6)&lt;&gt;"Starfsbundinn",EW66="",$E66="",$D66=""),"",ROUND(EW66/$E66*$D66*KVARDI,2))</f>
        <v/>
      </c>
      <c r="EY66" s="66" t="n"/>
      <c r="EZ66" s="78">
        <f>IF(OR(INDEX(Undirviðmið!$G$6:$G$105,ROW()-6)&lt;&gt;"Starfsbundinn",EY66="",$E66="",$D66=""),"",ROUND(EY66/$E66*$D66*KVARDI,2))</f>
        <v/>
      </c>
      <c r="FA66" s="66" t="n"/>
      <c r="FB66" s="78">
        <f>IF(OR(INDEX(Undirviðmið!$G$6:$G$105,ROW()-6)&lt;&gt;"Starfsbundinn",FA66="",$E66="",$D66=""),"",ROUND(FA66/$E66*$D66*KVARDI,2))</f>
        <v/>
      </c>
      <c r="FC66" s="66" t="n"/>
      <c r="FD66" s="78">
        <f>IF(OR(INDEX(Undirviðmið!$G$6:$G$105,ROW()-6)&lt;&gt;"Starfsbundinn",FC66="",$E66="",$D66=""),"",ROUND(FC66/$E66*$D66*KVARDI,2))</f>
        <v/>
      </c>
      <c r="FE66" s="66" t="n"/>
      <c r="FF66" s="78">
        <f>IF(OR(INDEX(Undirviðmið!$G$6:$G$105,ROW()-6)&lt;&gt;"Starfsbundinn",FE66="",$E66="",$D66=""),"",ROUND(FE66/$E66*$D66*KVARDI,2))</f>
        <v/>
      </c>
      <c r="FG66" s="66" t="n"/>
      <c r="FH66" s="78">
        <f>IF(OR(INDEX(Undirviðmið!$G$6:$G$105,ROW()-6)&lt;&gt;"Starfsbundinn",FG66="",$E66="",$D66=""),"",ROUND(FG66/$E66*$D66*KVARDI,2))</f>
        <v/>
      </c>
      <c r="FI66" s="66" t="n"/>
      <c r="FJ66" s="78">
        <f>IF(OR(INDEX(Undirviðmið!$G$6:$G$105,ROW()-6)&lt;&gt;"Starfsbundinn",FI66="",$E66="",$D66=""),"",ROUND(FI66/$E66*$D66*KVARDI,2))</f>
        <v/>
      </c>
      <c r="FK66" s="66" t="n"/>
      <c r="FL66" s="78">
        <f>IF(OR(INDEX(Undirviðmið!$G$6:$G$105,ROW()-6)&lt;&gt;"Starfsbundinn",FK66="",$E66="",$D66=""),"",ROUND(FK66/$E66*$D66*KVARDI,2))</f>
        <v/>
      </c>
      <c r="FM66" s="66" t="n"/>
      <c r="FN66" s="78">
        <f>IF(OR(INDEX(Undirviðmið!$G$6:$G$105,ROW()-6)&lt;&gt;"Starfsbundinn",FM66="",$E66="",$D66=""),"",ROUND(FM66/$E66*$D66*KVARDI,2))</f>
        <v/>
      </c>
      <c r="FO66" s="66" t="n"/>
      <c r="FP66" s="78">
        <f>IF(OR(INDEX(Undirviðmið!$G$6:$G$105,ROW()-6)&lt;&gt;"Starfsbundinn",FO66="",$E66="",$D66=""),"",ROUND(FO66/$E66*$D66*KVARDI,2))</f>
        <v/>
      </c>
      <c r="FQ66" s="66" t="n"/>
      <c r="FR66" s="78">
        <f>IF(OR(INDEX(Undirviðmið!$G$6:$G$105,ROW()-6)&lt;&gt;"Starfsbundinn",FQ66="",$E66="",$D66=""),"",ROUND(FQ66/$E66*$D66*KVARDI,2))</f>
        <v/>
      </c>
      <c r="FS66" s="66" t="n"/>
      <c r="FT66" s="78">
        <f>IF(OR(INDEX(Undirviðmið!$G$6:$G$105,ROW()-6)&lt;&gt;"Starfsbundinn",FS66="",$E66="",$D66=""),"",ROUND(FS66/$E66*$D66*KVARDI,2))</f>
        <v/>
      </c>
      <c r="FU66" s="66" t="n"/>
      <c r="FV66" s="78">
        <f>IF(OR(INDEX(Undirviðmið!$G$6:$G$105,ROW()-6)&lt;&gt;"Starfsbundinn",FU66="",$E66="",$D66=""),"",ROUND(FU66/$E66*$D66*KVARDI,2))</f>
        <v/>
      </c>
      <c r="FW66" s="66" t="n"/>
      <c r="FX66" s="78">
        <f>IF(OR(INDEX(Undirviðmið!$G$6:$G$105,ROW()-6)&lt;&gt;"Starfsbundinn",FW66="",$E66="",$D66=""),"",ROUND(FW66/$E66*$D66*KVARDI,2))</f>
        <v/>
      </c>
      <c r="FY66" s="66" t="n"/>
      <c r="FZ66" s="78">
        <f>IF(OR(INDEX(Undirviðmið!$G$6:$G$105,ROW()-6)&lt;&gt;"Starfsbundinn",FY66="",$E66="",$D66=""),"",ROUND(FY66/$E66*$D66*KVARDI,2))</f>
        <v/>
      </c>
      <c r="GA66" s="66" t="n"/>
      <c r="GB66" s="78">
        <f>IF(OR(INDEX(Undirviðmið!$G$6:$G$105,ROW()-6)&lt;&gt;"Starfsbundinn",GA66="",$E66="",$D66=""),"",ROUND(GA66/$E66*$D66*KVARDI,2))</f>
        <v/>
      </c>
      <c r="GC66" s="66" t="n"/>
      <c r="GD66" s="78">
        <f>IF(OR(INDEX(Undirviðmið!$G$6:$G$105,ROW()-6)&lt;&gt;"Starfsbundinn",GC66="",$E66="",$D66=""),"",ROUND(GC66/$E66*$D66*KVARDI,2))</f>
        <v/>
      </c>
      <c r="GE66" s="66" t="n"/>
      <c r="GF66" s="78">
        <f>IF(OR(INDEX(Undirviðmið!$G$6:$G$105,ROW()-6)&lt;&gt;"Starfsbundinn",GE66="",$E66="",$D66=""),"",ROUND(GE66/$E66*$D66*KVARDI,2))</f>
        <v/>
      </c>
      <c r="GG66" s="66" t="n"/>
      <c r="GH66" s="78">
        <f>IF(OR(INDEX(Undirviðmið!$G$6:$G$105,ROW()-6)&lt;&gt;"Starfsbundinn",GG66="",$E66="",$D66=""),"",ROUND(GG66/$E66*$D66*KVARDI,2))</f>
        <v/>
      </c>
      <c r="GI66" s="66" t="n"/>
      <c r="GJ66" s="78">
        <f>IF(OR(INDEX(Undirviðmið!$G$6:$G$105,ROW()-6)&lt;&gt;"Starfsbundinn",GI66="",$E66="",$D66=""),"",ROUND(GI66/$E66*$D66*KVARDI,2))</f>
        <v/>
      </c>
      <c r="GK66" s="66" t="n"/>
      <c r="GL66" s="78">
        <f>IF(OR(INDEX(Undirviðmið!$G$6:$G$105,ROW()-6)&lt;&gt;"Starfsbundinn",GK66="",$E66="",$D66=""),"",ROUND(GK66/$E66*$D66*KVARDI,2))</f>
        <v/>
      </c>
      <c r="GM66" s="66" t="n"/>
      <c r="GN66" s="78">
        <f>IF(OR(INDEX(Undirviðmið!$G$6:$G$105,ROW()-6)&lt;&gt;"Starfsbundinn",GM66="",$E66="",$D66=""),"",ROUND(GM66/$E66*$D66*KVARDI,2))</f>
        <v/>
      </c>
      <c r="GO66" s="66" t="n"/>
      <c r="GP66" s="78">
        <f>IF(OR(INDEX(Undirviðmið!$G$6:$G$105,ROW()-6)&lt;&gt;"Starfsbundinn",GO66="",$E66="",$D66=""),"",ROUND(GO66/$E66*$D66*KVARDI,2))</f>
        <v/>
      </c>
      <c r="GQ66" s="66" t="n"/>
      <c r="GR66" s="78">
        <f>IF(OR(INDEX(Undirviðmið!$G$6:$G$105,ROW()-6)&lt;&gt;"Starfsbundinn",GQ66="",$E66="",$D66=""),"",ROUND(GQ66/$E66*$D66*KVARDI,2))</f>
        <v/>
      </c>
      <c r="GS66" s="66" t="n"/>
      <c r="GT66" s="78">
        <f>IF(OR(INDEX(Undirviðmið!$G$6:$G$105,ROW()-6)&lt;&gt;"Starfsbundinn",GS66="",$E66="",$D66=""),"",ROUND(GS66/$E66*$D66*KVARDI,2))</f>
        <v/>
      </c>
      <c r="GU66" s="66" t="n"/>
      <c r="GV66" s="78">
        <f>IF(OR(INDEX(Undirviðmið!$G$6:$G$105,ROW()-6)&lt;&gt;"Starfsbundinn",GU66="",$E66="",$D66=""),"",ROUND(GU66/$E66*$D66*KVARDI,2))</f>
        <v/>
      </c>
      <c r="GW66" s="66" t="n"/>
      <c r="GX66" s="78">
        <f>IF(OR(INDEX(Undirviðmið!$G$6:$G$105,ROW()-6)&lt;&gt;"Starfsbundinn",GW66="",$E66="",$D66=""),"",ROUND(GW66/$E66*$D66*KVARDI,2))</f>
        <v/>
      </c>
    </row>
    <row r="67" ht="15" customHeight="1" s="47">
      <c r="B67" s="67">
        <f>IF(INDEX(Undirviðmið!$G$6:$G$105,ROW()-6)="Starfsbundinn",INDEX(Undirviðmið!$B$6:$B$105,ROW()-6),"")</f>
        <v/>
      </c>
      <c r="C67" s="67">
        <f>IF(INDEX(Undirviðmið!$G$6:$G$105,ROW()-6)="Starfsbundinn",INDEX(Undirviðmið!$C$6:$C$105,ROW()-6),"")</f>
        <v/>
      </c>
      <c r="D67" s="77">
        <f>IF(INDEX(Undirviðmið!$G$6:$G$105,ROW()-6)="Starfsbundinn",INDEX(Undirviðmið!$E$6:$E$105,ROW()-6),"")</f>
        <v/>
      </c>
      <c r="E67" s="77">
        <f>IF(INDEX(Undirviðmið!$G$6:$G$105,ROW()-6)="Starfsbundinn",INDEX(Undirviðmið!$F$6:$F$105,ROW()-6),"")</f>
        <v/>
      </c>
      <c r="F67" s="77">
        <f>IF(INDEX(Undirviðmið!$G$6:$G$105,ROW()-6)="Starfsbundinn",IFERROR(INDEX(Undirviðmið!$E$6:$E$105,ROW()-6)*KVARDI,""),"")</f>
        <v/>
      </c>
      <c r="G67" s="66" t="n"/>
      <c r="H67" s="78">
        <f>IF(OR(INDEX(Undirviðmið!$G$6:$G$105,ROW()-6)&lt;&gt;"Starfsbundinn",G67="",$E67="",$D67=""),"",ROUND(G67/$E67*$D67*KVARDI,2))</f>
        <v/>
      </c>
      <c r="I67" s="66" t="n"/>
      <c r="J67" s="78">
        <f>IF(OR(INDEX(Undirviðmið!$G$6:$G$105,ROW()-6)&lt;&gt;"Starfsbundinn",I67="",$E67="",$D67=""),"",ROUND(I67/$E67*$D67*KVARDI,2))</f>
        <v/>
      </c>
      <c r="K67" s="66" t="n"/>
      <c r="L67" s="78">
        <f>IF(OR(INDEX(Undirviðmið!$G$6:$G$105,ROW()-6)&lt;&gt;"Starfsbundinn",K67="",$E67="",$D67=""),"",ROUND(K67/$E67*$D67*KVARDI,2))</f>
        <v/>
      </c>
      <c r="M67" s="66" t="n"/>
      <c r="N67" s="78">
        <f>IF(OR(INDEX(Undirviðmið!$G$6:$G$105,ROW()-6)&lt;&gt;"Starfsbundinn",M67="",$E67="",$D67=""),"",ROUND(M67/$E67*$D67*KVARDI,2))</f>
        <v/>
      </c>
      <c r="O67" s="66" t="n"/>
      <c r="P67" s="78">
        <f>IF(OR(INDEX(Undirviðmið!$G$6:$G$105,ROW()-6)&lt;&gt;"Starfsbundinn",O67="",$E67="",$D67=""),"",ROUND(O67/$E67*$D67*KVARDI,2))</f>
        <v/>
      </c>
      <c r="Q67" s="66" t="n"/>
      <c r="R67" s="78">
        <f>IF(OR(INDEX(Undirviðmið!$G$6:$G$105,ROW()-6)&lt;&gt;"Starfsbundinn",Q67="",$E67="",$D67=""),"",ROUND(Q67/$E67*$D67*KVARDI,2))</f>
        <v/>
      </c>
      <c r="S67" s="66" t="n"/>
      <c r="T67" s="78">
        <f>IF(OR(INDEX(Undirviðmið!$G$6:$G$105,ROW()-6)&lt;&gt;"Starfsbundinn",S67="",$E67="",$D67=""),"",ROUND(S67/$E67*$D67*KVARDI,2))</f>
        <v/>
      </c>
      <c r="U67" s="66" t="n"/>
      <c r="V67" s="78">
        <f>IF(OR(INDEX(Undirviðmið!$G$6:$G$105,ROW()-6)&lt;&gt;"Starfsbundinn",U67="",$E67="",$D67=""),"",ROUND(U67/$E67*$D67*KVARDI,2))</f>
        <v/>
      </c>
      <c r="W67" s="66" t="n"/>
      <c r="X67" s="78">
        <f>IF(OR(INDEX(Undirviðmið!$G$6:$G$105,ROW()-6)&lt;&gt;"Starfsbundinn",W67="",$E67="",$D67=""),"",ROUND(W67/$E67*$D67*KVARDI,2))</f>
        <v/>
      </c>
      <c r="Y67" s="66" t="n"/>
      <c r="Z67" s="78">
        <f>IF(OR(INDEX(Undirviðmið!$G$6:$G$105,ROW()-6)&lt;&gt;"Starfsbundinn",Y67="",$E67="",$D67=""),"",ROUND(Y67/$E67*$D67*KVARDI,2))</f>
        <v/>
      </c>
      <c r="AA67" s="66" t="n"/>
      <c r="AB67" s="78">
        <f>IF(OR(INDEX(Undirviðmið!$G$6:$G$105,ROW()-6)&lt;&gt;"Starfsbundinn",AA67="",$E67="",$D67=""),"",ROUND(AA67/$E67*$D67*KVARDI,2))</f>
        <v/>
      </c>
      <c r="AC67" s="66" t="n"/>
      <c r="AD67" s="78">
        <f>IF(OR(INDEX(Undirviðmið!$G$6:$G$105,ROW()-6)&lt;&gt;"Starfsbundinn",AC67="",$E67="",$D67=""),"",ROUND(AC67/$E67*$D67*KVARDI,2))</f>
        <v/>
      </c>
      <c r="AE67" s="66" t="n"/>
      <c r="AF67" s="78">
        <f>IF(OR(INDEX(Undirviðmið!$G$6:$G$105,ROW()-6)&lt;&gt;"Starfsbundinn",AE67="",$E67="",$D67=""),"",ROUND(AE67/$E67*$D67*KVARDI,2))</f>
        <v/>
      </c>
      <c r="AG67" s="66" t="n"/>
      <c r="AH67" s="78">
        <f>IF(OR(INDEX(Undirviðmið!$G$6:$G$105,ROW()-6)&lt;&gt;"Starfsbundinn",AG67="",$E67="",$D67=""),"",ROUND(AG67/$E67*$D67*KVARDI,2))</f>
        <v/>
      </c>
      <c r="AI67" s="66" t="n"/>
      <c r="AJ67" s="78">
        <f>IF(OR(INDEX(Undirviðmið!$G$6:$G$105,ROW()-6)&lt;&gt;"Starfsbundinn",AI67="",$E67="",$D67=""),"",ROUND(AI67/$E67*$D67*KVARDI,2))</f>
        <v/>
      </c>
      <c r="AK67" s="66" t="n"/>
      <c r="AL67" s="78">
        <f>IF(OR(INDEX(Undirviðmið!$G$6:$G$105,ROW()-6)&lt;&gt;"Starfsbundinn",AK67="",$E67="",$D67=""),"",ROUND(AK67/$E67*$D67*KVARDI,2))</f>
        <v/>
      </c>
      <c r="AM67" s="66" t="n"/>
      <c r="AN67" s="78">
        <f>IF(OR(INDEX(Undirviðmið!$G$6:$G$105,ROW()-6)&lt;&gt;"Starfsbundinn",AM67="",$E67="",$D67=""),"",ROUND(AM67/$E67*$D67*KVARDI,2))</f>
        <v/>
      </c>
      <c r="AO67" s="66" t="n"/>
      <c r="AP67" s="78">
        <f>IF(OR(INDEX(Undirviðmið!$G$6:$G$105,ROW()-6)&lt;&gt;"Starfsbundinn",AO67="",$E67="",$D67=""),"",ROUND(AO67/$E67*$D67*KVARDI,2))</f>
        <v/>
      </c>
      <c r="AQ67" s="66" t="n"/>
      <c r="AR67" s="78">
        <f>IF(OR(INDEX(Undirviðmið!$G$6:$G$105,ROW()-6)&lt;&gt;"Starfsbundinn",AQ67="",$E67="",$D67=""),"",ROUND(AQ67/$E67*$D67*KVARDI,2))</f>
        <v/>
      </c>
      <c r="AS67" s="66" t="n"/>
      <c r="AT67" s="78">
        <f>IF(OR(INDEX(Undirviðmið!$G$6:$G$105,ROW()-6)&lt;&gt;"Starfsbundinn",AS67="",$E67="",$D67=""),"",ROUND(AS67/$E67*$D67*KVARDI,2))</f>
        <v/>
      </c>
      <c r="AU67" s="66" t="n"/>
      <c r="AV67" s="78">
        <f>IF(OR(INDEX(Undirviðmið!$G$6:$G$105,ROW()-6)&lt;&gt;"Starfsbundinn",AU67="",$E67="",$D67=""),"",ROUND(AU67/$E67*$D67*KVARDI,2))</f>
        <v/>
      </c>
      <c r="AW67" s="66" t="n"/>
      <c r="AX67" s="78">
        <f>IF(OR(INDEX(Undirviðmið!$G$6:$G$105,ROW()-6)&lt;&gt;"Starfsbundinn",AW67="",$E67="",$D67=""),"",ROUND(AW67/$E67*$D67*KVARDI,2))</f>
        <v/>
      </c>
      <c r="AY67" s="66" t="n"/>
      <c r="AZ67" s="78">
        <f>IF(OR(INDEX(Undirviðmið!$G$6:$G$105,ROW()-6)&lt;&gt;"Starfsbundinn",AY67="",$E67="",$D67=""),"",ROUND(AY67/$E67*$D67*KVARDI,2))</f>
        <v/>
      </c>
      <c r="BA67" s="66" t="n"/>
      <c r="BB67" s="78">
        <f>IF(OR(INDEX(Undirviðmið!$G$6:$G$105,ROW()-6)&lt;&gt;"Starfsbundinn",BA67="",$E67="",$D67=""),"",ROUND(BA67/$E67*$D67*KVARDI,2))</f>
        <v/>
      </c>
      <c r="BC67" s="66" t="n"/>
      <c r="BD67" s="78">
        <f>IF(OR(INDEX(Undirviðmið!$G$6:$G$105,ROW()-6)&lt;&gt;"Starfsbundinn",BC67="",$E67="",$D67=""),"",ROUND(BC67/$E67*$D67*KVARDI,2))</f>
        <v/>
      </c>
      <c r="BE67" s="66" t="n"/>
      <c r="BF67" s="78">
        <f>IF(OR(INDEX(Undirviðmið!$G$6:$G$105,ROW()-6)&lt;&gt;"Starfsbundinn",BE67="",$E67="",$D67=""),"",ROUND(BE67/$E67*$D67*KVARDI,2))</f>
        <v/>
      </c>
      <c r="BG67" s="66" t="n"/>
      <c r="BH67" s="78">
        <f>IF(OR(INDEX(Undirviðmið!$G$6:$G$105,ROW()-6)&lt;&gt;"Starfsbundinn",BG67="",$E67="",$D67=""),"",ROUND(BG67/$E67*$D67*KVARDI,2))</f>
        <v/>
      </c>
      <c r="BI67" s="66" t="n"/>
      <c r="BJ67" s="78">
        <f>IF(OR(INDEX(Undirviðmið!$G$6:$G$105,ROW()-6)&lt;&gt;"Starfsbundinn",BI67="",$E67="",$D67=""),"",ROUND(BI67/$E67*$D67*KVARDI,2))</f>
        <v/>
      </c>
      <c r="BK67" s="66" t="n"/>
      <c r="BL67" s="78">
        <f>IF(OR(INDEX(Undirviðmið!$G$6:$G$105,ROW()-6)&lt;&gt;"Starfsbundinn",BK67="",$E67="",$D67=""),"",ROUND(BK67/$E67*$D67*KVARDI,2))</f>
        <v/>
      </c>
      <c r="BM67" s="66" t="n"/>
      <c r="BN67" s="78">
        <f>IF(OR(INDEX(Undirviðmið!$G$6:$G$105,ROW()-6)&lt;&gt;"Starfsbundinn",BM67="",$E67="",$D67=""),"",ROUND(BM67/$E67*$D67*KVARDI,2))</f>
        <v/>
      </c>
      <c r="BO67" s="66" t="n"/>
      <c r="BP67" s="78">
        <f>IF(OR(INDEX(Undirviðmið!$G$6:$G$105,ROW()-6)&lt;&gt;"Starfsbundinn",BO67="",$E67="",$D67=""),"",ROUND(BO67/$E67*$D67*KVARDI,2))</f>
        <v/>
      </c>
      <c r="BQ67" s="66" t="n"/>
      <c r="BR67" s="78">
        <f>IF(OR(INDEX(Undirviðmið!$G$6:$G$105,ROW()-6)&lt;&gt;"Starfsbundinn",BQ67="",$E67="",$D67=""),"",ROUND(BQ67/$E67*$D67*KVARDI,2))</f>
        <v/>
      </c>
      <c r="BS67" s="66" t="n"/>
      <c r="BT67" s="78">
        <f>IF(OR(INDEX(Undirviðmið!$G$6:$G$105,ROW()-6)&lt;&gt;"Starfsbundinn",BS67="",$E67="",$D67=""),"",ROUND(BS67/$E67*$D67*KVARDI,2))</f>
        <v/>
      </c>
      <c r="BU67" s="66" t="n"/>
      <c r="BV67" s="78">
        <f>IF(OR(INDEX(Undirviðmið!$G$6:$G$105,ROW()-6)&lt;&gt;"Starfsbundinn",BU67="",$E67="",$D67=""),"",ROUND(BU67/$E67*$D67*KVARDI,2))</f>
        <v/>
      </c>
      <c r="BW67" s="66" t="n"/>
      <c r="BX67" s="78">
        <f>IF(OR(INDEX(Undirviðmið!$G$6:$G$105,ROW()-6)&lt;&gt;"Starfsbundinn",BW67="",$E67="",$D67=""),"",ROUND(BW67/$E67*$D67*KVARDI,2))</f>
        <v/>
      </c>
      <c r="BY67" s="66" t="n"/>
      <c r="BZ67" s="78">
        <f>IF(OR(INDEX(Undirviðmið!$G$6:$G$105,ROW()-6)&lt;&gt;"Starfsbundinn",BY67="",$E67="",$D67=""),"",ROUND(BY67/$E67*$D67*KVARDI,2))</f>
        <v/>
      </c>
      <c r="CA67" s="66" t="n"/>
      <c r="CB67" s="78">
        <f>IF(OR(INDEX(Undirviðmið!$G$6:$G$105,ROW()-6)&lt;&gt;"Starfsbundinn",CA67="",$E67="",$D67=""),"",ROUND(CA67/$E67*$D67*KVARDI,2))</f>
        <v/>
      </c>
      <c r="CC67" s="66" t="n"/>
      <c r="CD67" s="78">
        <f>IF(OR(INDEX(Undirviðmið!$G$6:$G$105,ROW()-6)&lt;&gt;"Starfsbundinn",CC67="",$E67="",$D67=""),"",ROUND(CC67/$E67*$D67*KVARDI,2))</f>
        <v/>
      </c>
      <c r="CE67" s="66" t="n"/>
      <c r="CF67" s="78">
        <f>IF(OR(INDEX(Undirviðmið!$G$6:$G$105,ROW()-6)&lt;&gt;"Starfsbundinn",CE67="",$E67="",$D67=""),"",ROUND(CE67/$E67*$D67*KVARDI,2))</f>
        <v/>
      </c>
      <c r="CG67" s="66" t="n"/>
      <c r="CH67" s="78">
        <f>IF(OR(INDEX(Undirviðmið!$G$6:$G$105,ROW()-6)&lt;&gt;"Starfsbundinn",CG67="",$E67="",$D67=""),"",ROUND(CG67/$E67*$D67*KVARDI,2))</f>
        <v/>
      </c>
      <c r="CI67" s="66" t="n"/>
      <c r="CJ67" s="78">
        <f>IF(OR(INDEX(Undirviðmið!$G$6:$G$105,ROW()-6)&lt;&gt;"Starfsbundinn",CI67="",$E67="",$D67=""),"",ROUND(CI67/$E67*$D67*KVARDI,2))</f>
        <v/>
      </c>
      <c r="CK67" s="66" t="n"/>
      <c r="CL67" s="78">
        <f>IF(OR(INDEX(Undirviðmið!$G$6:$G$105,ROW()-6)&lt;&gt;"Starfsbundinn",CK67="",$E67="",$D67=""),"",ROUND(CK67/$E67*$D67*KVARDI,2))</f>
        <v/>
      </c>
      <c r="CM67" s="66" t="n"/>
      <c r="CN67" s="78">
        <f>IF(OR(INDEX(Undirviðmið!$G$6:$G$105,ROW()-6)&lt;&gt;"Starfsbundinn",CM67="",$E67="",$D67=""),"",ROUND(CM67/$E67*$D67*KVARDI,2))</f>
        <v/>
      </c>
      <c r="CO67" s="66" t="n"/>
      <c r="CP67" s="78">
        <f>IF(OR(INDEX(Undirviðmið!$G$6:$G$105,ROW()-6)&lt;&gt;"Starfsbundinn",CO67="",$E67="",$D67=""),"",ROUND(CO67/$E67*$D67*KVARDI,2))</f>
        <v/>
      </c>
      <c r="CQ67" s="66" t="n"/>
      <c r="CR67" s="78">
        <f>IF(OR(INDEX(Undirviðmið!$G$6:$G$105,ROW()-6)&lt;&gt;"Starfsbundinn",CQ67="",$E67="",$D67=""),"",ROUND(CQ67/$E67*$D67*KVARDI,2))</f>
        <v/>
      </c>
      <c r="CS67" s="66" t="n"/>
      <c r="CT67" s="78">
        <f>IF(OR(INDEX(Undirviðmið!$G$6:$G$105,ROW()-6)&lt;&gt;"Starfsbundinn",CS67="",$E67="",$D67=""),"",ROUND(CS67/$E67*$D67*KVARDI,2))</f>
        <v/>
      </c>
      <c r="CU67" s="66" t="n"/>
      <c r="CV67" s="78">
        <f>IF(OR(INDEX(Undirviðmið!$G$6:$G$105,ROW()-6)&lt;&gt;"Starfsbundinn",CU67="",$E67="",$D67=""),"",ROUND(CU67/$E67*$D67*KVARDI,2))</f>
        <v/>
      </c>
      <c r="CW67" s="66" t="n"/>
      <c r="CX67" s="78">
        <f>IF(OR(INDEX(Undirviðmið!$G$6:$G$105,ROW()-6)&lt;&gt;"Starfsbundinn",CW67="",$E67="",$D67=""),"",ROUND(CW67/$E67*$D67*KVARDI,2))</f>
        <v/>
      </c>
      <c r="CY67" s="66" t="n"/>
      <c r="CZ67" s="78">
        <f>IF(OR(INDEX(Undirviðmið!$G$6:$G$105,ROW()-6)&lt;&gt;"Starfsbundinn",CY67="",$E67="",$D67=""),"",ROUND(CY67/$E67*$D67*KVARDI,2))</f>
        <v/>
      </c>
      <c r="DA67" s="66" t="n"/>
      <c r="DB67" s="78">
        <f>IF(OR(INDEX(Undirviðmið!$G$6:$G$105,ROW()-6)&lt;&gt;"Starfsbundinn",DA67="",$E67="",$D67=""),"",ROUND(DA67/$E67*$D67*KVARDI,2))</f>
        <v/>
      </c>
      <c r="DC67" s="66" t="n"/>
      <c r="DD67" s="78">
        <f>IF(OR(INDEX(Undirviðmið!$G$6:$G$105,ROW()-6)&lt;&gt;"Starfsbundinn",DC67="",$E67="",$D67=""),"",ROUND(DC67/$E67*$D67*KVARDI,2))</f>
        <v/>
      </c>
      <c r="DE67" s="66" t="n"/>
      <c r="DF67" s="78">
        <f>IF(OR(INDEX(Undirviðmið!$G$6:$G$105,ROW()-6)&lt;&gt;"Starfsbundinn",DE67="",$E67="",$D67=""),"",ROUND(DE67/$E67*$D67*KVARDI,2))</f>
        <v/>
      </c>
      <c r="DG67" s="66" t="n"/>
      <c r="DH67" s="78">
        <f>IF(OR(INDEX(Undirviðmið!$G$6:$G$105,ROW()-6)&lt;&gt;"Starfsbundinn",DG67="",$E67="",$D67=""),"",ROUND(DG67/$E67*$D67*KVARDI,2))</f>
        <v/>
      </c>
      <c r="DI67" s="66" t="n"/>
      <c r="DJ67" s="78">
        <f>IF(OR(INDEX(Undirviðmið!$G$6:$G$105,ROW()-6)&lt;&gt;"Starfsbundinn",DI67="",$E67="",$D67=""),"",ROUND(DI67/$E67*$D67*KVARDI,2))</f>
        <v/>
      </c>
      <c r="DK67" s="66" t="n"/>
      <c r="DL67" s="78">
        <f>IF(OR(INDEX(Undirviðmið!$G$6:$G$105,ROW()-6)&lt;&gt;"Starfsbundinn",DK67="",$E67="",$D67=""),"",ROUND(DK67/$E67*$D67*KVARDI,2))</f>
        <v/>
      </c>
      <c r="DM67" s="66" t="n"/>
      <c r="DN67" s="78">
        <f>IF(OR(INDEX(Undirviðmið!$G$6:$G$105,ROW()-6)&lt;&gt;"Starfsbundinn",DM67="",$E67="",$D67=""),"",ROUND(DM67/$E67*$D67*KVARDI,2))</f>
        <v/>
      </c>
      <c r="DO67" s="66" t="n"/>
      <c r="DP67" s="78">
        <f>IF(OR(INDEX(Undirviðmið!$G$6:$G$105,ROW()-6)&lt;&gt;"Starfsbundinn",DO67="",$E67="",$D67=""),"",ROUND(DO67/$E67*$D67*KVARDI,2))</f>
        <v/>
      </c>
      <c r="DQ67" s="66" t="n"/>
      <c r="DR67" s="78">
        <f>IF(OR(INDEX(Undirviðmið!$G$6:$G$105,ROW()-6)&lt;&gt;"Starfsbundinn",DQ67="",$E67="",$D67=""),"",ROUND(DQ67/$E67*$D67*KVARDI,2))</f>
        <v/>
      </c>
      <c r="DS67" s="66" t="n"/>
      <c r="DT67" s="78">
        <f>IF(OR(INDEX(Undirviðmið!$G$6:$G$105,ROW()-6)&lt;&gt;"Starfsbundinn",DS67="",$E67="",$D67=""),"",ROUND(DS67/$E67*$D67*KVARDI,2))</f>
        <v/>
      </c>
      <c r="DU67" s="66" t="n"/>
      <c r="DV67" s="78">
        <f>IF(OR(INDEX(Undirviðmið!$G$6:$G$105,ROW()-6)&lt;&gt;"Starfsbundinn",DU67="",$E67="",$D67=""),"",ROUND(DU67/$E67*$D67*KVARDI,2))</f>
        <v/>
      </c>
      <c r="DW67" s="66" t="n"/>
      <c r="DX67" s="78">
        <f>IF(OR(INDEX(Undirviðmið!$G$6:$G$105,ROW()-6)&lt;&gt;"Starfsbundinn",DW67="",$E67="",$D67=""),"",ROUND(DW67/$E67*$D67*KVARDI,2))</f>
        <v/>
      </c>
      <c r="DY67" s="66" t="n"/>
      <c r="DZ67" s="78">
        <f>IF(OR(INDEX(Undirviðmið!$G$6:$G$105,ROW()-6)&lt;&gt;"Starfsbundinn",DY67="",$E67="",$D67=""),"",ROUND(DY67/$E67*$D67*KVARDI,2))</f>
        <v/>
      </c>
      <c r="EA67" s="66" t="n"/>
      <c r="EB67" s="78">
        <f>IF(OR(INDEX(Undirviðmið!$G$6:$G$105,ROW()-6)&lt;&gt;"Starfsbundinn",EA67="",$E67="",$D67=""),"",ROUND(EA67/$E67*$D67*KVARDI,2))</f>
        <v/>
      </c>
      <c r="EC67" s="66" t="n"/>
      <c r="ED67" s="78">
        <f>IF(OR(INDEX(Undirviðmið!$G$6:$G$105,ROW()-6)&lt;&gt;"Starfsbundinn",EC67="",$E67="",$D67=""),"",ROUND(EC67/$E67*$D67*KVARDI,2))</f>
        <v/>
      </c>
      <c r="EE67" s="66" t="n"/>
      <c r="EF67" s="78">
        <f>IF(OR(INDEX(Undirviðmið!$G$6:$G$105,ROW()-6)&lt;&gt;"Starfsbundinn",EE67="",$E67="",$D67=""),"",ROUND(EE67/$E67*$D67*KVARDI,2))</f>
        <v/>
      </c>
      <c r="EG67" s="66" t="n"/>
      <c r="EH67" s="78">
        <f>IF(OR(INDEX(Undirviðmið!$G$6:$G$105,ROW()-6)&lt;&gt;"Starfsbundinn",EG67="",$E67="",$D67=""),"",ROUND(EG67/$E67*$D67*KVARDI,2))</f>
        <v/>
      </c>
      <c r="EI67" s="66" t="n"/>
      <c r="EJ67" s="78">
        <f>IF(OR(INDEX(Undirviðmið!$G$6:$G$105,ROW()-6)&lt;&gt;"Starfsbundinn",EI67="",$E67="",$D67=""),"",ROUND(EI67/$E67*$D67*KVARDI,2))</f>
        <v/>
      </c>
      <c r="EK67" s="66" t="n"/>
      <c r="EL67" s="78">
        <f>IF(OR(INDEX(Undirviðmið!$G$6:$G$105,ROW()-6)&lt;&gt;"Starfsbundinn",EK67="",$E67="",$D67=""),"",ROUND(EK67/$E67*$D67*KVARDI,2))</f>
        <v/>
      </c>
      <c r="EM67" s="66" t="n"/>
      <c r="EN67" s="78">
        <f>IF(OR(INDEX(Undirviðmið!$G$6:$G$105,ROW()-6)&lt;&gt;"Starfsbundinn",EM67="",$E67="",$D67=""),"",ROUND(EM67/$E67*$D67*KVARDI,2))</f>
        <v/>
      </c>
      <c r="EO67" s="66" t="n"/>
      <c r="EP67" s="78">
        <f>IF(OR(INDEX(Undirviðmið!$G$6:$G$105,ROW()-6)&lt;&gt;"Starfsbundinn",EO67="",$E67="",$D67=""),"",ROUND(EO67/$E67*$D67*KVARDI,2))</f>
        <v/>
      </c>
      <c r="EQ67" s="66" t="n"/>
      <c r="ER67" s="78">
        <f>IF(OR(INDEX(Undirviðmið!$G$6:$G$105,ROW()-6)&lt;&gt;"Starfsbundinn",EQ67="",$E67="",$D67=""),"",ROUND(EQ67/$E67*$D67*KVARDI,2))</f>
        <v/>
      </c>
      <c r="ES67" s="66" t="n"/>
      <c r="ET67" s="78">
        <f>IF(OR(INDEX(Undirviðmið!$G$6:$G$105,ROW()-6)&lt;&gt;"Starfsbundinn",ES67="",$E67="",$D67=""),"",ROUND(ES67/$E67*$D67*KVARDI,2))</f>
        <v/>
      </c>
      <c r="EU67" s="66" t="n"/>
      <c r="EV67" s="78">
        <f>IF(OR(INDEX(Undirviðmið!$G$6:$G$105,ROW()-6)&lt;&gt;"Starfsbundinn",EU67="",$E67="",$D67=""),"",ROUND(EU67/$E67*$D67*KVARDI,2))</f>
        <v/>
      </c>
      <c r="EW67" s="66" t="n"/>
      <c r="EX67" s="78">
        <f>IF(OR(INDEX(Undirviðmið!$G$6:$G$105,ROW()-6)&lt;&gt;"Starfsbundinn",EW67="",$E67="",$D67=""),"",ROUND(EW67/$E67*$D67*KVARDI,2))</f>
        <v/>
      </c>
      <c r="EY67" s="66" t="n"/>
      <c r="EZ67" s="78">
        <f>IF(OR(INDEX(Undirviðmið!$G$6:$G$105,ROW()-6)&lt;&gt;"Starfsbundinn",EY67="",$E67="",$D67=""),"",ROUND(EY67/$E67*$D67*KVARDI,2))</f>
        <v/>
      </c>
      <c r="FA67" s="66" t="n"/>
      <c r="FB67" s="78">
        <f>IF(OR(INDEX(Undirviðmið!$G$6:$G$105,ROW()-6)&lt;&gt;"Starfsbundinn",FA67="",$E67="",$D67=""),"",ROUND(FA67/$E67*$D67*KVARDI,2))</f>
        <v/>
      </c>
      <c r="FC67" s="66" t="n"/>
      <c r="FD67" s="78">
        <f>IF(OR(INDEX(Undirviðmið!$G$6:$G$105,ROW()-6)&lt;&gt;"Starfsbundinn",FC67="",$E67="",$D67=""),"",ROUND(FC67/$E67*$D67*KVARDI,2))</f>
        <v/>
      </c>
      <c r="FE67" s="66" t="n"/>
      <c r="FF67" s="78">
        <f>IF(OR(INDEX(Undirviðmið!$G$6:$G$105,ROW()-6)&lt;&gt;"Starfsbundinn",FE67="",$E67="",$D67=""),"",ROUND(FE67/$E67*$D67*KVARDI,2))</f>
        <v/>
      </c>
      <c r="FG67" s="66" t="n"/>
      <c r="FH67" s="78">
        <f>IF(OR(INDEX(Undirviðmið!$G$6:$G$105,ROW()-6)&lt;&gt;"Starfsbundinn",FG67="",$E67="",$D67=""),"",ROUND(FG67/$E67*$D67*KVARDI,2))</f>
        <v/>
      </c>
      <c r="FI67" s="66" t="n"/>
      <c r="FJ67" s="78">
        <f>IF(OR(INDEX(Undirviðmið!$G$6:$G$105,ROW()-6)&lt;&gt;"Starfsbundinn",FI67="",$E67="",$D67=""),"",ROUND(FI67/$E67*$D67*KVARDI,2))</f>
        <v/>
      </c>
      <c r="FK67" s="66" t="n"/>
      <c r="FL67" s="78">
        <f>IF(OR(INDEX(Undirviðmið!$G$6:$G$105,ROW()-6)&lt;&gt;"Starfsbundinn",FK67="",$E67="",$D67=""),"",ROUND(FK67/$E67*$D67*KVARDI,2))</f>
        <v/>
      </c>
      <c r="FM67" s="66" t="n"/>
      <c r="FN67" s="78">
        <f>IF(OR(INDEX(Undirviðmið!$G$6:$G$105,ROW()-6)&lt;&gt;"Starfsbundinn",FM67="",$E67="",$D67=""),"",ROUND(FM67/$E67*$D67*KVARDI,2))</f>
        <v/>
      </c>
      <c r="FO67" s="66" t="n"/>
      <c r="FP67" s="78">
        <f>IF(OR(INDEX(Undirviðmið!$G$6:$G$105,ROW()-6)&lt;&gt;"Starfsbundinn",FO67="",$E67="",$D67=""),"",ROUND(FO67/$E67*$D67*KVARDI,2))</f>
        <v/>
      </c>
      <c r="FQ67" s="66" t="n"/>
      <c r="FR67" s="78">
        <f>IF(OR(INDEX(Undirviðmið!$G$6:$G$105,ROW()-6)&lt;&gt;"Starfsbundinn",FQ67="",$E67="",$D67=""),"",ROUND(FQ67/$E67*$D67*KVARDI,2))</f>
        <v/>
      </c>
      <c r="FS67" s="66" t="n"/>
      <c r="FT67" s="78">
        <f>IF(OR(INDEX(Undirviðmið!$G$6:$G$105,ROW()-6)&lt;&gt;"Starfsbundinn",FS67="",$E67="",$D67=""),"",ROUND(FS67/$E67*$D67*KVARDI,2))</f>
        <v/>
      </c>
      <c r="FU67" s="66" t="n"/>
      <c r="FV67" s="78">
        <f>IF(OR(INDEX(Undirviðmið!$G$6:$G$105,ROW()-6)&lt;&gt;"Starfsbundinn",FU67="",$E67="",$D67=""),"",ROUND(FU67/$E67*$D67*KVARDI,2))</f>
        <v/>
      </c>
      <c r="FW67" s="66" t="n"/>
      <c r="FX67" s="78">
        <f>IF(OR(INDEX(Undirviðmið!$G$6:$G$105,ROW()-6)&lt;&gt;"Starfsbundinn",FW67="",$E67="",$D67=""),"",ROUND(FW67/$E67*$D67*KVARDI,2))</f>
        <v/>
      </c>
      <c r="FY67" s="66" t="n"/>
      <c r="FZ67" s="78">
        <f>IF(OR(INDEX(Undirviðmið!$G$6:$G$105,ROW()-6)&lt;&gt;"Starfsbundinn",FY67="",$E67="",$D67=""),"",ROUND(FY67/$E67*$D67*KVARDI,2))</f>
        <v/>
      </c>
      <c r="GA67" s="66" t="n"/>
      <c r="GB67" s="78">
        <f>IF(OR(INDEX(Undirviðmið!$G$6:$G$105,ROW()-6)&lt;&gt;"Starfsbundinn",GA67="",$E67="",$D67=""),"",ROUND(GA67/$E67*$D67*KVARDI,2))</f>
        <v/>
      </c>
      <c r="GC67" s="66" t="n"/>
      <c r="GD67" s="78">
        <f>IF(OR(INDEX(Undirviðmið!$G$6:$G$105,ROW()-6)&lt;&gt;"Starfsbundinn",GC67="",$E67="",$D67=""),"",ROUND(GC67/$E67*$D67*KVARDI,2))</f>
        <v/>
      </c>
      <c r="GE67" s="66" t="n"/>
      <c r="GF67" s="78">
        <f>IF(OR(INDEX(Undirviðmið!$G$6:$G$105,ROW()-6)&lt;&gt;"Starfsbundinn",GE67="",$E67="",$D67=""),"",ROUND(GE67/$E67*$D67*KVARDI,2))</f>
        <v/>
      </c>
      <c r="GG67" s="66" t="n"/>
      <c r="GH67" s="78">
        <f>IF(OR(INDEX(Undirviðmið!$G$6:$G$105,ROW()-6)&lt;&gt;"Starfsbundinn",GG67="",$E67="",$D67=""),"",ROUND(GG67/$E67*$D67*KVARDI,2))</f>
        <v/>
      </c>
      <c r="GI67" s="66" t="n"/>
      <c r="GJ67" s="78">
        <f>IF(OR(INDEX(Undirviðmið!$G$6:$G$105,ROW()-6)&lt;&gt;"Starfsbundinn",GI67="",$E67="",$D67=""),"",ROUND(GI67/$E67*$D67*KVARDI,2))</f>
        <v/>
      </c>
      <c r="GK67" s="66" t="n"/>
      <c r="GL67" s="78">
        <f>IF(OR(INDEX(Undirviðmið!$G$6:$G$105,ROW()-6)&lt;&gt;"Starfsbundinn",GK67="",$E67="",$D67=""),"",ROUND(GK67/$E67*$D67*KVARDI,2))</f>
        <v/>
      </c>
      <c r="GM67" s="66" t="n"/>
      <c r="GN67" s="78">
        <f>IF(OR(INDEX(Undirviðmið!$G$6:$G$105,ROW()-6)&lt;&gt;"Starfsbundinn",GM67="",$E67="",$D67=""),"",ROUND(GM67/$E67*$D67*KVARDI,2))</f>
        <v/>
      </c>
      <c r="GO67" s="66" t="n"/>
      <c r="GP67" s="78">
        <f>IF(OR(INDEX(Undirviðmið!$G$6:$G$105,ROW()-6)&lt;&gt;"Starfsbundinn",GO67="",$E67="",$D67=""),"",ROUND(GO67/$E67*$D67*KVARDI,2))</f>
        <v/>
      </c>
      <c r="GQ67" s="66" t="n"/>
      <c r="GR67" s="78">
        <f>IF(OR(INDEX(Undirviðmið!$G$6:$G$105,ROW()-6)&lt;&gt;"Starfsbundinn",GQ67="",$E67="",$D67=""),"",ROUND(GQ67/$E67*$D67*KVARDI,2))</f>
        <v/>
      </c>
      <c r="GS67" s="66" t="n"/>
      <c r="GT67" s="78">
        <f>IF(OR(INDEX(Undirviðmið!$G$6:$G$105,ROW()-6)&lt;&gt;"Starfsbundinn",GS67="",$E67="",$D67=""),"",ROUND(GS67/$E67*$D67*KVARDI,2))</f>
        <v/>
      </c>
      <c r="GU67" s="66" t="n"/>
      <c r="GV67" s="78">
        <f>IF(OR(INDEX(Undirviðmið!$G$6:$G$105,ROW()-6)&lt;&gt;"Starfsbundinn",GU67="",$E67="",$D67=""),"",ROUND(GU67/$E67*$D67*KVARDI,2))</f>
        <v/>
      </c>
      <c r="GW67" s="66" t="n"/>
      <c r="GX67" s="78">
        <f>IF(OR(INDEX(Undirviðmið!$G$6:$G$105,ROW()-6)&lt;&gt;"Starfsbundinn",GW67="",$E67="",$D67=""),"",ROUND(GW67/$E67*$D67*KVARDI,2))</f>
        <v/>
      </c>
    </row>
    <row r="68" ht="15" customHeight="1" s="47">
      <c r="B68" s="67">
        <f>IF(INDEX(Undirviðmið!$G$6:$G$105,ROW()-6)="Starfsbundinn",INDEX(Undirviðmið!$B$6:$B$105,ROW()-6),"")</f>
        <v/>
      </c>
      <c r="C68" s="67">
        <f>IF(INDEX(Undirviðmið!$G$6:$G$105,ROW()-6)="Starfsbundinn",INDEX(Undirviðmið!$C$6:$C$105,ROW()-6),"")</f>
        <v/>
      </c>
      <c r="D68" s="77">
        <f>IF(INDEX(Undirviðmið!$G$6:$G$105,ROW()-6)="Starfsbundinn",INDEX(Undirviðmið!$E$6:$E$105,ROW()-6),"")</f>
        <v/>
      </c>
      <c r="E68" s="77">
        <f>IF(INDEX(Undirviðmið!$G$6:$G$105,ROW()-6)="Starfsbundinn",INDEX(Undirviðmið!$F$6:$F$105,ROW()-6),"")</f>
        <v/>
      </c>
      <c r="F68" s="77">
        <f>IF(INDEX(Undirviðmið!$G$6:$G$105,ROW()-6)="Starfsbundinn",IFERROR(INDEX(Undirviðmið!$E$6:$E$105,ROW()-6)*KVARDI,""),"")</f>
        <v/>
      </c>
      <c r="G68" s="66" t="n"/>
      <c r="H68" s="78">
        <f>IF(OR(INDEX(Undirviðmið!$G$6:$G$105,ROW()-6)&lt;&gt;"Starfsbundinn",G68="",$E68="",$D68=""),"",ROUND(G68/$E68*$D68*KVARDI,2))</f>
        <v/>
      </c>
      <c r="I68" s="66" t="n"/>
      <c r="J68" s="78">
        <f>IF(OR(INDEX(Undirviðmið!$G$6:$G$105,ROW()-6)&lt;&gt;"Starfsbundinn",I68="",$E68="",$D68=""),"",ROUND(I68/$E68*$D68*KVARDI,2))</f>
        <v/>
      </c>
      <c r="K68" s="66" t="n"/>
      <c r="L68" s="78">
        <f>IF(OR(INDEX(Undirviðmið!$G$6:$G$105,ROW()-6)&lt;&gt;"Starfsbundinn",K68="",$E68="",$D68=""),"",ROUND(K68/$E68*$D68*KVARDI,2))</f>
        <v/>
      </c>
      <c r="M68" s="66" t="n"/>
      <c r="N68" s="78">
        <f>IF(OR(INDEX(Undirviðmið!$G$6:$G$105,ROW()-6)&lt;&gt;"Starfsbundinn",M68="",$E68="",$D68=""),"",ROUND(M68/$E68*$D68*KVARDI,2))</f>
        <v/>
      </c>
      <c r="O68" s="66" t="n"/>
      <c r="P68" s="78">
        <f>IF(OR(INDEX(Undirviðmið!$G$6:$G$105,ROW()-6)&lt;&gt;"Starfsbundinn",O68="",$E68="",$D68=""),"",ROUND(O68/$E68*$D68*KVARDI,2))</f>
        <v/>
      </c>
      <c r="Q68" s="66" t="n"/>
      <c r="R68" s="78">
        <f>IF(OR(INDEX(Undirviðmið!$G$6:$G$105,ROW()-6)&lt;&gt;"Starfsbundinn",Q68="",$E68="",$D68=""),"",ROUND(Q68/$E68*$D68*KVARDI,2))</f>
        <v/>
      </c>
      <c r="S68" s="66" t="n"/>
      <c r="T68" s="78">
        <f>IF(OR(INDEX(Undirviðmið!$G$6:$G$105,ROW()-6)&lt;&gt;"Starfsbundinn",S68="",$E68="",$D68=""),"",ROUND(S68/$E68*$D68*KVARDI,2))</f>
        <v/>
      </c>
      <c r="U68" s="66" t="n"/>
      <c r="V68" s="78">
        <f>IF(OR(INDEX(Undirviðmið!$G$6:$G$105,ROW()-6)&lt;&gt;"Starfsbundinn",U68="",$E68="",$D68=""),"",ROUND(U68/$E68*$D68*KVARDI,2))</f>
        <v/>
      </c>
      <c r="W68" s="66" t="n"/>
      <c r="X68" s="78">
        <f>IF(OR(INDEX(Undirviðmið!$G$6:$G$105,ROW()-6)&lt;&gt;"Starfsbundinn",W68="",$E68="",$D68=""),"",ROUND(W68/$E68*$D68*KVARDI,2))</f>
        <v/>
      </c>
      <c r="Y68" s="66" t="n"/>
      <c r="Z68" s="78">
        <f>IF(OR(INDEX(Undirviðmið!$G$6:$G$105,ROW()-6)&lt;&gt;"Starfsbundinn",Y68="",$E68="",$D68=""),"",ROUND(Y68/$E68*$D68*KVARDI,2))</f>
        <v/>
      </c>
      <c r="AA68" s="66" t="n"/>
      <c r="AB68" s="78">
        <f>IF(OR(INDEX(Undirviðmið!$G$6:$G$105,ROW()-6)&lt;&gt;"Starfsbundinn",AA68="",$E68="",$D68=""),"",ROUND(AA68/$E68*$D68*KVARDI,2))</f>
        <v/>
      </c>
      <c r="AC68" s="66" t="n"/>
      <c r="AD68" s="78">
        <f>IF(OR(INDEX(Undirviðmið!$G$6:$G$105,ROW()-6)&lt;&gt;"Starfsbundinn",AC68="",$E68="",$D68=""),"",ROUND(AC68/$E68*$D68*KVARDI,2))</f>
        <v/>
      </c>
      <c r="AE68" s="66" t="n"/>
      <c r="AF68" s="78">
        <f>IF(OR(INDEX(Undirviðmið!$G$6:$G$105,ROW()-6)&lt;&gt;"Starfsbundinn",AE68="",$E68="",$D68=""),"",ROUND(AE68/$E68*$D68*KVARDI,2))</f>
        <v/>
      </c>
      <c r="AG68" s="66" t="n"/>
      <c r="AH68" s="78">
        <f>IF(OR(INDEX(Undirviðmið!$G$6:$G$105,ROW()-6)&lt;&gt;"Starfsbundinn",AG68="",$E68="",$D68=""),"",ROUND(AG68/$E68*$D68*KVARDI,2))</f>
        <v/>
      </c>
      <c r="AI68" s="66" t="n"/>
      <c r="AJ68" s="78">
        <f>IF(OR(INDEX(Undirviðmið!$G$6:$G$105,ROW()-6)&lt;&gt;"Starfsbundinn",AI68="",$E68="",$D68=""),"",ROUND(AI68/$E68*$D68*KVARDI,2))</f>
        <v/>
      </c>
      <c r="AK68" s="66" t="n"/>
      <c r="AL68" s="78">
        <f>IF(OR(INDEX(Undirviðmið!$G$6:$G$105,ROW()-6)&lt;&gt;"Starfsbundinn",AK68="",$E68="",$D68=""),"",ROUND(AK68/$E68*$D68*KVARDI,2))</f>
        <v/>
      </c>
      <c r="AM68" s="66" t="n"/>
      <c r="AN68" s="78">
        <f>IF(OR(INDEX(Undirviðmið!$G$6:$G$105,ROW()-6)&lt;&gt;"Starfsbundinn",AM68="",$E68="",$D68=""),"",ROUND(AM68/$E68*$D68*KVARDI,2))</f>
        <v/>
      </c>
      <c r="AO68" s="66" t="n"/>
      <c r="AP68" s="78">
        <f>IF(OR(INDEX(Undirviðmið!$G$6:$G$105,ROW()-6)&lt;&gt;"Starfsbundinn",AO68="",$E68="",$D68=""),"",ROUND(AO68/$E68*$D68*KVARDI,2))</f>
        <v/>
      </c>
      <c r="AQ68" s="66" t="n"/>
      <c r="AR68" s="78">
        <f>IF(OR(INDEX(Undirviðmið!$G$6:$G$105,ROW()-6)&lt;&gt;"Starfsbundinn",AQ68="",$E68="",$D68=""),"",ROUND(AQ68/$E68*$D68*KVARDI,2))</f>
        <v/>
      </c>
      <c r="AS68" s="66" t="n"/>
      <c r="AT68" s="78">
        <f>IF(OR(INDEX(Undirviðmið!$G$6:$G$105,ROW()-6)&lt;&gt;"Starfsbundinn",AS68="",$E68="",$D68=""),"",ROUND(AS68/$E68*$D68*KVARDI,2))</f>
        <v/>
      </c>
      <c r="AU68" s="66" t="n"/>
      <c r="AV68" s="78">
        <f>IF(OR(INDEX(Undirviðmið!$G$6:$G$105,ROW()-6)&lt;&gt;"Starfsbundinn",AU68="",$E68="",$D68=""),"",ROUND(AU68/$E68*$D68*KVARDI,2))</f>
        <v/>
      </c>
      <c r="AW68" s="66" t="n"/>
      <c r="AX68" s="78">
        <f>IF(OR(INDEX(Undirviðmið!$G$6:$G$105,ROW()-6)&lt;&gt;"Starfsbundinn",AW68="",$E68="",$D68=""),"",ROUND(AW68/$E68*$D68*KVARDI,2))</f>
        <v/>
      </c>
      <c r="AY68" s="66" t="n"/>
      <c r="AZ68" s="78">
        <f>IF(OR(INDEX(Undirviðmið!$G$6:$G$105,ROW()-6)&lt;&gt;"Starfsbundinn",AY68="",$E68="",$D68=""),"",ROUND(AY68/$E68*$D68*KVARDI,2))</f>
        <v/>
      </c>
      <c r="BA68" s="66" t="n"/>
      <c r="BB68" s="78">
        <f>IF(OR(INDEX(Undirviðmið!$G$6:$G$105,ROW()-6)&lt;&gt;"Starfsbundinn",BA68="",$E68="",$D68=""),"",ROUND(BA68/$E68*$D68*KVARDI,2))</f>
        <v/>
      </c>
      <c r="BC68" s="66" t="n"/>
      <c r="BD68" s="78">
        <f>IF(OR(INDEX(Undirviðmið!$G$6:$G$105,ROW()-6)&lt;&gt;"Starfsbundinn",BC68="",$E68="",$D68=""),"",ROUND(BC68/$E68*$D68*KVARDI,2))</f>
        <v/>
      </c>
      <c r="BE68" s="66" t="n"/>
      <c r="BF68" s="78">
        <f>IF(OR(INDEX(Undirviðmið!$G$6:$G$105,ROW()-6)&lt;&gt;"Starfsbundinn",BE68="",$E68="",$D68=""),"",ROUND(BE68/$E68*$D68*KVARDI,2))</f>
        <v/>
      </c>
      <c r="BG68" s="66" t="n"/>
      <c r="BH68" s="78">
        <f>IF(OR(INDEX(Undirviðmið!$G$6:$G$105,ROW()-6)&lt;&gt;"Starfsbundinn",BG68="",$E68="",$D68=""),"",ROUND(BG68/$E68*$D68*KVARDI,2))</f>
        <v/>
      </c>
      <c r="BI68" s="66" t="n"/>
      <c r="BJ68" s="78">
        <f>IF(OR(INDEX(Undirviðmið!$G$6:$G$105,ROW()-6)&lt;&gt;"Starfsbundinn",BI68="",$E68="",$D68=""),"",ROUND(BI68/$E68*$D68*KVARDI,2))</f>
        <v/>
      </c>
      <c r="BK68" s="66" t="n"/>
      <c r="BL68" s="78">
        <f>IF(OR(INDEX(Undirviðmið!$G$6:$G$105,ROW()-6)&lt;&gt;"Starfsbundinn",BK68="",$E68="",$D68=""),"",ROUND(BK68/$E68*$D68*KVARDI,2))</f>
        <v/>
      </c>
      <c r="BM68" s="66" t="n"/>
      <c r="BN68" s="78">
        <f>IF(OR(INDEX(Undirviðmið!$G$6:$G$105,ROW()-6)&lt;&gt;"Starfsbundinn",BM68="",$E68="",$D68=""),"",ROUND(BM68/$E68*$D68*KVARDI,2))</f>
        <v/>
      </c>
      <c r="BO68" s="66" t="n"/>
      <c r="BP68" s="78">
        <f>IF(OR(INDEX(Undirviðmið!$G$6:$G$105,ROW()-6)&lt;&gt;"Starfsbundinn",BO68="",$E68="",$D68=""),"",ROUND(BO68/$E68*$D68*KVARDI,2))</f>
        <v/>
      </c>
      <c r="BQ68" s="66" t="n"/>
      <c r="BR68" s="78">
        <f>IF(OR(INDEX(Undirviðmið!$G$6:$G$105,ROW()-6)&lt;&gt;"Starfsbundinn",BQ68="",$E68="",$D68=""),"",ROUND(BQ68/$E68*$D68*KVARDI,2))</f>
        <v/>
      </c>
      <c r="BS68" s="66" t="n"/>
      <c r="BT68" s="78">
        <f>IF(OR(INDEX(Undirviðmið!$G$6:$G$105,ROW()-6)&lt;&gt;"Starfsbundinn",BS68="",$E68="",$D68=""),"",ROUND(BS68/$E68*$D68*KVARDI,2))</f>
        <v/>
      </c>
      <c r="BU68" s="66" t="n"/>
      <c r="BV68" s="78">
        <f>IF(OR(INDEX(Undirviðmið!$G$6:$G$105,ROW()-6)&lt;&gt;"Starfsbundinn",BU68="",$E68="",$D68=""),"",ROUND(BU68/$E68*$D68*KVARDI,2))</f>
        <v/>
      </c>
      <c r="BW68" s="66" t="n"/>
      <c r="BX68" s="78">
        <f>IF(OR(INDEX(Undirviðmið!$G$6:$G$105,ROW()-6)&lt;&gt;"Starfsbundinn",BW68="",$E68="",$D68=""),"",ROUND(BW68/$E68*$D68*KVARDI,2))</f>
        <v/>
      </c>
      <c r="BY68" s="66" t="n"/>
      <c r="BZ68" s="78">
        <f>IF(OR(INDEX(Undirviðmið!$G$6:$G$105,ROW()-6)&lt;&gt;"Starfsbundinn",BY68="",$E68="",$D68=""),"",ROUND(BY68/$E68*$D68*KVARDI,2))</f>
        <v/>
      </c>
      <c r="CA68" s="66" t="n"/>
      <c r="CB68" s="78">
        <f>IF(OR(INDEX(Undirviðmið!$G$6:$G$105,ROW()-6)&lt;&gt;"Starfsbundinn",CA68="",$E68="",$D68=""),"",ROUND(CA68/$E68*$D68*KVARDI,2))</f>
        <v/>
      </c>
      <c r="CC68" s="66" t="n"/>
      <c r="CD68" s="78">
        <f>IF(OR(INDEX(Undirviðmið!$G$6:$G$105,ROW()-6)&lt;&gt;"Starfsbundinn",CC68="",$E68="",$D68=""),"",ROUND(CC68/$E68*$D68*KVARDI,2))</f>
        <v/>
      </c>
      <c r="CE68" s="66" t="n"/>
      <c r="CF68" s="78">
        <f>IF(OR(INDEX(Undirviðmið!$G$6:$G$105,ROW()-6)&lt;&gt;"Starfsbundinn",CE68="",$E68="",$D68=""),"",ROUND(CE68/$E68*$D68*KVARDI,2))</f>
        <v/>
      </c>
      <c r="CG68" s="66" t="n"/>
      <c r="CH68" s="78">
        <f>IF(OR(INDEX(Undirviðmið!$G$6:$G$105,ROW()-6)&lt;&gt;"Starfsbundinn",CG68="",$E68="",$D68=""),"",ROUND(CG68/$E68*$D68*KVARDI,2))</f>
        <v/>
      </c>
      <c r="CI68" s="66" t="n"/>
      <c r="CJ68" s="78">
        <f>IF(OR(INDEX(Undirviðmið!$G$6:$G$105,ROW()-6)&lt;&gt;"Starfsbundinn",CI68="",$E68="",$D68=""),"",ROUND(CI68/$E68*$D68*KVARDI,2))</f>
        <v/>
      </c>
      <c r="CK68" s="66" t="n"/>
      <c r="CL68" s="78">
        <f>IF(OR(INDEX(Undirviðmið!$G$6:$G$105,ROW()-6)&lt;&gt;"Starfsbundinn",CK68="",$E68="",$D68=""),"",ROUND(CK68/$E68*$D68*KVARDI,2))</f>
        <v/>
      </c>
      <c r="CM68" s="66" t="n"/>
      <c r="CN68" s="78">
        <f>IF(OR(INDEX(Undirviðmið!$G$6:$G$105,ROW()-6)&lt;&gt;"Starfsbundinn",CM68="",$E68="",$D68=""),"",ROUND(CM68/$E68*$D68*KVARDI,2))</f>
        <v/>
      </c>
      <c r="CO68" s="66" t="n"/>
      <c r="CP68" s="78">
        <f>IF(OR(INDEX(Undirviðmið!$G$6:$G$105,ROW()-6)&lt;&gt;"Starfsbundinn",CO68="",$E68="",$D68=""),"",ROUND(CO68/$E68*$D68*KVARDI,2))</f>
        <v/>
      </c>
      <c r="CQ68" s="66" t="n"/>
      <c r="CR68" s="78">
        <f>IF(OR(INDEX(Undirviðmið!$G$6:$G$105,ROW()-6)&lt;&gt;"Starfsbundinn",CQ68="",$E68="",$D68=""),"",ROUND(CQ68/$E68*$D68*KVARDI,2))</f>
        <v/>
      </c>
      <c r="CS68" s="66" t="n"/>
      <c r="CT68" s="78">
        <f>IF(OR(INDEX(Undirviðmið!$G$6:$G$105,ROW()-6)&lt;&gt;"Starfsbundinn",CS68="",$E68="",$D68=""),"",ROUND(CS68/$E68*$D68*KVARDI,2))</f>
        <v/>
      </c>
      <c r="CU68" s="66" t="n"/>
      <c r="CV68" s="78">
        <f>IF(OR(INDEX(Undirviðmið!$G$6:$G$105,ROW()-6)&lt;&gt;"Starfsbundinn",CU68="",$E68="",$D68=""),"",ROUND(CU68/$E68*$D68*KVARDI,2))</f>
        <v/>
      </c>
      <c r="CW68" s="66" t="n"/>
      <c r="CX68" s="78">
        <f>IF(OR(INDEX(Undirviðmið!$G$6:$G$105,ROW()-6)&lt;&gt;"Starfsbundinn",CW68="",$E68="",$D68=""),"",ROUND(CW68/$E68*$D68*KVARDI,2))</f>
        <v/>
      </c>
      <c r="CY68" s="66" t="n"/>
      <c r="CZ68" s="78">
        <f>IF(OR(INDEX(Undirviðmið!$G$6:$G$105,ROW()-6)&lt;&gt;"Starfsbundinn",CY68="",$E68="",$D68=""),"",ROUND(CY68/$E68*$D68*KVARDI,2))</f>
        <v/>
      </c>
      <c r="DA68" s="66" t="n"/>
      <c r="DB68" s="78">
        <f>IF(OR(INDEX(Undirviðmið!$G$6:$G$105,ROW()-6)&lt;&gt;"Starfsbundinn",DA68="",$E68="",$D68=""),"",ROUND(DA68/$E68*$D68*KVARDI,2))</f>
        <v/>
      </c>
      <c r="DC68" s="66" t="n"/>
      <c r="DD68" s="78">
        <f>IF(OR(INDEX(Undirviðmið!$G$6:$G$105,ROW()-6)&lt;&gt;"Starfsbundinn",DC68="",$E68="",$D68=""),"",ROUND(DC68/$E68*$D68*KVARDI,2))</f>
        <v/>
      </c>
      <c r="DE68" s="66" t="n"/>
      <c r="DF68" s="78">
        <f>IF(OR(INDEX(Undirviðmið!$G$6:$G$105,ROW()-6)&lt;&gt;"Starfsbundinn",DE68="",$E68="",$D68=""),"",ROUND(DE68/$E68*$D68*KVARDI,2))</f>
        <v/>
      </c>
      <c r="DG68" s="66" t="n"/>
      <c r="DH68" s="78">
        <f>IF(OR(INDEX(Undirviðmið!$G$6:$G$105,ROW()-6)&lt;&gt;"Starfsbundinn",DG68="",$E68="",$D68=""),"",ROUND(DG68/$E68*$D68*KVARDI,2))</f>
        <v/>
      </c>
      <c r="DI68" s="66" t="n"/>
      <c r="DJ68" s="78">
        <f>IF(OR(INDEX(Undirviðmið!$G$6:$G$105,ROW()-6)&lt;&gt;"Starfsbundinn",DI68="",$E68="",$D68=""),"",ROUND(DI68/$E68*$D68*KVARDI,2))</f>
        <v/>
      </c>
      <c r="DK68" s="66" t="n"/>
      <c r="DL68" s="78">
        <f>IF(OR(INDEX(Undirviðmið!$G$6:$G$105,ROW()-6)&lt;&gt;"Starfsbundinn",DK68="",$E68="",$D68=""),"",ROUND(DK68/$E68*$D68*KVARDI,2))</f>
        <v/>
      </c>
      <c r="DM68" s="66" t="n"/>
      <c r="DN68" s="78">
        <f>IF(OR(INDEX(Undirviðmið!$G$6:$G$105,ROW()-6)&lt;&gt;"Starfsbundinn",DM68="",$E68="",$D68=""),"",ROUND(DM68/$E68*$D68*KVARDI,2))</f>
        <v/>
      </c>
      <c r="DO68" s="66" t="n"/>
      <c r="DP68" s="78">
        <f>IF(OR(INDEX(Undirviðmið!$G$6:$G$105,ROW()-6)&lt;&gt;"Starfsbundinn",DO68="",$E68="",$D68=""),"",ROUND(DO68/$E68*$D68*KVARDI,2))</f>
        <v/>
      </c>
      <c r="DQ68" s="66" t="n"/>
      <c r="DR68" s="78">
        <f>IF(OR(INDEX(Undirviðmið!$G$6:$G$105,ROW()-6)&lt;&gt;"Starfsbundinn",DQ68="",$E68="",$D68=""),"",ROUND(DQ68/$E68*$D68*KVARDI,2))</f>
        <v/>
      </c>
      <c r="DS68" s="66" t="n"/>
      <c r="DT68" s="78">
        <f>IF(OR(INDEX(Undirviðmið!$G$6:$G$105,ROW()-6)&lt;&gt;"Starfsbundinn",DS68="",$E68="",$D68=""),"",ROUND(DS68/$E68*$D68*KVARDI,2))</f>
        <v/>
      </c>
      <c r="DU68" s="66" t="n"/>
      <c r="DV68" s="78">
        <f>IF(OR(INDEX(Undirviðmið!$G$6:$G$105,ROW()-6)&lt;&gt;"Starfsbundinn",DU68="",$E68="",$D68=""),"",ROUND(DU68/$E68*$D68*KVARDI,2))</f>
        <v/>
      </c>
      <c r="DW68" s="66" t="n"/>
      <c r="DX68" s="78">
        <f>IF(OR(INDEX(Undirviðmið!$G$6:$G$105,ROW()-6)&lt;&gt;"Starfsbundinn",DW68="",$E68="",$D68=""),"",ROUND(DW68/$E68*$D68*KVARDI,2))</f>
        <v/>
      </c>
      <c r="DY68" s="66" t="n"/>
      <c r="DZ68" s="78">
        <f>IF(OR(INDEX(Undirviðmið!$G$6:$G$105,ROW()-6)&lt;&gt;"Starfsbundinn",DY68="",$E68="",$D68=""),"",ROUND(DY68/$E68*$D68*KVARDI,2))</f>
        <v/>
      </c>
      <c r="EA68" s="66" t="n"/>
      <c r="EB68" s="78">
        <f>IF(OR(INDEX(Undirviðmið!$G$6:$G$105,ROW()-6)&lt;&gt;"Starfsbundinn",EA68="",$E68="",$D68=""),"",ROUND(EA68/$E68*$D68*KVARDI,2))</f>
        <v/>
      </c>
      <c r="EC68" s="66" t="n"/>
      <c r="ED68" s="78">
        <f>IF(OR(INDEX(Undirviðmið!$G$6:$G$105,ROW()-6)&lt;&gt;"Starfsbundinn",EC68="",$E68="",$D68=""),"",ROUND(EC68/$E68*$D68*KVARDI,2))</f>
        <v/>
      </c>
      <c r="EE68" s="66" t="n"/>
      <c r="EF68" s="78">
        <f>IF(OR(INDEX(Undirviðmið!$G$6:$G$105,ROW()-6)&lt;&gt;"Starfsbundinn",EE68="",$E68="",$D68=""),"",ROUND(EE68/$E68*$D68*KVARDI,2))</f>
        <v/>
      </c>
      <c r="EG68" s="66" t="n"/>
      <c r="EH68" s="78">
        <f>IF(OR(INDEX(Undirviðmið!$G$6:$G$105,ROW()-6)&lt;&gt;"Starfsbundinn",EG68="",$E68="",$D68=""),"",ROUND(EG68/$E68*$D68*KVARDI,2))</f>
        <v/>
      </c>
      <c r="EI68" s="66" t="n"/>
      <c r="EJ68" s="78">
        <f>IF(OR(INDEX(Undirviðmið!$G$6:$G$105,ROW()-6)&lt;&gt;"Starfsbundinn",EI68="",$E68="",$D68=""),"",ROUND(EI68/$E68*$D68*KVARDI,2))</f>
        <v/>
      </c>
      <c r="EK68" s="66" t="n"/>
      <c r="EL68" s="78">
        <f>IF(OR(INDEX(Undirviðmið!$G$6:$G$105,ROW()-6)&lt;&gt;"Starfsbundinn",EK68="",$E68="",$D68=""),"",ROUND(EK68/$E68*$D68*KVARDI,2))</f>
        <v/>
      </c>
      <c r="EM68" s="66" t="n"/>
      <c r="EN68" s="78">
        <f>IF(OR(INDEX(Undirviðmið!$G$6:$G$105,ROW()-6)&lt;&gt;"Starfsbundinn",EM68="",$E68="",$D68=""),"",ROUND(EM68/$E68*$D68*KVARDI,2))</f>
        <v/>
      </c>
      <c r="EO68" s="66" t="n"/>
      <c r="EP68" s="78">
        <f>IF(OR(INDEX(Undirviðmið!$G$6:$G$105,ROW()-6)&lt;&gt;"Starfsbundinn",EO68="",$E68="",$D68=""),"",ROUND(EO68/$E68*$D68*KVARDI,2))</f>
        <v/>
      </c>
      <c r="EQ68" s="66" t="n"/>
      <c r="ER68" s="78">
        <f>IF(OR(INDEX(Undirviðmið!$G$6:$G$105,ROW()-6)&lt;&gt;"Starfsbundinn",EQ68="",$E68="",$D68=""),"",ROUND(EQ68/$E68*$D68*KVARDI,2))</f>
        <v/>
      </c>
      <c r="ES68" s="66" t="n"/>
      <c r="ET68" s="78">
        <f>IF(OR(INDEX(Undirviðmið!$G$6:$G$105,ROW()-6)&lt;&gt;"Starfsbundinn",ES68="",$E68="",$D68=""),"",ROUND(ES68/$E68*$D68*KVARDI,2))</f>
        <v/>
      </c>
      <c r="EU68" s="66" t="n"/>
      <c r="EV68" s="78">
        <f>IF(OR(INDEX(Undirviðmið!$G$6:$G$105,ROW()-6)&lt;&gt;"Starfsbundinn",EU68="",$E68="",$D68=""),"",ROUND(EU68/$E68*$D68*KVARDI,2))</f>
        <v/>
      </c>
      <c r="EW68" s="66" t="n"/>
      <c r="EX68" s="78">
        <f>IF(OR(INDEX(Undirviðmið!$G$6:$G$105,ROW()-6)&lt;&gt;"Starfsbundinn",EW68="",$E68="",$D68=""),"",ROUND(EW68/$E68*$D68*KVARDI,2))</f>
        <v/>
      </c>
      <c r="EY68" s="66" t="n"/>
      <c r="EZ68" s="78">
        <f>IF(OR(INDEX(Undirviðmið!$G$6:$G$105,ROW()-6)&lt;&gt;"Starfsbundinn",EY68="",$E68="",$D68=""),"",ROUND(EY68/$E68*$D68*KVARDI,2))</f>
        <v/>
      </c>
      <c r="FA68" s="66" t="n"/>
      <c r="FB68" s="78">
        <f>IF(OR(INDEX(Undirviðmið!$G$6:$G$105,ROW()-6)&lt;&gt;"Starfsbundinn",FA68="",$E68="",$D68=""),"",ROUND(FA68/$E68*$D68*KVARDI,2))</f>
        <v/>
      </c>
      <c r="FC68" s="66" t="n"/>
      <c r="FD68" s="78">
        <f>IF(OR(INDEX(Undirviðmið!$G$6:$G$105,ROW()-6)&lt;&gt;"Starfsbundinn",FC68="",$E68="",$D68=""),"",ROUND(FC68/$E68*$D68*KVARDI,2))</f>
        <v/>
      </c>
      <c r="FE68" s="66" t="n"/>
      <c r="FF68" s="78">
        <f>IF(OR(INDEX(Undirviðmið!$G$6:$G$105,ROW()-6)&lt;&gt;"Starfsbundinn",FE68="",$E68="",$D68=""),"",ROUND(FE68/$E68*$D68*KVARDI,2))</f>
        <v/>
      </c>
      <c r="FG68" s="66" t="n"/>
      <c r="FH68" s="78">
        <f>IF(OR(INDEX(Undirviðmið!$G$6:$G$105,ROW()-6)&lt;&gt;"Starfsbundinn",FG68="",$E68="",$D68=""),"",ROUND(FG68/$E68*$D68*KVARDI,2))</f>
        <v/>
      </c>
      <c r="FI68" s="66" t="n"/>
      <c r="FJ68" s="78">
        <f>IF(OR(INDEX(Undirviðmið!$G$6:$G$105,ROW()-6)&lt;&gt;"Starfsbundinn",FI68="",$E68="",$D68=""),"",ROUND(FI68/$E68*$D68*KVARDI,2))</f>
        <v/>
      </c>
      <c r="FK68" s="66" t="n"/>
      <c r="FL68" s="78">
        <f>IF(OR(INDEX(Undirviðmið!$G$6:$G$105,ROW()-6)&lt;&gt;"Starfsbundinn",FK68="",$E68="",$D68=""),"",ROUND(FK68/$E68*$D68*KVARDI,2))</f>
        <v/>
      </c>
      <c r="FM68" s="66" t="n"/>
      <c r="FN68" s="78">
        <f>IF(OR(INDEX(Undirviðmið!$G$6:$G$105,ROW()-6)&lt;&gt;"Starfsbundinn",FM68="",$E68="",$D68=""),"",ROUND(FM68/$E68*$D68*KVARDI,2))</f>
        <v/>
      </c>
      <c r="FO68" s="66" t="n"/>
      <c r="FP68" s="78">
        <f>IF(OR(INDEX(Undirviðmið!$G$6:$G$105,ROW()-6)&lt;&gt;"Starfsbundinn",FO68="",$E68="",$D68=""),"",ROUND(FO68/$E68*$D68*KVARDI,2))</f>
        <v/>
      </c>
      <c r="FQ68" s="66" t="n"/>
      <c r="FR68" s="78">
        <f>IF(OR(INDEX(Undirviðmið!$G$6:$G$105,ROW()-6)&lt;&gt;"Starfsbundinn",FQ68="",$E68="",$D68=""),"",ROUND(FQ68/$E68*$D68*KVARDI,2))</f>
        <v/>
      </c>
      <c r="FS68" s="66" t="n"/>
      <c r="FT68" s="78">
        <f>IF(OR(INDEX(Undirviðmið!$G$6:$G$105,ROW()-6)&lt;&gt;"Starfsbundinn",FS68="",$E68="",$D68=""),"",ROUND(FS68/$E68*$D68*KVARDI,2))</f>
        <v/>
      </c>
      <c r="FU68" s="66" t="n"/>
      <c r="FV68" s="78">
        <f>IF(OR(INDEX(Undirviðmið!$G$6:$G$105,ROW()-6)&lt;&gt;"Starfsbundinn",FU68="",$E68="",$D68=""),"",ROUND(FU68/$E68*$D68*KVARDI,2))</f>
        <v/>
      </c>
      <c r="FW68" s="66" t="n"/>
      <c r="FX68" s="78">
        <f>IF(OR(INDEX(Undirviðmið!$G$6:$G$105,ROW()-6)&lt;&gt;"Starfsbundinn",FW68="",$E68="",$D68=""),"",ROUND(FW68/$E68*$D68*KVARDI,2))</f>
        <v/>
      </c>
      <c r="FY68" s="66" t="n"/>
      <c r="FZ68" s="78">
        <f>IF(OR(INDEX(Undirviðmið!$G$6:$G$105,ROW()-6)&lt;&gt;"Starfsbundinn",FY68="",$E68="",$D68=""),"",ROUND(FY68/$E68*$D68*KVARDI,2))</f>
        <v/>
      </c>
      <c r="GA68" s="66" t="n"/>
      <c r="GB68" s="78">
        <f>IF(OR(INDEX(Undirviðmið!$G$6:$G$105,ROW()-6)&lt;&gt;"Starfsbundinn",GA68="",$E68="",$D68=""),"",ROUND(GA68/$E68*$D68*KVARDI,2))</f>
        <v/>
      </c>
      <c r="GC68" s="66" t="n"/>
      <c r="GD68" s="78">
        <f>IF(OR(INDEX(Undirviðmið!$G$6:$G$105,ROW()-6)&lt;&gt;"Starfsbundinn",GC68="",$E68="",$D68=""),"",ROUND(GC68/$E68*$D68*KVARDI,2))</f>
        <v/>
      </c>
      <c r="GE68" s="66" t="n"/>
      <c r="GF68" s="78">
        <f>IF(OR(INDEX(Undirviðmið!$G$6:$G$105,ROW()-6)&lt;&gt;"Starfsbundinn",GE68="",$E68="",$D68=""),"",ROUND(GE68/$E68*$D68*KVARDI,2))</f>
        <v/>
      </c>
      <c r="GG68" s="66" t="n"/>
      <c r="GH68" s="78">
        <f>IF(OR(INDEX(Undirviðmið!$G$6:$G$105,ROW()-6)&lt;&gt;"Starfsbundinn",GG68="",$E68="",$D68=""),"",ROUND(GG68/$E68*$D68*KVARDI,2))</f>
        <v/>
      </c>
      <c r="GI68" s="66" t="n"/>
      <c r="GJ68" s="78">
        <f>IF(OR(INDEX(Undirviðmið!$G$6:$G$105,ROW()-6)&lt;&gt;"Starfsbundinn",GI68="",$E68="",$D68=""),"",ROUND(GI68/$E68*$D68*KVARDI,2))</f>
        <v/>
      </c>
      <c r="GK68" s="66" t="n"/>
      <c r="GL68" s="78">
        <f>IF(OR(INDEX(Undirviðmið!$G$6:$G$105,ROW()-6)&lt;&gt;"Starfsbundinn",GK68="",$E68="",$D68=""),"",ROUND(GK68/$E68*$D68*KVARDI,2))</f>
        <v/>
      </c>
      <c r="GM68" s="66" t="n"/>
      <c r="GN68" s="78">
        <f>IF(OR(INDEX(Undirviðmið!$G$6:$G$105,ROW()-6)&lt;&gt;"Starfsbundinn",GM68="",$E68="",$D68=""),"",ROUND(GM68/$E68*$D68*KVARDI,2))</f>
        <v/>
      </c>
      <c r="GO68" s="66" t="n"/>
      <c r="GP68" s="78">
        <f>IF(OR(INDEX(Undirviðmið!$G$6:$G$105,ROW()-6)&lt;&gt;"Starfsbundinn",GO68="",$E68="",$D68=""),"",ROUND(GO68/$E68*$D68*KVARDI,2))</f>
        <v/>
      </c>
      <c r="GQ68" s="66" t="n"/>
      <c r="GR68" s="78">
        <f>IF(OR(INDEX(Undirviðmið!$G$6:$G$105,ROW()-6)&lt;&gt;"Starfsbundinn",GQ68="",$E68="",$D68=""),"",ROUND(GQ68/$E68*$D68*KVARDI,2))</f>
        <v/>
      </c>
      <c r="GS68" s="66" t="n"/>
      <c r="GT68" s="78">
        <f>IF(OR(INDEX(Undirviðmið!$G$6:$G$105,ROW()-6)&lt;&gt;"Starfsbundinn",GS68="",$E68="",$D68=""),"",ROUND(GS68/$E68*$D68*KVARDI,2))</f>
        <v/>
      </c>
      <c r="GU68" s="66" t="n"/>
      <c r="GV68" s="78">
        <f>IF(OR(INDEX(Undirviðmið!$G$6:$G$105,ROW()-6)&lt;&gt;"Starfsbundinn",GU68="",$E68="",$D68=""),"",ROUND(GU68/$E68*$D68*KVARDI,2))</f>
        <v/>
      </c>
      <c r="GW68" s="66" t="n"/>
      <c r="GX68" s="78">
        <f>IF(OR(INDEX(Undirviðmið!$G$6:$G$105,ROW()-6)&lt;&gt;"Starfsbundinn",GW68="",$E68="",$D68=""),"",ROUND(GW68/$E68*$D68*KVARDI,2))</f>
        <v/>
      </c>
    </row>
    <row r="69" ht="15" customHeight="1" s="47">
      <c r="B69" s="67">
        <f>IF(INDEX(Undirviðmið!$G$6:$G$105,ROW()-6)="Starfsbundinn",INDEX(Undirviðmið!$B$6:$B$105,ROW()-6),"")</f>
        <v/>
      </c>
      <c r="C69" s="67">
        <f>IF(INDEX(Undirviðmið!$G$6:$G$105,ROW()-6)="Starfsbundinn",INDEX(Undirviðmið!$C$6:$C$105,ROW()-6),"")</f>
        <v/>
      </c>
      <c r="D69" s="77">
        <f>IF(INDEX(Undirviðmið!$G$6:$G$105,ROW()-6)="Starfsbundinn",INDEX(Undirviðmið!$E$6:$E$105,ROW()-6),"")</f>
        <v/>
      </c>
      <c r="E69" s="77">
        <f>IF(INDEX(Undirviðmið!$G$6:$G$105,ROW()-6)="Starfsbundinn",INDEX(Undirviðmið!$F$6:$F$105,ROW()-6),"")</f>
        <v/>
      </c>
      <c r="F69" s="77">
        <f>IF(INDEX(Undirviðmið!$G$6:$G$105,ROW()-6)="Starfsbundinn",IFERROR(INDEX(Undirviðmið!$E$6:$E$105,ROW()-6)*KVARDI,""),"")</f>
        <v/>
      </c>
      <c r="G69" s="66" t="n"/>
      <c r="H69" s="78">
        <f>IF(OR(INDEX(Undirviðmið!$G$6:$G$105,ROW()-6)&lt;&gt;"Starfsbundinn",G69="",$E69="",$D69=""),"",ROUND(G69/$E69*$D69*KVARDI,2))</f>
        <v/>
      </c>
      <c r="I69" s="66" t="n"/>
      <c r="J69" s="78">
        <f>IF(OR(INDEX(Undirviðmið!$G$6:$G$105,ROW()-6)&lt;&gt;"Starfsbundinn",I69="",$E69="",$D69=""),"",ROUND(I69/$E69*$D69*KVARDI,2))</f>
        <v/>
      </c>
      <c r="K69" s="66" t="n"/>
      <c r="L69" s="78">
        <f>IF(OR(INDEX(Undirviðmið!$G$6:$G$105,ROW()-6)&lt;&gt;"Starfsbundinn",K69="",$E69="",$D69=""),"",ROUND(K69/$E69*$D69*KVARDI,2))</f>
        <v/>
      </c>
      <c r="M69" s="66" t="n"/>
      <c r="N69" s="78">
        <f>IF(OR(INDEX(Undirviðmið!$G$6:$G$105,ROW()-6)&lt;&gt;"Starfsbundinn",M69="",$E69="",$D69=""),"",ROUND(M69/$E69*$D69*KVARDI,2))</f>
        <v/>
      </c>
      <c r="O69" s="66" t="n"/>
      <c r="P69" s="78">
        <f>IF(OR(INDEX(Undirviðmið!$G$6:$G$105,ROW()-6)&lt;&gt;"Starfsbundinn",O69="",$E69="",$D69=""),"",ROUND(O69/$E69*$D69*KVARDI,2))</f>
        <v/>
      </c>
      <c r="Q69" s="66" t="n"/>
      <c r="R69" s="78">
        <f>IF(OR(INDEX(Undirviðmið!$G$6:$G$105,ROW()-6)&lt;&gt;"Starfsbundinn",Q69="",$E69="",$D69=""),"",ROUND(Q69/$E69*$D69*KVARDI,2))</f>
        <v/>
      </c>
      <c r="S69" s="66" t="n"/>
      <c r="T69" s="78">
        <f>IF(OR(INDEX(Undirviðmið!$G$6:$G$105,ROW()-6)&lt;&gt;"Starfsbundinn",S69="",$E69="",$D69=""),"",ROUND(S69/$E69*$D69*KVARDI,2))</f>
        <v/>
      </c>
      <c r="U69" s="66" t="n"/>
      <c r="V69" s="78">
        <f>IF(OR(INDEX(Undirviðmið!$G$6:$G$105,ROW()-6)&lt;&gt;"Starfsbundinn",U69="",$E69="",$D69=""),"",ROUND(U69/$E69*$D69*KVARDI,2))</f>
        <v/>
      </c>
      <c r="W69" s="66" t="n"/>
      <c r="X69" s="78">
        <f>IF(OR(INDEX(Undirviðmið!$G$6:$G$105,ROW()-6)&lt;&gt;"Starfsbundinn",W69="",$E69="",$D69=""),"",ROUND(W69/$E69*$D69*KVARDI,2))</f>
        <v/>
      </c>
      <c r="Y69" s="66" t="n"/>
      <c r="Z69" s="78">
        <f>IF(OR(INDEX(Undirviðmið!$G$6:$G$105,ROW()-6)&lt;&gt;"Starfsbundinn",Y69="",$E69="",$D69=""),"",ROUND(Y69/$E69*$D69*KVARDI,2))</f>
        <v/>
      </c>
      <c r="AA69" s="66" t="n"/>
      <c r="AB69" s="78">
        <f>IF(OR(INDEX(Undirviðmið!$G$6:$G$105,ROW()-6)&lt;&gt;"Starfsbundinn",AA69="",$E69="",$D69=""),"",ROUND(AA69/$E69*$D69*KVARDI,2))</f>
        <v/>
      </c>
      <c r="AC69" s="66" t="n"/>
      <c r="AD69" s="78">
        <f>IF(OR(INDEX(Undirviðmið!$G$6:$G$105,ROW()-6)&lt;&gt;"Starfsbundinn",AC69="",$E69="",$D69=""),"",ROUND(AC69/$E69*$D69*KVARDI,2))</f>
        <v/>
      </c>
      <c r="AE69" s="66" t="n"/>
      <c r="AF69" s="78">
        <f>IF(OR(INDEX(Undirviðmið!$G$6:$G$105,ROW()-6)&lt;&gt;"Starfsbundinn",AE69="",$E69="",$D69=""),"",ROUND(AE69/$E69*$D69*KVARDI,2))</f>
        <v/>
      </c>
      <c r="AG69" s="66" t="n"/>
      <c r="AH69" s="78">
        <f>IF(OR(INDEX(Undirviðmið!$G$6:$G$105,ROW()-6)&lt;&gt;"Starfsbundinn",AG69="",$E69="",$D69=""),"",ROUND(AG69/$E69*$D69*KVARDI,2))</f>
        <v/>
      </c>
      <c r="AI69" s="66" t="n"/>
      <c r="AJ69" s="78">
        <f>IF(OR(INDEX(Undirviðmið!$G$6:$G$105,ROW()-6)&lt;&gt;"Starfsbundinn",AI69="",$E69="",$D69=""),"",ROUND(AI69/$E69*$D69*KVARDI,2))</f>
        <v/>
      </c>
      <c r="AK69" s="66" t="n"/>
      <c r="AL69" s="78">
        <f>IF(OR(INDEX(Undirviðmið!$G$6:$G$105,ROW()-6)&lt;&gt;"Starfsbundinn",AK69="",$E69="",$D69=""),"",ROUND(AK69/$E69*$D69*KVARDI,2))</f>
        <v/>
      </c>
      <c r="AM69" s="66" t="n"/>
      <c r="AN69" s="78">
        <f>IF(OR(INDEX(Undirviðmið!$G$6:$G$105,ROW()-6)&lt;&gt;"Starfsbundinn",AM69="",$E69="",$D69=""),"",ROUND(AM69/$E69*$D69*KVARDI,2))</f>
        <v/>
      </c>
      <c r="AO69" s="66" t="n"/>
      <c r="AP69" s="78">
        <f>IF(OR(INDEX(Undirviðmið!$G$6:$G$105,ROW()-6)&lt;&gt;"Starfsbundinn",AO69="",$E69="",$D69=""),"",ROUND(AO69/$E69*$D69*KVARDI,2))</f>
        <v/>
      </c>
      <c r="AQ69" s="66" t="n"/>
      <c r="AR69" s="78">
        <f>IF(OR(INDEX(Undirviðmið!$G$6:$G$105,ROW()-6)&lt;&gt;"Starfsbundinn",AQ69="",$E69="",$D69=""),"",ROUND(AQ69/$E69*$D69*KVARDI,2))</f>
        <v/>
      </c>
      <c r="AS69" s="66" t="n"/>
      <c r="AT69" s="78">
        <f>IF(OR(INDEX(Undirviðmið!$G$6:$G$105,ROW()-6)&lt;&gt;"Starfsbundinn",AS69="",$E69="",$D69=""),"",ROUND(AS69/$E69*$D69*KVARDI,2))</f>
        <v/>
      </c>
      <c r="AU69" s="66" t="n"/>
      <c r="AV69" s="78">
        <f>IF(OR(INDEX(Undirviðmið!$G$6:$G$105,ROW()-6)&lt;&gt;"Starfsbundinn",AU69="",$E69="",$D69=""),"",ROUND(AU69/$E69*$D69*KVARDI,2))</f>
        <v/>
      </c>
      <c r="AW69" s="66" t="n"/>
      <c r="AX69" s="78">
        <f>IF(OR(INDEX(Undirviðmið!$G$6:$G$105,ROW()-6)&lt;&gt;"Starfsbundinn",AW69="",$E69="",$D69=""),"",ROUND(AW69/$E69*$D69*KVARDI,2))</f>
        <v/>
      </c>
      <c r="AY69" s="66" t="n"/>
      <c r="AZ69" s="78">
        <f>IF(OR(INDEX(Undirviðmið!$G$6:$G$105,ROW()-6)&lt;&gt;"Starfsbundinn",AY69="",$E69="",$D69=""),"",ROUND(AY69/$E69*$D69*KVARDI,2))</f>
        <v/>
      </c>
      <c r="BA69" s="66" t="n"/>
      <c r="BB69" s="78">
        <f>IF(OR(INDEX(Undirviðmið!$G$6:$G$105,ROW()-6)&lt;&gt;"Starfsbundinn",BA69="",$E69="",$D69=""),"",ROUND(BA69/$E69*$D69*KVARDI,2))</f>
        <v/>
      </c>
      <c r="BC69" s="66" t="n"/>
      <c r="BD69" s="78">
        <f>IF(OR(INDEX(Undirviðmið!$G$6:$G$105,ROW()-6)&lt;&gt;"Starfsbundinn",BC69="",$E69="",$D69=""),"",ROUND(BC69/$E69*$D69*KVARDI,2))</f>
        <v/>
      </c>
      <c r="BE69" s="66" t="n"/>
      <c r="BF69" s="78">
        <f>IF(OR(INDEX(Undirviðmið!$G$6:$G$105,ROW()-6)&lt;&gt;"Starfsbundinn",BE69="",$E69="",$D69=""),"",ROUND(BE69/$E69*$D69*KVARDI,2))</f>
        <v/>
      </c>
      <c r="BG69" s="66" t="n"/>
      <c r="BH69" s="78">
        <f>IF(OR(INDEX(Undirviðmið!$G$6:$G$105,ROW()-6)&lt;&gt;"Starfsbundinn",BG69="",$E69="",$D69=""),"",ROUND(BG69/$E69*$D69*KVARDI,2))</f>
        <v/>
      </c>
      <c r="BI69" s="66" t="n"/>
      <c r="BJ69" s="78">
        <f>IF(OR(INDEX(Undirviðmið!$G$6:$G$105,ROW()-6)&lt;&gt;"Starfsbundinn",BI69="",$E69="",$D69=""),"",ROUND(BI69/$E69*$D69*KVARDI,2))</f>
        <v/>
      </c>
      <c r="BK69" s="66" t="n"/>
      <c r="BL69" s="78">
        <f>IF(OR(INDEX(Undirviðmið!$G$6:$G$105,ROW()-6)&lt;&gt;"Starfsbundinn",BK69="",$E69="",$D69=""),"",ROUND(BK69/$E69*$D69*KVARDI,2))</f>
        <v/>
      </c>
      <c r="BM69" s="66" t="n"/>
      <c r="BN69" s="78">
        <f>IF(OR(INDEX(Undirviðmið!$G$6:$G$105,ROW()-6)&lt;&gt;"Starfsbundinn",BM69="",$E69="",$D69=""),"",ROUND(BM69/$E69*$D69*KVARDI,2))</f>
        <v/>
      </c>
      <c r="BO69" s="66" t="n"/>
      <c r="BP69" s="78">
        <f>IF(OR(INDEX(Undirviðmið!$G$6:$G$105,ROW()-6)&lt;&gt;"Starfsbundinn",BO69="",$E69="",$D69=""),"",ROUND(BO69/$E69*$D69*KVARDI,2))</f>
        <v/>
      </c>
      <c r="BQ69" s="66" t="n"/>
      <c r="BR69" s="78">
        <f>IF(OR(INDEX(Undirviðmið!$G$6:$G$105,ROW()-6)&lt;&gt;"Starfsbundinn",BQ69="",$E69="",$D69=""),"",ROUND(BQ69/$E69*$D69*KVARDI,2))</f>
        <v/>
      </c>
      <c r="BS69" s="66" t="n"/>
      <c r="BT69" s="78">
        <f>IF(OR(INDEX(Undirviðmið!$G$6:$G$105,ROW()-6)&lt;&gt;"Starfsbundinn",BS69="",$E69="",$D69=""),"",ROUND(BS69/$E69*$D69*KVARDI,2))</f>
        <v/>
      </c>
      <c r="BU69" s="66" t="n"/>
      <c r="BV69" s="78">
        <f>IF(OR(INDEX(Undirviðmið!$G$6:$G$105,ROW()-6)&lt;&gt;"Starfsbundinn",BU69="",$E69="",$D69=""),"",ROUND(BU69/$E69*$D69*KVARDI,2))</f>
        <v/>
      </c>
      <c r="BW69" s="66" t="n"/>
      <c r="BX69" s="78">
        <f>IF(OR(INDEX(Undirviðmið!$G$6:$G$105,ROW()-6)&lt;&gt;"Starfsbundinn",BW69="",$E69="",$D69=""),"",ROUND(BW69/$E69*$D69*KVARDI,2))</f>
        <v/>
      </c>
      <c r="BY69" s="66" t="n"/>
      <c r="BZ69" s="78">
        <f>IF(OR(INDEX(Undirviðmið!$G$6:$G$105,ROW()-6)&lt;&gt;"Starfsbundinn",BY69="",$E69="",$D69=""),"",ROUND(BY69/$E69*$D69*KVARDI,2))</f>
        <v/>
      </c>
      <c r="CA69" s="66" t="n"/>
      <c r="CB69" s="78">
        <f>IF(OR(INDEX(Undirviðmið!$G$6:$G$105,ROW()-6)&lt;&gt;"Starfsbundinn",CA69="",$E69="",$D69=""),"",ROUND(CA69/$E69*$D69*KVARDI,2))</f>
        <v/>
      </c>
      <c r="CC69" s="66" t="n"/>
      <c r="CD69" s="78">
        <f>IF(OR(INDEX(Undirviðmið!$G$6:$G$105,ROW()-6)&lt;&gt;"Starfsbundinn",CC69="",$E69="",$D69=""),"",ROUND(CC69/$E69*$D69*KVARDI,2))</f>
        <v/>
      </c>
      <c r="CE69" s="66" t="n"/>
      <c r="CF69" s="78">
        <f>IF(OR(INDEX(Undirviðmið!$G$6:$G$105,ROW()-6)&lt;&gt;"Starfsbundinn",CE69="",$E69="",$D69=""),"",ROUND(CE69/$E69*$D69*KVARDI,2))</f>
        <v/>
      </c>
      <c r="CG69" s="66" t="n"/>
      <c r="CH69" s="78">
        <f>IF(OR(INDEX(Undirviðmið!$G$6:$G$105,ROW()-6)&lt;&gt;"Starfsbundinn",CG69="",$E69="",$D69=""),"",ROUND(CG69/$E69*$D69*KVARDI,2))</f>
        <v/>
      </c>
      <c r="CI69" s="66" t="n"/>
      <c r="CJ69" s="78">
        <f>IF(OR(INDEX(Undirviðmið!$G$6:$G$105,ROW()-6)&lt;&gt;"Starfsbundinn",CI69="",$E69="",$D69=""),"",ROUND(CI69/$E69*$D69*KVARDI,2))</f>
        <v/>
      </c>
      <c r="CK69" s="66" t="n"/>
      <c r="CL69" s="78">
        <f>IF(OR(INDEX(Undirviðmið!$G$6:$G$105,ROW()-6)&lt;&gt;"Starfsbundinn",CK69="",$E69="",$D69=""),"",ROUND(CK69/$E69*$D69*KVARDI,2))</f>
        <v/>
      </c>
      <c r="CM69" s="66" t="n"/>
      <c r="CN69" s="78">
        <f>IF(OR(INDEX(Undirviðmið!$G$6:$G$105,ROW()-6)&lt;&gt;"Starfsbundinn",CM69="",$E69="",$D69=""),"",ROUND(CM69/$E69*$D69*KVARDI,2))</f>
        <v/>
      </c>
      <c r="CO69" s="66" t="n"/>
      <c r="CP69" s="78">
        <f>IF(OR(INDEX(Undirviðmið!$G$6:$G$105,ROW()-6)&lt;&gt;"Starfsbundinn",CO69="",$E69="",$D69=""),"",ROUND(CO69/$E69*$D69*KVARDI,2))</f>
        <v/>
      </c>
      <c r="CQ69" s="66" t="n"/>
      <c r="CR69" s="78">
        <f>IF(OR(INDEX(Undirviðmið!$G$6:$G$105,ROW()-6)&lt;&gt;"Starfsbundinn",CQ69="",$E69="",$D69=""),"",ROUND(CQ69/$E69*$D69*KVARDI,2))</f>
        <v/>
      </c>
      <c r="CS69" s="66" t="n"/>
      <c r="CT69" s="78">
        <f>IF(OR(INDEX(Undirviðmið!$G$6:$G$105,ROW()-6)&lt;&gt;"Starfsbundinn",CS69="",$E69="",$D69=""),"",ROUND(CS69/$E69*$D69*KVARDI,2))</f>
        <v/>
      </c>
      <c r="CU69" s="66" t="n"/>
      <c r="CV69" s="78">
        <f>IF(OR(INDEX(Undirviðmið!$G$6:$G$105,ROW()-6)&lt;&gt;"Starfsbundinn",CU69="",$E69="",$D69=""),"",ROUND(CU69/$E69*$D69*KVARDI,2))</f>
        <v/>
      </c>
      <c r="CW69" s="66" t="n"/>
      <c r="CX69" s="78">
        <f>IF(OR(INDEX(Undirviðmið!$G$6:$G$105,ROW()-6)&lt;&gt;"Starfsbundinn",CW69="",$E69="",$D69=""),"",ROUND(CW69/$E69*$D69*KVARDI,2))</f>
        <v/>
      </c>
      <c r="CY69" s="66" t="n"/>
      <c r="CZ69" s="78">
        <f>IF(OR(INDEX(Undirviðmið!$G$6:$G$105,ROW()-6)&lt;&gt;"Starfsbundinn",CY69="",$E69="",$D69=""),"",ROUND(CY69/$E69*$D69*KVARDI,2))</f>
        <v/>
      </c>
      <c r="DA69" s="66" t="n"/>
      <c r="DB69" s="78">
        <f>IF(OR(INDEX(Undirviðmið!$G$6:$G$105,ROW()-6)&lt;&gt;"Starfsbundinn",DA69="",$E69="",$D69=""),"",ROUND(DA69/$E69*$D69*KVARDI,2))</f>
        <v/>
      </c>
      <c r="DC69" s="66" t="n"/>
      <c r="DD69" s="78">
        <f>IF(OR(INDEX(Undirviðmið!$G$6:$G$105,ROW()-6)&lt;&gt;"Starfsbundinn",DC69="",$E69="",$D69=""),"",ROUND(DC69/$E69*$D69*KVARDI,2))</f>
        <v/>
      </c>
      <c r="DE69" s="66" t="n"/>
      <c r="DF69" s="78">
        <f>IF(OR(INDEX(Undirviðmið!$G$6:$G$105,ROW()-6)&lt;&gt;"Starfsbundinn",DE69="",$E69="",$D69=""),"",ROUND(DE69/$E69*$D69*KVARDI,2))</f>
        <v/>
      </c>
      <c r="DG69" s="66" t="n"/>
      <c r="DH69" s="78">
        <f>IF(OR(INDEX(Undirviðmið!$G$6:$G$105,ROW()-6)&lt;&gt;"Starfsbundinn",DG69="",$E69="",$D69=""),"",ROUND(DG69/$E69*$D69*KVARDI,2))</f>
        <v/>
      </c>
      <c r="DI69" s="66" t="n"/>
      <c r="DJ69" s="78">
        <f>IF(OR(INDEX(Undirviðmið!$G$6:$G$105,ROW()-6)&lt;&gt;"Starfsbundinn",DI69="",$E69="",$D69=""),"",ROUND(DI69/$E69*$D69*KVARDI,2))</f>
        <v/>
      </c>
      <c r="DK69" s="66" t="n"/>
      <c r="DL69" s="78">
        <f>IF(OR(INDEX(Undirviðmið!$G$6:$G$105,ROW()-6)&lt;&gt;"Starfsbundinn",DK69="",$E69="",$D69=""),"",ROUND(DK69/$E69*$D69*KVARDI,2))</f>
        <v/>
      </c>
      <c r="DM69" s="66" t="n"/>
      <c r="DN69" s="78">
        <f>IF(OR(INDEX(Undirviðmið!$G$6:$G$105,ROW()-6)&lt;&gt;"Starfsbundinn",DM69="",$E69="",$D69=""),"",ROUND(DM69/$E69*$D69*KVARDI,2))</f>
        <v/>
      </c>
      <c r="DO69" s="66" t="n"/>
      <c r="DP69" s="78">
        <f>IF(OR(INDEX(Undirviðmið!$G$6:$G$105,ROW()-6)&lt;&gt;"Starfsbundinn",DO69="",$E69="",$D69=""),"",ROUND(DO69/$E69*$D69*KVARDI,2))</f>
        <v/>
      </c>
      <c r="DQ69" s="66" t="n"/>
      <c r="DR69" s="78">
        <f>IF(OR(INDEX(Undirviðmið!$G$6:$G$105,ROW()-6)&lt;&gt;"Starfsbundinn",DQ69="",$E69="",$D69=""),"",ROUND(DQ69/$E69*$D69*KVARDI,2))</f>
        <v/>
      </c>
      <c r="DS69" s="66" t="n"/>
      <c r="DT69" s="78">
        <f>IF(OR(INDEX(Undirviðmið!$G$6:$G$105,ROW()-6)&lt;&gt;"Starfsbundinn",DS69="",$E69="",$D69=""),"",ROUND(DS69/$E69*$D69*KVARDI,2))</f>
        <v/>
      </c>
      <c r="DU69" s="66" t="n"/>
      <c r="DV69" s="78">
        <f>IF(OR(INDEX(Undirviðmið!$G$6:$G$105,ROW()-6)&lt;&gt;"Starfsbundinn",DU69="",$E69="",$D69=""),"",ROUND(DU69/$E69*$D69*KVARDI,2))</f>
        <v/>
      </c>
      <c r="DW69" s="66" t="n"/>
      <c r="DX69" s="78">
        <f>IF(OR(INDEX(Undirviðmið!$G$6:$G$105,ROW()-6)&lt;&gt;"Starfsbundinn",DW69="",$E69="",$D69=""),"",ROUND(DW69/$E69*$D69*KVARDI,2))</f>
        <v/>
      </c>
      <c r="DY69" s="66" t="n"/>
      <c r="DZ69" s="78">
        <f>IF(OR(INDEX(Undirviðmið!$G$6:$G$105,ROW()-6)&lt;&gt;"Starfsbundinn",DY69="",$E69="",$D69=""),"",ROUND(DY69/$E69*$D69*KVARDI,2))</f>
        <v/>
      </c>
      <c r="EA69" s="66" t="n"/>
      <c r="EB69" s="78">
        <f>IF(OR(INDEX(Undirviðmið!$G$6:$G$105,ROW()-6)&lt;&gt;"Starfsbundinn",EA69="",$E69="",$D69=""),"",ROUND(EA69/$E69*$D69*KVARDI,2))</f>
        <v/>
      </c>
      <c r="EC69" s="66" t="n"/>
      <c r="ED69" s="78">
        <f>IF(OR(INDEX(Undirviðmið!$G$6:$G$105,ROW()-6)&lt;&gt;"Starfsbundinn",EC69="",$E69="",$D69=""),"",ROUND(EC69/$E69*$D69*KVARDI,2))</f>
        <v/>
      </c>
      <c r="EE69" s="66" t="n"/>
      <c r="EF69" s="78">
        <f>IF(OR(INDEX(Undirviðmið!$G$6:$G$105,ROW()-6)&lt;&gt;"Starfsbundinn",EE69="",$E69="",$D69=""),"",ROUND(EE69/$E69*$D69*KVARDI,2))</f>
        <v/>
      </c>
      <c r="EG69" s="66" t="n"/>
      <c r="EH69" s="78">
        <f>IF(OR(INDEX(Undirviðmið!$G$6:$G$105,ROW()-6)&lt;&gt;"Starfsbundinn",EG69="",$E69="",$D69=""),"",ROUND(EG69/$E69*$D69*KVARDI,2))</f>
        <v/>
      </c>
      <c r="EI69" s="66" t="n"/>
      <c r="EJ69" s="78">
        <f>IF(OR(INDEX(Undirviðmið!$G$6:$G$105,ROW()-6)&lt;&gt;"Starfsbundinn",EI69="",$E69="",$D69=""),"",ROUND(EI69/$E69*$D69*KVARDI,2))</f>
        <v/>
      </c>
      <c r="EK69" s="66" t="n"/>
      <c r="EL69" s="78">
        <f>IF(OR(INDEX(Undirviðmið!$G$6:$G$105,ROW()-6)&lt;&gt;"Starfsbundinn",EK69="",$E69="",$D69=""),"",ROUND(EK69/$E69*$D69*KVARDI,2))</f>
        <v/>
      </c>
      <c r="EM69" s="66" t="n"/>
      <c r="EN69" s="78">
        <f>IF(OR(INDEX(Undirviðmið!$G$6:$G$105,ROW()-6)&lt;&gt;"Starfsbundinn",EM69="",$E69="",$D69=""),"",ROUND(EM69/$E69*$D69*KVARDI,2))</f>
        <v/>
      </c>
      <c r="EO69" s="66" t="n"/>
      <c r="EP69" s="78">
        <f>IF(OR(INDEX(Undirviðmið!$G$6:$G$105,ROW()-6)&lt;&gt;"Starfsbundinn",EO69="",$E69="",$D69=""),"",ROUND(EO69/$E69*$D69*KVARDI,2))</f>
        <v/>
      </c>
      <c r="EQ69" s="66" t="n"/>
      <c r="ER69" s="78">
        <f>IF(OR(INDEX(Undirviðmið!$G$6:$G$105,ROW()-6)&lt;&gt;"Starfsbundinn",EQ69="",$E69="",$D69=""),"",ROUND(EQ69/$E69*$D69*KVARDI,2))</f>
        <v/>
      </c>
      <c r="ES69" s="66" t="n"/>
      <c r="ET69" s="78">
        <f>IF(OR(INDEX(Undirviðmið!$G$6:$G$105,ROW()-6)&lt;&gt;"Starfsbundinn",ES69="",$E69="",$D69=""),"",ROUND(ES69/$E69*$D69*KVARDI,2))</f>
        <v/>
      </c>
      <c r="EU69" s="66" t="n"/>
      <c r="EV69" s="78">
        <f>IF(OR(INDEX(Undirviðmið!$G$6:$G$105,ROW()-6)&lt;&gt;"Starfsbundinn",EU69="",$E69="",$D69=""),"",ROUND(EU69/$E69*$D69*KVARDI,2))</f>
        <v/>
      </c>
      <c r="EW69" s="66" t="n"/>
      <c r="EX69" s="78">
        <f>IF(OR(INDEX(Undirviðmið!$G$6:$G$105,ROW()-6)&lt;&gt;"Starfsbundinn",EW69="",$E69="",$D69=""),"",ROUND(EW69/$E69*$D69*KVARDI,2))</f>
        <v/>
      </c>
      <c r="EY69" s="66" t="n"/>
      <c r="EZ69" s="78">
        <f>IF(OR(INDEX(Undirviðmið!$G$6:$G$105,ROW()-6)&lt;&gt;"Starfsbundinn",EY69="",$E69="",$D69=""),"",ROUND(EY69/$E69*$D69*KVARDI,2))</f>
        <v/>
      </c>
      <c r="FA69" s="66" t="n"/>
      <c r="FB69" s="78">
        <f>IF(OR(INDEX(Undirviðmið!$G$6:$G$105,ROW()-6)&lt;&gt;"Starfsbundinn",FA69="",$E69="",$D69=""),"",ROUND(FA69/$E69*$D69*KVARDI,2))</f>
        <v/>
      </c>
      <c r="FC69" s="66" t="n"/>
      <c r="FD69" s="78">
        <f>IF(OR(INDEX(Undirviðmið!$G$6:$G$105,ROW()-6)&lt;&gt;"Starfsbundinn",FC69="",$E69="",$D69=""),"",ROUND(FC69/$E69*$D69*KVARDI,2))</f>
        <v/>
      </c>
      <c r="FE69" s="66" t="n"/>
      <c r="FF69" s="78">
        <f>IF(OR(INDEX(Undirviðmið!$G$6:$G$105,ROW()-6)&lt;&gt;"Starfsbundinn",FE69="",$E69="",$D69=""),"",ROUND(FE69/$E69*$D69*KVARDI,2))</f>
        <v/>
      </c>
      <c r="FG69" s="66" t="n"/>
      <c r="FH69" s="78">
        <f>IF(OR(INDEX(Undirviðmið!$G$6:$G$105,ROW()-6)&lt;&gt;"Starfsbundinn",FG69="",$E69="",$D69=""),"",ROUND(FG69/$E69*$D69*KVARDI,2))</f>
        <v/>
      </c>
      <c r="FI69" s="66" t="n"/>
      <c r="FJ69" s="78">
        <f>IF(OR(INDEX(Undirviðmið!$G$6:$G$105,ROW()-6)&lt;&gt;"Starfsbundinn",FI69="",$E69="",$D69=""),"",ROUND(FI69/$E69*$D69*KVARDI,2))</f>
        <v/>
      </c>
      <c r="FK69" s="66" t="n"/>
      <c r="FL69" s="78">
        <f>IF(OR(INDEX(Undirviðmið!$G$6:$G$105,ROW()-6)&lt;&gt;"Starfsbundinn",FK69="",$E69="",$D69=""),"",ROUND(FK69/$E69*$D69*KVARDI,2))</f>
        <v/>
      </c>
      <c r="FM69" s="66" t="n"/>
      <c r="FN69" s="78">
        <f>IF(OR(INDEX(Undirviðmið!$G$6:$G$105,ROW()-6)&lt;&gt;"Starfsbundinn",FM69="",$E69="",$D69=""),"",ROUND(FM69/$E69*$D69*KVARDI,2))</f>
        <v/>
      </c>
      <c r="FO69" s="66" t="n"/>
      <c r="FP69" s="78">
        <f>IF(OR(INDEX(Undirviðmið!$G$6:$G$105,ROW()-6)&lt;&gt;"Starfsbundinn",FO69="",$E69="",$D69=""),"",ROUND(FO69/$E69*$D69*KVARDI,2))</f>
        <v/>
      </c>
      <c r="FQ69" s="66" t="n"/>
      <c r="FR69" s="78">
        <f>IF(OR(INDEX(Undirviðmið!$G$6:$G$105,ROW()-6)&lt;&gt;"Starfsbundinn",FQ69="",$E69="",$D69=""),"",ROUND(FQ69/$E69*$D69*KVARDI,2))</f>
        <v/>
      </c>
      <c r="FS69" s="66" t="n"/>
      <c r="FT69" s="78">
        <f>IF(OR(INDEX(Undirviðmið!$G$6:$G$105,ROW()-6)&lt;&gt;"Starfsbundinn",FS69="",$E69="",$D69=""),"",ROUND(FS69/$E69*$D69*KVARDI,2))</f>
        <v/>
      </c>
      <c r="FU69" s="66" t="n"/>
      <c r="FV69" s="78">
        <f>IF(OR(INDEX(Undirviðmið!$G$6:$G$105,ROW()-6)&lt;&gt;"Starfsbundinn",FU69="",$E69="",$D69=""),"",ROUND(FU69/$E69*$D69*KVARDI,2))</f>
        <v/>
      </c>
      <c r="FW69" s="66" t="n"/>
      <c r="FX69" s="78">
        <f>IF(OR(INDEX(Undirviðmið!$G$6:$G$105,ROW()-6)&lt;&gt;"Starfsbundinn",FW69="",$E69="",$D69=""),"",ROUND(FW69/$E69*$D69*KVARDI,2))</f>
        <v/>
      </c>
      <c r="FY69" s="66" t="n"/>
      <c r="FZ69" s="78">
        <f>IF(OR(INDEX(Undirviðmið!$G$6:$G$105,ROW()-6)&lt;&gt;"Starfsbundinn",FY69="",$E69="",$D69=""),"",ROUND(FY69/$E69*$D69*KVARDI,2))</f>
        <v/>
      </c>
      <c r="GA69" s="66" t="n"/>
      <c r="GB69" s="78">
        <f>IF(OR(INDEX(Undirviðmið!$G$6:$G$105,ROW()-6)&lt;&gt;"Starfsbundinn",GA69="",$E69="",$D69=""),"",ROUND(GA69/$E69*$D69*KVARDI,2))</f>
        <v/>
      </c>
      <c r="GC69" s="66" t="n"/>
      <c r="GD69" s="78">
        <f>IF(OR(INDEX(Undirviðmið!$G$6:$G$105,ROW()-6)&lt;&gt;"Starfsbundinn",GC69="",$E69="",$D69=""),"",ROUND(GC69/$E69*$D69*KVARDI,2))</f>
        <v/>
      </c>
      <c r="GE69" s="66" t="n"/>
      <c r="GF69" s="78">
        <f>IF(OR(INDEX(Undirviðmið!$G$6:$G$105,ROW()-6)&lt;&gt;"Starfsbundinn",GE69="",$E69="",$D69=""),"",ROUND(GE69/$E69*$D69*KVARDI,2))</f>
        <v/>
      </c>
      <c r="GG69" s="66" t="n"/>
      <c r="GH69" s="78">
        <f>IF(OR(INDEX(Undirviðmið!$G$6:$G$105,ROW()-6)&lt;&gt;"Starfsbundinn",GG69="",$E69="",$D69=""),"",ROUND(GG69/$E69*$D69*KVARDI,2))</f>
        <v/>
      </c>
      <c r="GI69" s="66" t="n"/>
      <c r="GJ69" s="78">
        <f>IF(OR(INDEX(Undirviðmið!$G$6:$G$105,ROW()-6)&lt;&gt;"Starfsbundinn",GI69="",$E69="",$D69=""),"",ROUND(GI69/$E69*$D69*KVARDI,2))</f>
        <v/>
      </c>
      <c r="GK69" s="66" t="n"/>
      <c r="GL69" s="78">
        <f>IF(OR(INDEX(Undirviðmið!$G$6:$G$105,ROW()-6)&lt;&gt;"Starfsbundinn",GK69="",$E69="",$D69=""),"",ROUND(GK69/$E69*$D69*KVARDI,2))</f>
        <v/>
      </c>
      <c r="GM69" s="66" t="n"/>
      <c r="GN69" s="78">
        <f>IF(OR(INDEX(Undirviðmið!$G$6:$G$105,ROW()-6)&lt;&gt;"Starfsbundinn",GM69="",$E69="",$D69=""),"",ROUND(GM69/$E69*$D69*KVARDI,2))</f>
        <v/>
      </c>
      <c r="GO69" s="66" t="n"/>
      <c r="GP69" s="78">
        <f>IF(OR(INDEX(Undirviðmið!$G$6:$G$105,ROW()-6)&lt;&gt;"Starfsbundinn",GO69="",$E69="",$D69=""),"",ROUND(GO69/$E69*$D69*KVARDI,2))</f>
        <v/>
      </c>
      <c r="GQ69" s="66" t="n"/>
      <c r="GR69" s="78">
        <f>IF(OR(INDEX(Undirviðmið!$G$6:$G$105,ROW()-6)&lt;&gt;"Starfsbundinn",GQ69="",$E69="",$D69=""),"",ROUND(GQ69/$E69*$D69*KVARDI,2))</f>
        <v/>
      </c>
      <c r="GS69" s="66" t="n"/>
      <c r="GT69" s="78">
        <f>IF(OR(INDEX(Undirviðmið!$G$6:$G$105,ROW()-6)&lt;&gt;"Starfsbundinn",GS69="",$E69="",$D69=""),"",ROUND(GS69/$E69*$D69*KVARDI,2))</f>
        <v/>
      </c>
      <c r="GU69" s="66" t="n"/>
      <c r="GV69" s="78">
        <f>IF(OR(INDEX(Undirviðmið!$G$6:$G$105,ROW()-6)&lt;&gt;"Starfsbundinn",GU69="",$E69="",$D69=""),"",ROUND(GU69/$E69*$D69*KVARDI,2))</f>
        <v/>
      </c>
      <c r="GW69" s="66" t="n"/>
      <c r="GX69" s="78">
        <f>IF(OR(INDEX(Undirviðmið!$G$6:$G$105,ROW()-6)&lt;&gt;"Starfsbundinn",GW69="",$E69="",$D69=""),"",ROUND(GW69/$E69*$D69*KVARDI,2))</f>
        <v/>
      </c>
    </row>
    <row r="70" ht="15" customHeight="1" s="47">
      <c r="B70" s="67">
        <f>IF(INDEX(Undirviðmið!$G$6:$G$105,ROW()-6)="Starfsbundinn",INDEX(Undirviðmið!$B$6:$B$105,ROW()-6),"")</f>
        <v/>
      </c>
      <c r="C70" s="67">
        <f>IF(INDEX(Undirviðmið!$G$6:$G$105,ROW()-6)="Starfsbundinn",INDEX(Undirviðmið!$C$6:$C$105,ROW()-6),"")</f>
        <v/>
      </c>
      <c r="D70" s="77">
        <f>IF(INDEX(Undirviðmið!$G$6:$G$105,ROW()-6)="Starfsbundinn",INDEX(Undirviðmið!$E$6:$E$105,ROW()-6),"")</f>
        <v/>
      </c>
      <c r="E70" s="77">
        <f>IF(INDEX(Undirviðmið!$G$6:$G$105,ROW()-6)="Starfsbundinn",INDEX(Undirviðmið!$F$6:$F$105,ROW()-6),"")</f>
        <v/>
      </c>
      <c r="F70" s="77">
        <f>IF(INDEX(Undirviðmið!$G$6:$G$105,ROW()-6)="Starfsbundinn",IFERROR(INDEX(Undirviðmið!$E$6:$E$105,ROW()-6)*KVARDI,""),"")</f>
        <v/>
      </c>
      <c r="G70" s="66" t="n"/>
      <c r="H70" s="78">
        <f>IF(OR(INDEX(Undirviðmið!$G$6:$G$105,ROW()-6)&lt;&gt;"Starfsbundinn",G70="",$E70="",$D70=""),"",ROUND(G70/$E70*$D70*KVARDI,2))</f>
        <v/>
      </c>
      <c r="I70" s="66" t="n"/>
      <c r="J70" s="78">
        <f>IF(OR(INDEX(Undirviðmið!$G$6:$G$105,ROW()-6)&lt;&gt;"Starfsbundinn",I70="",$E70="",$D70=""),"",ROUND(I70/$E70*$D70*KVARDI,2))</f>
        <v/>
      </c>
      <c r="K70" s="66" t="n"/>
      <c r="L70" s="78">
        <f>IF(OR(INDEX(Undirviðmið!$G$6:$G$105,ROW()-6)&lt;&gt;"Starfsbundinn",K70="",$E70="",$D70=""),"",ROUND(K70/$E70*$D70*KVARDI,2))</f>
        <v/>
      </c>
      <c r="M70" s="66" t="n"/>
      <c r="N70" s="78">
        <f>IF(OR(INDEX(Undirviðmið!$G$6:$G$105,ROW()-6)&lt;&gt;"Starfsbundinn",M70="",$E70="",$D70=""),"",ROUND(M70/$E70*$D70*KVARDI,2))</f>
        <v/>
      </c>
      <c r="O70" s="66" t="n"/>
      <c r="P70" s="78">
        <f>IF(OR(INDEX(Undirviðmið!$G$6:$G$105,ROW()-6)&lt;&gt;"Starfsbundinn",O70="",$E70="",$D70=""),"",ROUND(O70/$E70*$D70*KVARDI,2))</f>
        <v/>
      </c>
      <c r="Q70" s="66" t="n"/>
      <c r="R70" s="78">
        <f>IF(OR(INDEX(Undirviðmið!$G$6:$G$105,ROW()-6)&lt;&gt;"Starfsbundinn",Q70="",$E70="",$D70=""),"",ROUND(Q70/$E70*$D70*KVARDI,2))</f>
        <v/>
      </c>
      <c r="S70" s="66" t="n"/>
      <c r="T70" s="78">
        <f>IF(OR(INDEX(Undirviðmið!$G$6:$G$105,ROW()-6)&lt;&gt;"Starfsbundinn",S70="",$E70="",$D70=""),"",ROUND(S70/$E70*$D70*KVARDI,2))</f>
        <v/>
      </c>
      <c r="U70" s="66" t="n"/>
      <c r="V70" s="78">
        <f>IF(OR(INDEX(Undirviðmið!$G$6:$G$105,ROW()-6)&lt;&gt;"Starfsbundinn",U70="",$E70="",$D70=""),"",ROUND(U70/$E70*$D70*KVARDI,2))</f>
        <v/>
      </c>
      <c r="W70" s="66" t="n"/>
      <c r="X70" s="78">
        <f>IF(OR(INDEX(Undirviðmið!$G$6:$G$105,ROW()-6)&lt;&gt;"Starfsbundinn",W70="",$E70="",$D70=""),"",ROUND(W70/$E70*$D70*KVARDI,2))</f>
        <v/>
      </c>
      <c r="Y70" s="66" t="n"/>
      <c r="Z70" s="78">
        <f>IF(OR(INDEX(Undirviðmið!$G$6:$G$105,ROW()-6)&lt;&gt;"Starfsbundinn",Y70="",$E70="",$D70=""),"",ROUND(Y70/$E70*$D70*KVARDI,2))</f>
        <v/>
      </c>
      <c r="AA70" s="66" t="n"/>
      <c r="AB70" s="78">
        <f>IF(OR(INDEX(Undirviðmið!$G$6:$G$105,ROW()-6)&lt;&gt;"Starfsbundinn",AA70="",$E70="",$D70=""),"",ROUND(AA70/$E70*$D70*KVARDI,2))</f>
        <v/>
      </c>
      <c r="AC70" s="66" t="n"/>
      <c r="AD70" s="78">
        <f>IF(OR(INDEX(Undirviðmið!$G$6:$G$105,ROW()-6)&lt;&gt;"Starfsbundinn",AC70="",$E70="",$D70=""),"",ROUND(AC70/$E70*$D70*KVARDI,2))</f>
        <v/>
      </c>
      <c r="AE70" s="66" t="n"/>
      <c r="AF70" s="78">
        <f>IF(OR(INDEX(Undirviðmið!$G$6:$G$105,ROW()-6)&lt;&gt;"Starfsbundinn",AE70="",$E70="",$D70=""),"",ROUND(AE70/$E70*$D70*KVARDI,2))</f>
        <v/>
      </c>
      <c r="AG70" s="66" t="n"/>
      <c r="AH70" s="78">
        <f>IF(OR(INDEX(Undirviðmið!$G$6:$G$105,ROW()-6)&lt;&gt;"Starfsbundinn",AG70="",$E70="",$D70=""),"",ROUND(AG70/$E70*$D70*KVARDI,2))</f>
        <v/>
      </c>
      <c r="AI70" s="66" t="n"/>
      <c r="AJ70" s="78">
        <f>IF(OR(INDEX(Undirviðmið!$G$6:$G$105,ROW()-6)&lt;&gt;"Starfsbundinn",AI70="",$E70="",$D70=""),"",ROUND(AI70/$E70*$D70*KVARDI,2))</f>
        <v/>
      </c>
      <c r="AK70" s="66" t="n"/>
      <c r="AL70" s="78">
        <f>IF(OR(INDEX(Undirviðmið!$G$6:$G$105,ROW()-6)&lt;&gt;"Starfsbundinn",AK70="",$E70="",$D70=""),"",ROUND(AK70/$E70*$D70*KVARDI,2))</f>
        <v/>
      </c>
      <c r="AM70" s="66" t="n"/>
      <c r="AN70" s="78">
        <f>IF(OR(INDEX(Undirviðmið!$G$6:$G$105,ROW()-6)&lt;&gt;"Starfsbundinn",AM70="",$E70="",$D70=""),"",ROUND(AM70/$E70*$D70*KVARDI,2))</f>
        <v/>
      </c>
      <c r="AO70" s="66" t="n"/>
      <c r="AP70" s="78">
        <f>IF(OR(INDEX(Undirviðmið!$G$6:$G$105,ROW()-6)&lt;&gt;"Starfsbundinn",AO70="",$E70="",$D70=""),"",ROUND(AO70/$E70*$D70*KVARDI,2))</f>
        <v/>
      </c>
      <c r="AQ70" s="66" t="n"/>
      <c r="AR70" s="78">
        <f>IF(OR(INDEX(Undirviðmið!$G$6:$G$105,ROW()-6)&lt;&gt;"Starfsbundinn",AQ70="",$E70="",$D70=""),"",ROUND(AQ70/$E70*$D70*KVARDI,2))</f>
        <v/>
      </c>
      <c r="AS70" s="66" t="n"/>
      <c r="AT70" s="78">
        <f>IF(OR(INDEX(Undirviðmið!$G$6:$G$105,ROW()-6)&lt;&gt;"Starfsbundinn",AS70="",$E70="",$D70=""),"",ROUND(AS70/$E70*$D70*KVARDI,2))</f>
        <v/>
      </c>
      <c r="AU70" s="66" t="n"/>
      <c r="AV70" s="78">
        <f>IF(OR(INDEX(Undirviðmið!$G$6:$G$105,ROW()-6)&lt;&gt;"Starfsbundinn",AU70="",$E70="",$D70=""),"",ROUND(AU70/$E70*$D70*KVARDI,2))</f>
        <v/>
      </c>
      <c r="AW70" s="66" t="n"/>
      <c r="AX70" s="78">
        <f>IF(OR(INDEX(Undirviðmið!$G$6:$G$105,ROW()-6)&lt;&gt;"Starfsbundinn",AW70="",$E70="",$D70=""),"",ROUND(AW70/$E70*$D70*KVARDI,2))</f>
        <v/>
      </c>
      <c r="AY70" s="66" t="n"/>
      <c r="AZ70" s="78">
        <f>IF(OR(INDEX(Undirviðmið!$G$6:$G$105,ROW()-6)&lt;&gt;"Starfsbundinn",AY70="",$E70="",$D70=""),"",ROUND(AY70/$E70*$D70*KVARDI,2))</f>
        <v/>
      </c>
      <c r="BA70" s="66" t="n"/>
      <c r="BB70" s="78">
        <f>IF(OR(INDEX(Undirviðmið!$G$6:$G$105,ROW()-6)&lt;&gt;"Starfsbundinn",BA70="",$E70="",$D70=""),"",ROUND(BA70/$E70*$D70*KVARDI,2))</f>
        <v/>
      </c>
      <c r="BC70" s="66" t="n"/>
      <c r="BD70" s="78">
        <f>IF(OR(INDEX(Undirviðmið!$G$6:$G$105,ROW()-6)&lt;&gt;"Starfsbundinn",BC70="",$E70="",$D70=""),"",ROUND(BC70/$E70*$D70*KVARDI,2))</f>
        <v/>
      </c>
      <c r="BE70" s="66" t="n"/>
      <c r="BF70" s="78">
        <f>IF(OR(INDEX(Undirviðmið!$G$6:$G$105,ROW()-6)&lt;&gt;"Starfsbundinn",BE70="",$E70="",$D70=""),"",ROUND(BE70/$E70*$D70*KVARDI,2))</f>
        <v/>
      </c>
      <c r="BG70" s="66" t="n"/>
      <c r="BH70" s="78">
        <f>IF(OR(INDEX(Undirviðmið!$G$6:$G$105,ROW()-6)&lt;&gt;"Starfsbundinn",BG70="",$E70="",$D70=""),"",ROUND(BG70/$E70*$D70*KVARDI,2))</f>
        <v/>
      </c>
      <c r="BI70" s="66" t="n"/>
      <c r="BJ70" s="78">
        <f>IF(OR(INDEX(Undirviðmið!$G$6:$G$105,ROW()-6)&lt;&gt;"Starfsbundinn",BI70="",$E70="",$D70=""),"",ROUND(BI70/$E70*$D70*KVARDI,2))</f>
        <v/>
      </c>
      <c r="BK70" s="66" t="n"/>
      <c r="BL70" s="78">
        <f>IF(OR(INDEX(Undirviðmið!$G$6:$G$105,ROW()-6)&lt;&gt;"Starfsbundinn",BK70="",$E70="",$D70=""),"",ROUND(BK70/$E70*$D70*KVARDI,2))</f>
        <v/>
      </c>
      <c r="BM70" s="66" t="n"/>
      <c r="BN70" s="78">
        <f>IF(OR(INDEX(Undirviðmið!$G$6:$G$105,ROW()-6)&lt;&gt;"Starfsbundinn",BM70="",$E70="",$D70=""),"",ROUND(BM70/$E70*$D70*KVARDI,2))</f>
        <v/>
      </c>
      <c r="BO70" s="66" t="n"/>
      <c r="BP70" s="78">
        <f>IF(OR(INDEX(Undirviðmið!$G$6:$G$105,ROW()-6)&lt;&gt;"Starfsbundinn",BO70="",$E70="",$D70=""),"",ROUND(BO70/$E70*$D70*KVARDI,2))</f>
        <v/>
      </c>
      <c r="BQ70" s="66" t="n"/>
      <c r="BR70" s="78">
        <f>IF(OR(INDEX(Undirviðmið!$G$6:$G$105,ROW()-6)&lt;&gt;"Starfsbundinn",BQ70="",$E70="",$D70=""),"",ROUND(BQ70/$E70*$D70*KVARDI,2))</f>
        <v/>
      </c>
      <c r="BS70" s="66" t="n"/>
      <c r="BT70" s="78">
        <f>IF(OR(INDEX(Undirviðmið!$G$6:$G$105,ROW()-6)&lt;&gt;"Starfsbundinn",BS70="",$E70="",$D70=""),"",ROUND(BS70/$E70*$D70*KVARDI,2))</f>
        <v/>
      </c>
      <c r="BU70" s="66" t="n"/>
      <c r="BV70" s="78">
        <f>IF(OR(INDEX(Undirviðmið!$G$6:$G$105,ROW()-6)&lt;&gt;"Starfsbundinn",BU70="",$E70="",$D70=""),"",ROUND(BU70/$E70*$D70*KVARDI,2))</f>
        <v/>
      </c>
      <c r="BW70" s="66" t="n"/>
      <c r="BX70" s="78">
        <f>IF(OR(INDEX(Undirviðmið!$G$6:$G$105,ROW()-6)&lt;&gt;"Starfsbundinn",BW70="",$E70="",$D70=""),"",ROUND(BW70/$E70*$D70*KVARDI,2))</f>
        <v/>
      </c>
      <c r="BY70" s="66" t="n"/>
      <c r="BZ70" s="78">
        <f>IF(OR(INDEX(Undirviðmið!$G$6:$G$105,ROW()-6)&lt;&gt;"Starfsbundinn",BY70="",$E70="",$D70=""),"",ROUND(BY70/$E70*$D70*KVARDI,2))</f>
        <v/>
      </c>
      <c r="CA70" s="66" t="n"/>
      <c r="CB70" s="78">
        <f>IF(OR(INDEX(Undirviðmið!$G$6:$G$105,ROW()-6)&lt;&gt;"Starfsbundinn",CA70="",$E70="",$D70=""),"",ROUND(CA70/$E70*$D70*KVARDI,2))</f>
        <v/>
      </c>
      <c r="CC70" s="66" t="n"/>
      <c r="CD70" s="78">
        <f>IF(OR(INDEX(Undirviðmið!$G$6:$G$105,ROW()-6)&lt;&gt;"Starfsbundinn",CC70="",$E70="",$D70=""),"",ROUND(CC70/$E70*$D70*KVARDI,2))</f>
        <v/>
      </c>
      <c r="CE70" s="66" t="n"/>
      <c r="CF70" s="78">
        <f>IF(OR(INDEX(Undirviðmið!$G$6:$G$105,ROW()-6)&lt;&gt;"Starfsbundinn",CE70="",$E70="",$D70=""),"",ROUND(CE70/$E70*$D70*KVARDI,2))</f>
        <v/>
      </c>
      <c r="CG70" s="66" t="n"/>
      <c r="CH70" s="78">
        <f>IF(OR(INDEX(Undirviðmið!$G$6:$G$105,ROW()-6)&lt;&gt;"Starfsbundinn",CG70="",$E70="",$D70=""),"",ROUND(CG70/$E70*$D70*KVARDI,2))</f>
        <v/>
      </c>
      <c r="CI70" s="66" t="n"/>
      <c r="CJ70" s="78">
        <f>IF(OR(INDEX(Undirviðmið!$G$6:$G$105,ROW()-6)&lt;&gt;"Starfsbundinn",CI70="",$E70="",$D70=""),"",ROUND(CI70/$E70*$D70*KVARDI,2))</f>
        <v/>
      </c>
      <c r="CK70" s="66" t="n"/>
      <c r="CL70" s="78">
        <f>IF(OR(INDEX(Undirviðmið!$G$6:$G$105,ROW()-6)&lt;&gt;"Starfsbundinn",CK70="",$E70="",$D70=""),"",ROUND(CK70/$E70*$D70*KVARDI,2))</f>
        <v/>
      </c>
      <c r="CM70" s="66" t="n"/>
      <c r="CN70" s="78">
        <f>IF(OR(INDEX(Undirviðmið!$G$6:$G$105,ROW()-6)&lt;&gt;"Starfsbundinn",CM70="",$E70="",$D70=""),"",ROUND(CM70/$E70*$D70*KVARDI,2))</f>
        <v/>
      </c>
      <c r="CO70" s="66" t="n"/>
      <c r="CP70" s="78">
        <f>IF(OR(INDEX(Undirviðmið!$G$6:$G$105,ROW()-6)&lt;&gt;"Starfsbundinn",CO70="",$E70="",$D70=""),"",ROUND(CO70/$E70*$D70*KVARDI,2))</f>
        <v/>
      </c>
      <c r="CQ70" s="66" t="n"/>
      <c r="CR70" s="78">
        <f>IF(OR(INDEX(Undirviðmið!$G$6:$G$105,ROW()-6)&lt;&gt;"Starfsbundinn",CQ70="",$E70="",$D70=""),"",ROUND(CQ70/$E70*$D70*KVARDI,2))</f>
        <v/>
      </c>
      <c r="CS70" s="66" t="n"/>
      <c r="CT70" s="78">
        <f>IF(OR(INDEX(Undirviðmið!$G$6:$G$105,ROW()-6)&lt;&gt;"Starfsbundinn",CS70="",$E70="",$D70=""),"",ROUND(CS70/$E70*$D70*KVARDI,2))</f>
        <v/>
      </c>
      <c r="CU70" s="66" t="n"/>
      <c r="CV70" s="78">
        <f>IF(OR(INDEX(Undirviðmið!$G$6:$G$105,ROW()-6)&lt;&gt;"Starfsbundinn",CU70="",$E70="",$D70=""),"",ROUND(CU70/$E70*$D70*KVARDI,2))</f>
        <v/>
      </c>
      <c r="CW70" s="66" t="n"/>
      <c r="CX70" s="78">
        <f>IF(OR(INDEX(Undirviðmið!$G$6:$G$105,ROW()-6)&lt;&gt;"Starfsbundinn",CW70="",$E70="",$D70=""),"",ROUND(CW70/$E70*$D70*KVARDI,2))</f>
        <v/>
      </c>
      <c r="CY70" s="66" t="n"/>
      <c r="CZ70" s="78">
        <f>IF(OR(INDEX(Undirviðmið!$G$6:$G$105,ROW()-6)&lt;&gt;"Starfsbundinn",CY70="",$E70="",$D70=""),"",ROUND(CY70/$E70*$D70*KVARDI,2))</f>
        <v/>
      </c>
      <c r="DA70" s="66" t="n"/>
      <c r="DB70" s="78">
        <f>IF(OR(INDEX(Undirviðmið!$G$6:$G$105,ROW()-6)&lt;&gt;"Starfsbundinn",DA70="",$E70="",$D70=""),"",ROUND(DA70/$E70*$D70*KVARDI,2))</f>
        <v/>
      </c>
      <c r="DC70" s="66" t="n"/>
      <c r="DD70" s="78">
        <f>IF(OR(INDEX(Undirviðmið!$G$6:$G$105,ROW()-6)&lt;&gt;"Starfsbundinn",DC70="",$E70="",$D70=""),"",ROUND(DC70/$E70*$D70*KVARDI,2))</f>
        <v/>
      </c>
      <c r="DE70" s="66" t="n"/>
      <c r="DF70" s="78">
        <f>IF(OR(INDEX(Undirviðmið!$G$6:$G$105,ROW()-6)&lt;&gt;"Starfsbundinn",DE70="",$E70="",$D70=""),"",ROUND(DE70/$E70*$D70*KVARDI,2))</f>
        <v/>
      </c>
      <c r="DG70" s="66" t="n"/>
      <c r="DH70" s="78">
        <f>IF(OR(INDEX(Undirviðmið!$G$6:$G$105,ROW()-6)&lt;&gt;"Starfsbundinn",DG70="",$E70="",$D70=""),"",ROUND(DG70/$E70*$D70*KVARDI,2))</f>
        <v/>
      </c>
      <c r="DI70" s="66" t="n"/>
      <c r="DJ70" s="78">
        <f>IF(OR(INDEX(Undirviðmið!$G$6:$G$105,ROW()-6)&lt;&gt;"Starfsbundinn",DI70="",$E70="",$D70=""),"",ROUND(DI70/$E70*$D70*KVARDI,2))</f>
        <v/>
      </c>
      <c r="DK70" s="66" t="n"/>
      <c r="DL70" s="78">
        <f>IF(OR(INDEX(Undirviðmið!$G$6:$G$105,ROW()-6)&lt;&gt;"Starfsbundinn",DK70="",$E70="",$D70=""),"",ROUND(DK70/$E70*$D70*KVARDI,2))</f>
        <v/>
      </c>
      <c r="DM70" s="66" t="n"/>
      <c r="DN70" s="78">
        <f>IF(OR(INDEX(Undirviðmið!$G$6:$G$105,ROW()-6)&lt;&gt;"Starfsbundinn",DM70="",$E70="",$D70=""),"",ROUND(DM70/$E70*$D70*KVARDI,2))</f>
        <v/>
      </c>
      <c r="DO70" s="66" t="n"/>
      <c r="DP70" s="78">
        <f>IF(OR(INDEX(Undirviðmið!$G$6:$G$105,ROW()-6)&lt;&gt;"Starfsbundinn",DO70="",$E70="",$D70=""),"",ROUND(DO70/$E70*$D70*KVARDI,2))</f>
        <v/>
      </c>
      <c r="DQ70" s="66" t="n"/>
      <c r="DR70" s="78">
        <f>IF(OR(INDEX(Undirviðmið!$G$6:$G$105,ROW()-6)&lt;&gt;"Starfsbundinn",DQ70="",$E70="",$D70=""),"",ROUND(DQ70/$E70*$D70*KVARDI,2))</f>
        <v/>
      </c>
      <c r="DS70" s="66" t="n"/>
      <c r="DT70" s="78">
        <f>IF(OR(INDEX(Undirviðmið!$G$6:$G$105,ROW()-6)&lt;&gt;"Starfsbundinn",DS70="",$E70="",$D70=""),"",ROUND(DS70/$E70*$D70*KVARDI,2))</f>
        <v/>
      </c>
      <c r="DU70" s="66" t="n"/>
      <c r="DV70" s="78">
        <f>IF(OR(INDEX(Undirviðmið!$G$6:$G$105,ROW()-6)&lt;&gt;"Starfsbundinn",DU70="",$E70="",$D70=""),"",ROUND(DU70/$E70*$D70*KVARDI,2))</f>
        <v/>
      </c>
      <c r="DW70" s="66" t="n"/>
      <c r="DX70" s="78">
        <f>IF(OR(INDEX(Undirviðmið!$G$6:$G$105,ROW()-6)&lt;&gt;"Starfsbundinn",DW70="",$E70="",$D70=""),"",ROUND(DW70/$E70*$D70*KVARDI,2))</f>
        <v/>
      </c>
      <c r="DY70" s="66" t="n"/>
      <c r="DZ70" s="78">
        <f>IF(OR(INDEX(Undirviðmið!$G$6:$G$105,ROW()-6)&lt;&gt;"Starfsbundinn",DY70="",$E70="",$D70=""),"",ROUND(DY70/$E70*$D70*KVARDI,2))</f>
        <v/>
      </c>
      <c r="EA70" s="66" t="n"/>
      <c r="EB70" s="78">
        <f>IF(OR(INDEX(Undirviðmið!$G$6:$G$105,ROW()-6)&lt;&gt;"Starfsbundinn",EA70="",$E70="",$D70=""),"",ROUND(EA70/$E70*$D70*KVARDI,2))</f>
        <v/>
      </c>
      <c r="EC70" s="66" t="n"/>
      <c r="ED70" s="78">
        <f>IF(OR(INDEX(Undirviðmið!$G$6:$G$105,ROW()-6)&lt;&gt;"Starfsbundinn",EC70="",$E70="",$D70=""),"",ROUND(EC70/$E70*$D70*KVARDI,2))</f>
        <v/>
      </c>
      <c r="EE70" s="66" t="n"/>
      <c r="EF70" s="78">
        <f>IF(OR(INDEX(Undirviðmið!$G$6:$G$105,ROW()-6)&lt;&gt;"Starfsbundinn",EE70="",$E70="",$D70=""),"",ROUND(EE70/$E70*$D70*KVARDI,2))</f>
        <v/>
      </c>
      <c r="EG70" s="66" t="n"/>
      <c r="EH70" s="78">
        <f>IF(OR(INDEX(Undirviðmið!$G$6:$G$105,ROW()-6)&lt;&gt;"Starfsbundinn",EG70="",$E70="",$D70=""),"",ROUND(EG70/$E70*$D70*KVARDI,2))</f>
        <v/>
      </c>
      <c r="EI70" s="66" t="n"/>
      <c r="EJ70" s="78">
        <f>IF(OR(INDEX(Undirviðmið!$G$6:$G$105,ROW()-6)&lt;&gt;"Starfsbundinn",EI70="",$E70="",$D70=""),"",ROUND(EI70/$E70*$D70*KVARDI,2))</f>
        <v/>
      </c>
      <c r="EK70" s="66" t="n"/>
      <c r="EL70" s="78">
        <f>IF(OR(INDEX(Undirviðmið!$G$6:$G$105,ROW()-6)&lt;&gt;"Starfsbundinn",EK70="",$E70="",$D70=""),"",ROUND(EK70/$E70*$D70*KVARDI,2))</f>
        <v/>
      </c>
      <c r="EM70" s="66" t="n"/>
      <c r="EN70" s="78">
        <f>IF(OR(INDEX(Undirviðmið!$G$6:$G$105,ROW()-6)&lt;&gt;"Starfsbundinn",EM70="",$E70="",$D70=""),"",ROUND(EM70/$E70*$D70*KVARDI,2))</f>
        <v/>
      </c>
      <c r="EO70" s="66" t="n"/>
      <c r="EP70" s="78">
        <f>IF(OR(INDEX(Undirviðmið!$G$6:$G$105,ROW()-6)&lt;&gt;"Starfsbundinn",EO70="",$E70="",$D70=""),"",ROUND(EO70/$E70*$D70*KVARDI,2))</f>
        <v/>
      </c>
      <c r="EQ70" s="66" t="n"/>
      <c r="ER70" s="78">
        <f>IF(OR(INDEX(Undirviðmið!$G$6:$G$105,ROW()-6)&lt;&gt;"Starfsbundinn",EQ70="",$E70="",$D70=""),"",ROUND(EQ70/$E70*$D70*KVARDI,2))</f>
        <v/>
      </c>
      <c r="ES70" s="66" t="n"/>
      <c r="ET70" s="78">
        <f>IF(OR(INDEX(Undirviðmið!$G$6:$G$105,ROW()-6)&lt;&gt;"Starfsbundinn",ES70="",$E70="",$D70=""),"",ROUND(ES70/$E70*$D70*KVARDI,2))</f>
        <v/>
      </c>
      <c r="EU70" s="66" t="n"/>
      <c r="EV70" s="78">
        <f>IF(OR(INDEX(Undirviðmið!$G$6:$G$105,ROW()-6)&lt;&gt;"Starfsbundinn",EU70="",$E70="",$D70=""),"",ROUND(EU70/$E70*$D70*KVARDI,2))</f>
        <v/>
      </c>
      <c r="EW70" s="66" t="n"/>
      <c r="EX70" s="78">
        <f>IF(OR(INDEX(Undirviðmið!$G$6:$G$105,ROW()-6)&lt;&gt;"Starfsbundinn",EW70="",$E70="",$D70=""),"",ROUND(EW70/$E70*$D70*KVARDI,2))</f>
        <v/>
      </c>
      <c r="EY70" s="66" t="n"/>
      <c r="EZ70" s="78">
        <f>IF(OR(INDEX(Undirviðmið!$G$6:$G$105,ROW()-6)&lt;&gt;"Starfsbundinn",EY70="",$E70="",$D70=""),"",ROUND(EY70/$E70*$D70*KVARDI,2))</f>
        <v/>
      </c>
      <c r="FA70" s="66" t="n"/>
      <c r="FB70" s="78">
        <f>IF(OR(INDEX(Undirviðmið!$G$6:$G$105,ROW()-6)&lt;&gt;"Starfsbundinn",FA70="",$E70="",$D70=""),"",ROUND(FA70/$E70*$D70*KVARDI,2))</f>
        <v/>
      </c>
      <c r="FC70" s="66" t="n"/>
      <c r="FD70" s="78">
        <f>IF(OR(INDEX(Undirviðmið!$G$6:$G$105,ROW()-6)&lt;&gt;"Starfsbundinn",FC70="",$E70="",$D70=""),"",ROUND(FC70/$E70*$D70*KVARDI,2))</f>
        <v/>
      </c>
      <c r="FE70" s="66" t="n"/>
      <c r="FF70" s="78">
        <f>IF(OR(INDEX(Undirviðmið!$G$6:$G$105,ROW()-6)&lt;&gt;"Starfsbundinn",FE70="",$E70="",$D70=""),"",ROUND(FE70/$E70*$D70*KVARDI,2))</f>
        <v/>
      </c>
      <c r="FG70" s="66" t="n"/>
      <c r="FH70" s="78">
        <f>IF(OR(INDEX(Undirviðmið!$G$6:$G$105,ROW()-6)&lt;&gt;"Starfsbundinn",FG70="",$E70="",$D70=""),"",ROUND(FG70/$E70*$D70*KVARDI,2))</f>
        <v/>
      </c>
      <c r="FI70" s="66" t="n"/>
      <c r="FJ70" s="78">
        <f>IF(OR(INDEX(Undirviðmið!$G$6:$G$105,ROW()-6)&lt;&gt;"Starfsbundinn",FI70="",$E70="",$D70=""),"",ROUND(FI70/$E70*$D70*KVARDI,2))</f>
        <v/>
      </c>
      <c r="FK70" s="66" t="n"/>
      <c r="FL70" s="78">
        <f>IF(OR(INDEX(Undirviðmið!$G$6:$G$105,ROW()-6)&lt;&gt;"Starfsbundinn",FK70="",$E70="",$D70=""),"",ROUND(FK70/$E70*$D70*KVARDI,2))</f>
        <v/>
      </c>
      <c r="FM70" s="66" t="n"/>
      <c r="FN70" s="78">
        <f>IF(OR(INDEX(Undirviðmið!$G$6:$G$105,ROW()-6)&lt;&gt;"Starfsbundinn",FM70="",$E70="",$D70=""),"",ROUND(FM70/$E70*$D70*KVARDI,2))</f>
        <v/>
      </c>
      <c r="FO70" s="66" t="n"/>
      <c r="FP70" s="78">
        <f>IF(OR(INDEX(Undirviðmið!$G$6:$G$105,ROW()-6)&lt;&gt;"Starfsbundinn",FO70="",$E70="",$D70=""),"",ROUND(FO70/$E70*$D70*KVARDI,2))</f>
        <v/>
      </c>
      <c r="FQ70" s="66" t="n"/>
      <c r="FR70" s="78">
        <f>IF(OR(INDEX(Undirviðmið!$G$6:$G$105,ROW()-6)&lt;&gt;"Starfsbundinn",FQ70="",$E70="",$D70=""),"",ROUND(FQ70/$E70*$D70*KVARDI,2))</f>
        <v/>
      </c>
      <c r="FS70" s="66" t="n"/>
      <c r="FT70" s="78">
        <f>IF(OR(INDEX(Undirviðmið!$G$6:$G$105,ROW()-6)&lt;&gt;"Starfsbundinn",FS70="",$E70="",$D70=""),"",ROUND(FS70/$E70*$D70*KVARDI,2))</f>
        <v/>
      </c>
      <c r="FU70" s="66" t="n"/>
      <c r="FV70" s="78">
        <f>IF(OR(INDEX(Undirviðmið!$G$6:$G$105,ROW()-6)&lt;&gt;"Starfsbundinn",FU70="",$E70="",$D70=""),"",ROUND(FU70/$E70*$D70*KVARDI,2))</f>
        <v/>
      </c>
      <c r="FW70" s="66" t="n"/>
      <c r="FX70" s="78">
        <f>IF(OR(INDEX(Undirviðmið!$G$6:$G$105,ROW()-6)&lt;&gt;"Starfsbundinn",FW70="",$E70="",$D70=""),"",ROUND(FW70/$E70*$D70*KVARDI,2))</f>
        <v/>
      </c>
      <c r="FY70" s="66" t="n"/>
      <c r="FZ70" s="78">
        <f>IF(OR(INDEX(Undirviðmið!$G$6:$G$105,ROW()-6)&lt;&gt;"Starfsbundinn",FY70="",$E70="",$D70=""),"",ROUND(FY70/$E70*$D70*KVARDI,2))</f>
        <v/>
      </c>
      <c r="GA70" s="66" t="n"/>
      <c r="GB70" s="78">
        <f>IF(OR(INDEX(Undirviðmið!$G$6:$G$105,ROW()-6)&lt;&gt;"Starfsbundinn",GA70="",$E70="",$D70=""),"",ROUND(GA70/$E70*$D70*KVARDI,2))</f>
        <v/>
      </c>
      <c r="GC70" s="66" t="n"/>
      <c r="GD70" s="78">
        <f>IF(OR(INDEX(Undirviðmið!$G$6:$G$105,ROW()-6)&lt;&gt;"Starfsbundinn",GC70="",$E70="",$D70=""),"",ROUND(GC70/$E70*$D70*KVARDI,2))</f>
        <v/>
      </c>
      <c r="GE70" s="66" t="n"/>
      <c r="GF70" s="78">
        <f>IF(OR(INDEX(Undirviðmið!$G$6:$G$105,ROW()-6)&lt;&gt;"Starfsbundinn",GE70="",$E70="",$D70=""),"",ROUND(GE70/$E70*$D70*KVARDI,2))</f>
        <v/>
      </c>
      <c r="GG70" s="66" t="n"/>
      <c r="GH70" s="78">
        <f>IF(OR(INDEX(Undirviðmið!$G$6:$G$105,ROW()-6)&lt;&gt;"Starfsbundinn",GG70="",$E70="",$D70=""),"",ROUND(GG70/$E70*$D70*KVARDI,2))</f>
        <v/>
      </c>
      <c r="GI70" s="66" t="n"/>
      <c r="GJ70" s="78">
        <f>IF(OR(INDEX(Undirviðmið!$G$6:$G$105,ROW()-6)&lt;&gt;"Starfsbundinn",GI70="",$E70="",$D70=""),"",ROUND(GI70/$E70*$D70*KVARDI,2))</f>
        <v/>
      </c>
      <c r="GK70" s="66" t="n"/>
      <c r="GL70" s="78">
        <f>IF(OR(INDEX(Undirviðmið!$G$6:$G$105,ROW()-6)&lt;&gt;"Starfsbundinn",GK70="",$E70="",$D70=""),"",ROUND(GK70/$E70*$D70*KVARDI,2))</f>
        <v/>
      </c>
      <c r="GM70" s="66" t="n"/>
      <c r="GN70" s="78">
        <f>IF(OR(INDEX(Undirviðmið!$G$6:$G$105,ROW()-6)&lt;&gt;"Starfsbundinn",GM70="",$E70="",$D70=""),"",ROUND(GM70/$E70*$D70*KVARDI,2))</f>
        <v/>
      </c>
      <c r="GO70" s="66" t="n"/>
      <c r="GP70" s="78">
        <f>IF(OR(INDEX(Undirviðmið!$G$6:$G$105,ROW()-6)&lt;&gt;"Starfsbundinn",GO70="",$E70="",$D70=""),"",ROUND(GO70/$E70*$D70*KVARDI,2))</f>
        <v/>
      </c>
      <c r="GQ70" s="66" t="n"/>
      <c r="GR70" s="78">
        <f>IF(OR(INDEX(Undirviðmið!$G$6:$G$105,ROW()-6)&lt;&gt;"Starfsbundinn",GQ70="",$E70="",$D70=""),"",ROUND(GQ70/$E70*$D70*KVARDI,2))</f>
        <v/>
      </c>
      <c r="GS70" s="66" t="n"/>
      <c r="GT70" s="78">
        <f>IF(OR(INDEX(Undirviðmið!$G$6:$G$105,ROW()-6)&lt;&gt;"Starfsbundinn",GS70="",$E70="",$D70=""),"",ROUND(GS70/$E70*$D70*KVARDI,2))</f>
        <v/>
      </c>
      <c r="GU70" s="66" t="n"/>
      <c r="GV70" s="78">
        <f>IF(OR(INDEX(Undirviðmið!$G$6:$G$105,ROW()-6)&lt;&gt;"Starfsbundinn",GU70="",$E70="",$D70=""),"",ROUND(GU70/$E70*$D70*KVARDI,2))</f>
        <v/>
      </c>
      <c r="GW70" s="66" t="n"/>
      <c r="GX70" s="78">
        <f>IF(OR(INDEX(Undirviðmið!$G$6:$G$105,ROW()-6)&lt;&gt;"Starfsbundinn",GW70="",$E70="",$D70=""),"",ROUND(GW70/$E70*$D70*KVARDI,2))</f>
        <v/>
      </c>
    </row>
    <row r="71" ht="15" customHeight="1" s="47">
      <c r="B71" s="67">
        <f>IF(INDEX(Undirviðmið!$G$6:$G$105,ROW()-6)="Starfsbundinn",INDEX(Undirviðmið!$B$6:$B$105,ROW()-6),"")</f>
        <v/>
      </c>
      <c r="C71" s="67">
        <f>IF(INDEX(Undirviðmið!$G$6:$G$105,ROW()-6)="Starfsbundinn",INDEX(Undirviðmið!$C$6:$C$105,ROW()-6),"")</f>
        <v/>
      </c>
      <c r="D71" s="77">
        <f>IF(INDEX(Undirviðmið!$G$6:$G$105,ROW()-6)="Starfsbundinn",INDEX(Undirviðmið!$E$6:$E$105,ROW()-6),"")</f>
        <v/>
      </c>
      <c r="E71" s="77">
        <f>IF(INDEX(Undirviðmið!$G$6:$G$105,ROW()-6)="Starfsbundinn",INDEX(Undirviðmið!$F$6:$F$105,ROW()-6),"")</f>
        <v/>
      </c>
      <c r="F71" s="77">
        <f>IF(INDEX(Undirviðmið!$G$6:$G$105,ROW()-6)="Starfsbundinn",IFERROR(INDEX(Undirviðmið!$E$6:$E$105,ROW()-6)*KVARDI,""),"")</f>
        <v/>
      </c>
      <c r="G71" s="66" t="n"/>
      <c r="H71" s="78">
        <f>IF(OR(INDEX(Undirviðmið!$G$6:$G$105,ROW()-6)&lt;&gt;"Starfsbundinn",G71="",$E71="",$D71=""),"",ROUND(G71/$E71*$D71*KVARDI,2))</f>
        <v/>
      </c>
      <c r="I71" s="66" t="n"/>
      <c r="J71" s="78">
        <f>IF(OR(INDEX(Undirviðmið!$G$6:$G$105,ROW()-6)&lt;&gt;"Starfsbundinn",I71="",$E71="",$D71=""),"",ROUND(I71/$E71*$D71*KVARDI,2))</f>
        <v/>
      </c>
      <c r="K71" s="66" t="n"/>
      <c r="L71" s="78">
        <f>IF(OR(INDEX(Undirviðmið!$G$6:$G$105,ROW()-6)&lt;&gt;"Starfsbundinn",K71="",$E71="",$D71=""),"",ROUND(K71/$E71*$D71*KVARDI,2))</f>
        <v/>
      </c>
      <c r="M71" s="66" t="n"/>
      <c r="N71" s="78">
        <f>IF(OR(INDEX(Undirviðmið!$G$6:$G$105,ROW()-6)&lt;&gt;"Starfsbundinn",M71="",$E71="",$D71=""),"",ROUND(M71/$E71*$D71*KVARDI,2))</f>
        <v/>
      </c>
      <c r="O71" s="66" t="n"/>
      <c r="P71" s="78">
        <f>IF(OR(INDEX(Undirviðmið!$G$6:$G$105,ROW()-6)&lt;&gt;"Starfsbundinn",O71="",$E71="",$D71=""),"",ROUND(O71/$E71*$D71*KVARDI,2))</f>
        <v/>
      </c>
      <c r="Q71" s="66" t="n"/>
      <c r="R71" s="78">
        <f>IF(OR(INDEX(Undirviðmið!$G$6:$G$105,ROW()-6)&lt;&gt;"Starfsbundinn",Q71="",$E71="",$D71=""),"",ROUND(Q71/$E71*$D71*KVARDI,2))</f>
        <v/>
      </c>
      <c r="S71" s="66" t="n"/>
      <c r="T71" s="78">
        <f>IF(OR(INDEX(Undirviðmið!$G$6:$G$105,ROW()-6)&lt;&gt;"Starfsbundinn",S71="",$E71="",$D71=""),"",ROUND(S71/$E71*$D71*KVARDI,2))</f>
        <v/>
      </c>
      <c r="U71" s="66" t="n"/>
      <c r="V71" s="78">
        <f>IF(OR(INDEX(Undirviðmið!$G$6:$G$105,ROW()-6)&lt;&gt;"Starfsbundinn",U71="",$E71="",$D71=""),"",ROUND(U71/$E71*$D71*KVARDI,2))</f>
        <v/>
      </c>
      <c r="W71" s="66" t="n"/>
      <c r="X71" s="78">
        <f>IF(OR(INDEX(Undirviðmið!$G$6:$G$105,ROW()-6)&lt;&gt;"Starfsbundinn",W71="",$E71="",$D71=""),"",ROUND(W71/$E71*$D71*KVARDI,2))</f>
        <v/>
      </c>
      <c r="Y71" s="66" t="n"/>
      <c r="Z71" s="78">
        <f>IF(OR(INDEX(Undirviðmið!$G$6:$G$105,ROW()-6)&lt;&gt;"Starfsbundinn",Y71="",$E71="",$D71=""),"",ROUND(Y71/$E71*$D71*KVARDI,2))</f>
        <v/>
      </c>
      <c r="AA71" s="66" t="n"/>
      <c r="AB71" s="78">
        <f>IF(OR(INDEX(Undirviðmið!$G$6:$G$105,ROW()-6)&lt;&gt;"Starfsbundinn",AA71="",$E71="",$D71=""),"",ROUND(AA71/$E71*$D71*KVARDI,2))</f>
        <v/>
      </c>
      <c r="AC71" s="66" t="n"/>
      <c r="AD71" s="78">
        <f>IF(OR(INDEX(Undirviðmið!$G$6:$G$105,ROW()-6)&lt;&gt;"Starfsbundinn",AC71="",$E71="",$D71=""),"",ROUND(AC71/$E71*$D71*KVARDI,2))</f>
        <v/>
      </c>
      <c r="AE71" s="66" t="n"/>
      <c r="AF71" s="78">
        <f>IF(OR(INDEX(Undirviðmið!$G$6:$G$105,ROW()-6)&lt;&gt;"Starfsbundinn",AE71="",$E71="",$D71=""),"",ROUND(AE71/$E71*$D71*KVARDI,2))</f>
        <v/>
      </c>
      <c r="AG71" s="66" t="n"/>
      <c r="AH71" s="78">
        <f>IF(OR(INDEX(Undirviðmið!$G$6:$G$105,ROW()-6)&lt;&gt;"Starfsbundinn",AG71="",$E71="",$D71=""),"",ROUND(AG71/$E71*$D71*KVARDI,2))</f>
        <v/>
      </c>
      <c r="AI71" s="66" t="n"/>
      <c r="AJ71" s="78">
        <f>IF(OR(INDEX(Undirviðmið!$G$6:$G$105,ROW()-6)&lt;&gt;"Starfsbundinn",AI71="",$E71="",$D71=""),"",ROUND(AI71/$E71*$D71*KVARDI,2))</f>
        <v/>
      </c>
      <c r="AK71" s="66" t="n"/>
      <c r="AL71" s="78">
        <f>IF(OR(INDEX(Undirviðmið!$G$6:$G$105,ROW()-6)&lt;&gt;"Starfsbundinn",AK71="",$E71="",$D71=""),"",ROUND(AK71/$E71*$D71*KVARDI,2))</f>
        <v/>
      </c>
      <c r="AM71" s="66" t="n"/>
      <c r="AN71" s="78">
        <f>IF(OR(INDEX(Undirviðmið!$G$6:$G$105,ROW()-6)&lt;&gt;"Starfsbundinn",AM71="",$E71="",$D71=""),"",ROUND(AM71/$E71*$D71*KVARDI,2))</f>
        <v/>
      </c>
      <c r="AO71" s="66" t="n"/>
      <c r="AP71" s="78">
        <f>IF(OR(INDEX(Undirviðmið!$G$6:$G$105,ROW()-6)&lt;&gt;"Starfsbundinn",AO71="",$E71="",$D71=""),"",ROUND(AO71/$E71*$D71*KVARDI,2))</f>
        <v/>
      </c>
      <c r="AQ71" s="66" t="n"/>
      <c r="AR71" s="78">
        <f>IF(OR(INDEX(Undirviðmið!$G$6:$G$105,ROW()-6)&lt;&gt;"Starfsbundinn",AQ71="",$E71="",$D71=""),"",ROUND(AQ71/$E71*$D71*KVARDI,2))</f>
        <v/>
      </c>
      <c r="AS71" s="66" t="n"/>
      <c r="AT71" s="78">
        <f>IF(OR(INDEX(Undirviðmið!$G$6:$G$105,ROW()-6)&lt;&gt;"Starfsbundinn",AS71="",$E71="",$D71=""),"",ROUND(AS71/$E71*$D71*KVARDI,2))</f>
        <v/>
      </c>
      <c r="AU71" s="66" t="n"/>
      <c r="AV71" s="78">
        <f>IF(OR(INDEX(Undirviðmið!$G$6:$G$105,ROW()-6)&lt;&gt;"Starfsbundinn",AU71="",$E71="",$D71=""),"",ROUND(AU71/$E71*$D71*KVARDI,2))</f>
        <v/>
      </c>
      <c r="AW71" s="66" t="n"/>
      <c r="AX71" s="78">
        <f>IF(OR(INDEX(Undirviðmið!$G$6:$G$105,ROW()-6)&lt;&gt;"Starfsbundinn",AW71="",$E71="",$D71=""),"",ROUND(AW71/$E71*$D71*KVARDI,2))</f>
        <v/>
      </c>
      <c r="AY71" s="66" t="n"/>
      <c r="AZ71" s="78">
        <f>IF(OR(INDEX(Undirviðmið!$G$6:$G$105,ROW()-6)&lt;&gt;"Starfsbundinn",AY71="",$E71="",$D71=""),"",ROUND(AY71/$E71*$D71*KVARDI,2))</f>
        <v/>
      </c>
      <c r="BA71" s="66" t="n"/>
      <c r="BB71" s="78">
        <f>IF(OR(INDEX(Undirviðmið!$G$6:$G$105,ROW()-6)&lt;&gt;"Starfsbundinn",BA71="",$E71="",$D71=""),"",ROUND(BA71/$E71*$D71*KVARDI,2))</f>
        <v/>
      </c>
      <c r="BC71" s="66" t="n"/>
      <c r="BD71" s="78">
        <f>IF(OR(INDEX(Undirviðmið!$G$6:$G$105,ROW()-6)&lt;&gt;"Starfsbundinn",BC71="",$E71="",$D71=""),"",ROUND(BC71/$E71*$D71*KVARDI,2))</f>
        <v/>
      </c>
      <c r="BE71" s="66" t="n"/>
      <c r="BF71" s="78">
        <f>IF(OR(INDEX(Undirviðmið!$G$6:$G$105,ROW()-6)&lt;&gt;"Starfsbundinn",BE71="",$E71="",$D71=""),"",ROUND(BE71/$E71*$D71*KVARDI,2))</f>
        <v/>
      </c>
      <c r="BG71" s="66" t="n"/>
      <c r="BH71" s="78">
        <f>IF(OR(INDEX(Undirviðmið!$G$6:$G$105,ROW()-6)&lt;&gt;"Starfsbundinn",BG71="",$E71="",$D71=""),"",ROUND(BG71/$E71*$D71*KVARDI,2))</f>
        <v/>
      </c>
      <c r="BI71" s="66" t="n"/>
      <c r="BJ71" s="78">
        <f>IF(OR(INDEX(Undirviðmið!$G$6:$G$105,ROW()-6)&lt;&gt;"Starfsbundinn",BI71="",$E71="",$D71=""),"",ROUND(BI71/$E71*$D71*KVARDI,2))</f>
        <v/>
      </c>
      <c r="BK71" s="66" t="n"/>
      <c r="BL71" s="78">
        <f>IF(OR(INDEX(Undirviðmið!$G$6:$G$105,ROW()-6)&lt;&gt;"Starfsbundinn",BK71="",$E71="",$D71=""),"",ROUND(BK71/$E71*$D71*KVARDI,2))</f>
        <v/>
      </c>
      <c r="BM71" s="66" t="n"/>
      <c r="BN71" s="78">
        <f>IF(OR(INDEX(Undirviðmið!$G$6:$G$105,ROW()-6)&lt;&gt;"Starfsbundinn",BM71="",$E71="",$D71=""),"",ROUND(BM71/$E71*$D71*KVARDI,2))</f>
        <v/>
      </c>
      <c r="BO71" s="66" t="n"/>
      <c r="BP71" s="78">
        <f>IF(OR(INDEX(Undirviðmið!$G$6:$G$105,ROW()-6)&lt;&gt;"Starfsbundinn",BO71="",$E71="",$D71=""),"",ROUND(BO71/$E71*$D71*KVARDI,2))</f>
        <v/>
      </c>
      <c r="BQ71" s="66" t="n"/>
      <c r="BR71" s="78">
        <f>IF(OR(INDEX(Undirviðmið!$G$6:$G$105,ROW()-6)&lt;&gt;"Starfsbundinn",BQ71="",$E71="",$D71=""),"",ROUND(BQ71/$E71*$D71*KVARDI,2))</f>
        <v/>
      </c>
      <c r="BS71" s="66" t="n"/>
      <c r="BT71" s="78">
        <f>IF(OR(INDEX(Undirviðmið!$G$6:$G$105,ROW()-6)&lt;&gt;"Starfsbundinn",BS71="",$E71="",$D71=""),"",ROUND(BS71/$E71*$D71*KVARDI,2))</f>
        <v/>
      </c>
      <c r="BU71" s="66" t="n"/>
      <c r="BV71" s="78">
        <f>IF(OR(INDEX(Undirviðmið!$G$6:$G$105,ROW()-6)&lt;&gt;"Starfsbundinn",BU71="",$E71="",$D71=""),"",ROUND(BU71/$E71*$D71*KVARDI,2))</f>
        <v/>
      </c>
      <c r="BW71" s="66" t="n"/>
      <c r="BX71" s="78">
        <f>IF(OR(INDEX(Undirviðmið!$G$6:$G$105,ROW()-6)&lt;&gt;"Starfsbundinn",BW71="",$E71="",$D71=""),"",ROUND(BW71/$E71*$D71*KVARDI,2))</f>
        <v/>
      </c>
      <c r="BY71" s="66" t="n"/>
      <c r="BZ71" s="78">
        <f>IF(OR(INDEX(Undirviðmið!$G$6:$G$105,ROW()-6)&lt;&gt;"Starfsbundinn",BY71="",$E71="",$D71=""),"",ROUND(BY71/$E71*$D71*KVARDI,2))</f>
        <v/>
      </c>
      <c r="CA71" s="66" t="n"/>
      <c r="CB71" s="78">
        <f>IF(OR(INDEX(Undirviðmið!$G$6:$G$105,ROW()-6)&lt;&gt;"Starfsbundinn",CA71="",$E71="",$D71=""),"",ROUND(CA71/$E71*$D71*KVARDI,2))</f>
        <v/>
      </c>
      <c r="CC71" s="66" t="n"/>
      <c r="CD71" s="78">
        <f>IF(OR(INDEX(Undirviðmið!$G$6:$G$105,ROW()-6)&lt;&gt;"Starfsbundinn",CC71="",$E71="",$D71=""),"",ROUND(CC71/$E71*$D71*KVARDI,2))</f>
        <v/>
      </c>
      <c r="CE71" s="66" t="n"/>
      <c r="CF71" s="78">
        <f>IF(OR(INDEX(Undirviðmið!$G$6:$G$105,ROW()-6)&lt;&gt;"Starfsbundinn",CE71="",$E71="",$D71=""),"",ROUND(CE71/$E71*$D71*KVARDI,2))</f>
        <v/>
      </c>
      <c r="CG71" s="66" t="n"/>
      <c r="CH71" s="78">
        <f>IF(OR(INDEX(Undirviðmið!$G$6:$G$105,ROW()-6)&lt;&gt;"Starfsbundinn",CG71="",$E71="",$D71=""),"",ROUND(CG71/$E71*$D71*KVARDI,2))</f>
        <v/>
      </c>
      <c r="CI71" s="66" t="n"/>
      <c r="CJ71" s="78">
        <f>IF(OR(INDEX(Undirviðmið!$G$6:$G$105,ROW()-6)&lt;&gt;"Starfsbundinn",CI71="",$E71="",$D71=""),"",ROUND(CI71/$E71*$D71*KVARDI,2))</f>
        <v/>
      </c>
      <c r="CK71" s="66" t="n"/>
      <c r="CL71" s="78">
        <f>IF(OR(INDEX(Undirviðmið!$G$6:$G$105,ROW()-6)&lt;&gt;"Starfsbundinn",CK71="",$E71="",$D71=""),"",ROUND(CK71/$E71*$D71*KVARDI,2))</f>
        <v/>
      </c>
      <c r="CM71" s="66" t="n"/>
      <c r="CN71" s="78">
        <f>IF(OR(INDEX(Undirviðmið!$G$6:$G$105,ROW()-6)&lt;&gt;"Starfsbundinn",CM71="",$E71="",$D71=""),"",ROUND(CM71/$E71*$D71*KVARDI,2))</f>
        <v/>
      </c>
      <c r="CO71" s="66" t="n"/>
      <c r="CP71" s="78">
        <f>IF(OR(INDEX(Undirviðmið!$G$6:$G$105,ROW()-6)&lt;&gt;"Starfsbundinn",CO71="",$E71="",$D71=""),"",ROUND(CO71/$E71*$D71*KVARDI,2))</f>
        <v/>
      </c>
      <c r="CQ71" s="66" t="n"/>
      <c r="CR71" s="78">
        <f>IF(OR(INDEX(Undirviðmið!$G$6:$G$105,ROW()-6)&lt;&gt;"Starfsbundinn",CQ71="",$E71="",$D71=""),"",ROUND(CQ71/$E71*$D71*KVARDI,2))</f>
        <v/>
      </c>
      <c r="CS71" s="66" t="n"/>
      <c r="CT71" s="78">
        <f>IF(OR(INDEX(Undirviðmið!$G$6:$G$105,ROW()-6)&lt;&gt;"Starfsbundinn",CS71="",$E71="",$D71=""),"",ROUND(CS71/$E71*$D71*KVARDI,2))</f>
        <v/>
      </c>
      <c r="CU71" s="66" t="n"/>
      <c r="CV71" s="78">
        <f>IF(OR(INDEX(Undirviðmið!$G$6:$G$105,ROW()-6)&lt;&gt;"Starfsbundinn",CU71="",$E71="",$D71=""),"",ROUND(CU71/$E71*$D71*KVARDI,2))</f>
        <v/>
      </c>
      <c r="CW71" s="66" t="n"/>
      <c r="CX71" s="78">
        <f>IF(OR(INDEX(Undirviðmið!$G$6:$G$105,ROW()-6)&lt;&gt;"Starfsbundinn",CW71="",$E71="",$D71=""),"",ROUND(CW71/$E71*$D71*KVARDI,2))</f>
        <v/>
      </c>
      <c r="CY71" s="66" t="n"/>
      <c r="CZ71" s="78">
        <f>IF(OR(INDEX(Undirviðmið!$G$6:$G$105,ROW()-6)&lt;&gt;"Starfsbundinn",CY71="",$E71="",$D71=""),"",ROUND(CY71/$E71*$D71*KVARDI,2))</f>
        <v/>
      </c>
      <c r="DA71" s="66" t="n"/>
      <c r="DB71" s="78">
        <f>IF(OR(INDEX(Undirviðmið!$G$6:$G$105,ROW()-6)&lt;&gt;"Starfsbundinn",DA71="",$E71="",$D71=""),"",ROUND(DA71/$E71*$D71*KVARDI,2))</f>
        <v/>
      </c>
      <c r="DC71" s="66" t="n"/>
      <c r="DD71" s="78">
        <f>IF(OR(INDEX(Undirviðmið!$G$6:$G$105,ROW()-6)&lt;&gt;"Starfsbundinn",DC71="",$E71="",$D71=""),"",ROUND(DC71/$E71*$D71*KVARDI,2))</f>
        <v/>
      </c>
      <c r="DE71" s="66" t="n"/>
      <c r="DF71" s="78">
        <f>IF(OR(INDEX(Undirviðmið!$G$6:$G$105,ROW()-6)&lt;&gt;"Starfsbundinn",DE71="",$E71="",$D71=""),"",ROUND(DE71/$E71*$D71*KVARDI,2))</f>
        <v/>
      </c>
      <c r="DG71" s="66" t="n"/>
      <c r="DH71" s="78">
        <f>IF(OR(INDEX(Undirviðmið!$G$6:$G$105,ROW()-6)&lt;&gt;"Starfsbundinn",DG71="",$E71="",$D71=""),"",ROUND(DG71/$E71*$D71*KVARDI,2))</f>
        <v/>
      </c>
      <c r="DI71" s="66" t="n"/>
      <c r="DJ71" s="78">
        <f>IF(OR(INDEX(Undirviðmið!$G$6:$G$105,ROW()-6)&lt;&gt;"Starfsbundinn",DI71="",$E71="",$D71=""),"",ROUND(DI71/$E71*$D71*KVARDI,2))</f>
        <v/>
      </c>
      <c r="DK71" s="66" t="n"/>
      <c r="DL71" s="78">
        <f>IF(OR(INDEX(Undirviðmið!$G$6:$G$105,ROW()-6)&lt;&gt;"Starfsbundinn",DK71="",$E71="",$D71=""),"",ROUND(DK71/$E71*$D71*KVARDI,2))</f>
        <v/>
      </c>
      <c r="DM71" s="66" t="n"/>
      <c r="DN71" s="78">
        <f>IF(OR(INDEX(Undirviðmið!$G$6:$G$105,ROW()-6)&lt;&gt;"Starfsbundinn",DM71="",$E71="",$D71=""),"",ROUND(DM71/$E71*$D71*KVARDI,2))</f>
        <v/>
      </c>
      <c r="DO71" s="66" t="n"/>
      <c r="DP71" s="78">
        <f>IF(OR(INDEX(Undirviðmið!$G$6:$G$105,ROW()-6)&lt;&gt;"Starfsbundinn",DO71="",$E71="",$D71=""),"",ROUND(DO71/$E71*$D71*KVARDI,2))</f>
        <v/>
      </c>
      <c r="DQ71" s="66" t="n"/>
      <c r="DR71" s="78">
        <f>IF(OR(INDEX(Undirviðmið!$G$6:$G$105,ROW()-6)&lt;&gt;"Starfsbundinn",DQ71="",$E71="",$D71=""),"",ROUND(DQ71/$E71*$D71*KVARDI,2))</f>
        <v/>
      </c>
      <c r="DS71" s="66" t="n"/>
      <c r="DT71" s="78">
        <f>IF(OR(INDEX(Undirviðmið!$G$6:$G$105,ROW()-6)&lt;&gt;"Starfsbundinn",DS71="",$E71="",$D71=""),"",ROUND(DS71/$E71*$D71*KVARDI,2))</f>
        <v/>
      </c>
      <c r="DU71" s="66" t="n"/>
      <c r="DV71" s="78">
        <f>IF(OR(INDEX(Undirviðmið!$G$6:$G$105,ROW()-6)&lt;&gt;"Starfsbundinn",DU71="",$E71="",$D71=""),"",ROUND(DU71/$E71*$D71*KVARDI,2))</f>
        <v/>
      </c>
      <c r="DW71" s="66" t="n"/>
      <c r="DX71" s="78">
        <f>IF(OR(INDEX(Undirviðmið!$G$6:$G$105,ROW()-6)&lt;&gt;"Starfsbundinn",DW71="",$E71="",$D71=""),"",ROUND(DW71/$E71*$D71*KVARDI,2))</f>
        <v/>
      </c>
      <c r="DY71" s="66" t="n"/>
      <c r="DZ71" s="78">
        <f>IF(OR(INDEX(Undirviðmið!$G$6:$G$105,ROW()-6)&lt;&gt;"Starfsbundinn",DY71="",$E71="",$D71=""),"",ROUND(DY71/$E71*$D71*KVARDI,2))</f>
        <v/>
      </c>
      <c r="EA71" s="66" t="n"/>
      <c r="EB71" s="78">
        <f>IF(OR(INDEX(Undirviðmið!$G$6:$G$105,ROW()-6)&lt;&gt;"Starfsbundinn",EA71="",$E71="",$D71=""),"",ROUND(EA71/$E71*$D71*KVARDI,2))</f>
        <v/>
      </c>
      <c r="EC71" s="66" t="n"/>
      <c r="ED71" s="78">
        <f>IF(OR(INDEX(Undirviðmið!$G$6:$G$105,ROW()-6)&lt;&gt;"Starfsbundinn",EC71="",$E71="",$D71=""),"",ROUND(EC71/$E71*$D71*KVARDI,2))</f>
        <v/>
      </c>
      <c r="EE71" s="66" t="n"/>
      <c r="EF71" s="78">
        <f>IF(OR(INDEX(Undirviðmið!$G$6:$G$105,ROW()-6)&lt;&gt;"Starfsbundinn",EE71="",$E71="",$D71=""),"",ROUND(EE71/$E71*$D71*KVARDI,2))</f>
        <v/>
      </c>
      <c r="EG71" s="66" t="n"/>
      <c r="EH71" s="78">
        <f>IF(OR(INDEX(Undirviðmið!$G$6:$G$105,ROW()-6)&lt;&gt;"Starfsbundinn",EG71="",$E71="",$D71=""),"",ROUND(EG71/$E71*$D71*KVARDI,2))</f>
        <v/>
      </c>
      <c r="EI71" s="66" t="n"/>
      <c r="EJ71" s="78">
        <f>IF(OR(INDEX(Undirviðmið!$G$6:$G$105,ROW()-6)&lt;&gt;"Starfsbundinn",EI71="",$E71="",$D71=""),"",ROUND(EI71/$E71*$D71*KVARDI,2))</f>
        <v/>
      </c>
      <c r="EK71" s="66" t="n"/>
      <c r="EL71" s="78">
        <f>IF(OR(INDEX(Undirviðmið!$G$6:$G$105,ROW()-6)&lt;&gt;"Starfsbundinn",EK71="",$E71="",$D71=""),"",ROUND(EK71/$E71*$D71*KVARDI,2))</f>
        <v/>
      </c>
      <c r="EM71" s="66" t="n"/>
      <c r="EN71" s="78">
        <f>IF(OR(INDEX(Undirviðmið!$G$6:$G$105,ROW()-6)&lt;&gt;"Starfsbundinn",EM71="",$E71="",$D71=""),"",ROUND(EM71/$E71*$D71*KVARDI,2))</f>
        <v/>
      </c>
      <c r="EO71" s="66" t="n"/>
      <c r="EP71" s="78">
        <f>IF(OR(INDEX(Undirviðmið!$G$6:$G$105,ROW()-6)&lt;&gt;"Starfsbundinn",EO71="",$E71="",$D71=""),"",ROUND(EO71/$E71*$D71*KVARDI,2))</f>
        <v/>
      </c>
      <c r="EQ71" s="66" t="n"/>
      <c r="ER71" s="78">
        <f>IF(OR(INDEX(Undirviðmið!$G$6:$G$105,ROW()-6)&lt;&gt;"Starfsbundinn",EQ71="",$E71="",$D71=""),"",ROUND(EQ71/$E71*$D71*KVARDI,2))</f>
        <v/>
      </c>
      <c r="ES71" s="66" t="n"/>
      <c r="ET71" s="78">
        <f>IF(OR(INDEX(Undirviðmið!$G$6:$G$105,ROW()-6)&lt;&gt;"Starfsbundinn",ES71="",$E71="",$D71=""),"",ROUND(ES71/$E71*$D71*KVARDI,2))</f>
        <v/>
      </c>
      <c r="EU71" s="66" t="n"/>
      <c r="EV71" s="78">
        <f>IF(OR(INDEX(Undirviðmið!$G$6:$G$105,ROW()-6)&lt;&gt;"Starfsbundinn",EU71="",$E71="",$D71=""),"",ROUND(EU71/$E71*$D71*KVARDI,2))</f>
        <v/>
      </c>
      <c r="EW71" s="66" t="n"/>
      <c r="EX71" s="78">
        <f>IF(OR(INDEX(Undirviðmið!$G$6:$G$105,ROW()-6)&lt;&gt;"Starfsbundinn",EW71="",$E71="",$D71=""),"",ROUND(EW71/$E71*$D71*KVARDI,2))</f>
        <v/>
      </c>
      <c r="EY71" s="66" t="n"/>
      <c r="EZ71" s="78">
        <f>IF(OR(INDEX(Undirviðmið!$G$6:$G$105,ROW()-6)&lt;&gt;"Starfsbundinn",EY71="",$E71="",$D71=""),"",ROUND(EY71/$E71*$D71*KVARDI,2))</f>
        <v/>
      </c>
      <c r="FA71" s="66" t="n"/>
      <c r="FB71" s="78">
        <f>IF(OR(INDEX(Undirviðmið!$G$6:$G$105,ROW()-6)&lt;&gt;"Starfsbundinn",FA71="",$E71="",$D71=""),"",ROUND(FA71/$E71*$D71*KVARDI,2))</f>
        <v/>
      </c>
      <c r="FC71" s="66" t="n"/>
      <c r="FD71" s="78">
        <f>IF(OR(INDEX(Undirviðmið!$G$6:$G$105,ROW()-6)&lt;&gt;"Starfsbundinn",FC71="",$E71="",$D71=""),"",ROUND(FC71/$E71*$D71*KVARDI,2))</f>
        <v/>
      </c>
      <c r="FE71" s="66" t="n"/>
      <c r="FF71" s="78">
        <f>IF(OR(INDEX(Undirviðmið!$G$6:$G$105,ROW()-6)&lt;&gt;"Starfsbundinn",FE71="",$E71="",$D71=""),"",ROUND(FE71/$E71*$D71*KVARDI,2))</f>
        <v/>
      </c>
      <c r="FG71" s="66" t="n"/>
      <c r="FH71" s="78">
        <f>IF(OR(INDEX(Undirviðmið!$G$6:$G$105,ROW()-6)&lt;&gt;"Starfsbundinn",FG71="",$E71="",$D71=""),"",ROUND(FG71/$E71*$D71*KVARDI,2))</f>
        <v/>
      </c>
      <c r="FI71" s="66" t="n"/>
      <c r="FJ71" s="78">
        <f>IF(OR(INDEX(Undirviðmið!$G$6:$G$105,ROW()-6)&lt;&gt;"Starfsbundinn",FI71="",$E71="",$D71=""),"",ROUND(FI71/$E71*$D71*KVARDI,2))</f>
        <v/>
      </c>
      <c r="FK71" s="66" t="n"/>
      <c r="FL71" s="78">
        <f>IF(OR(INDEX(Undirviðmið!$G$6:$G$105,ROW()-6)&lt;&gt;"Starfsbundinn",FK71="",$E71="",$D71=""),"",ROUND(FK71/$E71*$D71*KVARDI,2))</f>
        <v/>
      </c>
      <c r="FM71" s="66" t="n"/>
      <c r="FN71" s="78">
        <f>IF(OR(INDEX(Undirviðmið!$G$6:$G$105,ROW()-6)&lt;&gt;"Starfsbundinn",FM71="",$E71="",$D71=""),"",ROUND(FM71/$E71*$D71*KVARDI,2))</f>
        <v/>
      </c>
      <c r="FO71" s="66" t="n"/>
      <c r="FP71" s="78">
        <f>IF(OR(INDEX(Undirviðmið!$G$6:$G$105,ROW()-6)&lt;&gt;"Starfsbundinn",FO71="",$E71="",$D71=""),"",ROUND(FO71/$E71*$D71*KVARDI,2))</f>
        <v/>
      </c>
      <c r="FQ71" s="66" t="n"/>
      <c r="FR71" s="78">
        <f>IF(OR(INDEX(Undirviðmið!$G$6:$G$105,ROW()-6)&lt;&gt;"Starfsbundinn",FQ71="",$E71="",$D71=""),"",ROUND(FQ71/$E71*$D71*KVARDI,2))</f>
        <v/>
      </c>
      <c r="FS71" s="66" t="n"/>
      <c r="FT71" s="78">
        <f>IF(OR(INDEX(Undirviðmið!$G$6:$G$105,ROW()-6)&lt;&gt;"Starfsbundinn",FS71="",$E71="",$D71=""),"",ROUND(FS71/$E71*$D71*KVARDI,2))</f>
        <v/>
      </c>
      <c r="FU71" s="66" t="n"/>
      <c r="FV71" s="78">
        <f>IF(OR(INDEX(Undirviðmið!$G$6:$G$105,ROW()-6)&lt;&gt;"Starfsbundinn",FU71="",$E71="",$D71=""),"",ROUND(FU71/$E71*$D71*KVARDI,2))</f>
        <v/>
      </c>
      <c r="FW71" s="66" t="n"/>
      <c r="FX71" s="78">
        <f>IF(OR(INDEX(Undirviðmið!$G$6:$G$105,ROW()-6)&lt;&gt;"Starfsbundinn",FW71="",$E71="",$D71=""),"",ROUND(FW71/$E71*$D71*KVARDI,2))</f>
        <v/>
      </c>
      <c r="FY71" s="66" t="n"/>
      <c r="FZ71" s="78">
        <f>IF(OR(INDEX(Undirviðmið!$G$6:$G$105,ROW()-6)&lt;&gt;"Starfsbundinn",FY71="",$E71="",$D71=""),"",ROUND(FY71/$E71*$D71*KVARDI,2))</f>
        <v/>
      </c>
      <c r="GA71" s="66" t="n"/>
      <c r="GB71" s="78">
        <f>IF(OR(INDEX(Undirviðmið!$G$6:$G$105,ROW()-6)&lt;&gt;"Starfsbundinn",GA71="",$E71="",$D71=""),"",ROUND(GA71/$E71*$D71*KVARDI,2))</f>
        <v/>
      </c>
      <c r="GC71" s="66" t="n"/>
      <c r="GD71" s="78">
        <f>IF(OR(INDEX(Undirviðmið!$G$6:$G$105,ROW()-6)&lt;&gt;"Starfsbundinn",GC71="",$E71="",$D71=""),"",ROUND(GC71/$E71*$D71*KVARDI,2))</f>
        <v/>
      </c>
      <c r="GE71" s="66" t="n"/>
      <c r="GF71" s="78">
        <f>IF(OR(INDEX(Undirviðmið!$G$6:$G$105,ROW()-6)&lt;&gt;"Starfsbundinn",GE71="",$E71="",$D71=""),"",ROUND(GE71/$E71*$D71*KVARDI,2))</f>
        <v/>
      </c>
      <c r="GG71" s="66" t="n"/>
      <c r="GH71" s="78">
        <f>IF(OR(INDEX(Undirviðmið!$G$6:$G$105,ROW()-6)&lt;&gt;"Starfsbundinn",GG71="",$E71="",$D71=""),"",ROUND(GG71/$E71*$D71*KVARDI,2))</f>
        <v/>
      </c>
      <c r="GI71" s="66" t="n"/>
      <c r="GJ71" s="78">
        <f>IF(OR(INDEX(Undirviðmið!$G$6:$G$105,ROW()-6)&lt;&gt;"Starfsbundinn",GI71="",$E71="",$D71=""),"",ROUND(GI71/$E71*$D71*KVARDI,2))</f>
        <v/>
      </c>
      <c r="GK71" s="66" t="n"/>
      <c r="GL71" s="78">
        <f>IF(OR(INDEX(Undirviðmið!$G$6:$G$105,ROW()-6)&lt;&gt;"Starfsbundinn",GK71="",$E71="",$D71=""),"",ROUND(GK71/$E71*$D71*KVARDI,2))</f>
        <v/>
      </c>
      <c r="GM71" s="66" t="n"/>
      <c r="GN71" s="78">
        <f>IF(OR(INDEX(Undirviðmið!$G$6:$G$105,ROW()-6)&lt;&gt;"Starfsbundinn",GM71="",$E71="",$D71=""),"",ROUND(GM71/$E71*$D71*KVARDI,2))</f>
        <v/>
      </c>
      <c r="GO71" s="66" t="n"/>
      <c r="GP71" s="78">
        <f>IF(OR(INDEX(Undirviðmið!$G$6:$G$105,ROW()-6)&lt;&gt;"Starfsbundinn",GO71="",$E71="",$D71=""),"",ROUND(GO71/$E71*$D71*KVARDI,2))</f>
        <v/>
      </c>
      <c r="GQ71" s="66" t="n"/>
      <c r="GR71" s="78">
        <f>IF(OR(INDEX(Undirviðmið!$G$6:$G$105,ROW()-6)&lt;&gt;"Starfsbundinn",GQ71="",$E71="",$D71=""),"",ROUND(GQ71/$E71*$D71*KVARDI,2))</f>
        <v/>
      </c>
      <c r="GS71" s="66" t="n"/>
      <c r="GT71" s="78">
        <f>IF(OR(INDEX(Undirviðmið!$G$6:$G$105,ROW()-6)&lt;&gt;"Starfsbundinn",GS71="",$E71="",$D71=""),"",ROUND(GS71/$E71*$D71*KVARDI,2))</f>
        <v/>
      </c>
      <c r="GU71" s="66" t="n"/>
      <c r="GV71" s="78">
        <f>IF(OR(INDEX(Undirviðmið!$G$6:$G$105,ROW()-6)&lt;&gt;"Starfsbundinn",GU71="",$E71="",$D71=""),"",ROUND(GU71/$E71*$D71*KVARDI,2))</f>
        <v/>
      </c>
      <c r="GW71" s="66" t="n"/>
      <c r="GX71" s="78">
        <f>IF(OR(INDEX(Undirviðmið!$G$6:$G$105,ROW()-6)&lt;&gt;"Starfsbundinn",GW71="",$E71="",$D71=""),"",ROUND(GW71/$E71*$D71*KVARDI,2))</f>
        <v/>
      </c>
    </row>
    <row r="72" ht="15" customHeight="1" s="47">
      <c r="B72" s="67">
        <f>IF(INDEX(Undirviðmið!$G$6:$G$105,ROW()-6)="Starfsbundinn",INDEX(Undirviðmið!$B$6:$B$105,ROW()-6),"")</f>
        <v/>
      </c>
      <c r="C72" s="67">
        <f>IF(INDEX(Undirviðmið!$G$6:$G$105,ROW()-6)="Starfsbundinn",INDEX(Undirviðmið!$C$6:$C$105,ROW()-6),"")</f>
        <v/>
      </c>
      <c r="D72" s="77">
        <f>IF(INDEX(Undirviðmið!$G$6:$G$105,ROW()-6)="Starfsbundinn",INDEX(Undirviðmið!$E$6:$E$105,ROW()-6),"")</f>
        <v/>
      </c>
      <c r="E72" s="77">
        <f>IF(INDEX(Undirviðmið!$G$6:$G$105,ROW()-6)="Starfsbundinn",INDEX(Undirviðmið!$F$6:$F$105,ROW()-6),"")</f>
        <v/>
      </c>
      <c r="F72" s="77">
        <f>IF(INDEX(Undirviðmið!$G$6:$G$105,ROW()-6)="Starfsbundinn",IFERROR(INDEX(Undirviðmið!$E$6:$E$105,ROW()-6)*KVARDI,""),"")</f>
        <v/>
      </c>
      <c r="G72" s="66" t="n"/>
      <c r="H72" s="78">
        <f>IF(OR(INDEX(Undirviðmið!$G$6:$G$105,ROW()-6)&lt;&gt;"Starfsbundinn",G72="",$E72="",$D72=""),"",ROUND(G72/$E72*$D72*KVARDI,2))</f>
        <v/>
      </c>
      <c r="I72" s="66" t="n"/>
      <c r="J72" s="78">
        <f>IF(OR(INDEX(Undirviðmið!$G$6:$G$105,ROW()-6)&lt;&gt;"Starfsbundinn",I72="",$E72="",$D72=""),"",ROUND(I72/$E72*$D72*KVARDI,2))</f>
        <v/>
      </c>
      <c r="K72" s="66" t="n"/>
      <c r="L72" s="78">
        <f>IF(OR(INDEX(Undirviðmið!$G$6:$G$105,ROW()-6)&lt;&gt;"Starfsbundinn",K72="",$E72="",$D72=""),"",ROUND(K72/$E72*$D72*KVARDI,2))</f>
        <v/>
      </c>
      <c r="M72" s="66" t="n"/>
      <c r="N72" s="78">
        <f>IF(OR(INDEX(Undirviðmið!$G$6:$G$105,ROW()-6)&lt;&gt;"Starfsbundinn",M72="",$E72="",$D72=""),"",ROUND(M72/$E72*$D72*KVARDI,2))</f>
        <v/>
      </c>
      <c r="O72" s="66" t="n"/>
      <c r="P72" s="78">
        <f>IF(OR(INDEX(Undirviðmið!$G$6:$G$105,ROW()-6)&lt;&gt;"Starfsbundinn",O72="",$E72="",$D72=""),"",ROUND(O72/$E72*$D72*KVARDI,2))</f>
        <v/>
      </c>
      <c r="Q72" s="66" t="n"/>
      <c r="R72" s="78">
        <f>IF(OR(INDEX(Undirviðmið!$G$6:$G$105,ROW()-6)&lt;&gt;"Starfsbundinn",Q72="",$E72="",$D72=""),"",ROUND(Q72/$E72*$D72*KVARDI,2))</f>
        <v/>
      </c>
      <c r="S72" s="66" t="n"/>
      <c r="T72" s="78">
        <f>IF(OR(INDEX(Undirviðmið!$G$6:$G$105,ROW()-6)&lt;&gt;"Starfsbundinn",S72="",$E72="",$D72=""),"",ROUND(S72/$E72*$D72*KVARDI,2))</f>
        <v/>
      </c>
      <c r="U72" s="66" t="n"/>
      <c r="V72" s="78">
        <f>IF(OR(INDEX(Undirviðmið!$G$6:$G$105,ROW()-6)&lt;&gt;"Starfsbundinn",U72="",$E72="",$D72=""),"",ROUND(U72/$E72*$D72*KVARDI,2))</f>
        <v/>
      </c>
      <c r="W72" s="66" t="n"/>
      <c r="X72" s="78">
        <f>IF(OR(INDEX(Undirviðmið!$G$6:$G$105,ROW()-6)&lt;&gt;"Starfsbundinn",W72="",$E72="",$D72=""),"",ROUND(W72/$E72*$D72*KVARDI,2))</f>
        <v/>
      </c>
      <c r="Y72" s="66" t="n"/>
      <c r="Z72" s="78">
        <f>IF(OR(INDEX(Undirviðmið!$G$6:$G$105,ROW()-6)&lt;&gt;"Starfsbundinn",Y72="",$E72="",$D72=""),"",ROUND(Y72/$E72*$D72*KVARDI,2))</f>
        <v/>
      </c>
      <c r="AA72" s="66" t="n"/>
      <c r="AB72" s="78">
        <f>IF(OR(INDEX(Undirviðmið!$G$6:$G$105,ROW()-6)&lt;&gt;"Starfsbundinn",AA72="",$E72="",$D72=""),"",ROUND(AA72/$E72*$D72*KVARDI,2))</f>
        <v/>
      </c>
      <c r="AC72" s="66" t="n"/>
      <c r="AD72" s="78">
        <f>IF(OR(INDEX(Undirviðmið!$G$6:$G$105,ROW()-6)&lt;&gt;"Starfsbundinn",AC72="",$E72="",$D72=""),"",ROUND(AC72/$E72*$D72*KVARDI,2))</f>
        <v/>
      </c>
      <c r="AE72" s="66" t="n"/>
      <c r="AF72" s="78">
        <f>IF(OR(INDEX(Undirviðmið!$G$6:$G$105,ROW()-6)&lt;&gt;"Starfsbundinn",AE72="",$E72="",$D72=""),"",ROUND(AE72/$E72*$D72*KVARDI,2))</f>
        <v/>
      </c>
      <c r="AG72" s="66" t="n"/>
      <c r="AH72" s="78">
        <f>IF(OR(INDEX(Undirviðmið!$G$6:$G$105,ROW()-6)&lt;&gt;"Starfsbundinn",AG72="",$E72="",$D72=""),"",ROUND(AG72/$E72*$D72*KVARDI,2))</f>
        <v/>
      </c>
      <c r="AI72" s="66" t="n"/>
      <c r="AJ72" s="78">
        <f>IF(OR(INDEX(Undirviðmið!$G$6:$G$105,ROW()-6)&lt;&gt;"Starfsbundinn",AI72="",$E72="",$D72=""),"",ROUND(AI72/$E72*$D72*KVARDI,2))</f>
        <v/>
      </c>
      <c r="AK72" s="66" t="n"/>
      <c r="AL72" s="78">
        <f>IF(OR(INDEX(Undirviðmið!$G$6:$G$105,ROW()-6)&lt;&gt;"Starfsbundinn",AK72="",$E72="",$D72=""),"",ROUND(AK72/$E72*$D72*KVARDI,2))</f>
        <v/>
      </c>
      <c r="AM72" s="66" t="n"/>
      <c r="AN72" s="78">
        <f>IF(OR(INDEX(Undirviðmið!$G$6:$G$105,ROW()-6)&lt;&gt;"Starfsbundinn",AM72="",$E72="",$D72=""),"",ROUND(AM72/$E72*$D72*KVARDI,2))</f>
        <v/>
      </c>
      <c r="AO72" s="66" t="n"/>
      <c r="AP72" s="78">
        <f>IF(OR(INDEX(Undirviðmið!$G$6:$G$105,ROW()-6)&lt;&gt;"Starfsbundinn",AO72="",$E72="",$D72=""),"",ROUND(AO72/$E72*$D72*KVARDI,2))</f>
        <v/>
      </c>
      <c r="AQ72" s="66" t="n"/>
      <c r="AR72" s="78">
        <f>IF(OR(INDEX(Undirviðmið!$G$6:$G$105,ROW()-6)&lt;&gt;"Starfsbundinn",AQ72="",$E72="",$D72=""),"",ROUND(AQ72/$E72*$D72*KVARDI,2))</f>
        <v/>
      </c>
      <c r="AS72" s="66" t="n"/>
      <c r="AT72" s="78">
        <f>IF(OR(INDEX(Undirviðmið!$G$6:$G$105,ROW()-6)&lt;&gt;"Starfsbundinn",AS72="",$E72="",$D72=""),"",ROUND(AS72/$E72*$D72*KVARDI,2))</f>
        <v/>
      </c>
      <c r="AU72" s="66" t="n"/>
      <c r="AV72" s="78">
        <f>IF(OR(INDEX(Undirviðmið!$G$6:$G$105,ROW()-6)&lt;&gt;"Starfsbundinn",AU72="",$E72="",$D72=""),"",ROUND(AU72/$E72*$D72*KVARDI,2))</f>
        <v/>
      </c>
      <c r="AW72" s="66" t="n"/>
      <c r="AX72" s="78">
        <f>IF(OR(INDEX(Undirviðmið!$G$6:$G$105,ROW()-6)&lt;&gt;"Starfsbundinn",AW72="",$E72="",$D72=""),"",ROUND(AW72/$E72*$D72*KVARDI,2))</f>
        <v/>
      </c>
      <c r="AY72" s="66" t="n"/>
      <c r="AZ72" s="78">
        <f>IF(OR(INDEX(Undirviðmið!$G$6:$G$105,ROW()-6)&lt;&gt;"Starfsbundinn",AY72="",$E72="",$D72=""),"",ROUND(AY72/$E72*$D72*KVARDI,2))</f>
        <v/>
      </c>
      <c r="BA72" s="66" t="n"/>
      <c r="BB72" s="78">
        <f>IF(OR(INDEX(Undirviðmið!$G$6:$G$105,ROW()-6)&lt;&gt;"Starfsbundinn",BA72="",$E72="",$D72=""),"",ROUND(BA72/$E72*$D72*KVARDI,2))</f>
        <v/>
      </c>
      <c r="BC72" s="66" t="n"/>
      <c r="BD72" s="78">
        <f>IF(OR(INDEX(Undirviðmið!$G$6:$G$105,ROW()-6)&lt;&gt;"Starfsbundinn",BC72="",$E72="",$D72=""),"",ROUND(BC72/$E72*$D72*KVARDI,2))</f>
        <v/>
      </c>
      <c r="BE72" s="66" t="n"/>
      <c r="BF72" s="78">
        <f>IF(OR(INDEX(Undirviðmið!$G$6:$G$105,ROW()-6)&lt;&gt;"Starfsbundinn",BE72="",$E72="",$D72=""),"",ROUND(BE72/$E72*$D72*KVARDI,2))</f>
        <v/>
      </c>
      <c r="BG72" s="66" t="n"/>
      <c r="BH72" s="78">
        <f>IF(OR(INDEX(Undirviðmið!$G$6:$G$105,ROW()-6)&lt;&gt;"Starfsbundinn",BG72="",$E72="",$D72=""),"",ROUND(BG72/$E72*$D72*KVARDI,2))</f>
        <v/>
      </c>
      <c r="BI72" s="66" t="n"/>
      <c r="BJ72" s="78">
        <f>IF(OR(INDEX(Undirviðmið!$G$6:$G$105,ROW()-6)&lt;&gt;"Starfsbundinn",BI72="",$E72="",$D72=""),"",ROUND(BI72/$E72*$D72*KVARDI,2))</f>
        <v/>
      </c>
      <c r="BK72" s="66" t="n"/>
      <c r="BL72" s="78">
        <f>IF(OR(INDEX(Undirviðmið!$G$6:$G$105,ROW()-6)&lt;&gt;"Starfsbundinn",BK72="",$E72="",$D72=""),"",ROUND(BK72/$E72*$D72*KVARDI,2))</f>
        <v/>
      </c>
      <c r="BM72" s="66" t="n"/>
      <c r="BN72" s="78">
        <f>IF(OR(INDEX(Undirviðmið!$G$6:$G$105,ROW()-6)&lt;&gt;"Starfsbundinn",BM72="",$E72="",$D72=""),"",ROUND(BM72/$E72*$D72*KVARDI,2))</f>
        <v/>
      </c>
      <c r="BO72" s="66" t="n"/>
      <c r="BP72" s="78">
        <f>IF(OR(INDEX(Undirviðmið!$G$6:$G$105,ROW()-6)&lt;&gt;"Starfsbundinn",BO72="",$E72="",$D72=""),"",ROUND(BO72/$E72*$D72*KVARDI,2))</f>
        <v/>
      </c>
      <c r="BQ72" s="66" t="n"/>
      <c r="BR72" s="78">
        <f>IF(OR(INDEX(Undirviðmið!$G$6:$G$105,ROW()-6)&lt;&gt;"Starfsbundinn",BQ72="",$E72="",$D72=""),"",ROUND(BQ72/$E72*$D72*KVARDI,2))</f>
        <v/>
      </c>
      <c r="BS72" s="66" t="n"/>
      <c r="BT72" s="78">
        <f>IF(OR(INDEX(Undirviðmið!$G$6:$G$105,ROW()-6)&lt;&gt;"Starfsbundinn",BS72="",$E72="",$D72=""),"",ROUND(BS72/$E72*$D72*KVARDI,2))</f>
        <v/>
      </c>
      <c r="BU72" s="66" t="n"/>
      <c r="BV72" s="78">
        <f>IF(OR(INDEX(Undirviðmið!$G$6:$G$105,ROW()-6)&lt;&gt;"Starfsbundinn",BU72="",$E72="",$D72=""),"",ROUND(BU72/$E72*$D72*KVARDI,2))</f>
        <v/>
      </c>
      <c r="BW72" s="66" t="n"/>
      <c r="BX72" s="78">
        <f>IF(OR(INDEX(Undirviðmið!$G$6:$G$105,ROW()-6)&lt;&gt;"Starfsbundinn",BW72="",$E72="",$D72=""),"",ROUND(BW72/$E72*$D72*KVARDI,2))</f>
        <v/>
      </c>
      <c r="BY72" s="66" t="n"/>
      <c r="BZ72" s="78">
        <f>IF(OR(INDEX(Undirviðmið!$G$6:$G$105,ROW()-6)&lt;&gt;"Starfsbundinn",BY72="",$E72="",$D72=""),"",ROUND(BY72/$E72*$D72*KVARDI,2))</f>
        <v/>
      </c>
      <c r="CA72" s="66" t="n"/>
      <c r="CB72" s="78">
        <f>IF(OR(INDEX(Undirviðmið!$G$6:$G$105,ROW()-6)&lt;&gt;"Starfsbundinn",CA72="",$E72="",$D72=""),"",ROUND(CA72/$E72*$D72*KVARDI,2))</f>
        <v/>
      </c>
      <c r="CC72" s="66" t="n"/>
      <c r="CD72" s="78">
        <f>IF(OR(INDEX(Undirviðmið!$G$6:$G$105,ROW()-6)&lt;&gt;"Starfsbundinn",CC72="",$E72="",$D72=""),"",ROUND(CC72/$E72*$D72*KVARDI,2))</f>
        <v/>
      </c>
      <c r="CE72" s="66" t="n"/>
      <c r="CF72" s="78">
        <f>IF(OR(INDEX(Undirviðmið!$G$6:$G$105,ROW()-6)&lt;&gt;"Starfsbundinn",CE72="",$E72="",$D72=""),"",ROUND(CE72/$E72*$D72*KVARDI,2))</f>
        <v/>
      </c>
      <c r="CG72" s="66" t="n"/>
      <c r="CH72" s="78">
        <f>IF(OR(INDEX(Undirviðmið!$G$6:$G$105,ROW()-6)&lt;&gt;"Starfsbundinn",CG72="",$E72="",$D72=""),"",ROUND(CG72/$E72*$D72*KVARDI,2))</f>
        <v/>
      </c>
      <c r="CI72" s="66" t="n"/>
      <c r="CJ72" s="78">
        <f>IF(OR(INDEX(Undirviðmið!$G$6:$G$105,ROW()-6)&lt;&gt;"Starfsbundinn",CI72="",$E72="",$D72=""),"",ROUND(CI72/$E72*$D72*KVARDI,2))</f>
        <v/>
      </c>
      <c r="CK72" s="66" t="n"/>
      <c r="CL72" s="78">
        <f>IF(OR(INDEX(Undirviðmið!$G$6:$G$105,ROW()-6)&lt;&gt;"Starfsbundinn",CK72="",$E72="",$D72=""),"",ROUND(CK72/$E72*$D72*KVARDI,2))</f>
        <v/>
      </c>
      <c r="CM72" s="66" t="n"/>
      <c r="CN72" s="78">
        <f>IF(OR(INDEX(Undirviðmið!$G$6:$G$105,ROW()-6)&lt;&gt;"Starfsbundinn",CM72="",$E72="",$D72=""),"",ROUND(CM72/$E72*$D72*KVARDI,2))</f>
        <v/>
      </c>
      <c r="CO72" s="66" t="n"/>
      <c r="CP72" s="78">
        <f>IF(OR(INDEX(Undirviðmið!$G$6:$G$105,ROW()-6)&lt;&gt;"Starfsbundinn",CO72="",$E72="",$D72=""),"",ROUND(CO72/$E72*$D72*KVARDI,2))</f>
        <v/>
      </c>
      <c r="CQ72" s="66" t="n"/>
      <c r="CR72" s="78">
        <f>IF(OR(INDEX(Undirviðmið!$G$6:$G$105,ROW()-6)&lt;&gt;"Starfsbundinn",CQ72="",$E72="",$D72=""),"",ROUND(CQ72/$E72*$D72*KVARDI,2))</f>
        <v/>
      </c>
      <c r="CS72" s="66" t="n"/>
      <c r="CT72" s="78">
        <f>IF(OR(INDEX(Undirviðmið!$G$6:$G$105,ROW()-6)&lt;&gt;"Starfsbundinn",CS72="",$E72="",$D72=""),"",ROUND(CS72/$E72*$D72*KVARDI,2))</f>
        <v/>
      </c>
      <c r="CU72" s="66" t="n"/>
      <c r="CV72" s="78">
        <f>IF(OR(INDEX(Undirviðmið!$G$6:$G$105,ROW()-6)&lt;&gt;"Starfsbundinn",CU72="",$E72="",$D72=""),"",ROUND(CU72/$E72*$D72*KVARDI,2))</f>
        <v/>
      </c>
      <c r="CW72" s="66" t="n"/>
      <c r="CX72" s="78">
        <f>IF(OR(INDEX(Undirviðmið!$G$6:$G$105,ROW()-6)&lt;&gt;"Starfsbundinn",CW72="",$E72="",$D72=""),"",ROUND(CW72/$E72*$D72*KVARDI,2))</f>
        <v/>
      </c>
      <c r="CY72" s="66" t="n"/>
      <c r="CZ72" s="78">
        <f>IF(OR(INDEX(Undirviðmið!$G$6:$G$105,ROW()-6)&lt;&gt;"Starfsbundinn",CY72="",$E72="",$D72=""),"",ROUND(CY72/$E72*$D72*KVARDI,2))</f>
        <v/>
      </c>
      <c r="DA72" s="66" t="n"/>
      <c r="DB72" s="78">
        <f>IF(OR(INDEX(Undirviðmið!$G$6:$G$105,ROW()-6)&lt;&gt;"Starfsbundinn",DA72="",$E72="",$D72=""),"",ROUND(DA72/$E72*$D72*KVARDI,2))</f>
        <v/>
      </c>
      <c r="DC72" s="66" t="n"/>
      <c r="DD72" s="78">
        <f>IF(OR(INDEX(Undirviðmið!$G$6:$G$105,ROW()-6)&lt;&gt;"Starfsbundinn",DC72="",$E72="",$D72=""),"",ROUND(DC72/$E72*$D72*KVARDI,2))</f>
        <v/>
      </c>
      <c r="DE72" s="66" t="n"/>
      <c r="DF72" s="78">
        <f>IF(OR(INDEX(Undirviðmið!$G$6:$G$105,ROW()-6)&lt;&gt;"Starfsbundinn",DE72="",$E72="",$D72=""),"",ROUND(DE72/$E72*$D72*KVARDI,2))</f>
        <v/>
      </c>
      <c r="DG72" s="66" t="n"/>
      <c r="DH72" s="78">
        <f>IF(OR(INDEX(Undirviðmið!$G$6:$G$105,ROW()-6)&lt;&gt;"Starfsbundinn",DG72="",$E72="",$D72=""),"",ROUND(DG72/$E72*$D72*KVARDI,2))</f>
        <v/>
      </c>
      <c r="DI72" s="66" t="n"/>
      <c r="DJ72" s="78">
        <f>IF(OR(INDEX(Undirviðmið!$G$6:$G$105,ROW()-6)&lt;&gt;"Starfsbundinn",DI72="",$E72="",$D72=""),"",ROUND(DI72/$E72*$D72*KVARDI,2))</f>
        <v/>
      </c>
      <c r="DK72" s="66" t="n"/>
      <c r="DL72" s="78">
        <f>IF(OR(INDEX(Undirviðmið!$G$6:$G$105,ROW()-6)&lt;&gt;"Starfsbundinn",DK72="",$E72="",$D72=""),"",ROUND(DK72/$E72*$D72*KVARDI,2))</f>
        <v/>
      </c>
      <c r="DM72" s="66" t="n"/>
      <c r="DN72" s="78">
        <f>IF(OR(INDEX(Undirviðmið!$G$6:$G$105,ROW()-6)&lt;&gt;"Starfsbundinn",DM72="",$E72="",$D72=""),"",ROUND(DM72/$E72*$D72*KVARDI,2))</f>
        <v/>
      </c>
      <c r="DO72" s="66" t="n"/>
      <c r="DP72" s="78">
        <f>IF(OR(INDEX(Undirviðmið!$G$6:$G$105,ROW()-6)&lt;&gt;"Starfsbundinn",DO72="",$E72="",$D72=""),"",ROUND(DO72/$E72*$D72*KVARDI,2))</f>
        <v/>
      </c>
      <c r="DQ72" s="66" t="n"/>
      <c r="DR72" s="78">
        <f>IF(OR(INDEX(Undirviðmið!$G$6:$G$105,ROW()-6)&lt;&gt;"Starfsbundinn",DQ72="",$E72="",$D72=""),"",ROUND(DQ72/$E72*$D72*KVARDI,2))</f>
        <v/>
      </c>
      <c r="DS72" s="66" t="n"/>
      <c r="DT72" s="78">
        <f>IF(OR(INDEX(Undirviðmið!$G$6:$G$105,ROW()-6)&lt;&gt;"Starfsbundinn",DS72="",$E72="",$D72=""),"",ROUND(DS72/$E72*$D72*KVARDI,2))</f>
        <v/>
      </c>
      <c r="DU72" s="66" t="n"/>
      <c r="DV72" s="78">
        <f>IF(OR(INDEX(Undirviðmið!$G$6:$G$105,ROW()-6)&lt;&gt;"Starfsbundinn",DU72="",$E72="",$D72=""),"",ROUND(DU72/$E72*$D72*KVARDI,2))</f>
        <v/>
      </c>
      <c r="DW72" s="66" t="n"/>
      <c r="DX72" s="78">
        <f>IF(OR(INDEX(Undirviðmið!$G$6:$G$105,ROW()-6)&lt;&gt;"Starfsbundinn",DW72="",$E72="",$D72=""),"",ROUND(DW72/$E72*$D72*KVARDI,2))</f>
        <v/>
      </c>
      <c r="DY72" s="66" t="n"/>
      <c r="DZ72" s="78">
        <f>IF(OR(INDEX(Undirviðmið!$G$6:$G$105,ROW()-6)&lt;&gt;"Starfsbundinn",DY72="",$E72="",$D72=""),"",ROUND(DY72/$E72*$D72*KVARDI,2))</f>
        <v/>
      </c>
      <c r="EA72" s="66" t="n"/>
      <c r="EB72" s="78">
        <f>IF(OR(INDEX(Undirviðmið!$G$6:$G$105,ROW()-6)&lt;&gt;"Starfsbundinn",EA72="",$E72="",$D72=""),"",ROUND(EA72/$E72*$D72*KVARDI,2))</f>
        <v/>
      </c>
      <c r="EC72" s="66" t="n"/>
      <c r="ED72" s="78">
        <f>IF(OR(INDEX(Undirviðmið!$G$6:$G$105,ROW()-6)&lt;&gt;"Starfsbundinn",EC72="",$E72="",$D72=""),"",ROUND(EC72/$E72*$D72*KVARDI,2))</f>
        <v/>
      </c>
      <c r="EE72" s="66" t="n"/>
      <c r="EF72" s="78">
        <f>IF(OR(INDEX(Undirviðmið!$G$6:$G$105,ROW()-6)&lt;&gt;"Starfsbundinn",EE72="",$E72="",$D72=""),"",ROUND(EE72/$E72*$D72*KVARDI,2))</f>
        <v/>
      </c>
      <c r="EG72" s="66" t="n"/>
      <c r="EH72" s="78">
        <f>IF(OR(INDEX(Undirviðmið!$G$6:$G$105,ROW()-6)&lt;&gt;"Starfsbundinn",EG72="",$E72="",$D72=""),"",ROUND(EG72/$E72*$D72*KVARDI,2))</f>
        <v/>
      </c>
      <c r="EI72" s="66" t="n"/>
      <c r="EJ72" s="78">
        <f>IF(OR(INDEX(Undirviðmið!$G$6:$G$105,ROW()-6)&lt;&gt;"Starfsbundinn",EI72="",$E72="",$D72=""),"",ROUND(EI72/$E72*$D72*KVARDI,2))</f>
        <v/>
      </c>
      <c r="EK72" s="66" t="n"/>
      <c r="EL72" s="78">
        <f>IF(OR(INDEX(Undirviðmið!$G$6:$G$105,ROW()-6)&lt;&gt;"Starfsbundinn",EK72="",$E72="",$D72=""),"",ROUND(EK72/$E72*$D72*KVARDI,2))</f>
        <v/>
      </c>
      <c r="EM72" s="66" t="n"/>
      <c r="EN72" s="78">
        <f>IF(OR(INDEX(Undirviðmið!$G$6:$G$105,ROW()-6)&lt;&gt;"Starfsbundinn",EM72="",$E72="",$D72=""),"",ROUND(EM72/$E72*$D72*KVARDI,2))</f>
        <v/>
      </c>
      <c r="EO72" s="66" t="n"/>
      <c r="EP72" s="78">
        <f>IF(OR(INDEX(Undirviðmið!$G$6:$G$105,ROW()-6)&lt;&gt;"Starfsbundinn",EO72="",$E72="",$D72=""),"",ROUND(EO72/$E72*$D72*KVARDI,2))</f>
        <v/>
      </c>
      <c r="EQ72" s="66" t="n"/>
      <c r="ER72" s="78">
        <f>IF(OR(INDEX(Undirviðmið!$G$6:$G$105,ROW()-6)&lt;&gt;"Starfsbundinn",EQ72="",$E72="",$D72=""),"",ROUND(EQ72/$E72*$D72*KVARDI,2))</f>
        <v/>
      </c>
      <c r="ES72" s="66" t="n"/>
      <c r="ET72" s="78">
        <f>IF(OR(INDEX(Undirviðmið!$G$6:$G$105,ROW()-6)&lt;&gt;"Starfsbundinn",ES72="",$E72="",$D72=""),"",ROUND(ES72/$E72*$D72*KVARDI,2))</f>
        <v/>
      </c>
      <c r="EU72" s="66" t="n"/>
      <c r="EV72" s="78">
        <f>IF(OR(INDEX(Undirviðmið!$G$6:$G$105,ROW()-6)&lt;&gt;"Starfsbundinn",EU72="",$E72="",$D72=""),"",ROUND(EU72/$E72*$D72*KVARDI,2))</f>
        <v/>
      </c>
      <c r="EW72" s="66" t="n"/>
      <c r="EX72" s="78">
        <f>IF(OR(INDEX(Undirviðmið!$G$6:$G$105,ROW()-6)&lt;&gt;"Starfsbundinn",EW72="",$E72="",$D72=""),"",ROUND(EW72/$E72*$D72*KVARDI,2))</f>
        <v/>
      </c>
      <c r="EY72" s="66" t="n"/>
      <c r="EZ72" s="78">
        <f>IF(OR(INDEX(Undirviðmið!$G$6:$G$105,ROW()-6)&lt;&gt;"Starfsbundinn",EY72="",$E72="",$D72=""),"",ROUND(EY72/$E72*$D72*KVARDI,2))</f>
        <v/>
      </c>
      <c r="FA72" s="66" t="n"/>
      <c r="FB72" s="78">
        <f>IF(OR(INDEX(Undirviðmið!$G$6:$G$105,ROW()-6)&lt;&gt;"Starfsbundinn",FA72="",$E72="",$D72=""),"",ROUND(FA72/$E72*$D72*KVARDI,2))</f>
        <v/>
      </c>
      <c r="FC72" s="66" t="n"/>
      <c r="FD72" s="78">
        <f>IF(OR(INDEX(Undirviðmið!$G$6:$G$105,ROW()-6)&lt;&gt;"Starfsbundinn",FC72="",$E72="",$D72=""),"",ROUND(FC72/$E72*$D72*KVARDI,2))</f>
        <v/>
      </c>
      <c r="FE72" s="66" t="n"/>
      <c r="FF72" s="78">
        <f>IF(OR(INDEX(Undirviðmið!$G$6:$G$105,ROW()-6)&lt;&gt;"Starfsbundinn",FE72="",$E72="",$D72=""),"",ROUND(FE72/$E72*$D72*KVARDI,2))</f>
        <v/>
      </c>
      <c r="FG72" s="66" t="n"/>
      <c r="FH72" s="78">
        <f>IF(OR(INDEX(Undirviðmið!$G$6:$G$105,ROW()-6)&lt;&gt;"Starfsbundinn",FG72="",$E72="",$D72=""),"",ROUND(FG72/$E72*$D72*KVARDI,2))</f>
        <v/>
      </c>
      <c r="FI72" s="66" t="n"/>
      <c r="FJ72" s="78">
        <f>IF(OR(INDEX(Undirviðmið!$G$6:$G$105,ROW()-6)&lt;&gt;"Starfsbundinn",FI72="",$E72="",$D72=""),"",ROUND(FI72/$E72*$D72*KVARDI,2))</f>
        <v/>
      </c>
      <c r="FK72" s="66" t="n"/>
      <c r="FL72" s="78">
        <f>IF(OR(INDEX(Undirviðmið!$G$6:$G$105,ROW()-6)&lt;&gt;"Starfsbundinn",FK72="",$E72="",$D72=""),"",ROUND(FK72/$E72*$D72*KVARDI,2))</f>
        <v/>
      </c>
      <c r="FM72" s="66" t="n"/>
      <c r="FN72" s="78">
        <f>IF(OR(INDEX(Undirviðmið!$G$6:$G$105,ROW()-6)&lt;&gt;"Starfsbundinn",FM72="",$E72="",$D72=""),"",ROUND(FM72/$E72*$D72*KVARDI,2))</f>
        <v/>
      </c>
      <c r="FO72" s="66" t="n"/>
      <c r="FP72" s="78">
        <f>IF(OR(INDEX(Undirviðmið!$G$6:$G$105,ROW()-6)&lt;&gt;"Starfsbundinn",FO72="",$E72="",$D72=""),"",ROUND(FO72/$E72*$D72*KVARDI,2))</f>
        <v/>
      </c>
      <c r="FQ72" s="66" t="n"/>
      <c r="FR72" s="78">
        <f>IF(OR(INDEX(Undirviðmið!$G$6:$G$105,ROW()-6)&lt;&gt;"Starfsbundinn",FQ72="",$E72="",$D72=""),"",ROUND(FQ72/$E72*$D72*KVARDI,2))</f>
        <v/>
      </c>
      <c r="FS72" s="66" t="n"/>
      <c r="FT72" s="78">
        <f>IF(OR(INDEX(Undirviðmið!$G$6:$G$105,ROW()-6)&lt;&gt;"Starfsbundinn",FS72="",$E72="",$D72=""),"",ROUND(FS72/$E72*$D72*KVARDI,2))</f>
        <v/>
      </c>
      <c r="FU72" s="66" t="n"/>
      <c r="FV72" s="78">
        <f>IF(OR(INDEX(Undirviðmið!$G$6:$G$105,ROW()-6)&lt;&gt;"Starfsbundinn",FU72="",$E72="",$D72=""),"",ROUND(FU72/$E72*$D72*KVARDI,2))</f>
        <v/>
      </c>
      <c r="FW72" s="66" t="n"/>
      <c r="FX72" s="78">
        <f>IF(OR(INDEX(Undirviðmið!$G$6:$G$105,ROW()-6)&lt;&gt;"Starfsbundinn",FW72="",$E72="",$D72=""),"",ROUND(FW72/$E72*$D72*KVARDI,2))</f>
        <v/>
      </c>
      <c r="FY72" s="66" t="n"/>
      <c r="FZ72" s="78">
        <f>IF(OR(INDEX(Undirviðmið!$G$6:$G$105,ROW()-6)&lt;&gt;"Starfsbundinn",FY72="",$E72="",$D72=""),"",ROUND(FY72/$E72*$D72*KVARDI,2))</f>
        <v/>
      </c>
      <c r="GA72" s="66" t="n"/>
      <c r="GB72" s="78">
        <f>IF(OR(INDEX(Undirviðmið!$G$6:$G$105,ROW()-6)&lt;&gt;"Starfsbundinn",GA72="",$E72="",$D72=""),"",ROUND(GA72/$E72*$D72*KVARDI,2))</f>
        <v/>
      </c>
      <c r="GC72" s="66" t="n"/>
      <c r="GD72" s="78">
        <f>IF(OR(INDEX(Undirviðmið!$G$6:$G$105,ROW()-6)&lt;&gt;"Starfsbundinn",GC72="",$E72="",$D72=""),"",ROUND(GC72/$E72*$D72*KVARDI,2))</f>
        <v/>
      </c>
      <c r="GE72" s="66" t="n"/>
      <c r="GF72" s="78">
        <f>IF(OR(INDEX(Undirviðmið!$G$6:$G$105,ROW()-6)&lt;&gt;"Starfsbundinn",GE72="",$E72="",$D72=""),"",ROUND(GE72/$E72*$D72*KVARDI,2))</f>
        <v/>
      </c>
      <c r="GG72" s="66" t="n"/>
      <c r="GH72" s="78">
        <f>IF(OR(INDEX(Undirviðmið!$G$6:$G$105,ROW()-6)&lt;&gt;"Starfsbundinn",GG72="",$E72="",$D72=""),"",ROUND(GG72/$E72*$D72*KVARDI,2))</f>
        <v/>
      </c>
      <c r="GI72" s="66" t="n"/>
      <c r="GJ72" s="78">
        <f>IF(OR(INDEX(Undirviðmið!$G$6:$G$105,ROW()-6)&lt;&gt;"Starfsbundinn",GI72="",$E72="",$D72=""),"",ROUND(GI72/$E72*$D72*KVARDI,2))</f>
        <v/>
      </c>
      <c r="GK72" s="66" t="n"/>
      <c r="GL72" s="78">
        <f>IF(OR(INDEX(Undirviðmið!$G$6:$G$105,ROW()-6)&lt;&gt;"Starfsbundinn",GK72="",$E72="",$D72=""),"",ROUND(GK72/$E72*$D72*KVARDI,2))</f>
        <v/>
      </c>
      <c r="GM72" s="66" t="n"/>
      <c r="GN72" s="78">
        <f>IF(OR(INDEX(Undirviðmið!$G$6:$G$105,ROW()-6)&lt;&gt;"Starfsbundinn",GM72="",$E72="",$D72=""),"",ROUND(GM72/$E72*$D72*KVARDI,2))</f>
        <v/>
      </c>
      <c r="GO72" s="66" t="n"/>
      <c r="GP72" s="78">
        <f>IF(OR(INDEX(Undirviðmið!$G$6:$G$105,ROW()-6)&lt;&gt;"Starfsbundinn",GO72="",$E72="",$D72=""),"",ROUND(GO72/$E72*$D72*KVARDI,2))</f>
        <v/>
      </c>
      <c r="GQ72" s="66" t="n"/>
      <c r="GR72" s="78">
        <f>IF(OR(INDEX(Undirviðmið!$G$6:$G$105,ROW()-6)&lt;&gt;"Starfsbundinn",GQ72="",$E72="",$D72=""),"",ROUND(GQ72/$E72*$D72*KVARDI,2))</f>
        <v/>
      </c>
      <c r="GS72" s="66" t="n"/>
      <c r="GT72" s="78">
        <f>IF(OR(INDEX(Undirviðmið!$G$6:$G$105,ROW()-6)&lt;&gt;"Starfsbundinn",GS72="",$E72="",$D72=""),"",ROUND(GS72/$E72*$D72*KVARDI,2))</f>
        <v/>
      </c>
      <c r="GU72" s="66" t="n"/>
      <c r="GV72" s="78">
        <f>IF(OR(INDEX(Undirviðmið!$G$6:$G$105,ROW()-6)&lt;&gt;"Starfsbundinn",GU72="",$E72="",$D72=""),"",ROUND(GU72/$E72*$D72*KVARDI,2))</f>
        <v/>
      </c>
      <c r="GW72" s="66" t="n"/>
      <c r="GX72" s="78">
        <f>IF(OR(INDEX(Undirviðmið!$G$6:$G$105,ROW()-6)&lt;&gt;"Starfsbundinn",GW72="",$E72="",$D72=""),"",ROUND(GW72/$E72*$D72*KVARDI,2))</f>
        <v/>
      </c>
    </row>
    <row r="73" ht="15" customHeight="1" s="47">
      <c r="B73" s="67">
        <f>IF(INDEX(Undirviðmið!$G$6:$G$105,ROW()-6)="Starfsbundinn",INDEX(Undirviðmið!$B$6:$B$105,ROW()-6),"")</f>
        <v/>
      </c>
      <c r="C73" s="67">
        <f>IF(INDEX(Undirviðmið!$G$6:$G$105,ROW()-6)="Starfsbundinn",INDEX(Undirviðmið!$C$6:$C$105,ROW()-6),"")</f>
        <v/>
      </c>
      <c r="D73" s="77">
        <f>IF(INDEX(Undirviðmið!$G$6:$G$105,ROW()-6)="Starfsbundinn",INDEX(Undirviðmið!$E$6:$E$105,ROW()-6),"")</f>
        <v/>
      </c>
      <c r="E73" s="77">
        <f>IF(INDEX(Undirviðmið!$G$6:$G$105,ROW()-6)="Starfsbundinn",INDEX(Undirviðmið!$F$6:$F$105,ROW()-6),"")</f>
        <v/>
      </c>
      <c r="F73" s="77">
        <f>IF(INDEX(Undirviðmið!$G$6:$G$105,ROW()-6)="Starfsbundinn",IFERROR(INDEX(Undirviðmið!$E$6:$E$105,ROW()-6)*KVARDI,""),"")</f>
        <v/>
      </c>
      <c r="G73" s="66" t="n"/>
      <c r="H73" s="78">
        <f>IF(OR(INDEX(Undirviðmið!$G$6:$G$105,ROW()-6)&lt;&gt;"Starfsbundinn",G73="",$E73="",$D73=""),"",ROUND(G73/$E73*$D73*KVARDI,2))</f>
        <v/>
      </c>
      <c r="I73" s="66" t="n"/>
      <c r="J73" s="78">
        <f>IF(OR(INDEX(Undirviðmið!$G$6:$G$105,ROW()-6)&lt;&gt;"Starfsbundinn",I73="",$E73="",$D73=""),"",ROUND(I73/$E73*$D73*KVARDI,2))</f>
        <v/>
      </c>
      <c r="K73" s="66" t="n"/>
      <c r="L73" s="78">
        <f>IF(OR(INDEX(Undirviðmið!$G$6:$G$105,ROW()-6)&lt;&gt;"Starfsbundinn",K73="",$E73="",$D73=""),"",ROUND(K73/$E73*$D73*KVARDI,2))</f>
        <v/>
      </c>
      <c r="M73" s="66" t="n"/>
      <c r="N73" s="78">
        <f>IF(OR(INDEX(Undirviðmið!$G$6:$G$105,ROW()-6)&lt;&gt;"Starfsbundinn",M73="",$E73="",$D73=""),"",ROUND(M73/$E73*$D73*KVARDI,2))</f>
        <v/>
      </c>
      <c r="O73" s="66" t="n"/>
      <c r="P73" s="78">
        <f>IF(OR(INDEX(Undirviðmið!$G$6:$G$105,ROW()-6)&lt;&gt;"Starfsbundinn",O73="",$E73="",$D73=""),"",ROUND(O73/$E73*$D73*KVARDI,2))</f>
        <v/>
      </c>
      <c r="Q73" s="66" t="n"/>
      <c r="R73" s="78">
        <f>IF(OR(INDEX(Undirviðmið!$G$6:$G$105,ROW()-6)&lt;&gt;"Starfsbundinn",Q73="",$E73="",$D73=""),"",ROUND(Q73/$E73*$D73*KVARDI,2))</f>
        <v/>
      </c>
      <c r="S73" s="66" t="n"/>
      <c r="T73" s="78">
        <f>IF(OR(INDEX(Undirviðmið!$G$6:$G$105,ROW()-6)&lt;&gt;"Starfsbundinn",S73="",$E73="",$D73=""),"",ROUND(S73/$E73*$D73*KVARDI,2))</f>
        <v/>
      </c>
      <c r="U73" s="66" t="n"/>
      <c r="V73" s="78">
        <f>IF(OR(INDEX(Undirviðmið!$G$6:$G$105,ROW()-6)&lt;&gt;"Starfsbundinn",U73="",$E73="",$D73=""),"",ROUND(U73/$E73*$D73*KVARDI,2))</f>
        <v/>
      </c>
      <c r="W73" s="66" t="n"/>
      <c r="X73" s="78">
        <f>IF(OR(INDEX(Undirviðmið!$G$6:$G$105,ROW()-6)&lt;&gt;"Starfsbundinn",W73="",$E73="",$D73=""),"",ROUND(W73/$E73*$D73*KVARDI,2))</f>
        <v/>
      </c>
      <c r="Y73" s="66" t="n"/>
      <c r="Z73" s="78">
        <f>IF(OR(INDEX(Undirviðmið!$G$6:$G$105,ROW()-6)&lt;&gt;"Starfsbundinn",Y73="",$E73="",$D73=""),"",ROUND(Y73/$E73*$D73*KVARDI,2))</f>
        <v/>
      </c>
      <c r="AA73" s="66" t="n"/>
      <c r="AB73" s="78">
        <f>IF(OR(INDEX(Undirviðmið!$G$6:$G$105,ROW()-6)&lt;&gt;"Starfsbundinn",AA73="",$E73="",$D73=""),"",ROUND(AA73/$E73*$D73*KVARDI,2))</f>
        <v/>
      </c>
      <c r="AC73" s="66" t="n"/>
      <c r="AD73" s="78">
        <f>IF(OR(INDEX(Undirviðmið!$G$6:$G$105,ROW()-6)&lt;&gt;"Starfsbundinn",AC73="",$E73="",$D73=""),"",ROUND(AC73/$E73*$D73*KVARDI,2))</f>
        <v/>
      </c>
      <c r="AE73" s="66" t="n"/>
      <c r="AF73" s="78">
        <f>IF(OR(INDEX(Undirviðmið!$G$6:$G$105,ROW()-6)&lt;&gt;"Starfsbundinn",AE73="",$E73="",$D73=""),"",ROUND(AE73/$E73*$D73*KVARDI,2))</f>
        <v/>
      </c>
      <c r="AG73" s="66" t="n"/>
      <c r="AH73" s="78">
        <f>IF(OR(INDEX(Undirviðmið!$G$6:$G$105,ROW()-6)&lt;&gt;"Starfsbundinn",AG73="",$E73="",$D73=""),"",ROUND(AG73/$E73*$D73*KVARDI,2))</f>
        <v/>
      </c>
      <c r="AI73" s="66" t="n"/>
      <c r="AJ73" s="78">
        <f>IF(OR(INDEX(Undirviðmið!$G$6:$G$105,ROW()-6)&lt;&gt;"Starfsbundinn",AI73="",$E73="",$D73=""),"",ROUND(AI73/$E73*$D73*KVARDI,2))</f>
        <v/>
      </c>
      <c r="AK73" s="66" t="n"/>
      <c r="AL73" s="78">
        <f>IF(OR(INDEX(Undirviðmið!$G$6:$G$105,ROW()-6)&lt;&gt;"Starfsbundinn",AK73="",$E73="",$D73=""),"",ROUND(AK73/$E73*$D73*KVARDI,2))</f>
        <v/>
      </c>
      <c r="AM73" s="66" t="n"/>
      <c r="AN73" s="78">
        <f>IF(OR(INDEX(Undirviðmið!$G$6:$G$105,ROW()-6)&lt;&gt;"Starfsbundinn",AM73="",$E73="",$D73=""),"",ROUND(AM73/$E73*$D73*KVARDI,2))</f>
        <v/>
      </c>
      <c r="AO73" s="66" t="n"/>
      <c r="AP73" s="78">
        <f>IF(OR(INDEX(Undirviðmið!$G$6:$G$105,ROW()-6)&lt;&gt;"Starfsbundinn",AO73="",$E73="",$D73=""),"",ROUND(AO73/$E73*$D73*KVARDI,2))</f>
        <v/>
      </c>
      <c r="AQ73" s="66" t="n"/>
      <c r="AR73" s="78">
        <f>IF(OR(INDEX(Undirviðmið!$G$6:$G$105,ROW()-6)&lt;&gt;"Starfsbundinn",AQ73="",$E73="",$D73=""),"",ROUND(AQ73/$E73*$D73*KVARDI,2))</f>
        <v/>
      </c>
      <c r="AS73" s="66" t="n"/>
      <c r="AT73" s="78">
        <f>IF(OR(INDEX(Undirviðmið!$G$6:$G$105,ROW()-6)&lt;&gt;"Starfsbundinn",AS73="",$E73="",$D73=""),"",ROUND(AS73/$E73*$D73*KVARDI,2))</f>
        <v/>
      </c>
      <c r="AU73" s="66" t="n"/>
      <c r="AV73" s="78">
        <f>IF(OR(INDEX(Undirviðmið!$G$6:$G$105,ROW()-6)&lt;&gt;"Starfsbundinn",AU73="",$E73="",$D73=""),"",ROUND(AU73/$E73*$D73*KVARDI,2))</f>
        <v/>
      </c>
      <c r="AW73" s="66" t="n"/>
      <c r="AX73" s="78">
        <f>IF(OR(INDEX(Undirviðmið!$G$6:$G$105,ROW()-6)&lt;&gt;"Starfsbundinn",AW73="",$E73="",$D73=""),"",ROUND(AW73/$E73*$D73*KVARDI,2))</f>
        <v/>
      </c>
      <c r="AY73" s="66" t="n"/>
      <c r="AZ73" s="78">
        <f>IF(OR(INDEX(Undirviðmið!$G$6:$G$105,ROW()-6)&lt;&gt;"Starfsbundinn",AY73="",$E73="",$D73=""),"",ROUND(AY73/$E73*$D73*KVARDI,2))</f>
        <v/>
      </c>
      <c r="BA73" s="66" t="n"/>
      <c r="BB73" s="78">
        <f>IF(OR(INDEX(Undirviðmið!$G$6:$G$105,ROW()-6)&lt;&gt;"Starfsbundinn",BA73="",$E73="",$D73=""),"",ROUND(BA73/$E73*$D73*KVARDI,2))</f>
        <v/>
      </c>
      <c r="BC73" s="66" t="n"/>
      <c r="BD73" s="78">
        <f>IF(OR(INDEX(Undirviðmið!$G$6:$G$105,ROW()-6)&lt;&gt;"Starfsbundinn",BC73="",$E73="",$D73=""),"",ROUND(BC73/$E73*$D73*KVARDI,2))</f>
        <v/>
      </c>
      <c r="BE73" s="66" t="n"/>
      <c r="BF73" s="78">
        <f>IF(OR(INDEX(Undirviðmið!$G$6:$G$105,ROW()-6)&lt;&gt;"Starfsbundinn",BE73="",$E73="",$D73=""),"",ROUND(BE73/$E73*$D73*KVARDI,2))</f>
        <v/>
      </c>
      <c r="BG73" s="66" t="n"/>
      <c r="BH73" s="78">
        <f>IF(OR(INDEX(Undirviðmið!$G$6:$G$105,ROW()-6)&lt;&gt;"Starfsbundinn",BG73="",$E73="",$D73=""),"",ROUND(BG73/$E73*$D73*KVARDI,2))</f>
        <v/>
      </c>
      <c r="BI73" s="66" t="n"/>
      <c r="BJ73" s="78">
        <f>IF(OR(INDEX(Undirviðmið!$G$6:$G$105,ROW()-6)&lt;&gt;"Starfsbundinn",BI73="",$E73="",$D73=""),"",ROUND(BI73/$E73*$D73*KVARDI,2))</f>
        <v/>
      </c>
      <c r="BK73" s="66" t="n"/>
      <c r="BL73" s="78">
        <f>IF(OR(INDEX(Undirviðmið!$G$6:$G$105,ROW()-6)&lt;&gt;"Starfsbundinn",BK73="",$E73="",$D73=""),"",ROUND(BK73/$E73*$D73*KVARDI,2))</f>
        <v/>
      </c>
      <c r="BM73" s="66" t="n"/>
      <c r="BN73" s="78">
        <f>IF(OR(INDEX(Undirviðmið!$G$6:$G$105,ROW()-6)&lt;&gt;"Starfsbundinn",BM73="",$E73="",$D73=""),"",ROUND(BM73/$E73*$D73*KVARDI,2))</f>
        <v/>
      </c>
      <c r="BO73" s="66" t="n"/>
      <c r="BP73" s="78">
        <f>IF(OR(INDEX(Undirviðmið!$G$6:$G$105,ROW()-6)&lt;&gt;"Starfsbundinn",BO73="",$E73="",$D73=""),"",ROUND(BO73/$E73*$D73*KVARDI,2))</f>
        <v/>
      </c>
      <c r="BQ73" s="66" t="n"/>
      <c r="BR73" s="78">
        <f>IF(OR(INDEX(Undirviðmið!$G$6:$G$105,ROW()-6)&lt;&gt;"Starfsbundinn",BQ73="",$E73="",$D73=""),"",ROUND(BQ73/$E73*$D73*KVARDI,2))</f>
        <v/>
      </c>
      <c r="BS73" s="66" t="n"/>
      <c r="BT73" s="78">
        <f>IF(OR(INDEX(Undirviðmið!$G$6:$G$105,ROW()-6)&lt;&gt;"Starfsbundinn",BS73="",$E73="",$D73=""),"",ROUND(BS73/$E73*$D73*KVARDI,2))</f>
        <v/>
      </c>
      <c r="BU73" s="66" t="n"/>
      <c r="BV73" s="78">
        <f>IF(OR(INDEX(Undirviðmið!$G$6:$G$105,ROW()-6)&lt;&gt;"Starfsbundinn",BU73="",$E73="",$D73=""),"",ROUND(BU73/$E73*$D73*KVARDI,2))</f>
        <v/>
      </c>
      <c r="BW73" s="66" t="n"/>
      <c r="BX73" s="78">
        <f>IF(OR(INDEX(Undirviðmið!$G$6:$G$105,ROW()-6)&lt;&gt;"Starfsbundinn",BW73="",$E73="",$D73=""),"",ROUND(BW73/$E73*$D73*KVARDI,2))</f>
        <v/>
      </c>
      <c r="BY73" s="66" t="n"/>
      <c r="BZ73" s="78">
        <f>IF(OR(INDEX(Undirviðmið!$G$6:$G$105,ROW()-6)&lt;&gt;"Starfsbundinn",BY73="",$E73="",$D73=""),"",ROUND(BY73/$E73*$D73*KVARDI,2))</f>
        <v/>
      </c>
      <c r="CA73" s="66" t="n"/>
      <c r="CB73" s="78">
        <f>IF(OR(INDEX(Undirviðmið!$G$6:$G$105,ROW()-6)&lt;&gt;"Starfsbundinn",CA73="",$E73="",$D73=""),"",ROUND(CA73/$E73*$D73*KVARDI,2))</f>
        <v/>
      </c>
      <c r="CC73" s="66" t="n"/>
      <c r="CD73" s="78">
        <f>IF(OR(INDEX(Undirviðmið!$G$6:$G$105,ROW()-6)&lt;&gt;"Starfsbundinn",CC73="",$E73="",$D73=""),"",ROUND(CC73/$E73*$D73*KVARDI,2))</f>
        <v/>
      </c>
      <c r="CE73" s="66" t="n"/>
      <c r="CF73" s="78">
        <f>IF(OR(INDEX(Undirviðmið!$G$6:$G$105,ROW()-6)&lt;&gt;"Starfsbundinn",CE73="",$E73="",$D73=""),"",ROUND(CE73/$E73*$D73*KVARDI,2))</f>
        <v/>
      </c>
      <c r="CG73" s="66" t="n"/>
      <c r="CH73" s="78">
        <f>IF(OR(INDEX(Undirviðmið!$G$6:$G$105,ROW()-6)&lt;&gt;"Starfsbundinn",CG73="",$E73="",$D73=""),"",ROUND(CG73/$E73*$D73*KVARDI,2))</f>
        <v/>
      </c>
      <c r="CI73" s="66" t="n"/>
      <c r="CJ73" s="78">
        <f>IF(OR(INDEX(Undirviðmið!$G$6:$G$105,ROW()-6)&lt;&gt;"Starfsbundinn",CI73="",$E73="",$D73=""),"",ROUND(CI73/$E73*$D73*KVARDI,2))</f>
        <v/>
      </c>
      <c r="CK73" s="66" t="n"/>
      <c r="CL73" s="78">
        <f>IF(OR(INDEX(Undirviðmið!$G$6:$G$105,ROW()-6)&lt;&gt;"Starfsbundinn",CK73="",$E73="",$D73=""),"",ROUND(CK73/$E73*$D73*KVARDI,2))</f>
        <v/>
      </c>
      <c r="CM73" s="66" t="n"/>
      <c r="CN73" s="78">
        <f>IF(OR(INDEX(Undirviðmið!$G$6:$G$105,ROW()-6)&lt;&gt;"Starfsbundinn",CM73="",$E73="",$D73=""),"",ROUND(CM73/$E73*$D73*KVARDI,2))</f>
        <v/>
      </c>
      <c r="CO73" s="66" t="n"/>
      <c r="CP73" s="78">
        <f>IF(OR(INDEX(Undirviðmið!$G$6:$G$105,ROW()-6)&lt;&gt;"Starfsbundinn",CO73="",$E73="",$D73=""),"",ROUND(CO73/$E73*$D73*KVARDI,2))</f>
        <v/>
      </c>
      <c r="CQ73" s="66" t="n"/>
      <c r="CR73" s="78">
        <f>IF(OR(INDEX(Undirviðmið!$G$6:$G$105,ROW()-6)&lt;&gt;"Starfsbundinn",CQ73="",$E73="",$D73=""),"",ROUND(CQ73/$E73*$D73*KVARDI,2))</f>
        <v/>
      </c>
      <c r="CS73" s="66" t="n"/>
      <c r="CT73" s="78">
        <f>IF(OR(INDEX(Undirviðmið!$G$6:$G$105,ROW()-6)&lt;&gt;"Starfsbundinn",CS73="",$E73="",$D73=""),"",ROUND(CS73/$E73*$D73*KVARDI,2))</f>
        <v/>
      </c>
      <c r="CU73" s="66" t="n"/>
      <c r="CV73" s="78">
        <f>IF(OR(INDEX(Undirviðmið!$G$6:$G$105,ROW()-6)&lt;&gt;"Starfsbundinn",CU73="",$E73="",$D73=""),"",ROUND(CU73/$E73*$D73*KVARDI,2))</f>
        <v/>
      </c>
      <c r="CW73" s="66" t="n"/>
      <c r="CX73" s="78">
        <f>IF(OR(INDEX(Undirviðmið!$G$6:$G$105,ROW()-6)&lt;&gt;"Starfsbundinn",CW73="",$E73="",$D73=""),"",ROUND(CW73/$E73*$D73*KVARDI,2))</f>
        <v/>
      </c>
      <c r="CY73" s="66" t="n"/>
      <c r="CZ73" s="78">
        <f>IF(OR(INDEX(Undirviðmið!$G$6:$G$105,ROW()-6)&lt;&gt;"Starfsbundinn",CY73="",$E73="",$D73=""),"",ROUND(CY73/$E73*$D73*KVARDI,2))</f>
        <v/>
      </c>
      <c r="DA73" s="66" t="n"/>
      <c r="DB73" s="78">
        <f>IF(OR(INDEX(Undirviðmið!$G$6:$G$105,ROW()-6)&lt;&gt;"Starfsbundinn",DA73="",$E73="",$D73=""),"",ROUND(DA73/$E73*$D73*KVARDI,2))</f>
        <v/>
      </c>
      <c r="DC73" s="66" t="n"/>
      <c r="DD73" s="78">
        <f>IF(OR(INDEX(Undirviðmið!$G$6:$G$105,ROW()-6)&lt;&gt;"Starfsbundinn",DC73="",$E73="",$D73=""),"",ROUND(DC73/$E73*$D73*KVARDI,2))</f>
        <v/>
      </c>
      <c r="DE73" s="66" t="n"/>
      <c r="DF73" s="78">
        <f>IF(OR(INDEX(Undirviðmið!$G$6:$G$105,ROW()-6)&lt;&gt;"Starfsbundinn",DE73="",$E73="",$D73=""),"",ROUND(DE73/$E73*$D73*KVARDI,2))</f>
        <v/>
      </c>
      <c r="DG73" s="66" t="n"/>
      <c r="DH73" s="78">
        <f>IF(OR(INDEX(Undirviðmið!$G$6:$G$105,ROW()-6)&lt;&gt;"Starfsbundinn",DG73="",$E73="",$D73=""),"",ROUND(DG73/$E73*$D73*KVARDI,2))</f>
        <v/>
      </c>
      <c r="DI73" s="66" t="n"/>
      <c r="DJ73" s="78">
        <f>IF(OR(INDEX(Undirviðmið!$G$6:$G$105,ROW()-6)&lt;&gt;"Starfsbundinn",DI73="",$E73="",$D73=""),"",ROUND(DI73/$E73*$D73*KVARDI,2))</f>
        <v/>
      </c>
      <c r="DK73" s="66" t="n"/>
      <c r="DL73" s="78">
        <f>IF(OR(INDEX(Undirviðmið!$G$6:$G$105,ROW()-6)&lt;&gt;"Starfsbundinn",DK73="",$E73="",$D73=""),"",ROUND(DK73/$E73*$D73*KVARDI,2))</f>
        <v/>
      </c>
      <c r="DM73" s="66" t="n"/>
      <c r="DN73" s="78">
        <f>IF(OR(INDEX(Undirviðmið!$G$6:$G$105,ROW()-6)&lt;&gt;"Starfsbundinn",DM73="",$E73="",$D73=""),"",ROUND(DM73/$E73*$D73*KVARDI,2))</f>
        <v/>
      </c>
      <c r="DO73" s="66" t="n"/>
      <c r="DP73" s="78">
        <f>IF(OR(INDEX(Undirviðmið!$G$6:$G$105,ROW()-6)&lt;&gt;"Starfsbundinn",DO73="",$E73="",$D73=""),"",ROUND(DO73/$E73*$D73*KVARDI,2))</f>
        <v/>
      </c>
      <c r="DQ73" s="66" t="n"/>
      <c r="DR73" s="78">
        <f>IF(OR(INDEX(Undirviðmið!$G$6:$G$105,ROW()-6)&lt;&gt;"Starfsbundinn",DQ73="",$E73="",$D73=""),"",ROUND(DQ73/$E73*$D73*KVARDI,2))</f>
        <v/>
      </c>
      <c r="DS73" s="66" t="n"/>
      <c r="DT73" s="78">
        <f>IF(OR(INDEX(Undirviðmið!$G$6:$G$105,ROW()-6)&lt;&gt;"Starfsbundinn",DS73="",$E73="",$D73=""),"",ROUND(DS73/$E73*$D73*KVARDI,2))</f>
        <v/>
      </c>
      <c r="DU73" s="66" t="n"/>
      <c r="DV73" s="78">
        <f>IF(OR(INDEX(Undirviðmið!$G$6:$G$105,ROW()-6)&lt;&gt;"Starfsbundinn",DU73="",$E73="",$D73=""),"",ROUND(DU73/$E73*$D73*KVARDI,2))</f>
        <v/>
      </c>
      <c r="DW73" s="66" t="n"/>
      <c r="DX73" s="78">
        <f>IF(OR(INDEX(Undirviðmið!$G$6:$G$105,ROW()-6)&lt;&gt;"Starfsbundinn",DW73="",$E73="",$D73=""),"",ROUND(DW73/$E73*$D73*KVARDI,2))</f>
        <v/>
      </c>
      <c r="DY73" s="66" t="n"/>
      <c r="DZ73" s="78">
        <f>IF(OR(INDEX(Undirviðmið!$G$6:$G$105,ROW()-6)&lt;&gt;"Starfsbundinn",DY73="",$E73="",$D73=""),"",ROUND(DY73/$E73*$D73*KVARDI,2))</f>
        <v/>
      </c>
      <c r="EA73" s="66" t="n"/>
      <c r="EB73" s="78">
        <f>IF(OR(INDEX(Undirviðmið!$G$6:$G$105,ROW()-6)&lt;&gt;"Starfsbundinn",EA73="",$E73="",$D73=""),"",ROUND(EA73/$E73*$D73*KVARDI,2))</f>
        <v/>
      </c>
      <c r="EC73" s="66" t="n"/>
      <c r="ED73" s="78">
        <f>IF(OR(INDEX(Undirviðmið!$G$6:$G$105,ROW()-6)&lt;&gt;"Starfsbundinn",EC73="",$E73="",$D73=""),"",ROUND(EC73/$E73*$D73*KVARDI,2))</f>
        <v/>
      </c>
      <c r="EE73" s="66" t="n"/>
      <c r="EF73" s="78">
        <f>IF(OR(INDEX(Undirviðmið!$G$6:$G$105,ROW()-6)&lt;&gt;"Starfsbundinn",EE73="",$E73="",$D73=""),"",ROUND(EE73/$E73*$D73*KVARDI,2))</f>
        <v/>
      </c>
      <c r="EG73" s="66" t="n"/>
      <c r="EH73" s="78">
        <f>IF(OR(INDEX(Undirviðmið!$G$6:$G$105,ROW()-6)&lt;&gt;"Starfsbundinn",EG73="",$E73="",$D73=""),"",ROUND(EG73/$E73*$D73*KVARDI,2))</f>
        <v/>
      </c>
      <c r="EI73" s="66" t="n"/>
      <c r="EJ73" s="78">
        <f>IF(OR(INDEX(Undirviðmið!$G$6:$G$105,ROW()-6)&lt;&gt;"Starfsbundinn",EI73="",$E73="",$D73=""),"",ROUND(EI73/$E73*$D73*KVARDI,2))</f>
        <v/>
      </c>
      <c r="EK73" s="66" t="n"/>
      <c r="EL73" s="78">
        <f>IF(OR(INDEX(Undirviðmið!$G$6:$G$105,ROW()-6)&lt;&gt;"Starfsbundinn",EK73="",$E73="",$D73=""),"",ROUND(EK73/$E73*$D73*KVARDI,2))</f>
        <v/>
      </c>
      <c r="EM73" s="66" t="n"/>
      <c r="EN73" s="78">
        <f>IF(OR(INDEX(Undirviðmið!$G$6:$G$105,ROW()-6)&lt;&gt;"Starfsbundinn",EM73="",$E73="",$D73=""),"",ROUND(EM73/$E73*$D73*KVARDI,2))</f>
        <v/>
      </c>
      <c r="EO73" s="66" t="n"/>
      <c r="EP73" s="78">
        <f>IF(OR(INDEX(Undirviðmið!$G$6:$G$105,ROW()-6)&lt;&gt;"Starfsbundinn",EO73="",$E73="",$D73=""),"",ROUND(EO73/$E73*$D73*KVARDI,2))</f>
        <v/>
      </c>
      <c r="EQ73" s="66" t="n"/>
      <c r="ER73" s="78">
        <f>IF(OR(INDEX(Undirviðmið!$G$6:$G$105,ROW()-6)&lt;&gt;"Starfsbundinn",EQ73="",$E73="",$D73=""),"",ROUND(EQ73/$E73*$D73*KVARDI,2))</f>
        <v/>
      </c>
      <c r="ES73" s="66" t="n"/>
      <c r="ET73" s="78">
        <f>IF(OR(INDEX(Undirviðmið!$G$6:$G$105,ROW()-6)&lt;&gt;"Starfsbundinn",ES73="",$E73="",$D73=""),"",ROUND(ES73/$E73*$D73*KVARDI,2))</f>
        <v/>
      </c>
      <c r="EU73" s="66" t="n"/>
      <c r="EV73" s="78">
        <f>IF(OR(INDEX(Undirviðmið!$G$6:$G$105,ROW()-6)&lt;&gt;"Starfsbundinn",EU73="",$E73="",$D73=""),"",ROUND(EU73/$E73*$D73*KVARDI,2))</f>
        <v/>
      </c>
      <c r="EW73" s="66" t="n"/>
      <c r="EX73" s="78">
        <f>IF(OR(INDEX(Undirviðmið!$G$6:$G$105,ROW()-6)&lt;&gt;"Starfsbundinn",EW73="",$E73="",$D73=""),"",ROUND(EW73/$E73*$D73*KVARDI,2))</f>
        <v/>
      </c>
      <c r="EY73" s="66" t="n"/>
      <c r="EZ73" s="78">
        <f>IF(OR(INDEX(Undirviðmið!$G$6:$G$105,ROW()-6)&lt;&gt;"Starfsbundinn",EY73="",$E73="",$D73=""),"",ROUND(EY73/$E73*$D73*KVARDI,2))</f>
        <v/>
      </c>
      <c r="FA73" s="66" t="n"/>
      <c r="FB73" s="78">
        <f>IF(OR(INDEX(Undirviðmið!$G$6:$G$105,ROW()-6)&lt;&gt;"Starfsbundinn",FA73="",$E73="",$D73=""),"",ROUND(FA73/$E73*$D73*KVARDI,2))</f>
        <v/>
      </c>
      <c r="FC73" s="66" t="n"/>
      <c r="FD73" s="78">
        <f>IF(OR(INDEX(Undirviðmið!$G$6:$G$105,ROW()-6)&lt;&gt;"Starfsbundinn",FC73="",$E73="",$D73=""),"",ROUND(FC73/$E73*$D73*KVARDI,2))</f>
        <v/>
      </c>
      <c r="FE73" s="66" t="n"/>
      <c r="FF73" s="78">
        <f>IF(OR(INDEX(Undirviðmið!$G$6:$G$105,ROW()-6)&lt;&gt;"Starfsbundinn",FE73="",$E73="",$D73=""),"",ROUND(FE73/$E73*$D73*KVARDI,2))</f>
        <v/>
      </c>
      <c r="FG73" s="66" t="n"/>
      <c r="FH73" s="78">
        <f>IF(OR(INDEX(Undirviðmið!$G$6:$G$105,ROW()-6)&lt;&gt;"Starfsbundinn",FG73="",$E73="",$D73=""),"",ROUND(FG73/$E73*$D73*KVARDI,2))</f>
        <v/>
      </c>
      <c r="FI73" s="66" t="n"/>
      <c r="FJ73" s="78">
        <f>IF(OR(INDEX(Undirviðmið!$G$6:$G$105,ROW()-6)&lt;&gt;"Starfsbundinn",FI73="",$E73="",$D73=""),"",ROUND(FI73/$E73*$D73*KVARDI,2))</f>
        <v/>
      </c>
      <c r="FK73" s="66" t="n"/>
      <c r="FL73" s="78">
        <f>IF(OR(INDEX(Undirviðmið!$G$6:$G$105,ROW()-6)&lt;&gt;"Starfsbundinn",FK73="",$E73="",$D73=""),"",ROUND(FK73/$E73*$D73*KVARDI,2))</f>
        <v/>
      </c>
      <c r="FM73" s="66" t="n"/>
      <c r="FN73" s="78">
        <f>IF(OR(INDEX(Undirviðmið!$G$6:$G$105,ROW()-6)&lt;&gt;"Starfsbundinn",FM73="",$E73="",$D73=""),"",ROUND(FM73/$E73*$D73*KVARDI,2))</f>
        <v/>
      </c>
      <c r="FO73" s="66" t="n"/>
      <c r="FP73" s="78">
        <f>IF(OR(INDEX(Undirviðmið!$G$6:$G$105,ROW()-6)&lt;&gt;"Starfsbundinn",FO73="",$E73="",$D73=""),"",ROUND(FO73/$E73*$D73*KVARDI,2))</f>
        <v/>
      </c>
      <c r="FQ73" s="66" t="n"/>
      <c r="FR73" s="78">
        <f>IF(OR(INDEX(Undirviðmið!$G$6:$G$105,ROW()-6)&lt;&gt;"Starfsbundinn",FQ73="",$E73="",$D73=""),"",ROUND(FQ73/$E73*$D73*KVARDI,2))</f>
        <v/>
      </c>
      <c r="FS73" s="66" t="n"/>
      <c r="FT73" s="78">
        <f>IF(OR(INDEX(Undirviðmið!$G$6:$G$105,ROW()-6)&lt;&gt;"Starfsbundinn",FS73="",$E73="",$D73=""),"",ROUND(FS73/$E73*$D73*KVARDI,2))</f>
        <v/>
      </c>
      <c r="FU73" s="66" t="n"/>
      <c r="FV73" s="78">
        <f>IF(OR(INDEX(Undirviðmið!$G$6:$G$105,ROW()-6)&lt;&gt;"Starfsbundinn",FU73="",$E73="",$D73=""),"",ROUND(FU73/$E73*$D73*KVARDI,2))</f>
        <v/>
      </c>
      <c r="FW73" s="66" t="n"/>
      <c r="FX73" s="78">
        <f>IF(OR(INDEX(Undirviðmið!$G$6:$G$105,ROW()-6)&lt;&gt;"Starfsbundinn",FW73="",$E73="",$D73=""),"",ROUND(FW73/$E73*$D73*KVARDI,2))</f>
        <v/>
      </c>
      <c r="FY73" s="66" t="n"/>
      <c r="FZ73" s="78">
        <f>IF(OR(INDEX(Undirviðmið!$G$6:$G$105,ROW()-6)&lt;&gt;"Starfsbundinn",FY73="",$E73="",$D73=""),"",ROUND(FY73/$E73*$D73*KVARDI,2))</f>
        <v/>
      </c>
      <c r="GA73" s="66" t="n"/>
      <c r="GB73" s="78">
        <f>IF(OR(INDEX(Undirviðmið!$G$6:$G$105,ROW()-6)&lt;&gt;"Starfsbundinn",GA73="",$E73="",$D73=""),"",ROUND(GA73/$E73*$D73*KVARDI,2))</f>
        <v/>
      </c>
      <c r="GC73" s="66" t="n"/>
      <c r="GD73" s="78">
        <f>IF(OR(INDEX(Undirviðmið!$G$6:$G$105,ROW()-6)&lt;&gt;"Starfsbundinn",GC73="",$E73="",$D73=""),"",ROUND(GC73/$E73*$D73*KVARDI,2))</f>
        <v/>
      </c>
      <c r="GE73" s="66" t="n"/>
      <c r="GF73" s="78">
        <f>IF(OR(INDEX(Undirviðmið!$G$6:$G$105,ROW()-6)&lt;&gt;"Starfsbundinn",GE73="",$E73="",$D73=""),"",ROUND(GE73/$E73*$D73*KVARDI,2))</f>
        <v/>
      </c>
      <c r="GG73" s="66" t="n"/>
      <c r="GH73" s="78">
        <f>IF(OR(INDEX(Undirviðmið!$G$6:$G$105,ROW()-6)&lt;&gt;"Starfsbundinn",GG73="",$E73="",$D73=""),"",ROUND(GG73/$E73*$D73*KVARDI,2))</f>
        <v/>
      </c>
      <c r="GI73" s="66" t="n"/>
      <c r="GJ73" s="78">
        <f>IF(OR(INDEX(Undirviðmið!$G$6:$G$105,ROW()-6)&lt;&gt;"Starfsbundinn",GI73="",$E73="",$D73=""),"",ROUND(GI73/$E73*$D73*KVARDI,2))</f>
        <v/>
      </c>
      <c r="GK73" s="66" t="n"/>
      <c r="GL73" s="78">
        <f>IF(OR(INDEX(Undirviðmið!$G$6:$G$105,ROW()-6)&lt;&gt;"Starfsbundinn",GK73="",$E73="",$D73=""),"",ROUND(GK73/$E73*$D73*KVARDI,2))</f>
        <v/>
      </c>
      <c r="GM73" s="66" t="n"/>
      <c r="GN73" s="78">
        <f>IF(OR(INDEX(Undirviðmið!$G$6:$G$105,ROW()-6)&lt;&gt;"Starfsbundinn",GM73="",$E73="",$D73=""),"",ROUND(GM73/$E73*$D73*KVARDI,2))</f>
        <v/>
      </c>
      <c r="GO73" s="66" t="n"/>
      <c r="GP73" s="78">
        <f>IF(OR(INDEX(Undirviðmið!$G$6:$G$105,ROW()-6)&lt;&gt;"Starfsbundinn",GO73="",$E73="",$D73=""),"",ROUND(GO73/$E73*$D73*KVARDI,2))</f>
        <v/>
      </c>
      <c r="GQ73" s="66" t="n"/>
      <c r="GR73" s="78">
        <f>IF(OR(INDEX(Undirviðmið!$G$6:$G$105,ROW()-6)&lt;&gt;"Starfsbundinn",GQ73="",$E73="",$D73=""),"",ROUND(GQ73/$E73*$D73*KVARDI,2))</f>
        <v/>
      </c>
      <c r="GS73" s="66" t="n"/>
      <c r="GT73" s="78">
        <f>IF(OR(INDEX(Undirviðmið!$G$6:$G$105,ROW()-6)&lt;&gt;"Starfsbundinn",GS73="",$E73="",$D73=""),"",ROUND(GS73/$E73*$D73*KVARDI,2))</f>
        <v/>
      </c>
      <c r="GU73" s="66" t="n"/>
      <c r="GV73" s="78">
        <f>IF(OR(INDEX(Undirviðmið!$G$6:$G$105,ROW()-6)&lt;&gt;"Starfsbundinn",GU73="",$E73="",$D73=""),"",ROUND(GU73/$E73*$D73*KVARDI,2))</f>
        <v/>
      </c>
      <c r="GW73" s="66" t="n"/>
      <c r="GX73" s="78">
        <f>IF(OR(INDEX(Undirviðmið!$G$6:$G$105,ROW()-6)&lt;&gt;"Starfsbundinn",GW73="",$E73="",$D73=""),"",ROUND(GW73/$E73*$D73*KVARDI,2))</f>
        <v/>
      </c>
    </row>
    <row r="74" ht="15" customHeight="1" s="47">
      <c r="B74" s="67">
        <f>IF(INDEX(Undirviðmið!$G$6:$G$105,ROW()-6)="Starfsbundinn",INDEX(Undirviðmið!$B$6:$B$105,ROW()-6),"")</f>
        <v/>
      </c>
      <c r="C74" s="67">
        <f>IF(INDEX(Undirviðmið!$G$6:$G$105,ROW()-6)="Starfsbundinn",INDEX(Undirviðmið!$C$6:$C$105,ROW()-6),"")</f>
        <v/>
      </c>
      <c r="D74" s="77">
        <f>IF(INDEX(Undirviðmið!$G$6:$G$105,ROW()-6)="Starfsbundinn",INDEX(Undirviðmið!$E$6:$E$105,ROW()-6),"")</f>
        <v/>
      </c>
      <c r="E74" s="77">
        <f>IF(INDEX(Undirviðmið!$G$6:$G$105,ROW()-6)="Starfsbundinn",INDEX(Undirviðmið!$F$6:$F$105,ROW()-6),"")</f>
        <v/>
      </c>
      <c r="F74" s="77">
        <f>IF(INDEX(Undirviðmið!$G$6:$G$105,ROW()-6)="Starfsbundinn",IFERROR(INDEX(Undirviðmið!$E$6:$E$105,ROW()-6)*KVARDI,""),"")</f>
        <v/>
      </c>
      <c r="G74" s="66" t="n"/>
      <c r="H74" s="78">
        <f>IF(OR(INDEX(Undirviðmið!$G$6:$G$105,ROW()-6)&lt;&gt;"Starfsbundinn",G74="",$E74="",$D74=""),"",ROUND(G74/$E74*$D74*KVARDI,2))</f>
        <v/>
      </c>
      <c r="I74" s="66" t="n"/>
      <c r="J74" s="78">
        <f>IF(OR(INDEX(Undirviðmið!$G$6:$G$105,ROW()-6)&lt;&gt;"Starfsbundinn",I74="",$E74="",$D74=""),"",ROUND(I74/$E74*$D74*KVARDI,2))</f>
        <v/>
      </c>
      <c r="K74" s="66" t="n"/>
      <c r="L74" s="78">
        <f>IF(OR(INDEX(Undirviðmið!$G$6:$G$105,ROW()-6)&lt;&gt;"Starfsbundinn",K74="",$E74="",$D74=""),"",ROUND(K74/$E74*$D74*KVARDI,2))</f>
        <v/>
      </c>
      <c r="M74" s="66" t="n"/>
      <c r="N74" s="78">
        <f>IF(OR(INDEX(Undirviðmið!$G$6:$G$105,ROW()-6)&lt;&gt;"Starfsbundinn",M74="",$E74="",$D74=""),"",ROUND(M74/$E74*$D74*KVARDI,2))</f>
        <v/>
      </c>
      <c r="O74" s="66" t="n"/>
      <c r="P74" s="78">
        <f>IF(OR(INDEX(Undirviðmið!$G$6:$G$105,ROW()-6)&lt;&gt;"Starfsbundinn",O74="",$E74="",$D74=""),"",ROUND(O74/$E74*$D74*KVARDI,2))</f>
        <v/>
      </c>
      <c r="Q74" s="66" t="n"/>
      <c r="R74" s="78">
        <f>IF(OR(INDEX(Undirviðmið!$G$6:$G$105,ROW()-6)&lt;&gt;"Starfsbundinn",Q74="",$E74="",$D74=""),"",ROUND(Q74/$E74*$D74*KVARDI,2))</f>
        <v/>
      </c>
      <c r="S74" s="66" t="n"/>
      <c r="T74" s="78">
        <f>IF(OR(INDEX(Undirviðmið!$G$6:$G$105,ROW()-6)&lt;&gt;"Starfsbundinn",S74="",$E74="",$D74=""),"",ROUND(S74/$E74*$D74*KVARDI,2))</f>
        <v/>
      </c>
      <c r="U74" s="66" t="n"/>
      <c r="V74" s="78">
        <f>IF(OR(INDEX(Undirviðmið!$G$6:$G$105,ROW()-6)&lt;&gt;"Starfsbundinn",U74="",$E74="",$D74=""),"",ROUND(U74/$E74*$D74*KVARDI,2))</f>
        <v/>
      </c>
      <c r="W74" s="66" t="n"/>
      <c r="X74" s="78">
        <f>IF(OR(INDEX(Undirviðmið!$G$6:$G$105,ROW()-6)&lt;&gt;"Starfsbundinn",W74="",$E74="",$D74=""),"",ROUND(W74/$E74*$D74*KVARDI,2))</f>
        <v/>
      </c>
      <c r="Y74" s="66" t="n"/>
      <c r="Z74" s="78">
        <f>IF(OR(INDEX(Undirviðmið!$G$6:$G$105,ROW()-6)&lt;&gt;"Starfsbundinn",Y74="",$E74="",$D74=""),"",ROUND(Y74/$E74*$D74*KVARDI,2))</f>
        <v/>
      </c>
      <c r="AA74" s="66" t="n"/>
      <c r="AB74" s="78">
        <f>IF(OR(INDEX(Undirviðmið!$G$6:$G$105,ROW()-6)&lt;&gt;"Starfsbundinn",AA74="",$E74="",$D74=""),"",ROUND(AA74/$E74*$D74*KVARDI,2))</f>
        <v/>
      </c>
      <c r="AC74" s="66" t="n"/>
      <c r="AD74" s="78">
        <f>IF(OR(INDEX(Undirviðmið!$G$6:$G$105,ROW()-6)&lt;&gt;"Starfsbundinn",AC74="",$E74="",$D74=""),"",ROUND(AC74/$E74*$D74*KVARDI,2))</f>
        <v/>
      </c>
      <c r="AE74" s="66" t="n"/>
      <c r="AF74" s="78">
        <f>IF(OR(INDEX(Undirviðmið!$G$6:$G$105,ROW()-6)&lt;&gt;"Starfsbundinn",AE74="",$E74="",$D74=""),"",ROUND(AE74/$E74*$D74*KVARDI,2))</f>
        <v/>
      </c>
      <c r="AG74" s="66" t="n"/>
      <c r="AH74" s="78">
        <f>IF(OR(INDEX(Undirviðmið!$G$6:$G$105,ROW()-6)&lt;&gt;"Starfsbundinn",AG74="",$E74="",$D74=""),"",ROUND(AG74/$E74*$D74*KVARDI,2))</f>
        <v/>
      </c>
      <c r="AI74" s="66" t="n"/>
      <c r="AJ74" s="78">
        <f>IF(OR(INDEX(Undirviðmið!$G$6:$G$105,ROW()-6)&lt;&gt;"Starfsbundinn",AI74="",$E74="",$D74=""),"",ROUND(AI74/$E74*$D74*KVARDI,2))</f>
        <v/>
      </c>
      <c r="AK74" s="66" t="n"/>
      <c r="AL74" s="78">
        <f>IF(OR(INDEX(Undirviðmið!$G$6:$G$105,ROW()-6)&lt;&gt;"Starfsbundinn",AK74="",$E74="",$D74=""),"",ROUND(AK74/$E74*$D74*KVARDI,2))</f>
        <v/>
      </c>
      <c r="AM74" s="66" t="n"/>
      <c r="AN74" s="78">
        <f>IF(OR(INDEX(Undirviðmið!$G$6:$G$105,ROW()-6)&lt;&gt;"Starfsbundinn",AM74="",$E74="",$D74=""),"",ROUND(AM74/$E74*$D74*KVARDI,2))</f>
        <v/>
      </c>
      <c r="AO74" s="66" t="n"/>
      <c r="AP74" s="78">
        <f>IF(OR(INDEX(Undirviðmið!$G$6:$G$105,ROW()-6)&lt;&gt;"Starfsbundinn",AO74="",$E74="",$D74=""),"",ROUND(AO74/$E74*$D74*KVARDI,2))</f>
        <v/>
      </c>
      <c r="AQ74" s="66" t="n"/>
      <c r="AR74" s="78">
        <f>IF(OR(INDEX(Undirviðmið!$G$6:$G$105,ROW()-6)&lt;&gt;"Starfsbundinn",AQ74="",$E74="",$D74=""),"",ROUND(AQ74/$E74*$D74*KVARDI,2))</f>
        <v/>
      </c>
      <c r="AS74" s="66" t="n"/>
      <c r="AT74" s="78">
        <f>IF(OR(INDEX(Undirviðmið!$G$6:$G$105,ROW()-6)&lt;&gt;"Starfsbundinn",AS74="",$E74="",$D74=""),"",ROUND(AS74/$E74*$D74*KVARDI,2))</f>
        <v/>
      </c>
      <c r="AU74" s="66" t="n"/>
      <c r="AV74" s="78">
        <f>IF(OR(INDEX(Undirviðmið!$G$6:$G$105,ROW()-6)&lt;&gt;"Starfsbundinn",AU74="",$E74="",$D74=""),"",ROUND(AU74/$E74*$D74*KVARDI,2))</f>
        <v/>
      </c>
      <c r="AW74" s="66" t="n"/>
      <c r="AX74" s="78">
        <f>IF(OR(INDEX(Undirviðmið!$G$6:$G$105,ROW()-6)&lt;&gt;"Starfsbundinn",AW74="",$E74="",$D74=""),"",ROUND(AW74/$E74*$D74*KVARDI,2))</f>
        <v/>
      </c>
      <c r="AY74" s="66" t="n"/>
      <c r="AZ74" s="78">
        <f>IF(OR(INDEX(Undirviðmið!$G$6:$G$105,ROW()-6)&lt;&gt;"Starfsbundinn",AY74="",$E74="",$D74=""),"",ROUND(AY74/$E74*$D74*KVARDI,2))</f>
        <v/>
      </c>
      <c r="BA74" s="66" t="n"/>
      <c r="BB74" s="78">
        <f>IF(OR(INDEX(Undirviðmið!$G$6:$G$105,ROW()-6)&lt;&gt;"Starfsbundinn",BA74="",$E74="",$D74=""),"",ROUND(BA74/$E74*$D74*KVARDI,2))</f>
        <v/>
      </c>
      <c r="BC74" s="66" t="n"/>
      <c r="BD74" s="78">
        <f>IF(OR(INDEX(Undirviðmið!$G$6:$G$105,ROW()-6)&lt;&gt;"Starfsbundinn",BC74="",$E74="",$D74=""),"",ROUND(BC74/$E74*$D74*KVARDI,2))</f>
        <v/>
      </c>
      <c r="BE74" s="66" t="n"/>
      <c r="BF74" s="78">
        <f>IF(OR(INDEX(Undirviðmið!$G$6:$G$105,ROW()-6)&lt;&gt;"Starfsbundinn",BE74="",$E74="",$D74=""),"",ROUND(BE74/$E74*$D74*KVARDI,2))</f>
        <v/>
      </c>
      <c r="BG74" s="66" t="n"/>
      <c r="BH74" s="78">
        <f>IF(OR(INDEX(Undirviðmið!$G$6:$G$105,ROW()-6)&lt;&gt;"Starfsbundinn",BG74="",$E74="",$D74=""),"",ROUND(BG74/$E74*$D74*KVARDI,2))</f>
        <v/>
      </c>
      <c r="BI74" s="66" t="n"/>
      <c r="BJ74" s="78">
        <f>IF(OR(INDEX(Undirviðmið!$G$6:$G$105,ROW()-6)&lt;&gt;"Starfsbundinn",BI74="",$E74="",$D74=""),"",ROUND(BI74/$E74*$D74*KVARDI,2))</f>
        <v/>
      </c>
      <c r="BK74" s="66" t="n"/>
      <c r="BL74" s="78">
        <f>IF(OR(INDEX(Undirviðmið!$G$6:$G$105,ROW()-6)&lt;&gt;"Starfsbundinn",BK74="",$E74="",$D74=""),"",ROUND(BK74/$E74*$D74*KVARDI,2))</f>
        <v/>
      </c>
      <c r="BM74" s="66" t="n"/>
      <c r="BN74" s="78">
        <f>IF(OR(INDEX(Undirviðmið!$G$6:$G$105,ROW()-6)&lt;&gt;"Starfsbundinn",BM74="",$E74="",$D74=""),"",ROUND(BM74/$E74*$D74*KVARDI,2))</f>
        <v/>
      </c>
      <c r="BO74" s="66" t="n"/>
      <c r="BP74" s="78">
        <f>IF(OR(INDEX(Undirviðmið!$G$6:$G$105,ROW()-6)&lt;&gt;"Starfsbundinn",BO74="",$E74="",$D74=""),"",ROUND(BO74/$E74*$D74*KVARDI,2))</f>
        <v/>
      </c>
      <c r="BQ74" s="66" t="n"/>
      <c r="BR74" s="78">
        <f>IF(OR(INDEX(Undirviðmið!$G$6:$G$105,ROW()-6)&lt;&gt;"Starfsbundinn",BQ74="",$E74="",$D74=""),"",ROUND(BQ74/$E74*$D74*KVARDI,2))</f>
        <v/>
      </c>
      <c r="BS74" s="66" t="n"/>
      <c r="BT74" s="78">
        <f>IF(OR(INDEX(Undirviðmið!$G$6:$G$105,ROW()-6)&lt;&gt;"Starfsbundinn",BS74="",$E74="",$D74=""),"",ROUND(BS74/$E74*$D74*KVARDI,2))</f>
        <v/>
      </c>
      <c r="BU74" s="66" t="n"/>
      <c r="BV74" s="78">
        <f>IF(OR(INDEX(Undirviðmið!$G$6:$G$105,ROW()-6)&lt;&gt;"Starfsbundinn",BU74="",$E74="",$D74=""),"",ROUND(BU74/$E74*$D74*KVARDI,2))</f>
        <v/>
      </c>
      <c r="BW74" s="66" t="n"/>
      <c r="BX74" s="78">
        <f>IF(OR(INDEX(Undirviðmið!$G$6:$G$105,ROW()-6)&lt;&gt;"Starfsbundinn",BW74="",$E74="",$D74=""),"",ROUND(BW74/$E74*$D74*KVARDI,2))</f>
        <v/>
      </c>
      <c r="BY74" s="66" t="n"/>
      <c r="BZ74" s="78">
        <f>IF(OR(INDEX(Undirviðmið!$G$6:$G$105,ROW()-6)&lt;&gt;"Starfsbundinn",BY74="",$E74="",$D74=""),"",ROUND(BY74/$E74*$D74*KVARDI,2))</f>
        <v/>
      </c>
      <c r="CA74" s="66" t="n"/>
      <c r="CB74" s="78">
        <f>IF(OR(INDEX(Undirviðmið!$G$6:$G$105,ROW()-6)&lt;&gt;"Starfsbundinn",CA74="",$E74="",$D74=""),"",ROUND(CA74/$E74*$D74*KVARDI,2))</f>
        <v/>
      </c>
      <c r="CC74" s="66" t="n"/>
      <c r="CD74" s="78">
        <f>IF(OR(INDEX(Undirviðmið!$G$6:$G$105,ROW()-6)&lt;&gt;"Starfsbundinn",CC74="",$E74="",$D74=""),"",ROUND(CC74/$E74*$D74*KVARDI,2))</f>
        <v/>
      </c>
      <c r="CE74" s="66" t="n"/>
      <c r="CF74" s="78">
        <f>IF(OR(INDEX(Undirviðmið!$G$6:$G$105,ROW()-6)&lt;&gt;"Starfsbundinn",CE74="",$E74="",$D74=""),"",ROUND(CE74/$E74*$D74*KVARDI,2))</f>
        <v/>
      </c>
      <c r="CG74" s="66" t="n"/>
      <c r="CH74" s="78">
        <f>IF(OR(INDEX(Undirviðmið!$G$6:$G$105,ROW()-6)&lt;&gt;"Starfsbundinn",CG74="",$E74="",$D74=""),"",ROUND(CG74/$E74*$D74*KVARDI,2))</f>
        <v/>
      </c>
      <c r="CI74" s="66" t="n"/>
      <c r="CJ74" s="78">
        <f>IF(OR(INDEX(Undirviðmið!$G$6:$G$105,ROW()-6)&lt;&gt;"Starfsbundinn",CI74="",$E74="",$D74=""),"",ROUND(CI74/$E74*$D74*KVARDI,2))</f>
        <v/>
      </c>
      <c r="CK74" s="66" t="n"/>
      <c r="CL74" s="78">
        <f>IF(OR(INDEX(Undirviðmið!$G$6:$G$105,ROW()-6)&lt;&gt;"Starfsbundinn",CK74="",$E74="",$D74=""),"",ROUND(CK74/$E74*$D74*KVARDI,2))</f>
        <v/>
      </c>
      <c r="CM74" s="66" t="n"/>
      <c r="CN74" s="78">
        <f>IF(OR(INDEX(Undirviðmið!$G$6:$G$105,ROW()-6)&lt;&gt;"Starfsbundinn",CM74="",$E74="",$D74=""),"",ROUND(CM74/$E74*$D74*KVARDI,2))</f>
        <v/>
      </c>
      <c r="CO74" s="66" t="n"/>
      <c r="CP74" s="78">
        <f>IF(OR(INDEX(Undirviðmið!$G$6:$G$105,ROW()-6)&lt;&gt;"Starfsbundinn",CO74="",$E74="",$D74=""),"",ROUND(CO74/$E74*$D74*KVARDI,2))</f>
        <v/>
      </c>
      <c r="CQ74" s="66" t="n"/>
      <c r="CR74" s="78">
        <f>IF(OR(INDEX(Undirviðmið!$G$6:$G$105,ROW()-6)&lt;&gt;"Starfsbundinn",CQ74="",$E74="",$D74=""),"",ROUND(CQ74/$E74*$D74*KVARDI,2))</f>
        <v/>
      </c>
      <c r="CS74" s="66" t="n"/>
      <c r="CT74" s="78">
        <f>IF(OR(INDEX(Undirviðmið!$G$6:$G$105,ROW()-6)&lt;&gt;"Starfsbundinn",CS74="",$E74="",$D74=""),"",ROUND(CS74/$E74*$D74*KVARDI,2))</f>
        <v/>
      </c>
      <c r="CU74" s="66" t="n"/>
      <c r="CV74" s="78">
        <f>IF(OR(INDEX(Undirviðmið!$G$6:$G$105,ROW()-6)&lt;&gt;"Starfsbundinn",CU74="",$E74="",$D74=""),"",ROUND(CU74/$E74*$D74*KVARDI,2))</f>
        <v/>
      </c>
      <c r="CW74" s="66" t="n"/>
      <c r="CX74" s="78">
        <f>IF(OR(INDEX(Undirviðmið!$G$6:$G$105,ROW()-6)&lt;&gt;"Starfsbundinn",CW74="",$E74="",$D74=""),"",ROUND(CW74/$E74*$D74*KVARDI,2))</f>
        <v/>
      </c>
      <c r="CY74" s="66" t="n"/>
      <c r="CZ74" s="78">
        <f>IF(OR(INDEX(Undirviðmið!$G$6:$G$105,ROW()-6)&lt;&gt;"Starfsbundinn",CY74="",$E74="",$D74=""),"",ROUND(CY74/$E74*$D74*KVARDI,2))</f>
        <v/>
      </c>
      <c r="DA74" s="66" t="n"/>
      <c r="DB74" s="78">
        <f>IF(OR(INDEX(Undirviðmið!$G$6:$G$105,ROW()-6)&lt;&gt;"Starfsbundinn",DA74="",$E74="",$D74=""),"",ROUND(DA74/$E74*$D74*KVARDI,2))</f>
        <v/>
      </c>
      <c r="DC74" s="66" t="n"/>
      <c r="DD74" s="78">
        <f>IF(OR(INDEX(Undirviðmið!$G$6:$G$105,ROW()-6)&lt;&gt;"Starfsbundinn",DC74="",$E74="",$D74=""),"",ROUND(DC74/$E74*$D74*KVARDI,2))</f>
        <v/>
      </c>
      <c r="DE74" s="66" t="n"/>
      <c r="DF74" s="78">
        <f>IF(OR(INDEX(Undirviðmið!$G$6:$G$105,ROW()-6)&lt;&gt;"Starfsbundinn",DE74="",$E74="",$D74=""),"",ROUND(DE74/$E74*$D74*KVARDI,2))</f>
        <v/>
      </c>
      <c r="DG74" s="66" t="n"/>
      <c r="DH74" s="78">
        <f>IF(OR(INDEX(Undirviðmið!$G$6:$G$105,ROW()-6)&lt;&gt;"Starfsbundinn",DG74="",$E74="",$D74=""),"",ROUND(DG74/$E74*$D74*KVARDI,2))</f>
        <v/>
      </c>
      <c r="DI74" s="66" t="n"/>
      <c r="DJ74" s="78">
        <f>IF(OR(INDEX(Undirviðmið!$G$6:$G$105,ROW()-6)&lt;&gt;"Starfsbundinn",DI74="",$E74="",$D74=""),"",ROUND(DI74/$E74*$D74*KVARDI,2))</f>
        <v/>
      </c>
      <c r="DK74" s="66" t="n"/>
      <c r="DL74" s="78">
        <f>IF(OR(INDEX(Undirviðmið!$G$6:$G$105,ROW()-6)&lt;&gt;"Starfsbundinn",DK74="",$E74="",$D74=""),"",ROUND(DK74/$E74*$D74*KVARDI,2))</f>
        <v/>
      </c>
      <c r="DM74" s="66" t="n"/>
      <c r="DN74" s="78">
        <f>IF(OR(INDEX(Undirviðmið!$G$6:$G$105,ROW()-6)&lt;&gt;"Starfsbundinn",DM74="",$E74="",$D74=""),"",ROUND(DM74/$E74*$D74*KVARDI,2))</f>
        <v/>
      </c>
      <c r="DO74" s="66" t="n"/>
      <c r="DP74" s="78">
        <f>IF(OR(INDEX(Undirviðmið!$G$6:$G$105,ROW()-6)&lt;&gt;"Starfsbundinn",DO74="",$E74="",$D74=""),"",ROUND(DO74/$E74*$D74*KVARDI,2))</f>
        <v/>
      </c>
      <c r="DQ74" s="66" t="n"/>
      <c r="DR74" s="78">
        <f>IF(OR(INDEX(Undirviðmið!$G$6:$G$105,ROW()-6)&lt;&gt;"Starfsbundinn",DQ74="",$E74="",$D74=""),"",ROUND(DQ74/$E74*$D74*KVARDI,2))</f>
        <v/>
      </c>
      <c r="DS74" s="66" t="n"/>
      <c r="DT74" s="78">
        <f>IF(OR(INDEX(Undirviðmið!$G$6:$G$105,ROW()-6)&lt;&gt;"Starfsbundinn",DS74="",$E74="",$D74=""),"",ROUND(DS74/$E74*$D74*KVARDI,2))</f>
        <v/>
      </c>
      <c r="DU74" s="66" t="n"/>
      <c r="DV74" s="78">
        <f>IF(OR(INDEX(Undirviðmið!$G$6:$G$105,ROW()-6)&lt;&gt;"Starfsbundinn",DU74="",$E74="",$D74=""),"",ROUND(DU74/$E74*$D74*KVARDI,2))</f>
        <v/>
      </c>
      <c r="DW74" s="66" t="n"/>
      <c r="DX74" s="78">
        <f>IF(OR(INDEX(Undirviðmið!$G$6:$G$105,ROW()-6)&lt;&gt;"Starfsbundinn",DW74="",$E74="",$D74=""),"",ROUND(DW74/$E74*$D74*KVARDI,2))</f>
        <v/>
      </c>
      <c r="DY74" s="66" t="n"/>
      <c r="DZ74" s="78">
        <f>IF(OR(INDEX(Undirviðmið!$G$6:$G$105,ROW()-6)&lt;&gt;"Starfsbundinn",DY74="",$E74="",$D74=""),"",ROUND(DY74/$E74*$D74*KVARDI,2))</f>
        <v/>
      </c>
      <c r="EA74" s="66" t="n"/>
      <c r="EB74" s="78">
        <f>IF(OR(INDEX(Undirviðmið!$G$6:$G$105,ROW()-6)&lt;&gt;"Starfsbundinn",EA74="",$E74="",$D74=""),"",ROUND(EA74/$E74*$D74*KVARDI,2))</f>
        <v/>
      </c>
      <c r="EC74" s="66" t="n"/>
      <c r="ED74" s="78">
        <f>IF(OR(INDEX(Undirviðmið!$G$6:$G$105,ROW()-6)&lt;&gt;"Starfsbundinn",EC74="",$E74="",$D74=""),"",ROUND(EC74/$E74*$D74*KVARDI,2))</f>
        <v/>
      </c>
      <c r="EE74" s="66" t="n"/>
      <c r="EF74" s="78">
        <f>IF(OR(INDEX(Undirviðmið!$G$6:$G$105,ROW()-6)&lt;&gt;"Starfsbundinn",EE74="",$E74="",$D74=""),"",ROUND(EE74/$E74*$D74*KVARDI,2))</f>
        <v/>
      </c>
      <c r="EG74" s="66" t="n"/>
      <c r="EH74" s="78">
        <f>IF(OR(INDEX(Undirviðmið!$G$6:$G$105,ROW()-6)&lt;&gt;"Starfsbundinn",EG74="",$E74="",$D74=""),"",ROUND(EG74/$E74*$D74*KVARDI,2))</f>
        <v/>
      </c>
      <c r="EI74" s="66" t="n"/>
      <c r="EJ74" s="78">
        <f>IF(OR(INDEX(Undirviðmið!$G$6:$G$105,ROW()-6)&lt;&gt;"Starfsbundinn",EI74="",$E74="",$D74=""),"",ROUND(EI74/$E74*$D74*KVARDI,2))</f>
        <v/>
      </c>
      <c r="EK74" s="66" t="n"/>
      <c r="EL74" s="78">
        <f>IF(OR(INDEX(Undirviðmið!$G$6:$G$105,ROW()-6)&lt;&gt;"Starfsbundinn",EK74="",$E74="",$D74=""),"",ROUND(EK74/$E74*$D74*KVARDI,2))</f>
        <v/>
      </c>
      <c r="EM74" s="66" t="n"/>
      <c r="EN74" s="78">
        <f>IF(OR(INDEX(Undirviðmið!$G$6:$G$105,ROW()-6)&lt;&gt;"Starfsbundinn",EM74="",$E74="",$D74=""),"",ROUND(EM74/$E74*$D74*KVARDI,2))</f>
        <v/>
      </c>
      <c r="EO74" s="66" t="n"/>
      <c r="EP74" s="78">
        <f>IF(OR(INDEX(Undirviðmið!$G$6:$G$105,ROW()-6)&lt;&gt;"Starfsbundinn",EO74="",$E74="",$D74=""),"",ROUND(EO74/$E74*$D74*KVARDI,2))</f>
        <v/>
      </c>
      <c r="EQ74" s="66" t="n"/>
      <c r="ER74" s="78">
        <f>IF(OR(INDEX(Undirviðmið!$G$6:$G$105,ROW()-6)&lt;&gt;"Starfsbundinn",EQ74="",$E74="",$D74=""),"",ROUND(EQ74/$E74*$D74*KVARDI,2))</f>
        <v/>
      </c>
      <c r="ES74" s="66" t="n"/>
      <c r="ET74" s="78">
        <f>IF(OR(INDEX(Undirviðmið!$G$6:$G$105,ROW()-6)&lt;&gt;"Starfsbundinn",ES74="",$E74="",$D74=""),"",ROUND(ES74/$E74*$D74*KVARDI,2))</f>
        <v/>
      </c>
      <c r="EU74" s="66" t="n"/>
      <c r="EV74" s="78">
        <f>IF(OR(INDEX(Undirviðmið!$G$6:$G$105,ROW()-6)&lt;&gt;"Starfsbundinn",EU74="",$E74="",$D74=""),"",ROUND(EU74/$E74*$D74*KVARDI,2))</f>
        <v/>
      </c>
      <c r="EW74" s="66" t="n"/>
      <c r="EX74" s="78">
        <f>IF(OR(INDEX(Undirviðmið!$G$6:$G$105,ROW()-6)&lt;&gt;"Starfsbundinn",EW74="",$E74="",$D74=""),"",ROUND(EW74/$E74*$D74*KVARDI,2))</f>
        <v/>
      </c>
      <c r="EY74" s="66" t="n"/>
      <c r="EZ74" s="78">
        <f>IF(OR(INDEX(Undirviðmið!$G$6:$G$105,ROW()-6)&lt;&gt;"Starfsbundinn",EY74="",$E74="",$D74=""),"",ROUND(EY74/$E74*$D74*KVARDI,2))</f>
        <v/>
      </c>
      <c r="FA74" s="66" t="n"/>
      <c r="FB74" s="78">
        <f>IF(OR(INDEX(Undirviðmið!$G$6:$G$105,ROW()-6)&lt;&gt;"Starfsbundinn",FA74="",$E74="",$D74=""),"",ROUND(FA74/$E74*$D74*KVARDI,2))</f>
        <v/>
      </c>
      <c r="FC74" s="66" t="n"/>
      <c r="FD74" s="78">
        <f>IF(OR(INDEX(Undirviðmið!$G$6:$G$105,ROW()-6)&lt;&gt;"Starfsbundinn",FC74="",$E74="",$D74=""),"",ROUND(FC74/$E74*$D74*KVARDI,2))</f>
        <v/>
      </c>
      <c r="FE74" s="66" t="n"/>
      <c r="FF74" s="78">
        <f>IF(OR(INDEX(Undirviðmið!$G$6:$G$105,ROW()-6)&lt;&gt;"Starfsbundinn",FE74="",$E74="",$D74=""),"",ROUND(FE74/$E74*$D74*KVARDI,2))</f>
        <v/>
      </c>
      <c r="FG74" s="66" t="n"/>
      <c r="FH74" s="78">
        <f>IF(OR(INDEX(Undirviðmið!$G$6:$G$105,ROW()-6)&lt;&gt;"Starfsbundinn",FG74="",$E74="",$D74=""),"",ROUND(FG74/$E74*$D74*KVARDI,2))</f>
        <v/>
      </c>
      <c r="FI74" s="66" t="n"/>
      <c r="FJ74" s="78">
        <f>IF(OR(INDEX(Undirviðmið!$G$6:$G$105,ROW()-6)&lt;&gt;"Starfsbundinn",FI74="",$E74="",$D74=""),"",ROUND(FI74/$E74*$D74*KVARDI,2))</f>
        <v/>
      </c>
      <c r="FK74" s="66" t="n"/>
      <c r="FL74" s="78">
        <f>IF(OR(INDEX(Undirviðmið!$G$6:$G$105,ROW()-6)&lt;&gt;"Starfsbundinn",FK74="",$E74="",$D74=""),"",ROUND(FK74/$E74*$D74*KVARDI,2))</f>
        <v/>
      </c>
      <c r="FM74" s="66" t="n"/>
      <c r="FN74" s="78">
        <f>IF(OR(INDEX(Undirviðmið!$G$6:$G$105,ROW()-6)&lt;&gt;"Starfsbundinn",FM74="",$E74="",$D74=""),"",ROUND(FM74/$E74*$D74*KVARDI,2))</f>
        <v/>
      </c>
      <c r="FO74" s="66" t="n"/>
      <c r="FP74" s="78">
        <f>IF(OR(INDEX(Undirviðmið!$G$6:$G$105,ROW()-6)&lt;&gt;"Starfsbundinn",FO74="",$E74="",$D74=""),"",ROUND(FO74/$E74*$D74*KVARDI,2))</f>
        <v/>
      </c>
      <c r="FQ74" s="66" t="n"/>
      <c r="FR74" s="78">
        <f>IF(OR(INDEX(Undirviðmið!$G$6:$G$105,ROW()-6)&lt;&gt;"Starfsbundinn",FQ74="",$E74="",$D74=""),"",ROUND(FQ74/$E74*$D74*KVARDI,2))</f>
        <v/>
      </c>
      <c r="FS74" s="66" t="n"/>
      <c r="FT74" s="78">
        <f>IF(OR(INDEX(Undirviðmið!$G$6:$G$105,ROW()-6)&lt;&gt;"Starfsbundinn",FS74="",$E74="",$D74=""),"",ROUND(FS74/$E74*$D74*KVARDI,2))</f>
        <v/>
      </c>
      <c r="FU74" s="66" t="n"/>
      <c r="FV74" s="78">
        <f>IF(OR(INDEX(Undirviðmið!$G$6:$G$105,ROW()-6)&lt;&gt;"Starfsbundinn",FU74="",$E74="",$D74=""),"",ROUND(FU74/$E74*$D74*KVARDI,2))</f>
        <v/>
      </c>
      <c r="FW74" s="66" t="n"/>
      <c r="FX74" s="78">
        <f>IF(OR(INDEX(Undirviðmið!$G$6:$G$105,ROW()-6)&lt;&gt;"Starfsbundinn",FW74="",$E74="",$D74=""),"",ROUND(FW74/$E74*$D74*KVARDI,2))</f>
        <v/>
      </c>
      <c r="FY74" s="66" t="n"/>
      <c r="FZ74" s="78">
        <f>IF(OR(INDEX(Undirviðmið!$G$6:$G$105,ROW()-6)&lt;&gt;"Starfsbundinn",FY74="",$E74="",$D74=""),"",ROUND(FY74/$E74*$D74*KVARDI,2))</f>
        <v/>
      </c>
      <c r="GA74" s="66" t="n"/>
      <c r="GB74" s="78">
        <f>IF(OR(INDEX(Undirviðmið!$G$6:$G$105,ROW()-6)&lt;&gt;"Starfsbundinn",GA74="",$E74="",$D74=""),"",ROUND(GA74/$E74*$D74*KVARDI,2))</f>
        <v/>
      </c>
      <c r="GC74" s="66" t="n"/>
      <c r="GD74" s="78">
        <f>IF(OR(INDEX(Undirviðmið!$G$6:$G$105,ROW()-6)&lt;&gt;"Starfsbundinn",GC74="",$E74="",$D74=""),"",ROUND(GC74/$E74*$D74*KVARDI,2))</f>
        <v/>
      </c>
      <c r="GE74" s="66" t="n"/>
      <c r="GF74" s="78">
        <f>IF(OR(INDEX(Undirviðmið!$G$6:$G$105,ROW()-6)&lt;&gt;"Starfsbundinn",GE74="",$E74="",$D74=""),"",ROUND(GE74/$E74*$D74*KVARDI,2))</f>
        <v/>
      </c>
      <c r="GG74" s="66" t="n"/>
      <c r="GH74" s="78">
        <f>IF(OR(INDEX(Undirviðmið!$G$6:$G$105,ROW()-6)&lt;&gt;"Starfsbundinn",GG74="",$E74="",$D74=""),"",ROUND(GG74/$E74*$D74*KVARDI,2))</f>
        <v/>
      </c>
      <c r="GI74" s="66" t="n"/>
      <c r="GJ74" s="78">
        <f>IF(OR(INDEX(Undirviðmið!$G$6:$G$105,ROW()-6)&lt;&gt;"Starfsbundinn",GI74="",$E74="",$D74=""),"",ROUND(GI74/$E74*$D74*KVARDI,2))</f>
        <v/>
      </c>
      <c r="GK74" s="66" t="n"/>
      <c r="GL74" s="78">
        <f>IF(OR(INDEX(Undirviðmið!$G$6:$G$105,ROW()-6)&lt;&gt;"Starfsbundinn",GK74="",$E74="",$D74=""),"",ROUND(GK74/$E74*$D74*KVARDI,2))</f>
        <v/>
      </c>
      <c r="GM74" s="66" t="n"/>
      <c r="GN74" s="78">
        <f>IF(OR(INDEX(Undirviðmið!$G$6:$G$105,ROW()-6)&lt;&gt;"Starfsbundinn",GM74="",$E74="",$D74=""),"",ROUND(GM74/$E74*$D74*KVARDI,2))</f>
        <v/>
      </c>
      <c r="GO74" s="66" t="n"/>
      <c r="GP74" s="78">
        <f>IF(OR(INDEX(Undirviðmið!$G$6:$G$105,ROW()-6)&lt;&gt;"Starfsbundinn",GO74="",$E74="",$D74=""),"",ROUND(GO74/$E74*$D74*KVARDI,2))</f>
        <v/>
      </c>
      <c r="GQ74" s="66" t="n"/>
      <c r="GR74" s="78">
        <f>IF(OR(INDEX(Undirviðmið!$G$6:$G$105,ROW()-6)&lt;&gt;"Starfsbundinn",GQ74="",$E74="",$D74=""),"",ROUND(GQ74/$E74*$D74*KVARDI,2))</f>
        <v/>
      </c>
      <c r="GS74" s="66" t="n"/>
      <c r="GT74" s="78">
        <f>IF(OR(INDEX(Undirviðmið!$G$6:$G$105,ROW()-6)&lt;&gt;"Starfsbundinn",GS74="",$E74="",$D74=""),"",ROUND(GS74/$E74*$D74*KVARDI,2))</f>
        <v/>
      </c>
      <c r="GU74" s="66" t="n"/>
      <c r="GV74" s="78">
        <f>IF(OR(INDEX(Undirviðmið!$G$6:$G$105,ROW()-6)&lt;&gt;"Starfsbundinn",GU74="",$E74="",$D74=""),"",ROUND(GU74/$E74*$D74*KVARDI,2))</f>
        <v/>
      </c>
      <c r="GW74" s="66" t="n"/>
      <c r="GX74" s="78">
        <f>IF(OR(INDEX(Undirviðmið!$G$6:$G$105,ROW()-6)&lt;&gt;"Starfsbundinn",GW74="",$E74="",$D74=""),"",ROUND(GW74/$E74*$D74*KVARDI,2))</f>
        <v/>
      </c>
    </row>
    <row r="75" ht="15" customHeight="1" s="47">
      <c r="B75" s="67">
        <f>IF(INDEX(Undirviðmið!$G$6:$G$105,ROW()-6)="Starfsbundinn",INDEX(Undirviðmið!$B$6:$B$105,ROW()-6),"")</f>
        <v/>
      </c>
      <c r="C75" s="67">
        <f>IF(INDEX(Undirviðmið!$G$6:$G$105,ROW()-6)="Starfsbundinn",INDEX(Undirviðmið!$C$6:$C$105,ROW()-6),"")</f>
        <v/>
      </c>
      <c r="D75" s="77">
        <f>IF(INDEX(Undirviðmið!$G$6:$G$105,ROW()-6)="Starfsbundinn",INDEX(Undirviðmið!$E$6:$E$105,ROW()-6),"")</f>
        <v/>
      </c>
      <c r="E75" s="77">
        <f>IF(INDEX(Undirviðmið!$G$6:$G$105,ROW()-6)="Starfsbundinn",INDEX(Undirviðmið!$F$6:$F$105,ROW()-6),"")</f>
        <v/>
      </c>
      <c r="F75" s="77">
        <f>IF(INDEX(Undirviðmið!$G$6:$G$105,ROW()-6)="Starfsbundinn",IFERROR(INDEX(Undirviðmið!$E$6:$E$105,ROW()-6)*KVARDI,""),"")</f>
        <v/>
      </c>
      <c r="G75" s="66" t="n"/>
      <c r="H75" s="78">
        <f>IF(OR(INDEX(Undirviðmið!$G$6:$G$105,ROW()-6)&lt;&gt;"Starfsbundinn",G75="",$E75="",$D75=""),"",ROUND(G75/$E75*$D75*KVARDI,2))</f>
        <v/>
      </c>
      <c r="I75" s="66" t="n"/>
      <c r="J75" s="78">
        <f>IF(OR(INDEX(Undirviðmið!$G$6:$G$105,ROW()-6)&lt;&gt;"Starfsbundinn",I75="",$E75="",$D75=""),"",ROUND(I75/$E75*$D75*KVARDI,2))</f>
        <v/>
      </c>
      <c r="K75" s="66" t="n"/>
      <c r="L75" s="78">
        <f>IF(OR(INDEX(Undirviðmið!$G$6:$G$105,ROW()-6)&lt;&gt;"Starfsbundinn",K75="",$E75="",$D75=""),"",ROUND(K75/$E75*$D75*KVARDI,2))</f>
        <v/>
      </c>
      <c r="M75" s="66" t="n"/>
      <c r="N75" s="78">
        <f>IF(OR(INDEX(Undirviðmið!$G$6:$G$105,ROW()-6)&lt;&gt;"Starfsbundinn",M75="",$E75="",$D75=""),"",ROUND(M75/$E75*$D75*KVARDI,2))</f>
        <v/>
      </c>
      <c r="O75" s="66" t="n"/>
      <c r="P75" s="78">
        <f>IF(OR(INDEX(Undirviðmið!$G$6:$G$105,ROW()-6)&lt;&gt;"Starfsbundinn",O75="",$E75="",$D75=""),"",ROUND(O75/$E75*$D75*KVARDI,2))</f>
        <v/>
      </c>
      <c r="Q75" s="66" t="n"/>
      <c r="R75" s="78">
        <f>IF(OR(INDEX(Undirviðmið!$G$6:$G$105,ROW()-6)&lt;&gt;"Starfsbundinn",Q75="",$E75="",$D75=""),"",ROUND(Q75/$E75*$D75*KVARDI,2))</f>
        <v/>
      </c>
      <c r="S75" s="66" t="n"/>
      <c r="T75" s="78">
        <f>IF(OR(INDEX(Undirviðmið!$G$6:$G$105,ROW()-6)&lt;&gt;"Starfsbundinn",S75="",$E75="",$D75=""),"",ROUND(S75/$E75*$D75*KVARDI,2))</f>
        <v/>
      </c>
      <c r="U75" s="66" t="n"/>
      <c r="V75" s="78">
        <f>IF(OR(INDEX(Undirviðmið!$G$6:$G$105,ROW()-6)&lt;&gt;"Starfsbundinn",U75="",$E75="",$D75=""),"",ROUND(U75/$E75*$D75*KVARDI,2))</f>
        <v/>
      </c>
      <c r="W75" s="66" t="n"/>
      <c r="X75" s="78">
        <f>IF(OR(INDEX(Undirviðmið!$G$6:$G$105,ROW()-6)&lt;&gt;"Starfsbundinn",W75="",$E75="",$D75=""),"",ROUND(W75/$E75*$D75*KVARDI,2))</f>
        <v/>
      </c>
      <c r="Y75" s="66" t="n"/>
      <c r="Z75" s="78">
        <f>IF(OR(INDEX(Undirviðmið!$G$6:$G$105,ROW()-6)&lt;&gt;"Starfsbundinn",Y75="",$E75="",$D75=""),"",ROUND(Y75/$E75*$D75*KVARDI,2))</f>
        <v/>
      </c>
      <c r="AA75" s="66" t="n"/>
      <c r="AB75" s="78">
        <f>IF(OR(INDEX(Undirviðmið!$G$6:$G$105,ROW()-6)&lt;&gt;"Starfsbundinn",AA75="",$E75="",$D75=""),"",ROUND(AA75/$E75*$D75*KVARDI,2))</f>
        <v/>
      </c>
      <c r="AC75" s="66" t="n"/>
      <c r="AD75" s="78">
        <f>IF(OR(INDEX(Undirviðmið!$G$6:$G$105,ROW()-6)&lt;&gt;"Starfsbundinn",AC75="",$E75="",$D75=""),"",ROUND(AC75/$E75*$D75*KVARDI,2))</f>
        <v/>
      </c>
      <c r="AE75" s="66" t="n"/>
      <c r="AF75" s="78">
        <f>IF(OR(INDEX(Undirviðmið!$G$6:$G$105,ROW()-6)&lt;&gt;"Starfsbundinn",AE75="",$E75="",$D75=""),"",ROUND(AE75/$E75*$D75*KVARDI,2))</f>
        <v/>
      </c>
      <c r="AG75" s="66" t="n"/>
      <c r="AH75" s="78">
        <f>IF(OR(INDEX(Undirviðmið!$G$6:$G$105,ROW()-6)&lt;&gt;"Starfsbundinn",AG75="",$E75="",$D75=""),"",ROUND(AG75/$E75*$D75*KVARDI,2))</f>
        <v/>
      </c>
      <c r="AI75" s="66" t="n"/>
      <c r="AJ75" s="78">
        <f>IF(OR(INDEX(Undirviðmið!$G$6:$G$105,ROW()-6)&lt;&gt;"Starfsbundinn",AI75="",$E75="",$D75=""),"",ROUND(AI75/$E75*$D75*KVARDI,2))</f>
        <v/>
      </c>
      <c r="AK75" s="66" t="n"/>
      <c r="AL75" s="78">
        <f>IF(OR(INDEX(Undirviðmið!$G$6:$G$105,ROW()-6)&lt;&gt;"Starfsbundinn",AK75="",$E75="",$D75=""),"",ROUND(AK75/$E75*$D75*KVARDI,2))</f>
        <v/>
      </c>
      <c r="AM75" s="66" t="n"/>
      <c r="AN75" s="78">
        <f>IF(OR(INDEX(Undirviðmið!$G$6:$G$105,ROW()-6)&lt;&gt;"Starfsbundinn",AM75="",$E75="",$D75=""),"",ROUND(AM75/$E75*$D75*KVARDI,2))</f>
        <v/>
      </c>
      <c r="AO75" s="66" t="n"/>
      <c r="AP75" s="78">
        <f>IF(OR(INDEX(Undirviðmið!$G$6:$G$105,ROW()-6)&lt;&gt;"Starfsbundinn",AO75="",$E75="",$D75=""),"",ROUND(AO75/$E75*$D75*KVARDI,2))</f>
        <v/>
      </c>
      <c r="AQ75" s="66" t="n"/>
      <c r="AR75" s="78">
        <f>IF(OR(INDEX(Undirviðmið!$G$6:$G$105,ROW()-6)&lt;&gt;"Starfsbundinn",AQ75="",$E75="",$D75=""),"",ROUND(AQ75/$E75*$D75*KVARDI,2))</f>
        <v/>
      </c>
      <c r="AS75" s="66" t="n"/>
      <c r="AT75" s="78">
        <f>IF(OR(INDEX(Undirviðmið!$G$6:$G$105,ROW()-6)&lt;&gt;"Starfsbundinn",AS75="",$E75="",$D75=""),"",ROUND(AS75/$E75*$D75*KVARDI,2))</f>
        <v/>
      </c>
      <c r="AU75" s="66" t="n"/>
      <c r="AV75" s="78">
        <f>IF(OR(INDEX(Undirviðmið!$G$6:$G$105,ROW()-6)&lt;&gt;"Starfsbundinn",AU75="",$E75="",$D75=""),"",ROUND(AU75/$E75*$D75*KVARDI,2))</f>
        <v/>
      </c>
      <c r="AW75" s="66" t="n"/>
      <c r="AX75" s="78">
        <f>IF(OR(INDEX(Undirviðmið!$G$6:$G$105,ROW()-6)&lt;&gt;"Starfsbundinn",AW75="",$E75="",$D75=""),"",ROUND(AW75/$E75*$D75*KVARDI,2))</f>
        <v/>
      </c>
      <c r="AY75" s="66" t="n"/>
      <c r="AZ75" s="78">
        <f>IF(OR(INDEX(Undirviðmið!$G$6:$G$105,ROW()-6)&lt;&gt;"Starfsbundinn",AY75="",$E75="",$D75=""),"",ROUND(AY75/$E75*$D75*KVARDI,2))</f>
        <v/>
      </c>
      <c r="BA75" s="66" t="n"/>
      <c r="BB75" s="78">
        <f>IF(OR(INDEX(Undirviðmið!$G$6:$G$105,ROW()-6)&lt;&gt;"Starfsbundinn",BA75="",$E75="",$D75=""),"",ROUND(BA75/$E75*$D75*KVARDI,2))</f>
        <v/>
      </c>
      <c r="BC75" s="66" t="n"/>
      <c r="BD75" s="78">
        <f>IF(OR(INDEX(Undirviðmið!$G$6:$G$105,ROW()-6)&lt;&gt;"Starfsbundinn",BC75="",$E75="",$D75=""),"",ROUND(BC75/$E75*$D75*KVARDI,2))</f>
        <v/>
      </c>
      <c r="BE75" s="66" t="n"/>
      <c r="BF75" s="78">
        <f>IF(OR(INDEX(Undirviðmið!$G$6:$G$105,ROW()-6)&lt;&gt;"Starfsbundinn",BE75="",$E75="",$D75=""),"",ROUND(BE75/$E75*$D75*KVARDI,2))</f>
        <v/>
      </c>
      <c r="BG75" s="66" t="n"/>
      <c r="BH75" s="78">
        <f>IF(OR(INDEX(Undirviðmið!$G$6:$G$105,ROW()-6)&lt;&gt;"Starfsbundinn",BG75="",$E75="",$D75=""),"",ROUND(BG75/$E75*$D75*KVARDI,2))</f>
        <v/>
      </c>
      <c r="BI75" s="66" t="n"/>
      <c r="BJ75" s="78">
        <f>IF(OR(INDEX(Undirviðmið!$G$6:$G$105,ROW()-6)&lt;&gt;"Starfsbundinn",BI75="",$E75="",$D75=""),"",ROUND(BI75/$E75*$D75*KVARDI,2))</f>
        <v/>
      </c>
      <c r="BK75" s="66" t="n"/>
      <c r="BL75" s="78">
        <f>IF(OR(INDEX(Undirviðmið!$G$6:$G$105,ROW()-6)&lt;&gt;"Starfsbundinn",BK75="",$E75="",$D75=""),"",ROUND(BK75/$E75*$D75*KVARDI,2))</f>
        <v/>
      </c>
      <c r="BM75" s="66" t="n"/>
      <c r="BN75" s="78">
        <f>IF(OR(INDEX(Undirviðmið!$G$6:$G$105,ROW()-6)&lt;&gt;"Starfsbundinn",BM75="",$E75="",$D75=""),"",ROUND(BM75/$E75*$D75*KVARDI,2))</f>
        <v/>
      </c>
      <c r="BO75" s="66" t="n"/>
      <c r="BP75" s="78">
        <f>IF(OR(INDEX(Undirviðmið!$G$6:$G$105,ROW()-6)&lt;&gt;"Starfsbundinn",BO75="",$E75="",$D75=""),"",ROUND(BO75/$E75*$D75*KVARDI,2))</f>
        <v/>
      </c>
      <c r="BQ75" s="66" t="n"/>
      <c r="BR75" s="78">
        <f>IF(OR(INDEX(Undirviðmið!$G$6:$G$105,ROW()-6)&lt;&gt;"Starfsbundinn",BQ75="",$E75="",$D75=""),"",ROUND(BQ75/$E75*$D75*KVARDI,2))</f>
        <v/>
      </c>
      <c r="BS75" s="66" t="n"/>
      <c r="BT75" s="78">
        <f>IF(OR(INDEX(Undirviðmið!$G$6:$G$105,ROW()-6)&lt;&gt;"Starfsbundinn",BS75="",$E75="",$D75=""),"",ROUND(BS75/$E75*$D75*KVARDI,2))</f>
        <v/>
      </c>
      <c r="BU75" s="66" t="n"/>
      <c r="BV75" s="78">
        <f>IF(OR(INDEX(Undirviðmið!$G$6:$G$105,ROW()-6)&lt;&gt;"Starfsbundinn",BU75="",$E75="",$D75=""),"",ROUND(BU75/$E75*$D75*KVARDI,2))</f>
        <v/>
      </c>
      <c r="BW75" s="66" t="n"/>
      <c r="BX75" s="78">
        <f>IF(OR(INDEX(Undirviðmið!$G$6:$G$105,ROW()-6)&lt;&gt;"Starfsbundinn",BW75="",$E75="",$D75=""),"",ROUND(BW75/$E75*$D75*KVARDI,2))</f>
        <v/>
      </c>
      <c r="BY75" s="66" t="n"/>
      <c r="BZ75" s="78">
        <f>IF(OR(INDEX(Undirviðmið!$G$6:$G$105,ROW()-6)&lt;&gt;"Starfsbundinn",BY75="",$E75="",$D75=""),"",ROUND(BY75/$E75*$D75*KVARDI,2))</f>
        <v/>
      </c>
      <c r="CA75" s="66" t="n"/>
      <c r="CB75" s="78">
        <f>IF(OR(INDEX(Undirviðmið!$G$6:$G$105,ROW()-6)&lt;&gt;"Starfsbundinn",CA75="",$E75="",$D75=""),"",ROUND(CA75/$E75*$D75*KVARDI,2))</f>
        <v/>
      </c>
      <c r="CC75" s="66" t="n"/>
      <c r="CD75" s="78">
        <f>IF(OR(INDEX(Undirviðmið!$G$6:$G$105,ROW()-6)&lt;&gt;"Starfsbundinn",CC75="",$E75="",$D75=""),"",ROUND(CC75/$E75*$D75*KVARDI,2))</f>
        <v/>
      </c>
      <c r="CE75" s="66" t="n"/>
      <c r="CF75" s="78">
        <f>IF(OR(INDEX(Undirviðmið!$G$6:$G$105,ROW()-6)&lt;&gt;"Starfsbundinn",CE75="",$E75="",$D75=""),"",ROUND(CE75/$E75*$D75*KVARDI,2))</f>
        <v/>
      </c>
      <c r="CG75" s="66" t="n"/>
      <c r="CH75" s="78">
        <f>IF(OR(INDEX(Undirviðmið!$G$6:$G$105,ROW()-6)&lt;&gt;"Starfsbundinn",CG75="",$E75="",$D75=""),"",ROUND(CG75/$E75*$D75*KVARDI,2))</f>
        <v/>
      </c>
      <c r="CI75" s="66" t="n"/>
      <c r="CJ75" s="78">
        <f>IF(OR(INDEX(Undirviðmið!$G$6:$G$105,ROW()-6)&lt;&gt;"Starfsbundinn",CI75="",$E75="",$D75=""),"",ROUND(CI75/$E75*$D75*KVARDI,2))</f>
        <v/>
      </c>
      <c r="CK75" s="66" t="n"/>
      <c r="CL75" s="78">
        <f>IF(OR(INDEX(Undirviðmið!$G$6:$G$105,ROW()-6)&lt;&gt;"Starfsbundinn",CK75="",$E75="",$D75=""),"",ROUND(CK75/$E75*$D75*KVARDI,2))</f>
        <v/>
      </c>
      <c r="CM75" s="66" t="n"/>
      <c r="CN75" s="78">
        <f>IF(OR(INDEX(Undirviðmið!$G$6:$G$105,ROW()-6)&lt;&gt;"Starfsbundinn",CM75="",$E75="",$D75=""),"",ROUND(CM75/$E75*$D75*KVARDI,2))</f>
        <v/>
      </c>
      <c r="CO75" s="66" t="n"/>
      <c r="CP75" s="78">
        <f>IF(OR(INDEX(Undirviðmið!$G$6:$G$105,ROW()-6)&lt;&gt;"Starfsbundinn",CO75="",$E75="",$D75=""),"",ROUND(CO75/$E75*$D75*KVARDI,2))</f>
        <v/>
      </c>
      <c r="CQ75" s="66" t="n"/>
      <c r="CR75" s="78">
        <f>IF(OR(INDEX(Undirviðmið!$G$6:$G$105,ROW()-6)&lt;&gt;"Starfsbundinn",CQ75="",$E75="",$D75=""),"",ROUND(CQ75/$E75*$D75*KVARDI,2))</f>
        <v/>
      </c>
      <c r="CS75" s="66" t="n"/>
      <c r="CT75" s="78">
        <f>IF(OR(INDEX(Undirviðmið!$G$6:$G$105,ROW()-6)&lt;&gt;"Starfsbundinn",CS75="",$E75="",$D75=""),"",ROUND(CS75/$E75*$D75*KVARDI,2))</f>
        <v/>
      </c>
      <c r="CU75" s="66" t="n"/>
      <c r="CV75" s="78">
        <f>IF(OR(INDEX(Undirviðmið!$G$6:$G$105,ROW()-6)&lt;&gt;"Starfsbundinn",CU75="",$E75="",$D75=""),"",ROUND(CU75/$E75*$D75*KVARDI,2))</f>
        <v/>
      </c>
      <c r="CW75" s="66" t="n"/>
      <c r="CX75" s="78">
        <f>IF(OR(INDEX(Undirviðmið!$G$6:$G$105,ROW()-6)&lt;&gt;"Starfsbundinn",CW75="",$E75="",$D75=""),"",ROUND(CW75/$E75*$D75*KVARDI,2))</f>
        <v/>
      </c>
      <c r="CY75" s="66" t="n"/>
      <c r="CZ75" s="78">
        <f>IF(OR(INDEX(Undirviðmið!$G$6:$G$105,ROW()-6)&lt;&gt;"Starfsbundinn",CY75="",$E75="",$D75=""),"",ROUND(CY75/$E75*$D75*KVARDI,2))</f>
        <v/>
      </c>
      <c r="DA75" s="66" t="n"/>
      <c r="DB75" s="78">
        <f>IF(OR(INDEX(Undirviðmið!$G$6:$G$105,ROW()-6)&lt;&gt;"Starfsbundinn",DA75="",$E75="",$D75=""),"",ROUND(DA75/$E75*$D75*KVARDI,2))</f>
        <v/>
      </c>
      <c r="DC75" s="66" t="n"/>
      <c r="DD75" s="78">
        <f>IF(OR(INDEX(Undirviðmið!$G$6:$G$105,ROW()-6)&lt;&gt;"Starfsbundinn",DC75="",$E75="",$D75=""),"",ROUND(DC75/$E75*$D75*KVARDI,2))</f>
        <v/>
      </c>
      <c r="DE75" s="66" t="n"/>
      <c r="DF75" s="78">
        <f>IF(OR(INDEX(Undirviðmið!$G$6:$G$105,ROW()-6)&lt;&gt;"Starfsbundinn",DE75="",$E75="",$D75=""),"",ROUND(DE75/$E75*$D75*KVARDI,2))</f>
        <v/>
      </c>
      <c r="DG75" s="66" t="n"/>
      <c r="DH75" s="78">
        <f>IF(OR(INDEX(Undirviðmið!$G$6:$G$105,ROW()-6)&lt;&gt;"Starfsbundinn",DG75="",$E75="",$D75=""),"",ROUND(DG75/$E75*$D75*KVARDI,2))</f>
        <v/>
      </c>
      <c r="DI75" s="66" t="n"/>
      <c r="DJ75" s="78">
        <f>IF(OR(INDEX(Undirviðmið!$G$6:$G$105,ROW()-6)&lt;&gt;"Starfsbundinn",DI75="",$E75="",$D75=""),"",ROUND(DI75/$E75*$D75*KVARDI,2))</f>
        <v/>
      </c>
      <c r="DK75" s="66" t="n"/>
      <c r="DL75" s="78">
        <f>IF(OR(INDEX(Undirviðmið!$G$6:$G$105,ROW()-6)&lt;&gt;"Starfsbundinn",DK75="",$E75="",$D75=""),"",ROUND(DK75/$E75*$D75*KVARDI,2))</f>
        <v/>
      </c>
      <c r="DM75" s="66" t="n"/>
      <c r="DN75" s="78">
        <f>IF(OR(INDEX(Undirviðmið!$G$6:$G$105,ROW()-6)&lt;&gt;"Starfsbundinn",DM75="",$E75="",$D75=""),"",ROUND(DM75/$E75*$D75*KVARDI,2))</f>
        <v/>
      </c>
      <c r="DO75" s="66" t="n"/>
      <c r="DP75" s="78">
        <f>IF(OR(INDEX(Undirviðmið!$G$6:$G$105,ROW()-6)&lt;&gt;"Starfsbundinn",DO75="",$E75="",$D75=""),"",ROUND(DO75/$E75*$D75*KVARDI,2))</f>
        <v/>
      </c>
      <c r="DQ75" s="66" t="n"/>
      <c r="DR75" s="78">
        <f>IF(OR(INDEX(Undirviðmið!$G$6:$G$105,ROW()-6)&lt;&gt;"Starfsbundinn",DQ75="",$E75="",$D75=""),"",ROUND(DQ75/$E75*$D75*KVARDI,2))</f>
        <v/>
      </c>
      <c r="DS75" s="66" t="n"/>
      <c r="DT75" s="78">
        <f>IF(OR(INDEX(Undirviðmið!$G$6:$G$105,ROW()-6)&lt;&gt;"Starfsbundinn",DS75="",$E75="",$D75=""),"",ROUND(DS75/$E75*$D75*KVARDI,2))</f>
        <v/>
      </c>
      <c r="DU75" s="66" t="n"/>
      <c r="DV75" s="78">
        <f>IF(OR(INDEX(Undirviðmið!$G$6:$G$105,ROW()-6)&lt;&gt;"Starfsbundinn",DU75="",$E75="",$D75=""),"",ROUND(DU75/$E75*$D75*KVARDI,2))</f>
        <v/>
      </c>
      <c r="DW75" s="66" t="n"/>
      <c r="DX75" s="78">
        <f>IF(OR(INDEX(Undirviðmið!$G$6:$G$105,ROW()-6)&lt;&gt;"Starfsbundinn",DW75="",$E75="",$D75=""),"",ROUND(DW75/$E75*$D75*KVARDI,2))</f>
        <v/>
      </c>
      <c r="DY75" s="66" t="n"/>
      <c r="DZ75" s="78">
        <f>IF(OR(INDEX(Undirviðmið!$G$6:$G$105,ROW()-6)&lt;&gt;"Starfsbundinn",DY75="",$E75="",$D75=""),"",ROUND(DY75/$E75*$D75*KVARDI,2))</f>
        <v/>
      </c>
      <c r="EA75" s="66" t="n"/>
      <c r="EB75" s="78">
        <f>IF(OR(INDEX(Undirviðmið!$G$6:$G$105,ROW()-6)&lt;&gt;"Starfsbundinn",EA75="",$E75="",$D75=""),"",ROUND(EA75/$E75*$D75*KVARDI,2))</f>
        <v/>
      </c>
      <c r="EC75" s="66" t="n"/>
      <c r="ED75" s="78">
        <f>IF(OR(INDEX(Undirviðmið!$G$6:$G$105,ROW()-6)&lt;&gt;"Starfsbundinn",EC75="",$E75="",$D75=""),"",ROUND(EC75/$E75*$D75*KVARDI,2))</f>
        <v/>
      </c>
      <c r="EE75" s="66" t="n"/>
      <c r="EF75" s="78">
        <f>IF(OR(INDEX(Undirviðmið!$G$6:$G$105,ROW()-6)&lt;&gt;"Starfsbundinn",EE75="",$E75="",$D75=""),"",ROUND(EE75/$E75*$D75*KVARDI,2))</f>
        <v/>
      </c>
      <c r="EG75" s="66" t="n"/>
      <c r="EH75" s="78">
        <f>IF(OR(INDEX(Undirviðmið!$G$6:$G$105,ROW()-6)&lt;&gt;"Starfsbundinn",EG75="",$E75="",$D75=""),"",ROUND(EG75/$E75*$D75*KVARDI,2))</f>
        <v/>
      </c>
      <c r="EI75" s="66" t="n"/>
      <c r="EJ75" s="78">
        <f>IF(OR(INDEX(Undirviðmið!$G$6:$G$105,ROW()-6)&lt;&gt;"Starfsbundinn",EI75="",$E75="",$D75=""),"",ROUND(EI75/$E75*$D75*KVARDI,2))</f>
        <v/>
      </c>
      <c r="EK75" s="66" t="n"/>
      <c r="EL75" s="78">
        <f>IF(OR(INDEX(Undirviðmið!$G$6:$G$105,ROW()-6)&lt;&gt;"Starfsbundinn",EK75="",$E75="",$D75=""),"",ROUND(EK75/$E75*$D75*KVARDI,2))</f>
        <v/>
      </c>
      <c r="EM75" s="66" t="n"/>
      <c r="EN75" s="78">
        <f>IF(OR(INDEX(Undirviðmið!$G$6:$G$105,ROW()-6)&lt;&gt;"Starfsbundinn",EM75="",$E75="",$D75=""),"",ROUND(EM75/$E75*$D75*KVARDI,2))</f>
        <v/>
      </c>
      <c r="EO75" s="66" t="n"/>
      <c r="EP75" s="78">
        <f>IF(OR(INDEX(Undirviðmið!$G$6:$G$105,ROW()-6)&lt;&gt;"Starfsbundinn",EO75="",$E75="",$D75=""),"",ROUND(EO75/$E75*$D75*KVARDI,2))</f>
        <v/>
      </c>
      <c r="EQ75" s="66" t="n"/>
      <c r="ER75" s="78">
        <f>IF(OR(INDEX(Undirviðmið!$G$6:$G$105,ROW()-6)&lt;&gt;"Starfsbundinn",EQ75="",$E75="",$D75=""),"",ROUND(EQ75/$E75*$D75*KVARDI,2))</f>
        <v/>
      </c>
      <c r="ES75" s="66" t="n"/>
      <c r="ET75" s="78">
        <f>IF(OR(INDEX(Undirviðmið!$G$6:$G$105,ROW()-6)&lt;&gt;"Starfsbundinn",ES75="",$E75="",$D75=""),"",ROUND(ES75/$E75*$D75*KVARDI,2))</f>
        <v/>
      </c>
      <c r="EU75" s="66" t="n"/>
      <c r="EV75" s="78">
        <f>IF(OR(INDEX(Undirviðmið!$G$6:$G$105,ROW()-6)&lt;&gt;"Starfsbundinn",EU75="",$E75="",$D75=""),"",ROUND(EU75/$E75*$D75*KVARDI,2))</f>
        <v/>
      </c>
      <c r="EW75" s="66" t="n"/>
      <c r="EX75" s="78">
        <f>IF(OR(INDEX(Undirviðmið!$G$6:$G$105,ROW()-6)&lt;&gt;"Starfsbundinn",EW75="",$E75="",$D75=""),"",ROUND(EW75/$E75*$D75*KVARDI,2))</f>
        <v/>
      </c>
      <c r="EY75" s="66" t="n"/>
      <c r="EZ75" s="78">
        <f>IF(OR(INDEX(Undirviðmið!$G$6:$G$105,ROW()-6)&lt;&gt;"Starfsbundinn",EY75="",$E75="",$D75=""),"",ROUND(EY75/$E75*$D75*KVARDI,2))</f>
        <v/>
      </c>
      <c r="FA75" s="66" t="n"/>
      <c r="FB75" s="78">
        <f>IF(OR(INDEX(Undirviðmið!$G$6:$G$105,ROW()-6)&lt;&gt;"Starfsbundinn",FA75="",$E75="",$D75=""),"",ROUND(FA75/$E75*$D75*KVARDI,2))</f>
        <v/>
      </c>
      <c r="FC75" s="66" t="n"/>
      <c r="FD75" s="78">
        <f>IF(OR(INDEX(Undirviðmið!$G$6:$G$105,ROW()-6)&lt;&gt;"Starfsbundinn",FC75="",$E75="",$D75=""),"",ROUND(FC75/$E75*$D75*KVARDI,2))</f>
        <v/>
      </c>
      <c r="FE75" s="66" t="n"/>
      <c r="FF75" s="78">
        <f>IF(OR(INDEX(Undirviðmið!$G$6:$G$105,ROW()-6)&lt;&gt;"Starfsbundinn",FE75="",$E75="",$D75=""),"",ROUND(FE75/$E75*$D75*KVARDI,2))</f>
        <v/>
      </c>
      <c r="FG75" s="66" t="n"/>
      <c r="FH75" s="78">
        <f>IF(OR(INDEX(Undirviðmið!$G$6:$G$105,ROW()-6)&lt;&gt;"Starfsbundinn",FG75="",$E75="",$D75=""),"",ROUND(FG75/$E75*$D75*KVARDI,2))</f>
        <v/>
      </c>
      <c r="FI75" s="66" t="n"/>
      <c r="FJ75" s="78">
        <f>IF(OR(INDEX(Undirviðmið!$G$6:$G$105,ROW()-6)&lt;&gt;"Starfsbundinn",FI75="",$E75="",$D75=""),"",ROUND(FI75/$E75*$D75*KVARDI,2))</f>
        <v/>
      </c>
      <c r="FK75" s="66" t="n"/>
      <c r="FL75" s="78">
        <f>IF(OR(INDEX(Undirviðmið!$G$6:$G$105,ROW()-6)&lt;&gt;"Starfsbundinn",FK75="",$E75="",$D75=""),"",ROUND(FK75/$E75*$D75*KVARDI,2))</f>
        <v/>
      </c>
      <c r="FM75" s="66" t="n"/>
      <c r="FN75" s="78">
        <f>IF(OR(INDEX(Undirviðmið!$G$6:$G$105,ROW()-6)&lt;&gt;"Starfsbundinn",FM75="",$E75="",$D75=""),"",ROUND(FM75/$E75*$D75*KVARDI,2))</f>
        <v/>
      </c>
      <c r="FO75" s="66" t="n"/>
      <c r="FP75" s="78">
        <f>IF(OR(INDEX(Undirviðmið!$G$6:$G$105,ROW()-6)&lt;&gt;"Starfsbundinn",FO75="",$E75="",$D75=""),"",ROUND(FO75/$E75*$D75*KVARDI,2))</f>
        <v/>
      </c>
      <c r="FQ75" s="66" t="n"/>
      <c r="FR75" s="78">
        <f>IF(OR(INDEX(Undirviðmið!$G$6:$G$105,ROW()-6)&lt;&gt;"Starfsbundinn",FQ75="",$E75="",$D75=""),"",ROUND(FQ75/$E75*$D75*KVARDI,2))</f>
        <v/>
      </c>
      <c r="FS75" s="66" t="n"/>
      <c r="FT75" s="78">
        <f>IF(OR(INDEX(Undirviðmið!$G$6:$G$105,ROW()-6)&lt;&gt;"Starfsbundinn",FS75="",$E75="",$D75=""),"",ROUND(FS75/$E75*$D75*KVARDI,2))</f>
        <v/>
      </c>
      <c r="FU75" s="66" t="n"/>
      <c r="FV75" s="78">
        <f>IF(OR(INDEX(Undirviðmið!$G$6:$G$105,ROW()-6)&lt;&gt;"Starfsbundinn",FU75="",$E75="",$D75=""),"",ROUND(FU75/$E75*$D75*KVARDI,2))</f>
        <v/>
      </c>
      <c r="FW75" s="66" t="n"/>
      <c r="FX75" s="78">
        <f>IF(OR(INDEX(Undirviðmið!$G$6:$G$105,ROW()-6)&lt;&gt;"Starfsbundinn",FW75="",$E75="",$D75=""),"",ROUND(FW75/$E75*$D75*KVARDI,2))</f>
        <v/>
      </c>
      <c r="FY75" s="66" t="n"/>
      <c r="FZ75" s="78">
        <f>IF(OR(INDEX(Undirviðmið!$G$6:$G$105,ROW()-6)&lt;&gt;"Starfsbundinn",FY75="",$E75="",$D75=""),"",ROUND(FY75/$E75*$D75*KVARDI,2))</f>
        <v/>
      </c>
      <c r="GA75" s="66" t="n"/>
      <c r="GB75" s="78">
        <f>IF(OR(INDEX(Undirviðmið!$G$6:$G$105,ROW()-6)&lt;&gt;"Starfsbundinn",GA75="",$E75="",$D75=""),"",ROUND(GA75/$E75*$D75*KVARDI,2))</f>
        <v/>
      </c>
      <c r="GC75" s="66" t="n"/>
      <c r="GD75" s="78">
        <f>IF(OR(INDEX(Undirviðmið!$G$6:$G$105,ROW()-6)&lt;&gt;"Starfsbundinn",GC75="",$E75="",$D75=""),"",ROUND(GC75/$E75*$D75*KVARDI,2))</f>
        <v/>
      </c>
      <c r="GE75" s="66" t="n"/>
      <c r="GF75" s="78">
        <f>IF(OR(INDEX(Undirviðmið!$G$6:$G$105,ROW()-6)&lt;&gt;"Starfsbundinn",GE75="",$E75="",$D75=""),"",ROUND(GE75/$E75*$D75*KVARDI,2))</f>
        <v/>
      </c>
      <c r="GG75" s="66" t="n"/>
      <c r="GH75" s="78">
        <f>IF(OR(INDEX(Undirviðmið!$G$6:$G$105,ROW()-6)&lt;&gt;"Starfsbundinn",GG75="",$E75="",$D75=""),"",ROUND(GG75/$E75*$D75*KVARDI,2))</f>
        <v/>
      </c>
      <c r="GI75" s="66" t="n"/>
      <c r="GJ75" s="78">
        <f>IF(OR(INDEX(Undirviðmið!$G$6:$G$105,ROW()-6)&lt;&gt;"Starfsbundinn",GI75="",$E75="",$D75=""),"",ROUND(GI75/$E75*$D75*KVARDI,2))</f>
        <v/>
      </c>
      <c r="GK75" s="66" t="n"/>
      <c r="GL75" s="78">
        <f>IF(OR(INDEX(Undirviðmið!$G$6:$G$105,ROW()-6)&lt;&gt;"Starfsbundinn",GK75="",$E75="",$D75=""),"",ROUND(GK75/$E75*$D75*KVARDI,2))</f>
        <v/>
      </c>
      <c r="GM75" s="66" t="n"/>
      <c r="GN75" s="78">
        <f>IF(OR(INDEX(Undirviðmið!$G$6:$G$105,ROW()-6)&lt;&gt;"Starfsbundinn",GM75="",$E75="",$D75=""),"",ROUND(GM75/$E75*$D75*KVARDI,2))</f>
        <v/>
      </c>
      <c r="GO75" s="66" t="n"/>
      <c r="GP75" s="78">
        <f>IF(OR(INDEX(Undirviðmið!$G$6:$G$105,ROW()-6)&lt;&gt;"Starfsbundinn",GO75="",$E75="",$D75=""),"",ROUND(GO75/$E75*$D75*KVARDI,2))</f>
        <v/>
      </c>
      <c r="GQ75" s="66" t="n"/>
      <c r="GR75" s="78">
        <f>IF(OR(INDEX(Undirviðmið!$G$6:$G$105,ROW()-6)&lt;&gt;"Starfsbundinn",GQ75="",$E75="",$D75=""),"",ROUND(GQ75/$E75*$D75*KVARDI,2))</f>
        <v/>
      </c>
      <c r="GS75" s="66" t="n"/>
      <c r="GT75" s="78">
        <f>IF(OR(INDEX(Undirviðmið!$G$6:$G$105,ROW()-6)&lt;&gt;"Starfsbundinn",GS75="",$E75="",$D75=""),"",ROUND(GS75/$E75*$D75*KVARDI,2))</f>
        <v/>
      </c>
      <c r="GU75" s="66" t="n"/>
      <c r="GV75" s="78">
        <f>IF(OR(INDEX(Undirviðmið!$G$6:$G$105,ROW()-6)&lt;&gt;"Starfsbundinn",GU75="",$E75="",$D75=""),"",ROUND(GU75/$E75*$D75*KVARDI,2))</f>
        <v/>
      </c>
      <c r="GW75" s="66" t="n"/>
      <c r="GX75" s="78">
        <f>IF(OR(INDEX(Undirviðmið!$G$6:$G$105,ROW()-6)&lt;&gt;"Starfsbundinn",GW75="",$E75="",$D75=""),"",ROUND(GW75/$E75*$D75*KVARDI,2))</f>
        <v/>
      </c>
    </row>
    <row r="76" ht="15" customHeight="1" s="47">
      <c r="B76" s="67">
        <f>IF(INDEX(Undirviðmið!$G$6:$G$105,ROW()-6)="Starfsbundinn",INDEX(Undirviðmið!$B$6:$B$105,ROW()-6),"")</f>
        <v/>
      </c>
      <c r="C76" s="67">
        <f>IF(INDEX(Undirviðmið!$G$6:$G$105,ROW()-6)="Starfsbundinn",INDEX(Undirviðmið!$C$6:$C$105,ROW()-6),"")</f>
        <v/>
      </c>
      <c r="D76" s="77">
        <f>IF(INDEX(Undirviðmið!$G$6:$G$105,ROW()-6)="Starfsbundinn",INDEX(Undirviðmið!$E$6:$E$105,ROW()-6),"")</f>
        <v/>
      </c>
      <c r="E76" s="77">
        <f>IF(INDEX(Undirviðmið!$G$6:$G$105,ROW()-6)="Starfsbundinn",INDEX(Undirviðmið!$F$6:$F$105,ROW()-6),"")</f>
        <v/>
      </c>
      <c r="F76" s="77">
        <f>IF(INDEX(Undirviðmið!$G$6:$G$105,ROW()-6)="Starfsbundinn",IFERROR(INDEX(Undirviðmið!$E$6:$E$105,ROW()-6)*KVARDI,""),"")</f>
        <v/>
      </c>
      <c r="G76" s="66" t="n"/>
      <c r="H76" s="78">
        <f>IF(OR(INDEX(Undirviðmið!$G$6:$G$105,ROW()-6)&lt;&gt;"Starfsbundinn",G76="",$E76="",$D76=""),"",ROUND(G76/$E76*$D76*KVARDI,2))</f>
        <v/>
      </c>
      <c r="I76" s="66" t="n"/>
      <c r="J76" s="78">
        <f>IF(OR(INDEX(Undirviðmið!$G$6:$G$105,ROW()-6)&lt;&gt;"Starfsbundinn",I76="",$E76="",$D76=""),"",ROUND(I76/$E76*$D76*KVARDI,2))</f>
        <v/>
      </c>
      <c r="K76" s="66" t="n"/>
      <c r="L76" s="78">
        <f>IF(OR(INDEX(Undirviðmið!$G$6:$G$105,ROW()-6)&lt;&gt;"Starfsbundinn",K76="",$E76="",$D76=""),"",ROUND(K76/$E76*$D76*KVARDI,2))</f>
        <v/>
      </c>
      <c r="M76" s="66" t="n"/>
      <c r="N76" s="78">
        <f>IF(OR(INDEX(Undirviðmið!$G$6:$G$105,ROW()-6)&lt;&gt;"Starfsbundinn",M76="",$E76="",$D76=""),"",ROUND(M76/$E76*$D76*KVARDI,2))</f>
        <v/>
      </c>
      <c r="O76" s="66" t="n"/>
      <c r="P76" s="78">
        <f>IF(OR(INDEX(Undirviðmið!$G$6:$G$105,ROW()-6)&lt;&gt;"Starfsbundinn",O76="",$E76="",$D76=""),"",ROUND(O76/$E76*$D76*KVARDI,2))</f>
        <v/>
      </c>
      <c r="Q76" s="66" t="n"/>
      <c r="R76" s="78">
        <f>IF(OR(INDEX(Undirviðmið!$G$6:$G$105,ROW()-6)&lt;&gt;"Starfsbundinn",Q76="",$E76="",$D76=""),"",ROUND(Q76/$E76*$D76*KVARDI,2))</f>
        <v/>
      </c>
      <c r="S76" s="66" t="n"/>
      <c r="T76" s="78">
        <f>IF(OR(INDEX(Undirviðmið!$G$6:$G$105,ROW()-6)&lt;&gt;"Starfsbundinn",S76="",$E76="",$D76=""),"",ROUND(S76/$E76*$D76*KVARDI,2))</f>
        <v/>
      </c>
      <c r="U76" s="66" t="n"/>
      <c r="V76" s="78">
        <f>IF(OR(INDEX(Undirviðmið!$G$6:$G$105,ROW()-6)&lt;&gt;"Starfsbundinn",U76="",$E76="",$D76=""),"",ROUND(U76/$E76*$D76*KVARDI,2))</f>
        <v/>
      </c>
      <c r="W76" s="66" t="n"/>
      <c r="X76" s="78">
        <f>IF(OR(INDEX(Undirviðmið!$G$6:$G$105,ROW()-6)&lt;&gt;"Starfsbundinn",W76="",$E76="",$D76=""),"",ROUND(W76/$E76*$D76*KVARDI,2))</f>
        <v/>
      </c>
      <c r="Y76" s="66" t="n"/>
      <c r="Z76" s="78">
        <f>IF(OR(INDEX(Undirviðmið!$G$6:$G$105,ROW()-6)&lt;&gt;"Starfsbundinn",Y76="",$E76="",$D76=""),"",ROUND(Y76/$E76*$D76*KVARDI,2))</f>
        <v/>
      </c>
      <c r="AA76" s="66" t="n"/>
      <c r="AB76" s="78">
        <f>IF(OR(INDEX(Undirviðmið!$G$6:$G$105,ROW()-6)&lt;&gt;"Starfsbundinn",AA76="",$E76="",$D76=""),"",ROUND(AA76/$E76*$D76*KVARDI,2))</f>
        <v/>
      </c>
      <c r="AC76" s="66" t="n"/>
      <c r="AD76" s="78">
        <f>IF(OR(INDEX(Undirviðmið!$G$6:$G$105,ROW()-6)&lt;&gt;"Starfsbundinn",AC76="",$E76="",$D76=""),"",ROUND(AC76/$E76*$D76*KVARDI,2))</f>
        <v/>
      </c>
      <c r="AE76" s="66" t="n"/>
      <c r="AF76" s="78">
        <f>IF(OR(INDEX(Undirviðmið!$G$6:$G$105,ROW()-6)&lt;&gt;"Starfsbundinn",AE76="",$E76="",$D76=""),"",ROUND(AE76/$E76*$D76*KVARDI,2))</f>
        <v/>
      </c>
      <c r="AG76" s="66" t="n"/>
      <c r="AH76" s="78">
        <f>IF(OR(INDEX(Undirviðmið!$G$6:$G$105,ROW()-6)&lt;&gt;"Starfsbundinn",AG76="",$E76="",$D76=""),"",ROUND(AG76/$E76*$D76*KVARDI,2))</f>
        <v/>
      </c>
      <c r="AI76" s="66" t="n"/>
      <c r="AJ76" s="78">
        <f>IF(OR(INDEX(Undirviðmið!$G$6:$G$105,ROW()-6)&lt;&gt;"Starfsbundinn",AI76="",$E76="",$D76=""),"",ROUND(AI76/$E76*$D76*KVARDI,2))</f>
        <v/>
      </c>
      <c r="AK76" s="66" t="n"/>
      <c r="AL76" s="78">
        <f>IF(OR(INDEX(Undirviðmið!$G$6:$G$105,ROW()-6)&lt;&gt;"Starfsbundinn",AK76="",$E76="",$D76=""),"",ROUND(AK76/$E76*$D76*KVARDI,2))</f>
        <v/>
      </c>
      <c r="AM76" s="66" t="n"/>
      <c r="AN76" s="78">
        <f>IF(OR(INDEX(Undirviðmið!$G$6:$G$105,ROW()-6)&lt;&gt;"Starfsbundinn",AM76="",$E76="",$D76=""),"",ROUND(AM76/$E76*$D76*KVARDI,2))</f>
        <v/>
      </c>
      <c r="AO76" s="66" t="n"/>
      <c r="AP76" s="78">
        <f>IF(OR(INDEX(Undirviðmið!$G$6:$G$105,ROW()-6)&lt;&gt;"Starfsbundinn",AO76="",$E76="",$D76=""),"",ROUND(AO76/$E76*$D76*KVARDI,2))</f>
        <v/>
      </c>
      <c r="AQ76" s="66" t="n"/>
      <c r="AR76" s="78">
        <f>IF(OR(INDEX(Undirviðmið!$G$6:$G$105,ROW()-6)&lt;&gt;"Starfsbundinn",AQ76="",$E76="",$D76=""),"",ROUND(AQ76/$E76*$D76*KVARDI,2))</f>
        <v/>
      </c>
      <c r="AS76" s="66" t="n"/>
      <c r="AT76" s="78">
        <f>IF(OR(INDEX(Undirviðmið!$G$6:$G$105,ROW()-6)&lt;&gt;"Starfsbundinn",AS76="",$E76="",$D76=""),"",ROUND(AS76/$E76*$D76*KVARDI,2))</f>
        <v/>
      </c>
      <c r="AU76" s="66" t="n"/>
      <c r="AV76" s="78">
        <f>IF(OR(INDEX(Undirviðmið!$G$6:$G$105,ROW()-6)&lt;&gt;"Starfsbundinn",AU76="",$E76="",$D76=""),"",ROUND(AU76/$E76*$D76*KVARDI,2))</f>
        <v/>
      </c>
      <c r="AW76" s="66" t="n"/>
      <c r="AX76" s="78">
        <f>IF(OR(INDEX(Undirviðmið!$G$6:$G$105,ROW()-6)&lt;&gt;"Starfsbundinn",AW76="",$E76="",$D76=""),"",ROUND(AW76/$E76*$D76*KVARDI,2))</f>
        <v/>
      </c>
      <c r="AY76" s="66" t="n"/>
      <c r="AZ76" s="78">
        <f>IF(OR(INDEX(Undirviðmið!$G$6:$G$105,ROW()-6)&lt;&gt;"Starfsbundinn",AY76="",$E76="",$D76=""),"",ROUND(AY76/$E76*$D76*KVARDI,2))</f>
        <v/>
      </c>
      <c r="BA76" s="66" t="n"/>
      <c r="BB76" s="78">
        <f>IF(OR(INDEX(Undirviðmið!$G$6:$G$105,ROW()-6)&lt;&gt;"Starfsbundinn",BA76="",$E76="",$D76=""),"",ROUND(BA76/$E76*$D76*KVARDI,2))</f>
        <v/>
      </c>
      <c r="BC76" s="66" t="n"/>
      <c r="BD76" s="78">
        <f>IF(OR(INDEX(Undirviðmið!$G$6:$G$105,ROW()-6)&lt;&gt;"Starfsbundinn",BC76="",$E76="",$D76=""),"",ROUND(BC76/$E76*$D76*KVARDI,2))</f>
        <v/>
      </c>
      <c r="BE76" s="66" t="n"/>
      <c r="BF76" s="78">
        <f>IF(OR(INDEX(Undirviðmið!$G$6:$G$105,ROW()-6)&lt;&gt;"Starfsbundinn",BE76="",$E76="",$D76=""),"",ROUND(BE76/$E76*$D76*KVARDI,2))</f>
        <v/>
      </c>
      <c r="BG76" s="66" t="n"/>
      <c r="BH76" s="78">
        <f>IF(OR(INDEX(Undirviðmið!$G$6:$G$105,ROW()-6)&lt;&gt;"Starfsbundinn",BG76="",$E76="",$D76=""),"",ROUND(BG76/$E76*$D76*KVARDI,2))</f>
        <v/>
      </c>
      <c r="BI76" s="66" t="n"/>
      <c r="BJ76" s="78">
        <f>IF(OR(INDEX(Undirviðmið!$G$6:$G$105,ROW()-6)&lt;&gt;"Starfsbundinn",BI76="",$E76="",$D76=""),"",ROUND(BI76/$E76*$D76*KVARDI,2))</f>
        <v/>
      </c>
      <c r="BK76" s="66" t="n"/>
      <c r="BL76" s="78">
        <f>IF(OR(INDEX(Undirviðmið!$G$6:$G$105,ROW()-6)&lt;&gt;"Starfsbundinn",BK76="",$E76="",$D76=""),"",ROUND(BK76/$E76*$D76*KVARDI,2))</f>
        <v/>
      </c>
      <c r="BM76" s="66" t="n"/>
      <c r="BN76" s="78">
        <f>IF(OR(INDEX(Undirviðmið!$G$6:$G$105,ROW()-6)&lt;&gt;"Starfsbundinn",BM76="",$E76="",$D76=""),"",ROUND(BM76/$E76*$D76*KVARDI,2))</f>
        <v/>
      </c>
      <c r="BO76" s="66" t="n"/>
      <c r="BP76" s="78">
        <f>IF(OR(INDEX(Undirviðmið!$G$6:$G$105,ROW()-6)&lt;&gt;"Starfsbundinn",BO76="",$E76="",$D76=""),"",ROUND(BO76/$E76*$D76*KVARDI,2))</f>
        <v/>
      </c>
      <c r="BQ76" s="66" t="n"/>
      <c r="BR76" s="78">
        <f>IF(OR(INDEX(Undirviðmið!$G$6:$G$105,ROW()-6)&lt;&gt;"Starfsbundinn",BQ76="",$E76="",$D76=""),"",ROUND(BQ76/$E76*$D76*KVARDI,2))</f>
        <v/>
      </c>
      <c r="BS76" s="66" t="n"/>
      <c r="BT76" s="78">
        <f>IF(OR(INDEX(Undirviðmið!$G$6:$G$105,ROW()-6)&lt;&gt;"Starfsbundinn",BS76="",$E76="",$D76=""),"",ROUND(BS76/$E76*$D76*KVARDI,2))</f>
        <v/>
      </c>
      <c r="BU76" s="66" t="n"/>
      <c r="BV76" s="78">
        <f>IF(OR(INDEX(Undirviðmið!$G$6:$G$105,ROW()-6)&lt;&gt;"Starfsbundinn",BU76="",$E76="",$D76=""),"",ROUND(BU76/$E76*$D76*KVARDI,2))</f>
        <v/>
      </c>
      <c r="BW76" s="66" t="n"/>
      <c r="BX76" s="78">
        <f>IF(OR(INDEX(Undirviðmið!$G$6:$G$105,ROW()-6)&lt;&gt;"Starfsbundinn",BW76="",$E76="",$D76=""),"",ROUND(BW76/$E76*$D76*KVARDI,2))</f>
        <v/>
      </c>
      <c r="BY76" s="66" t="n"/>
      <c r="BZ76" s="78">
        <f>IF(OR(INDEX(Undirviðmið!$G$6:$G$105,ROW()-6)&lt;&gt;"Starfsbundinn",BY76="",$E76="",$D76=""),"",ROUND(BY76/$E76*$D76*KVARDI,2))</f>
        <v/>
      </c>
      <c r="CA76" s="66" t="n"/>
      <c r="CB76" s="78">
        <f>IF(OR(INDEX(Undirviðmið!$G$6:$G$105,ROW()-6)&lt;&gt;"Starfsbundinn",CA76="",$E76="",$D76=""),"",ROUND(CA76/$E76*$D76*KVARDI,2))</f>
        <v/>
      </c>
      <c r="CC76" s="66" t="n"/>
      <c r="CD76" s="78">
        <f>IF(OR(INDEX(Undirviðmið!$G$6:$G$105,ROW()-6)&lt;&gt;"Starfsbundinn",CC76="",$E76="",$D76=""),"",ROUND(CC76/$E76*$D76*KVARDI,2))</f>
        <v/>
      </c>
      <c r="CE76" s="66" t="n"/>
      <c r="CF76" s="78">
        <f>IF(OR(INDEX(Undirviðmið!$G$6:$G$105,ROW()-6)&lt;&gt;"Starfsbundinn",CE76="",$E76="",$D76=""),"",ROUND(CE76/$E76*$D76*KVARDI,2))</f>
        <v/>
      </c>
      <c r="CG76" s="66" t="n"/>
      <c r="CH76" s="78">
        <f>IF(OR(INDEX(Undirviðmið!$G$6:$G$105,ROW()-6)&lt;&gt;"Starfsbundinn",CG76="",$E76="",$D76=""),"",ROUND(CG76/$E76*$D76*KVARDI,2))</f>
        <v/>
      </c>
      <c r="CI76" s="66" t="n"/>
      <c r="CJ76" s="78">
        <f>IF(OR(INDEX(Undirviðmið!$G$6:$G$105,ROW()-6)&lt;&gt;"Starfsbundinn",CI76="",$E76="",$D76=""),"",ROUND(CI76/$E76*$D76*KVARDI,2))</f>
        <v/>
      </c>
      <c r="CK76" s="66" t="n"/>
      <c r="CL76" s="78">
        <f>IF(OR(INDEX(Undirviðmið!$G$6:$G$105,ROW()-6)&lt;&gt;"Starfsbundinn",CK76="",$E76="",$D76=""),"",ROUND(CK76/$E76*$D76*KVARDI,2))</f>
        <v/>
      </c>
      <c r="CM76" s="66" t="n"/>
      <c r="CN76" s="78">
        <f>IF(OR(INDEX(Undirviðmið!$G$6:$G$105,ROW()-6)&lt;&gt;"Starfsbundinn",CM76="",$E76="",$D76=""),"",ROUND(CM76/$E76*$D76*KVARDI,2))</f>
        <v/>
      </c>
      <c r="CO76" s="66" t="n"/>
      <c r="CP76" s="78">
        <f>IF(OR(INDEX(Undirviðmið!$G$6:$G$105,ROW()-6)&lt;&gt;"Starfsbundinn",CO76="",$E76="",$D76=""),"",ROUND(CO76/$E76*$D76*KVARDI,2))</f>
        <v/>
      </c>
      <c r="CQ76" s="66" t="n"/>
      <c r="CR76" s="78">
        <f>IF(OR(INDEX(Undirviðmið!$G$6:$G$105,ROW()-6)&lt;&gt;"Starfsbundinn",CQ76="",$E76="",$D76=""),"",ROUND(CQ76/$E76*$D76*KVARDI,2))</f>
        <v/>
      </c>
      <c r="CS76" s="66" t="n"/>
      <c r="CT76" s="78">
        <f>IF(OR(INDEX(Undirviðmið!$G$6:$G$105,ROW()-6)&lt;&gt;"Starfsbundinn",CS76="",$E76="",$D76=""),"",ROUND(CS76/$E76*$D76*KVARDI,2))</f>
        <v/>
      </c>
      <c r="CU76" s="66" t="n"/>
      <c r="CV76" s="78">
        <f>IF(OR(INDEX(Undirviðmið!$G$6:$G$105,ROW()-6)&lt;&gt;"Starfsbundinn",CU76="",$E76="",$D76=""),"",ROUND(CU76/$E76*$D76*KVARDI,2))</f>
        <v/>
      </c>
      <c r="CW76" s="66" t="n"/>
      <c r="CX76" s="78">
        <f>IF(OR(INDEX(Undirviðmið!$G$6:$G$105,ROW()-6)&lt;&gt;"Starfsbundinn",CW76="",$E76="",$D76=""),"",ROUND(CW76/$E76*$D76*KVARDI,2))</f>
        <v/>
      </c>
      <c r="CY76" s="66" t="n"/>
      <c r="CZ76" s="78">
        <f>IF(OR(INDEX(Undirviðmið!$G$6:$G$105,ROW()-6)&lt;&gt;"Starfsbundinn",CY76="",$E76="",$D76=""),"",ROUND(CY76/$E76*$D76*KVARDI,2))</f>
        <v/>
      </c>
      <c r="DA76" s="66" t="n"/>
      <c r="DB76" s="78">
        <f>IF(OR(INDEX(Undirviðmið!$G$6:$G$105,ROW()-6)&lt;&gt;"Starfsbundinn",DA76="",$E76="",$D76=""),"",ROUND(DA76/$E76*$D76*KVARDI,2))</f>
        <v/>
      </c>
      <c r="DC76" s="66" t="n"/>
      <c r="DD76" s="78">
        <f>IF(OR(INDEX(Undirviðmið!$G$6:$G$105,ROW()-6)&lt;&gt;"Starfsbundinn",DC76="",$E76="",$D76=""),"",ROUND(DC76/$E76*$D76*KVARDI,2))</f>
        <v/>
      </c>
      <c r="DE76" s="66" t="n"/>
      <c r="DF76" s="78">
        <f>IF(OR(INDEX(Undirviðmið!$G$6:$G$105,ROW()-6)&lt;&gt;"Starfsbundinn",DE76="",$E76="",$D76=""),"",ROUND(DE76/$E76*$D76*KVARDI,2))</f>
        <v/>
      </c>
      <c r="DG76" s="66" t="n"/>
      <c r="DH76" s="78">
        <f>IF(OR(INDEX(Undirviðmið!$G$6:$G$105,ROW()-6)&lt;&gt;"Starfsbundinn",DG76="",$E76="",$D76=""),"",ROUND(DG76/$E76*$D76*KVARDI,2))</f>
        <v/>
      </c>
      <c r="DI76" s="66" t="n"/>
      <c r="DJ76" s="78">
        <f>IF(OR(INDEX(Undirviðmið!$G$6:$G$105,ROW()-6)&lt;&gt;"Starfsbundinn",DI76="",$E76="",$D76=""),"",ROUND(DI76/$E76*$D76*KVARDI,2))</f>
        <v/>
      </c>
      <c r="DK76" s="66" t="n"/>
      <c r="DL76" s="78">
        <f>IF(OR(INDEX(Undirviðmið!$G$6:$G$105,ROW()-6)&lt;&gt;"Starfsbundinn",DK76="",$E76="",$D76=""),"",ROUND(DK76/$E76*$D76*KVARDI,2))</f>
        <v/>
      </c>
      <c r="DM76" s="66" t="n"/>
      <c r="DN76" s="78">
        <f>IF(OR(INDEX(Undirviðmið!$G$6:$G$105,ROW()-6)&lt;&gt;"Starfsbundinn",DM76="",$E76="",$D76=""),"",ROUND(DM76/$E76*$D76*KVARDI,2))</f>
        <v/>
      </c>
      <c r="DO76" s="66" t="n"/>
      <c r="DP76" s="78">
        <f>IF(OR(INDEX(Undirviðmið!$G$6:$G$105,ROW()-6)&lt;&gt;"Starfsbundinn",DO76="",$E76="",$D76=""),"",ROUND(DO76/$E76*$D76*KVARDI,2))</f>
        <v/>
      </c>
      <c r="DQ76" s="66" t="n"/>
      <c r="DR76" s="78">
        <f>IF(OR(INDEX(Undirviðmið!$G$6:$G$105,ROW()-6)&lt;&gt;"Starfsbundinn",DQ76="",$E76="",$D76=""),"",ROUND(DQ76/$E76*$D76*KVARDI,2))</f>
        <v/>
      </c>
      <c r="DS76" s="66" t="n"/>
      <c r="DT76" s="78">
        <f>IF(OR(INDEX(Undirviðmið!$G$6:$G$105,ROW()-6)&lt;&gt;"Starfsbundinn",DS76="",$E76="",$D76=""),"",ROUND(DS76/$E76*$D76*KVARDI,2))</f>
        <v/>
      </c>
      <c r="DU76" s="66" t="n"/>
      <c r="DV76" s="78">
        <f>IF(OR(INDEX(Undirviðmið!$G$6:$G$105,ROW()-6)&lt;&gt;"Starfsbundinn",DU76="",$E76="",$D76=""),"",ROUND(DU76/$E76*$D76*KVARDI,2))</f>
        <v/>
      </c>
      <c r="DW76" s="66" t="n"/>
      <c r="DX76" s="78">
        <f>IF(OR(INDEX(Undirviðmið!$G$6:$G$105,ROW()-6)&lt;&gt;"Starfsbundinn",DW76="",$E76="",$D76=""),"",ROUND(DW76/$E76*$D76*KVARDI,2))</f>
        <v/>
      </c>
      <c r="DY76" s="66" t="n"/>
      <c r="DZ76" s="78">
        <f>IF(OR(INDEX(Undirviðmið!$G$6:$G$105,ROW()-6)&lt;&gt;"Starfsbundinn",DY76="",$E76="",$D76=""),"",ROUND(DY76/$E76*$D76*KVARDI,2))</f>
        <v/>
      </c>
      <c r="EA76" s="66" t="n"/>
      <c r="EB76" s="78">
        <f>IF(OR(INDEX(Undirviðmið!$G$6:$G$105,ROW()-6)&lt;&gt;"Starfsbundinn",EA76="",$E76="",$D76=""),"",ROUND(EA76/$E76*$D76*KVARDI,2))</f>
        <v/>
      </c>
      <c r="EC76" s="66" t="n"/>
      <c r="ED76" s="78">
        <f>IF(OR(INDEX(Undirviðmið!$G$6:$G$105,ROW()-6)&lt;&gt;"Starfsbundinn",EC76="",$E76="",$D76=""),"",ROUND(EC76/$E76*$D76*KVARDI,2))</f>
        <v/>
      </c>
      <c r="EE76" s="66" t="n"/>
      <c r="EF76" s="78">
        <f>IF(OR(INDEX(Undirviðmið!$G$6:$G$105,ROW()-6)&lt;&gt;"Starfsbundinn",EE76="",$E76="",$D76=""),"",ROUND(EE76/$E76*$D76*KVARDI,2))</f>
        <v/>
      </c>
      <c r="EG76" s="66" t="n"/>
      <c r="EH76" s="78">
        <f>IF(OR(INDEX(Undirviðmið!$G$6:$G$105,ROW()-6)&lt;&gt;"Starfsbundinn",EG76="",$E76="",$D76=""),"",ROUND(EG76/$E76*$D76*KVARDI,2))</f>
        <v/>
      </c>
      <c r="EI76" s="66" t="n"/>
      <c r="EJ76" s="78">
        <f>IF(OR(INDEX(Undirviðmið!$G$6:$G$105,ROW()-6)&lt;&gt;"Starfsbundinn",EI76="",$E76="",$D76=""),"",ROUND(EI76/$E76*$D76*KVARDI,2))</f>
        <v/>
      </c>
      <c r="EK76" s="66" t="n"/>
      <c r="EL76" s="78">
        <f>IF(OR(INDEX(Undirviðmið!$G$6:$G$105,ROW()-6)&lt;&gt;"Starfsbundinn",EK76="",$E76="",$D76=""),"",ROUND(EK76/$E76*$D76*KVARDI,2))</f>
        <v/>
      </c>
      <c r="EM76" s="66" t="n"/>
      <c r="EN76" s="78">
        <f>IF(OR(INDEX(Undirviðmið!$G$6:$G$105,ROW()-6)&lt;&gt;"Starfsbundinn",EM76="",$E76="",$D76=""),"",ROUND(EM76/$E76*$D76*KVARDI,2))</f>
        <v/>
      </c>
      <c r="EO76" s="66" t="n"/>
      <c r="EP76" s="78">
        <f>IF(OR(INDEX(Undirviðmið!$G$6:$G$105,ROW()-6)&lt;&gt;"Starfsbundinn",EO76="",$E76="",$D76=""),"",ROUND(EO76/$E76*$D76*KVARDI,2))</f>
        <v/>
      </c>
      <c r="EQ76" s="66" t="n"/>
      <c r="ER76" s="78">
        <f>IF(OR(INDEX(Undirviðmið!$G$6:$G$105,ROW()-6)&lt;&gt;"Starfsbundinn",EQ76="",$E76="",$D76=""),"",ROUND(EQ76/$E76*$D76*KVARDI,2))</f>
        <v/>
      </c>
      <c r="ES76" s="66" t="n"/>
      <c r="ET76" s="78">
        <f>IF(OR(INDEX(Undirviðmið!$G$6:$G$105,ROW()-6)&lt;&gt;"Starfsbundinn",ES76="",$E76="",$D76=""),"",ROUND(ES76/$E76*$D76*KVARDI,2))</f>
        <v/>
      </c>
      <c r="EU76" s="66" t="n"/>
      <c r="EV76" s="78">
        <f>IF(OR(INDEX(Undirviðmið!$G$6:$G$105,ROW()-6)&lt;&gt;"Starfsbundinn",EU76="",$E76="",$D76=""),"",ROUND(EU76/$E76*$D76*KVARDI,2))</f>
        <v/>
      </c>
      <c r="EW76" s="66" t="n"/>
      <c r="EX76" s="78">
        <f>IF(OR(INDEX(Undirviðmið!$G$6:$G$105,ROW()-6)&lt;&gt;"Starfsbundinn",EW76="",$E76="",$D76=""),"",ROUND(EW76/$E76*$D76*KVARDI,2))</f>
        <v/>
      </c>
      <c r="EY76" s="66" t="n"/>
      <c r="EZ76" s="78">
        <f>IF(OR(INDEX(Undirviðmið!$G$6:$G$105,ROW()-6)&lt;&gt;"Starfsbundinn",EY76="",$E76="",$D76=""),"",ROUND(EY76/$E76*$D76*KVARDI,2))</f>
        <v/>
      </c>
      <c r="FA76" s="66" t="n"/>
      <c r="FB76" s="78">
        <f>IF(OR(INDEX(Undirviðmið!$G$6:$G$105,ROW()-6)&lt;&gt;"Starfsbundinn",FA76="",$E76="",$D76=""),"",ROUND(FA76/$E76*$D76*KVARDI,2))</f>
        <v/>
      </c>
      <c r="FC76" s="66" t="n"/>
      <c r="FD76" s="78">
        <f>IF(OR(INDEX(Undirviðmið!$G$6:$G$105,ROW()-6)&lt;&gt;"Starfsbundinn",FC76="",$E76="",$D76=""),"",ROUND(FC76/$E76*$D76*KVARDI,2))</f>
        <v/>
      </c>
      <c r="FE76" s="66" t="n"/>
      <c r="FF76" s="78">
        <f>IF(OR(INDEX(Undirviðmið!$G$6:$G$105,ROW()-6)&lt;&gt;"Starfsbundinn",FE76="",$E76="",$D76=""),"",ROUND(FE76/$E76*$D76*KVARDI,2))</f>
        <v/>
      </c>
      <c r="FG76" s="66" t="n"/>
      <c r="FH76" s="78">
        <f>IF(OR(INDEX(Undirviðmið!$G$6:$G$105,ROW()-6)&lt;&gt;"Starfsbundinn",FG76="",$E76="",$D76=""),"",ROUND(FG76/$E76*$D76*KVARDI,2))</f>
        <v/>
      </c>
      <c r="FI76" s="66" t="n"/>
      <c r="FJ76" s="78">
        <f>IF(OR(INDEX(Undirviðmið!$G$6:$G$105,ROW()-6)&lt;&gt;"Starfsbundinn",FI76="",$E76="",$D76=""),"",ROUND(FI76/$E76*$D76*KVARDI,2))</f>
        <v/>
      </c>
      <c r="FK76" s="66" t="n"/>
      <c r="FL76" s="78">
        <f>IF(OR(INDEX(Undirviðmið!$G$6:$G$105,ROW()-6)&lt;&gt;"Starfsbundinn",FK76="",$E76="",$D76=""),"",ROUND(FK76/$E76*$D76*KVARDI,2))</f>
        <v/>
      </c>
      <c r="FM76" s="66" t="n"/>
      <c r="FN76" s="78">
        <f>IF(OR(INDEX(Undirviðmið!$G$6:$G$105,ROW()-6)&lt;&gt;"Starfsbundinn",FM76="",$E76="",$D76=""),"",ROUND(FM76/$E76*$D76*KVARDI,2))</f>
        <v/>
      </c>
      <c r="FO76" s="66" t="n"/>
      <c r="FP76" s="78">
        <f>IF(OR(INDEX(Undirviðmið!$G$6:$G$105,ROW()-6)&lt;&gt;"Starfsbundinn",FO76="",$E76="",$D76=""),"",ROUND(FO76/$E76*$D76*KVARDI,2))</f>
        <v/>
      </c>
      <c r="FQ76" s="66" t="n"/>
      <c r="FR76" s="78">
        <f>IF(OR(INDEX(Undirviðmið!$G$6:$G$105,ROW()-6)&lt;&gt;"Starfsbundinn",FQ76="",$E76="",$D76=""),"",ROUND(FQ76/$E76*$D76*KVARDI,2))</f>
        <v/>
      </c>
      <c r="FS76" s="66" t="n"/>
      <c r="FT76" s="78">
        <f>IF(OR(INDEX(Undirviðmið!$G$6:$G$105,ROW()-6)&lt;&gt;"Starfsbundinn",FS76="",$E76="",$D76=""),"",ROUND(FS76/$E76*$D76*KVARDI,2))</f>
        <v/>
      </c>
      <c r="FU76" s="66" t="n"/>
      <c r="FV76" s="78">
        <f>IF(OR(INDEX(Undirviðmið!$G$6:$G$105,ROW()-6)&lt;&gt;"Starfsbundinn",FU76="",$E76="",$D76=""),"",ROUND(FU76/$E76*$D76*KVARDI,2))</f>
        <v/>
      </c>
      <c r="FW76" s="66" t="n"/>
      <c r="FX76" s="78">
        <f>IF(OR(INDEX(Undirviðmið!$G$6:$G$105,ROW()-6)&lt;&gt;"Starfsbundinn",FW76="",$E76="",$D76=""),"",ROUND(FW76/$E76*$D76*KVARDI,2))</f>
        <v/>
      </c>
      <c r="FY76" s="66" t="n"/>
      <c r="FZ76" s="78">
        <f>IF(OR(INDEX(Undirviðmið!$G$6:$G$105,ROW()-6)&lt;&gt;"Starfsbundinn",FY76="",$E76="",$D76=""),"",ROUND(FY76/$E76*$D76*KVARDI,2))</f>
        <v/>
      </c>
      <c r="GA76" s="66" t="n"/>
      <c r="GB76" s="78">
        <f>IF(OR(INDEX(Undirviðmið!$G$6:$G$105,ROW()-6)&lt;&gt;"Starfsbundinn",GA76="",$E76="",$D76=""),"",ROUND(GA76/$E76*$D76*KVARDI,2))</f>
        <v/>
      </c>
      <c r="GC76" s="66" t="n"/>
      <c r="GD76" s="78">
        <f>IF(OR(INDEX(Undirviðmið!$G$6:$G$105,ROW()-6)&lt;&gt;"Starfsbundinn",GC76="",$E76="",$D76=""),"",ROUND(GC76/$E76*$D76*KVARDI,2))</f>
        <v/>
      </c>
      <c r="GE76" s="66" t="n"/>
      <c r="GF76" s="78">
        <f>IF(OR(INDEX(Undirviðmið!$G$6:$G$105,ROW()-6)&lt;&gt;"Starfsbundinn",GE76="",$E76="",$D76=""),"",ROUND(GE76/$E76*$D76*KVARDI,2))</f>
        <v/>
      </c>
      <c r="GG76" s="66" t="n"/>
      <c r="GH76" s="78">
        <f>IF(OR(INDEX(Undirviðmið!$G$6:$G$105,ROW()-6)&lt;&gt;"Starfsbundinn",GG76="",$E76="",$D76=""),"",ROUND(GG76/$E76*$D76*KVARDI,2))</f>
        <v/>
      </c>
      <c r="GI76" s="66" t="n"/>
      <c r="GJ76" s="78">
        <f>IF(OR(INDEX(Undirviðmið!$G$6:$G$105,ROW()-6)&lt;&gt;"Starfsbundinn",GI76="",$E76="",$D76=""),"",ROUND(GI76/$E76*$D76*KVARDI,2))</f>
        <v/>
      </c>
      <c r="GK76" s="66" t="n"/>
      <c r="GL76" s="78">
        <f>IF(OR(INDEX(Undirviðmið!$G$6:$G$105,ROW()-6)&lt;&gt;"Starfsbundinn",GK76="",$E76="",$D76=""),"",ROUND(GK76/$E76*$D76*KVARDI,2))</f>
        <v/>
      </c>
      <c r="GM76" s="66" t="n"/>
      <c r="GN76" s="78">
        <f>IF(OR(INDEX(Undirviðmið!$G$6:$G$105,ROW()-6)&lt;&gt;"Starfsbundinn",GM76="",$E76="",$D76=""),"",ROUND(GM76/$E76*$D76*KVARDI,2))</f>
        <v/>
      </c>
      <c r="GO76" s="66" t="n"/>
      <c r="GP76" s="78">
        <f>IF(OR(INDEX(Undirviðmið!$G$6:$G$105,ROW()-6)&lt;&gt;"Starfsbundinn",GO76="",$E76="",$D76=""),"",ROUND(GO76/$E76*$D76*KVARDI,2))</f>
        <v/>
      </c>
      <c r="GQ76" s="66" t="n"/>
      <c r="GR76" s="78">
        <f>IF(OR(INDEX(Undirviðmið!$G$6:$G$105,ROW()-6)&lt;&gt;"Starfsbundinn",GQ76="",$E76="",$D76=""),"",ROUND(GQ76/$E76*$D76*KVARDI,2))</f>
        <v/>
      </c>
      <c r="GS76" s="66" t="n"/>
      <c r="GT76" s="78">
        <f>IF(OR(INDEX(Undirviðmið!$G$6:$G$105,ROW()-6)&lt;&gt;"Starfsbundinn",GS76="",$E76="",$D76=""),"",ROUND(GS76/$E76*$D76*KVARDI,2))</f>
        <v/>
      </c>
      <c r="GU76" s="66" t="n"/>
      <c r="GV76" s="78">
        <f>IF(OR(INDEX(Undirviðmið!$G$6:$G$105,ROW()-6)&lt;&gt;"Starfsbundinn",GU76="",$E76="",$D76=""),"",ROUND(GU76/$E76*$D76*KVARDI,2))</f>
        <v/>
      </c>
      <c r="GW76" s="66" t="n"/>
      <c r="GX76" s="78">
        <f>IF(OR(INDEX(Undirviðmið!$G$6:$G$105,ROW()-6)&lt;&gt;"Starfsbundinn",GW76="",$E76="",$D76=""),"",ROUND(GW76/$E76*$D76*KVARDI,2))</f>
        <v/>
      </c>
    </row>
    <row r="77" ht="15" customHeight="1" s="47">
      <c r="B77" s="67">
        <f>IF(INDEX(Undirviðmið!$G$6:$G$105,ROW()-6)="Starfsbundinn",INDEX(Undirviðmið!$B$6:$B$105,ROW()-6),"")</f>
        <v/>
      </c>
      <c r="C77" s="67">
        <f>IF(INDEX(Undirviðmið!$G$6:$G$105,ROW()-6)="Starfsbundinn",INDEX(Undirviðmið!$C$6:$C$105,ROW()-6),"")</f>
        <v/>
      </c>
      <c r="D77" s="77">
        <f>IF(INDEX(Undirviðmið!$G$6:$G$105,ROW()-6)="Starfsbundinn",INDEX(Undirviðmið!$E$6:$E$105,ROW()-6),"")</f>
        <v/>
      </c>
      <c r="E77" s="77">
        <f>IF(INDEX(Undirviðmið!$G$6:$G$105,ROW()-6)="Starfsbundinn",INDEX(Undirviðmið!$F$6:$F$105,ROW()-6),"")</f>
        <v/>
      </c>
      <c r="F77" s="77">
        <f>IF(INDEX(Undirviðmið!$G$6:$G$105,ROW()-6)="Starfsbundinn",IFERROR(INDEX(Undirviðmið!$E$6:$E$105,ROW()-6)*KVARDI,""),"")</f>
        <v/>
      </c>
      <c r="G77" s="66" t="n"/>
      <c r="H77" s="78">
        <f>IF(OR(INDEX(Undirviðmið!$G$6:$G$105,ROW()-6)&lt;&gt;"Starfsbundinn",G77="",$E77="",$D77=""),"",ROUND(G77/$E77*$D77*KVARDI,2))</f>
        <v/>
      </c>
      <c r="I77" s="66" t="n"/>
      <c r="J77" s="78">
        <f>IF(OR(INDEX(Undirviðmið!$G$6:$G$105,ROW()-6)&lt;&gt;"Starfsbundinn",I77="",$E77="",$D77=""),"",ROUND(I77/$E77*$D77*KVARDI,2))</f>
        <v/>
      </c>
      <c r="K77" s="66" t="n"/>
      <c r="L77" s="78">
        <f>IF(OR(INDEX(Undirviðmið!$G$6:$G$105,ROW()-6)&lt;&gt;"Starfsbundinn",K77="",$E77="",$D77=""),"",ROUND(K77/$E77*$D77*KVARDI,2))</f>
        <v/>
      </c>
      <c r="M77" s="66" t="n"/>
      <c r="N77" s="78">
        <f>IF(OR(INDEX(Undirviðmið!$G$6:$G$105,ROW()-6)&lt;&gt;"Starfsbundinn",M77="",$E77="",$D77=""),"",ROUND(M77/$E77*$D77*KVARDI,2))</f>
        <v/>
      </c>
      <c r="O77" s="66" t="n"/>
      <c r="P77" s="78">
        <f>IF(OR(INDEX(Undirviðmið!$G$6:$G$105,ROW()-6)&lt;&gt;"Starfsbundinn",O77="",$E77="",$D77=""),"",ROUND(O77/$E77*$D77*KVARDI,2))</f>
        <v/>
      </c>
      <c r="Q77" s="66" t="n"/>
      <c r="R77" s="78">
        <f>IF(OR(INDEX(Undirviðmið!$G$6:$G$105,ROW()-6)&lt;&gt;"Starfsbundinn",Q77="",$E77="",$D77=""),"",ROUND(Q77/$E77*$D77*KVARDI,2))</f>
        <v/>
      </c>
      <c r="S77" s="66" t="n"/>
      <c r="T77" s="78">
        <f>IF(OR(INDEX(Undirviðmið!$G$6:$G$105,ROW()-6)&lt;&gt;"Starfsbundinn",S77="",$E77="",$D77=""),"",ROUND(S77/$E77*$D77*KVARDI,2))</f>
        <v/>
      </c>
      <c r="U77" s="66" t="n"/>
      <c r="V77" s="78">
        <f>IF(OR(INDEX(Undirviðmið!$G$6:$G$105,ROW()-6)&lt;&gt;"Starfsbundinn",U77="",$E77="",$D77=""),"",ROUND(U77/$E77*$D77*KVARDI,2))</f>
        <v/>
      </c>
      <c r="W77" s="66" t="n"/>
      <c r="X77" s="78">
        <f>IF(OR(INDEX(Undirviðmið!$G$6:$G$105,ROW()-6)&lt;&gt;"Starfsbundinn",W77="",$E77="",$D77=""),"",ROUND(W77/$E77*$D77*KVARDI,2))</f>
        <v/>
      </c>
      <c r="Y77" s="66" t="n"/>
      <c r="Z77" s="78">
        <f>IF(OR(INDEX(Undirviðmið!$G$6:$G$105,ROW()-6)&lt;&gt;"Starfsbundinn",Y77="",$E77="",$D77=""),"",ROUND(Y77/$E77*$D77*KVARDI,2))</f>
        <v/>
      </c>
      <c r="AA77" s="66" t="n"/>
      <c r="AB77" s="78">
        <f>IF(OR(INDEX(Undirviðmið!$G$6:$G$105,ROW()-6)&lt;&gt;"Starfsbundinn",AA77="",$E77="",$D77=""),"",ROUND(AA77/$E77*$D77*KVARDI,2))</f>
        <v/>
      </c>
      <c r="AC77" s="66" t="n"/>
      <c r="AD77" s="78">
        <f>IF(OR(INDEX(Undirviðmið!$G$6:$G$105,ROW()-6)&lt;&gt;"Starfsbundinn",AC77="",$E77="",$D77=""),"",ROUND(AC77/$E77*$D77*KVARDI,2))</f>
        <v/>
      </c>
      <c r="AE77" s="66" t="n"/>
      <c r="AF77" s="78">
        <f>IF(OR(INDEX(Undirviðmið!$G$6:$G$105,ROW()-6)&lt;&gt;"Starfsbundinn",AE77="",$E77="",$D77=""),"",ROUND(AE77/$E77*$D77*KVARDI,2))</f>
        <v/>
      </c>
      <c r="AG77" s="66" t="n"/>
      <c r="AH77" s="78">
        <f>IF(OR(INDEX(Undirviðmið!$G$6:$G$105,ROW()-6)&lt;&gt;"Starfsbundinn",AG77="",$E77="",$D77=""),"",ROUND(AG77/$E77*$D77*KVARDI,2))</f>
        <v/>
      </c>
      <c r="AI77" s="66" t="n"/>
      <c r="AJ77" s="78">
        <f>IF(OR(INDEX(Undirviðmið!$G$6:$G$105,ROW()-6)&lt;&gt;"Starfsbundinn",AI77="",$E77="",$D77=""),"",ROUND(AI77/$E77*$D77*KVARDI,2))</f>
        <v/>
      </c>
      <c r="AK77" s="66" t="n"/>
      <c r="AL77" s="78">
        <f>IF(OR(INDEX(Undirviðmið!$G$6:$G$105,ROW()-6)&lt;&gt;"Starfsbundinn",AK77="",$E77="",$D77=""),"",ROUND(AK77/$E77*$D77*KVARDI,2))</f>
        <v/>
      </c>
      <c r="AM77" s="66" t="n"/>
      <c r="AN77" s="78">
        <f>IF(OR(INDEX(Undirviðmið!$G$6:$G$105,ROW()-6)&lt;&gt;"Starfsbundinn",AM77="",$E77="",$D77=""),"",ROUND(AM77/$E77*$D77*KVARDI,2))</f>
        <v/>
      </c>
      <c r="AO77" s="66" t="n"/>
      <c r="AP77" s="78">
        <f>IF(OR(INDEX(Undirviðmið!$G$6:$G$105,ROW()-6)&lt;&gt;"Starfsbundinn",AO77="",$E77="",$D77=""),"",ROUND(AO77/$E77*$D77*KVARDI,2))</f>
        <v/>
      </c>
      <c r="AQ77" s="66" t="n"/>
      <c r="AR77" s="78">
        <f>IF(OR(INDEX(Undirviðmið!$G$6:$G$105,ROW()-6)&lt;&gt;"Starfsbundinn",AQ77="",$E77="",$D77=""),"",ROUND(AQ77/$E77*$D77*KVARDI,2))</f>
        <v/>
      </c>
      <c r="AS77" s="66" t="n"/>
      <c r="AT77" s="78">
        <f>IF(OR(INDEX(Undirviðmið!$G$6:$G$105,ROW()-6)&lt;&gt;"Starfsbundinn",AS77="",$E77="",$D77=""),"",ROUND(AS77/$E77*$D77*KVARDI,2))</f>
        <v/>
      </c>
      <c r="AU77" s="66" t="n"/>
      <c r="AV77" s="78">
        <f>IF(OR(INDEX(Undirviðmið!$G$6:$G$105,ROW()-6)&lt;&gt;"Starfsbundinn",AU77="",$E77="",$D77=""),"",ROUND(AU77/$E77*$D77*KVARDI,2))</f>
        <v/>
      </c>
      <c r="AW77" s="66" t="n"/>
      <c r="AX77" s="78">
        <f>IF(OR(INDEX(Undirviðmið!$G$6:$G$105,ROW()-6)&lt;&gt;"Starfsbundinn",AW77="",$E77="",$D77=""),"",ROUND(AW77/$E77*$D77*KVARDI,2))</f>
        <v/>
      </c>
      <c r="AY77" s="66" t="n"/>
      <c r="AZ77" s="78">
        <f>IF(OR(INDEX(Undirviðmið!$G$6:$G$105,ROW()-6)&lt;&gt;"Starfsbundinn",AY77="",$E77="",$D77=""),"",ROUND(AY77/$E77*$D77*KVARDI,2))</f>
        <v/>
      </c>
      <c r="BA77" s="66" t="n"/>
      <c r="BB77" s="78">
        <f>IF(OR(INDEX(Undirviðmið!$G$6:$G$105,ROW()-6)&lt;&gt;"Starfsbundinn",BA77="",$E77="",$D77=""),"",ROUND(BA77/$E77*$D77*KVARDI,2))</f>
        <v/>
      </c>
      <c r="BC77" s="66" t="n"/>
      <c r="BD77" s="78">
        <f>IF(OR(INDEX(Undirviðmið!$G$6:$G$105,ROW()-6)&lt;&gt;"Starfsbundinn",BC77="",$E77="",$D77=""),"",ROUND(BC77/$E77*$D77*KVARDI,2))</f>
        <v/>
      </c>
      <c r="BE77" s="66" t="n"/>
      <c r="BF77" s="78">
        <f>IF(OR(INDEX(Undirviðmið!$G$6:$G$105,ROW()-6)&lt;&gt;"Starfsbundinn",BE77="",$E77="",$D77=""),"",ROUND(BE77/$E77*$D77*KVARDI,2))</f>
        <v/>
      </c>
      <c r="BG77" s="66" t="n"/>
      <c r="BH77" s="78">
        <f>IF(OR(INDEX(Undirviðmið!$G$6:$G$105,ROW()-6)&lt;&gt;"Starfsbundinn",BG77="",$E77="",$D77=""),"",ROUND(BG77/$E77*$D77*KVARDI,2))</f>
        <v/>
      </c>
      <c r="BI77" s="66" t="n"/>
      <c r="BJ77" s="78">
        <f>IF(OR(INDEX(Undirviðmið!$G$6:$G$105,ROW()-6)&lt;&gt;"Starfsbundinn",BI77="",$E77="",$D77=""),"",ROUND(BI77/$E77*$D77*KVARDI,2))</f>
        <v/>
      </c>
      <c r="BK77" s="66" t="n"/>
      <c r="BL77" s="78">
        <f>IF(OR(INDEX(Undirviðmið!$G$6:$G$105,ROW()-6)&lt;&gt;"Starfsbundinn",BK77="",$E77="",$D77=""),"",ROUND(BK77/$E77*$D77*KVARDI,2))</f>
        <v/>
      </c>
      <c r="BM77" s="66" t="n"/>
      <c r="BN77" s="78">
        <f>IF(OR(INDEX(Undirviðmið!$G$6:$G$105,ROW()-6)&lt;&gt;"Starfsbundinn",BM77="",$E77="",$D77=""),"",ROUND(BM77/$E77*$D77*KVARDI,2))</f>
        <v/>
      </c>
      <c r="BO77" s="66" t="n"/>
      <c r="BP77" s="78">
        <f>IF(OR(INDEX(Undirviðmið!$G$6:$G$105,ROW()-6)&lt;&gt;"Starfsbundinn",BO77="",$E77="",$D77=""),"",ROUND(BO77/$E77*$D77*KVARDI,2))</f>
        <v/>
      </c>
      <c r="BQ77" s="66" t="n"/>
      <c r="BR77" s="78">
        <f>IF(OR(INDEX(Undirviðmið!$G$6:$G$105,ROW()-6)&lt;&gt;"Starfsbundinn",BQ77="",$E77="",$D77=""),"",ROUND(BQ77/$E77*$D77*KVARDI,2))</f>
        <v/>
      </c>
      <c r="BS77" s="66" t="n"/>
      <c r="BT77" s="78">
        <f>IF(OR(INDEX(Undirviðmið!$G$6:$G$105,ROW()-6)&lt;&gt;"Starfsbundinn",BS77="",$E77="",$D77=""),"",ROUND(BS77/$E77*$D77*KVARDI,2))</f>
        <v/>
      </c>
      <c r="BU77" s="66" t="n"/>
      <c r="BV77" s="78">
        <f>IF(OR(INDEX(Undirviðmið!$G$6:$G$105,ROW()-6)&lt;&gt;"Starfsbundinn",BU77="",$E77="",$D77=""),"",ROUND(BU77/$E77*$D77*KVARDI,2))</f>
        <v/>
      </c>
      <c r="BW77" s="66" t="n"/>
      <c r="BX77" s="78">
        <f>IF(OR(INDEX(Undirviðmið!$G$6:$G$105,ROW()-6)&lt;&gt;"Starfsbundinn",BW77="",$E77="",$D77=""),"",ROUND(BW77/$E77*$D77*KVARDI,2))</f>
        <v/>
      </c>
      <c r="BY77" s="66" t="n"/>
      <c r="BZ77" s="78">
        <f>IF(OR(INDEX(Undirviðmið!$G$6:$G$105,ROW()-6)&lt;&gt;"Starfsbundinn",BY77="",$E77="",$D77=""),"",ROUND(BY77/$E77*$D77*KVARDI,2))</f>
        <v/>
      </c>
      <c r="CA77" s="66" t="n"/>
      <c r="CB77" s="78">
        <f>IF(OR(INDEX(Undirviðmið!$G$6:$G$105,ROW()-6)&lt;&gt;"Starfsbundinn",CA77="",$E77="",$D77=""),"",ROUND(CA77/$E77*$D77*KVARDI,2))</f>
        <v/>
      </c>
      <c r="CC77" s="66" t="n"/>
      <c r="CD77" s="78">
        <f>IF(OR(INDEX(Undirviðmið!$G$6:$G$105,ROW()-6)&lt;&gt;"Starfsbundinn",CC77="",$E77="",$D77=""),"",ROUND(CC77/$E77*$D77*KVARDI,2))</f>
        <v/>
      </c>
      <c r="CE77" s="66" t="n"/>
      <c r="CF77" s="78">
        <f>IF(OR(INDEX(Undirviðmið!$G$6:$G$105,ROW()-6)&lt;&gt;"Starfsbundinn",CE77="",$E77="",$D77=""),"",ROUND(CE77/$E77*$D77*KVARDI,2))</f>
        <v/>
      </c>
      <c r="CG77" s="66" t="n"/>
      <c r="CH77" s="78">
        <f>IF(OR(INDEX(Undirviðmið!$G$6:$G$105,ROW()-6)&lt;&gt;"Starfsbundinn",CG77="",$E77="",$D77=""),"",ROUND(CG77/$E77*$D77*KVARDI,2))</f>
        <v/>
      </c>
      <c r="CI77" s="66" t="n"/>
      <c r="CJ77" s="78">
        <f>IF(OR(INDEX(Undirviðmið!$G$6:$G$105,ROW()-6)&lt;&gt;"Starfsbundinn",CI77="",$E77="",$D77=""),"",ROUND(CI77/$E77*$D77*KVARDI,2))</f>
        <v/>
      </c>
      <c r="CK77" s="66" t="n"/>
      <c r="CL77" s="78">
        <f>IF(OR(INDEX(Undirviðmið!$G$6:$G$105,ROW()-6)&lt;&gt;"Starfsbundinn",CK77="",$E77="",$D77=""),"",ROUND(CK77/$E77*$D77*KVARDI,2))</f>
        <v/>
      </c>
      <c r="CM77" s="66" t="n"/>
      <c r="CN77" s="78">
        <f>IF(OR(INDEX(Undirviðmið!$G$6:$G$105,ROW()-6)&lt;&gt;"Starfsbundinn",CM77="",$E77="",$D77=""),"",ROUND(CM77/$E77*$D77*KVARDI,2))</f>
        <v/>
      </c>
      <c r="CO77" s="66" t="n"/>
      <c r="CP77" s="78">
        <f>IF(OR(INDEX(Undirviðmið!$G$6:$G$105,ROW()-6)&lt;&gt;"Starfsbundinn",CO77="",$E77="",$D77=""),"",ROUND(CO77/$E77*$D77*KVARDI,2))</f>
        <v/>
      </c>
      <c r="CQ77" s="66" t="n"/>
      <c r="CR77" s="78">
        <f>IF(OR(INDEX(Undirviðmið!$G$6:$G$105,ROW()-6)&lt;&gt;"Starfsbundinn",CQ77="",$E77="",$D77=""),"",ROUND(CQ77/$E77*$D77*KVARDI,2))</f>
        <v/>
      </c>
      <c r="CS77" s="66" t="n"/>
      <c r="CT77" s="78">
        <f>IF(OR(INDEX(Undirviðmið!$G$6:$G$105,ROW()-6)&lt;&gt;"Starfsbundinn",CS77="",$E77="",$D77=""),"",ROUND(CS77/$E77*$D77*KVARDI,2))</f>
        <v/>
      </c>
      <c r="CU77" s="66" t="n"/>
      <c r="CV77" s="78">
        <f>IF(OR(INDEX(Undirviðmið!$G$6:$G$105,ROW()-6)&lt;&gt;"Starfsbundinn",CU77="",$E77="",$D77=""),"",ROUND(CU77/$E77*$D77*KVARDI,2))</f>
        <v/>
      </c>
      <c r="CW77" s="66" t="n"/>
      <c r="CX77" s="78">
        <f>IF(OR(INDEX(Undirviðmið!$G$6:$G$105,ROW()-6)&lt;&gt;"Starfsbundinn",CW77="",$E77="",$D77=""),"",ROUND(CW77/$E77*$D77*KVARDI,2))</f>
        <v/>
      </c>
      <c r="CY77" s="66" t="n"/>
      <c r="CZ77" s="78">
        <f>IF(OR(INDEX(Undirviðmið!$G$6:$G$105,ROW()-6)&lt;&gt;"Starfsbundinn",CY77="",$E77="",$D77=""),"",ROUND(CY77/$E77*$D77*KVARDI,2))</f>
        <v/>
      </c>
      <c r="DA77" s="66" t="n"/>
      <c r="DB77" s="78">
        <f>IF(OR(INDEX(Undirviðmið!$G$6:$G$105,ROW()-6)&lt;&gt;"Starfsbundinn",DA77="",$E77="",$D77=""),"",ROUND(DA77/$E77*$D77*KVARDI,2))</f>
        <v/>
      </c>
      <c r="DC77" s="66" t="n"/>
      <c r="DD77" s="78">
        <f>IF(OR(INDEX(Undirviðmið!$G$6:$G$105,ROW()-6)&lt;&gt;"Starfsbundinn",DC77="",$E77="",$D77=""),"",ROUND(DC77/$E77*$D77*KVARDI,2))</f>
        <v/>
      </c>
      <c r="DE77" s="66" t="n"/>
      <c r="DF77" s="78">
        <f>IF(OR(INDEX(Undirviðmið!$G$6:$G$105,ROW()-6)&lt;&gt;"Starfsbundinn",DE77="",$E77="",$D77=""),"",ROUND(DE77/$E77*$D77*KVARDI,2))</f>
        <v/>
      </c>
      <c r="DG77" s="66" t="n"/>
      <c r="DH77" s="78">
        <f>IF(OR(INDEX(Undirviðmið!$G$6:$G$105,ROW()-6)&lt;&gt;"Starfsbundinn",DG77="",$E77="",$D77=""),"",ROUND(DG77/$E77*$D77*KVARDI,2))</f>
        <v/>
      </c>
      <c r="DI77" s="66" t="n"/>
      <c r="DJ77" s="78">
        <f>IF(OR(INDEX(Undirviðmið!$G$6:$G$105,ROW()-6)&lt;&gt;"Starfsbundinn",DI77="",$E77="",$D77=""),"",ROUND(DI77/$E77*$D77*KVARDI,2))</f>
        <v/>
      </c>
      <c r="DK77" s="66" t="n"/>
      <c r="DL77" s="78">
        <f>IF(OR(INDEX(Undirviðmið!$G$6:$G$105,ROW()-6)&lt;&gt;"Starfsbundinn",DK77="",$E77="",$D77=""),"",ROUND(DK77/$E77*$D77*KVARDI,2))</f>
        <v/>
      </c>
      <c r="DM77" s="66" t="n"/>
      <c r="DN77" s="78">
        <f>IF(OR(INDEX(Undirviðmið!$G$6:$G$105,ROW()-6)&lt;&gt;"Starfsbundinn",DM77="",$E77="",$D77=""),"",ROUND(DM77/$E77*$D77*KVARDI,2))</f>
        <v/>
      </c>
      <c r="DO77" s="66" t="n"/>
      <c r="DP77" s="78">
        <f>IF(OR(INDEX(Undirviðmið!$G$6:$G$105,ROW()-6)&lt;&gt;"Starfsbundinn",DO77="",$E77="",$D77=""),"",ROUND(DO77/$E77*$D77*KVARDI,2))</f>
        <v/>
      </c>
      <c r="DQ77" s="66" t="n"/>
      <c r="DR77" s="78">
        <f>IF(OR(INDEX(Undirviðmið!$G$6:$G$105,ROW()-6)&lt;&gt;"Starfsbundinn",DQ77="",$E77="",$D77=""),"",ROUND(DQ77/$E77*$D77*KVARDI,2))</f>
        <v/>
      </c>
      <c r="DS77" s="66" t="n"/>
      <c r="DT77" s="78">
        <f>IF(OR(INDEX(Undirviðmið!$G$6:$G$105,ROW()-6)&lt;&gt;"Starfsbundinn",DS77="",$E77="",$D77=""),"",ROUND(DS77/$E77*$D77*KVARDI,2))</f>
        <v/>
      </c>
      <c r="DU77" s="66" t="n"/>
      <c r="DV77" s="78">
        <f>IF(OR(INDEX(Undirviðmið!$G$6:$G$105,ROW()-6)&lt;&gt;"Starfsbundinn",DU77="",$E77="",$D77=""),"",ROUND(DU77/$E77*$D77*KVARDI,2))</f>
        <v/>
      </c>
      <c r="DW77" s="66" t="n"/>
      <c r="DX77" s="78">
        <f>IF(OR(INDEX(Undirviðmið!$G$6:$G$105,ROW()-6)&lt;&gt;"Starfsbundinn",DW77="",$E77="",$D77=""),"",ROUND(DW77/$E77*$D77*KVARDI,2))</f>
        <v/>
      </c>
      <c r="DY77" s="66" t="n"/>
      <c r="DZ77" s="78">
        <f>IF(OR(INDEX(Undirviðmið!$G$6:$G$105,ROW()-6)&lt;&gt;"Starfsbundinn",DY77="",$E77="",$D77=""),"",ROUND(DY77/$E77*$D77*KVARDI,2))</f>
        <v/>
      </c>
      <c r="EA77" s="66" t="n"/>
      <c r="EB77" s="78">
        <f>IF(OR(INDEX(Undirviðmið!$G$6:$G$105,ROW()-6)&lt;&gt;"Starfsbundinn",EA77="",$E77="",$D77=""),"",ROUND(EA77/$E77*$D77*KVARDI,2))</f>
        <v/>
      </c>
      <c r="EC77" s="66" t="n"/>
      <c r="ED77" s="78">
        <f>IF(OR(INDEX(Undirviðmið!$G$6:$G$105,ROW()-6)&lt;&gt;"Starfsbundinn",EC77="",$E77="",$D77=""),"",ROUND(EC77/$E77*$D77*KVARDI,2))</f>
        <v/>
      </c>
      <c r="EE77" s="66" t="n"/>
      <c r="EF77" s="78">
        <f>IF(OR(INDEX(Undirviðmið!$G$6:$G$105,ROW()-6)&lt;&gt;"Starfsbundinn",EE77="",$E77="",$D77=""),"",ROUND(EE77/$E77*$D77*KVARDI,2))</f>
        <v/>
      </c>
      <c r="EG77" s="66" t="n"/>
      <c r="EH77" s="78">
        <f>IF(OR(INDEX(Undirviðmið!$G$6:$G$105,ROW()-6)&lt;&gt;"Starfsbundinn",EG77="",$E77="",$D77=""),"",ROUND(EG77/$E77*$D77*KVARDI,2))</f>
        <v/>
      </c>
      <c r="EI77" s="66" t="n"/>
      <c r="EJ77" s="78">
        <f>IF(OR(INDEX(Undirviðmið!$G$6:$G$105,ROW()-6)&lt;&gt;"Starfsbundinn",EI77="",$E77="",$D77=""),"",ROUND(EI77/$E77*$D77*KVARDI,2))</f>
        <v/>
      </c>
      <c r="EK77" s="66" t="n"/>
      <c r="EL77" s="78">
        <f>IF(OR(INDEX(Undirviðmið!$G$6:$G$105,ROW()-6)&lt;&gt;"Starfsbundinn",EK77="",$E77="",$D77=""),"",ROUND(EK77/$E77*$D77*KVARDI,2))</f>
        <v/>
      </c>
      <c r="EM77" s="66" t="n"/>
      <c r="EN77" s="78">
        <f>IF(OR(INDEX(Undirviðmið!$G$6:$G$105,ROW()-6)&lt;&gt;"Starfsbundinn",EM77="",$E77="",$D77=""),"",ROUND(EM77/$E77*$D77*KVARDI,2))</f>
        <v/>
      </c>
      <c r="EO77" s="66" t="n"/>
      <c r="EP77" s="78">
        <f>IF(OR(INDEX(Undirviðmið!$G$6:$G$105,ROW()-6)&lt;&gt;"Starfsbundinn",EO77="",$E77="",$D77=""),"",ROUND(EO77/$E77*$D77*KVARDI,2))</f>
        <v/>
      </c>
      <c r="EQ77" s="66" t="n"/>
      <c r="ER77" s="78">
        <f>IF(OR(INDEX(Undirviðmið!$G$6:$G$105,ROW()-6)&lt;&gt;"Starfsbundinn",EQ77="",$E77="",$D77=""),"",ROUND(EQ77/$E77*$D77*KVARDI,2))</f>
        <v/>
      </c>
      <c r="ES77" s="66" t="n"/>
      <c r="ET77" s="78">
        <f>IF(OR(INDEX(Undirviðmið!$G$6:$G$105,ROW()-6)&lt;&gt;"Starfsbundinn",ES77="",$E77="",$D77=""),"",ROUND(ES77/$E77*$D77*KVARDI,2))</f>
        <v/>
      </c>
      <c r="EU77" s="66" t="n"/>
      <c r="EV77" s="78">
        <f>IF(OR(INDEX(Undirviðmið!$G$6:$G$105,ROW()-6)&lt;&gt;"Starfsbundinn",EU77="",$E77="",$D77=""),"",ROUND(EU77/$E77*$D77*KVARDI,2))</f>
        <v/>
      </c>
      <c r="EW77" s="66" t="n"/>
      <c r="EX77" s="78">
        <f>IF(OR(INDEX(Undirviðmið!$G$6:$G$105,ROW()-6)&lt;&gt;"Starfsbundinn",EW77="",$E77="",$D77=""),"",ROUND(EW77/$E77*$D77*KVARDI,2))</f>
        <v/>
      </c>
      <c r="EY77" s="66" t="n"/>
      <c r="EZ77" s="78">
        <f>IF(OR(INDEX(Undirviðmið!$G$6:$G$105,ROW()-6)&lt;&gt;"Starfsbundinn",EY77="",$E77="",$D77=""),"",ROUND(EY77/$E77*$D77*KVARDI,2))</f>
        <v/>
      </c>
      <c r="FA77" s="66" t="n"/>
      <c r="FB77" s="78">
        <f>IF(OR(INDEX(Undirviðmið!$G$6:$G$105,ROW()-6)&lt;&gt;"Starfsbundinn",FA77="",$E77="",$D77=""),"",ROUND(FA77/$E77*$D77*KVARDI,2))</f>
        <v/>
      </c>
      <c r="FC77" s="66" t="n"/>
      <c r="FD77" s="78">
        <f>IF(OR(INDEX(Undirviðmið!$G$6:$G$105,ROW()-6)&lt;&gt;"Starfsbundinn",FC77="",$E77="",$D77=""),"",ROUND(FC77/$E77*$D77*KVARDI,2))</f>
        <v/>
      </c>
      <c r="FE77" s="66" t="n"/>
      <c r="FF77" s="78">
        <f>IF(OR(INDEX(Undirviðmið!$G$6:$G$105,ROW()-6)&lt;&gt;"Starfsbundinn",FE77="",$E77="",$D77=""),"",ROUND(FE77/$E77*$D77*KVARDI,2))</f>
        <v/>
      </c>
      <c r="FG77" s="66" t="n"/>
      <c r="FH77" s="78">
        <f>IF(OR(INDEX(Undirviðmið!$G$6:$G$105,ROW()-6)&lt;&gt;"Starfsbundinn",FG77="",$E77="",$D77=""),"",ROUND(FG77/$E77*$D77*KVARDI,2))</f>
        <v/>
      </c>
      <c r="FI77" s="66" t="n"/>
      <c r="FJ77" s="78">
        <f>IF(OR(INDEX(Undirviðmið!$G$6:$G$105,ROW()-6)&lt;&gt;"Starfsbundinn",FI77="",$E77="",$D77=""),"",ROUND(FI77/$E77*$D77*KVARDI,2))</f>
        <v/>
      </c>
      <c r="FK77" s="66" t="n"/>
      <c r="FL77" s="78">
        <f>IF(OR(INDEX(Undirviðmið!$G$6:$G$105,ROW()-6)&lt;&gt;"Starfsbundinn",FK77="",$E77="",$D77=""),"",ROUND(FK77/$E77*$D77*KVARDI,2))</f>
        <v/>
      </c>
      <c r="FM77" s="66" t="n"/>
      <c r="FN77" s="78">
        <f>IF(OR(INDEX(Undirviðmið!$G$6:$G$105,ROW()-6)&lt;&gt;"Starfsbundinn",FM77="",$E77="",$D77=""),"",ROUND(FM77/$E77*$D77*KVARDI,2))</f>
        <v/>
      </c>
      <c r="FO77" s="66" t="n"/>
      <c r="FP77" s="78">
        <f>IF(OR(INDEX(Undirviðmið!$G$6:$G$105,ROW()-6)&lt;&gt;"Starfsbundinn",FO77="",$E77="",$D77=""),"",ROUND(FO77/$E77*$D77*KVARDI,2))</f>
        <v/>
      </c>
      <c r="FQ77" s="66" t="n"/>
      <c r="FR77" s="78">
        <f>IF(OR(INDEX(Undirviðmið!$G$6:$G$105,ROW()-6)&lt;&gt;"Starfsbundinn",FQ77="",$E77="",$D77=""),"",ROUND(FQ77/$E77*$D77*KVARDI,2))</f>
        <v/>
      </c>
      <c r="FS77" s="66" t="n"/>
      <c r="FT77" s="78">
        <f>IF(OR(INDEX(Undirviðmið!$G$6:$G$105,ROW()-6)&lt;&gt;"Starfsbundinn",FS77="",$E77="",$D77=""),"",ROUND(FS77/$E77*$D77*KVARDI,2))</f>
        <v/>
      </c>
      <c r="FU77" s="66" t="n"/>
      <c r="FV77" s="78">
        <f>IF(OR(INDEX(Undirviðmið!$G$6:$G$105,ROW()-6)&lt;&gt;"Starfsbundinn",FU77="",$E77="",$D77=""),"",ROUND(FU77/$E77*$D77*KVARDI,2))</f>
        <v/>
      </c>
      <c r="FW77" s="66" t="n"/>
      <c r="FX77" s="78">
        <f>IF(OR(INDEX(Undirviðmið!$G$6:$G$105,ROW()-6)&lt;&gt;"Starfsbundinn",FW77="",$E77="",$D77=""),"",ROUND(FW77/$E77*$D77*KVARDI,2))</f>
        <v/>
      </c>
      <c r="FY77" s="66" t="n"/>
      <c r="FZ77" s="78">
        <f>IF(OR(INDEX(Undirviðmið!$G$6:$G$105,ROW()-6)&lt;&gt;"Starfsbundinn",FY77="",$E77="",$D77=""),"",ROUND(FY77/$E77*$D77*KVARDI,2))</f>
        <v/>
      </c>
      <c r="GA77" s="66" t="n"/>
      <c r="GB77" s="78">
        <f>IF(OR(INDEX(Undirviðmið!$G$6:$G$105,ROW()-6)&lt;&gt;"Starfsbundinn",GA77="",$E77="",$D77=""),"",ROUND(GA77/$E77*$D77*KVARDI,2))</f>
        <v/>
      </c>
      <c r="GC77" s="66" t="n"/>
      <c r="GD77" s="78">
        <f>IF(OR(INDEX(Undirviðmið!$G$6:$G$105,ROW()-6)&lt;&gt;"Starfsbundinn",GC77="",$E77="",$D77=""),"",ROUND(GC77/$E77*$D77*KVARDI,2))</f>
        <v/>
      </c>
      <c r="GE77" s="66" t="n"/>
      <c r="GF77" s="78">
        <f>IF(OR(INDEX(Undirviðmið!$G$6:$G$105,ROW()-6)&lt;&gt;"Starfsbundinn",GE77="",$E77="",$D77=""),"",ROUND(GE77/$E77*$D77*KVARDI,2))</f>
        <v/>
      </c>
      <c r="GG77" s="66" t="n"/>
      <c r="GH77" s="78">
        <f>IF(OR(INDEX(Undirviðmið!$G$6:$G$105,ROW()-6)&lt;&gt;"Starfsbundinn",GG77="",$E77="",$D77=""),"",ROUND(GG77/$E77*$D77*KVARDI,2))</f>
        <v/>
      </c>
      <c r="GI77" s="66" t="n"/>
      <c r="GJ77" s="78">
        <f>IF(OR(INDEX(Undirviðmið!$G$6:$G$105,ROW()-6)&lt;&gt;"Starfsbundinn",GI77="",$E77="",$D77=""),"",ROUND(GI77/$E77*$D77*KVARDI,2))</f>
        <v/>
      </c>
      <c r="GK77" s="66" t="n"/>
      <c r="GL77" s="78">
        <f>IF(OR(INDEX(Undirviðmið!$G$6:$G$105,ROW()-6)&lt;&gt;"Starfsbundinn",GK77="",$E77="",$D77=""),"",ROUND(GK77/$E77*$D77*KVARDI,2))</f>
        <v/>
      </c>
      <c r="GM77" s="66" t="n"/>
      <c r="GN77" s="78">
        <f>IF(OR(INDEX(Undirviðmið!$G$6:$G$105,ROW()-6)&lt;&gt;"Starfsbundinn",GM77="",$E77="",$D77=""),"",ROUND(GM77/$E77*$D77*KVARDI,2))</f>
        <v/>
      </c>
      <c r="GO77" s="66" t="n"/>
      <c r="GP77" s="78">
        <f>IF(OR(INDEX(Undirviðmið!$G$6:$G$105,ROW()-6)&lt;&gt;"Starfsbundinn",GO77="",$E77="",$D77=""),"",ROUND(GO77/$E77*$D77*KVARDI,2))</f>
        <v/>
      </c>
      <c r="GQ77" s="66" t="n"/>
      <c r="GR77" s="78">
        <f>IF(OR(INDEX(Undirviðmið!$G$6:$G$105,ROW()-6)&lt;&gt;"Starfsbundinn",GQ77="",$E77="",$D77=""),"",ROUND(GQ77/$E77*$D77*KVARDI,2))</f>
        <v/>
      </c>
      <c r="GS77" s="66" t="n"/>
      <c r="GT77" s="78">
        <f>IF(OR(INDEX(Undirviðmið!$G$6:$G$105,ROW()-6)&lt;&gt;"Starfsbundinn",GS77="",$E77="",$D77=""),"",ROUND(GS77/$E77*$D77*KVARDI,2))</f>
        <v/>
      </c>
      <c r="GU77" s="66" t="n"/>
      <c r="GV77" s="78">
        <f>IF(OR(INDEX(Undirviðmið!$G$6:$G$105,ROW()-6)&lt;&gt;"Starfsbundinn",GU77="",$E77="",$D77=""),"",ROUND(GU77/$E77*$D77*KVARDI,2))</f>
        <v/>
      </c>
      <c r="GW77" s="66" t="n"/>
      <c r="GX77" s="78">
        <f>IF(OR(INDEX(Undirviðmið!$G$6:$G$105,ROW()-6)&lt;&gt;"Starfsbundinn",GW77="",$E77="",$D77=""),"",ROUND(GW77/$E77*$D77*KVARDI,2))</f>
        <v/>
      </c>
    </row>
    <row r="78" ht="15" customHeight="1" s="47">
      <c r="B78" s="67">
        <f>IF(INDEX(Undirviðmið!$G$6:$G$105,ROW()-6)="Starfsbundinn",INDEX(Undirviðmið!$B$6:$B$105,ROW()-6),"")</f>
        <v/>
      </c>
      <c r="C78" s="67">
        <f>IF(INDEX(Undirviðmið!$G$6:$G$105,ROW()-6)="Starfsbundinn",INDEX(Undirviðmið!$C$6:$C$105,ROW()-6),"")</f>
        <v/>
      </c>
      <c r="D78" s="77">
        <f>IF(INDEX(Undirviðmið!$G$6:$G$105,ROW()-6)="Starfsbundinn",INDEX(Undirviðmið!$E$6:$E$105,ROW()-6),"")</f>
        <v/>
      </c>
      <c r="E78" s="77">
        <f>IF(INDEX(Undirviðmið!$G$6:$G$105,ROW()-6)="Starfsbundinn",INDEX(Undirviðmið!$F$6:$F$105,ROW()-6),"")</f>
        <v/>
      </c>
      <c r="F78" s="77">
        <f>IF(INDEX(Undirviðmið!$G$6:$G$105,ROW()-6)="Starfsbundinn",IFERROR(INDEX(Undirviðmið!$E$6:$E$105,ROW()-6)*KVARDI,""),"")</f>
        <v/>
      </c>
      <c r="G78" s="66" t="n"/>
      <c r="H78" s="78">
        <f>IF(OR(INDEX(Undirviðmið!$G$6:$G$105,ROW()-6)&lt;&gt;"Starfsbundinn",G78="",$E78="",$D78=""),"",ROUND(G78/$E78*$D78*KVARDI,2))</f>
        <v/>
      </c>
      <c r="I78" s="66" t="n"/>
      <c r="J78" s="78">
        <f>IF(OR(INDEX(Undirviðmið!$G$6:$G$105,ROW()-6)&lt;&gt;"Starfsbundinn",I78="",$E78="",$D78=""),"",ROUND(I78/$E78*$D78*KVARDI,2))</f>
        <v/>
      </c>
      <c r="K78" s="66" t="n"/>
      <c r="L78" s="78">
        <f>IF(OR(INDEX(Undirviðmið!$G$6:$G$105,ROW()-6)&lt;&gt;"Starfsbundinn",K78="",$E78="",$D78=""),"",ROUND(K78/$E78*$D78*KVARDI,2))</f>
        <v/>
      </c>
      <c r="M78" s="66" t="n"/>
      <c r="N78" s="78">
        <f>IF(OR(INDEX(Undirviðmið!$G$6:$G$105,ROW()-6)&lt;&gt;"Starfsbundinn",M78="",$E78="",$D78=""),"",ROUND(M78/$E78*$D78*KVARDI,2))</f>
        <v/>
      </c>
      <c r="O78" s="66" t="n"/>
      <c r="P78" s="78">
        <f>IF(OR(INDEX(Undirviðmið!$G$6:$G$105,ROW()-6)&lt;&gt;"Starfsbundinn",O78="",$E78="",$D78=""),"",ROUND(O78/$E78*$D78*KVARDI,2))</f>
        <v/>
      </c>
      <c r="Q78" s="66" t="n"/>
      <c r="R78" s="78">
        <f>IF(OR(INDEX(Undirviðmið!$G$6:$G$105,ROW()-6)&lt;&gt;"Starfsbundinn",Q78="",$E78="",$D78=""),"",ROUND(Q78/$E78*$D78*KVARDI,2))</f>
        <v/>
      </c>
      <c r="S78" s="66" t="n"/>
      <c r="T78" s="78">
        <f>IF(OR(INDEX(Undirviðmið!$G$6:$G$105,ROW()-6)&lt;&gt;"Starfsbundinn",S78="",$E78="",$D78=""),"",ROUND(S78/$E78*$D78*KVARDI,2))</f>
        <v/>
      </c>
      <c r="U78" s="66" t="n"/>
      <c r="V78" s="78">
        <f>IF(OR(INDEX(Undirviðmið!$G$6:$G$105,ROW()-6)&lt;&gt;"Starfsbundinn",U78="",$E78="",$D78=""),"",ROUND(U78/$E78*$D78*KVARDI,2))</f>
        <v/>
      </c>
      <c r="W78" s="66" t="n"/>
      <c r="X78" s="78">
        <f>IF(OR(INDEX(Undirviðmið!$G$6:$G$105,ROW()-6)&lt;&gt;"Starfsbundinn",W78="",$E78="",$D78=""),"",ROUND(W78/$E78*$D78*KVARDI,2))</f>
        <v/>
      </c>
      <c r="Y78" s="66" t="n"/>
      <c r="Z78" s="78">
        <f>IF(OR(INDEX(Undirviðmið!$G$6:$G$105,ROW()-6)&lt;&gt;"Starfsbundinn",Y78="",$E78="",$D78=""),"",ROUND(Y78/$E78*$D78*KVARDI,2))</f>
        <v/>
      </c>
      <c r="AA78" s="66" t="n"/>
      <c r="AB78" s="78">
        <f>IF(OR(INDEX(Undirviðmið!$G$6:$G$105,ROW()-6)&lt;&gt;"Starfsbundinn",AA78="",$E78="",$D78=""),"",ROUND(AA78/$E78*$D78*KVARDI,2))</f>
        <v/>
      </c>
      <c r="AC78" s="66" t="n"/>
      <c r="AD78" s="78">
        <f>IF(OR(INDEX(Undirviðmið!$G$6:$G$105,ROW()-6)&lt;&gt;"Starfsbundinn",AC78="",$E78="",$D78=""),"",ROUND(AC78/$E78*$D78*KVARDI,2))</f>
        <v/>
      </c>
      <c r="AE78" s="66" t="n"/>
      <c r="AF78" s="78">
        <f>IF(OR(INDEX(Undirviðmið!$G$6:$G$105,ROW()-6)&lt;&gt;"Starfsbundinn",AE78="",$E78="",$D78=""),"",ROUND(AE78/$E78*$D78*KVARDI,2))</f>
        <v/>
      </c>
      <c r="AG78" s="66" t="n"/>
      <c r="AH78" s="78">
        <f>IF(OR(INDEX(Undirviðmið!$G$6:$G$105,ROW()-6)&lt;&gt;"Starfsbundinn",AG78="",$E78="",$D78=""),"",ROUND(AG78/$E78*$D78*KVARDI,2))</f>
        <v/>
      </c>
      <c r="AI78" s="66" t="n"/>
      <c r="AJ78" s="78">
        <f>IF(OR(INDEX(Undirviðmið!$G$6:$G$105,ROW()-6)&lt;&gt;"Starfsbundinn",AI78="",$E78="",$D78=""),"",ROUND(AI78/$E78*$D78*KVARDI,2))</f>
        <v/>
      </c>
      <c r="AK78" s="66" t="n"/>
      <c r="AL78" s="78">
        <f>IF(OR(INDEX(Undirviðmið!$G$6:$G$105,ROW()-6)&lt;&gt;"Starfsbundinn",AK78="",$E78="",$D78=""),"",ROUND(AK78/$E78*$D78*KVARDI,2))</f>
        <v/>
      </c>
      <c r="AM78" s="66" t="n"/>
      <c r="AN78" s="78">
        <f>IF(OR(INDEX(Undirviðmið!$G$6:$G$105,ROW()-6)&lt;&gt;"Starfsbundinn",AM78="",$E78="",$D78=""),"",ROUND(AM78/$E78*$D78*KVARDI,2))</f>
        <v/>
      </c>
      <c r="AO78" s="66" t="n"/>
      <c r="AP78" s="78">
        <f>IF(OR(INDEX(Undirviðmið!$G$6:$G$105,ROW()-6)&lt;&gt;"Starfsbundinn",AO78="",$E78="",$D78=""),"",ROUND(AO78/$E78*$D78*KVARDI,2))</f>
        <v/>
      </c>
      <c r="AQ78" s="66" t="n"/>
      <c r="AR78" s="78">
        <f>IF(OR(INDEX(Undirviðmið!$G$6:$G$105,ROW()-6)&lt;&gt;"Starfsbundinn",AQ78="",$E78="",$D78=""),"",ROUND(AQ78/$E78*$D78*KVARDI,2))</f>
        <v/>
      </c>
      <c r="AS78" s="66" t="n"/>
      <c r="AT78" s="78">
        <f>IF(OR(INDEX(Undirviðmið!$G$6:$G$105,ROW()-6)&lt;&gt;"Starfsbundinn",AS78="",$E78="",$D78=""),"",ROUND(AS78/$E78*$D78*KVARDI,2))</f>
        <v/>
      </c>
      <c r="AU78" s="66" t="n"/>
      <c r="AV78" s="78">
        <f>IF(OR(INDEX(Undirviðmið!$G$6:$G$105,ROW()-6)&lt;&gt;"Starfsbundinn",AU78="",$E78="",$D78=""),"",ROUND(AU78/$E78*$D78*KVARDI,2))</f>
        <v/>
      </c>
      <c r="AW78" s="66" t="n"/>
      <c r="AX78" s="78">
        <f>IF(OR(INDEX(Undirviðmið!$G$6:$G$105,ROW()-6)&lt;&gt;"Starfsbundinn",AW78="",$E78="",$D78=""),"",ROUND(AW78/$E78*$D78*KVARDI,2))</f>
        <v/>
      </c>
      <c r="AY78" s="66" t="n"/>
      <c r="AZ78" s="78">
        <f>IF(OR(INDEX(Undirviðmið!$G$6:$G$105,ROW()-6)&lt;&gt;"Starfsbundinn",AY78="",$E78="",$D78=""),"",ROUND(AY78/$E78*$D78*KVARDI,2))</f>
        <v/>
      </c>
      <c r="BA78" s="66" t="n"/>
      <c r="BB78" s="78">
        <f>IF(OR(INDEX(Undirviðmið!$G$6:$G$105,ROW()-6)&lt;&gt;"Starfsbundinn",BA78="",$E78="",$D78=""),"",ROUND(BA78/$E78*$D78*KVARDI,2))</f>
        <v/>
      </c>
      <c r="BC78" s="66" t="n"/>
      <c r="BD78" s="78">
        <f>IF(OR(INDEX(Undirviðmið!$G$6:$G$105,ROW()-6)&lt;&gt;"Starfsbundinn",BC78="",$E78="",$D78=""),"",ROUND(BC78/$E78*$D78*KVARDI,2))</f>
        <v/>
      </c>
      <c r="BE78" s="66" t="n"/>
      <c r="BF78" s="78">
        <f>IF(OR(INDEX(Undirviðmið!$G$6:$G$105,ROW()-6)&lt;&gt;"Starfsbundinn",BE78="",$E78="",$D78=""),"",ROUND(BE78/$E78*$D78*KVARDI,2))</f>
        <v/>
      </c>
      <c r="BG78" s="66" t="n"/>
      <c r="BH78" s="78">
        <f>IF(OR(INDEX(Undirviðmið!$G$6:$G$105,ROW()-6)&lt;&gt;"Starfsbundinn",BG78="",$E78="",$D78=""),"",ROUND(BG78/$E78*$D78*KVARDI,2))</f>
        <v/>
      </c>
      <c r="BI78" s="66" t="n"/>
      <c r="BJ78" s="78">
        <f>IF(OR(INDEX(Undirviðmið!$G$6:$G$105,ROW()-6)&lt;&gt;"Starfsbundinn",BI78="",$E78="",$D78=""),"",ROUND(BI78/$E78*$D78*KVARDI,2))</f>
        <v/>
      </c>
      <c r="BK78" s="66" t="n"/>
      <c r="BL78" s="78">
        <f>IF(OR(INDEX(Undirviðmið!$G$6:$G$105,ROW()-6)&lt;&gt;"Starfsbundinn",BK78="",$E78="",$D78=""),"",ROUND(BK78/$E78*$D78*KVARDI,2))</f>
        <v/>
      </c>
      <c r="BM78" s="66" t="n"/>
      <c r="BN78" s="78">
        <f>IF(OR(INDEX(Undirviðmið!$G$6:$G$105,ROW()-6)&lt;&gt;"Starfsbundinn",BM78="",$E78="",$D78=""),"",ROUND(BM78/$E78*$D78*KVARDI,2))</f>
        <v/>
      </c>
      <c r="BO78" s="66" t="n"/>
      <c r="BP78" s="78">
        <f>IF(OR(INDEX(Undirviðmið!$G$6:$G$105,ROW()-6)&lt;&gt;"Starfsbundinn",BO78="",$E78="",$D78=""),"",ROUND(BO78/$E78*$D78*KVARDI,2))</f>
        <v/>
      </c>
      <c r="BQ78" s="66" t="n"/>
      <c r="BR78" s="78">
        <f>IF(OR(INDEX(Undirviðmið!$G$6:$G$105,ROW()-6)&lt;&gt;"Starfsbundinn",BQ78="",$E78="",$D78=""),"",ROUND(BQ78/$E78*$D78*KVARDI,2))</f>
        <v/>
      </c>
      <c r="BS78" s="66" t="n"/>
      <c r="BT78" s="78">
        <f>IF(OR(INDEX(Undirviðmið!$G$6:$G$105,ROW()-6)&lt;&gt;"Starfsbundinn",BS78="",$E78="",$D78=""),"",ROUND(BS78/$E78*$D78*KVARDI,2))</f>
        <v/>
      </c>
      <c r="BU78" s="66" t="n"/>
      <c r="BV78" s="78">
        <f>IF(OR(INDEX(Undirviðmið!$G$6:$G$105,ROW()-6)&lt;&gt;"Starfsbundinn",BU78="",$E78="",$D78=""),"",ROUND(BU78/$E78*$D78*KVARDI,2))</f>
        <v/>
      </c>
      <c r="BW78" s="66" t="n"/>
      <c r="BX78" s="78">
        <f>IF(OR(INDEX(Undirviðmið!$G$6:$G$105,ROW()-6)&lt;&gt;"Starfsbundinn",BW78="",$E78="",$D78=""),"",ROUND(BW78/$E78*$D78*KVARDI,2))</f>
        <v/>
      </c>
      <c r="BY78" s="66" t="n"/>
      <c r="BZ78" s="78">
        <f>IF(OR(INDEX(Undirviðmið!$G$6:$G$105,ROW()-6)&lt;&gt;"Starfsbundinn",BY78="",$E78="",$D78=""),"",ROUND(BY78/$E78*$D78*KVARDI,2))</f>
        <v/>
      </c>
      <c r="CA78" s="66" t="n"/>
      <c r="CB78" s="78">
        <f>IF(OR(INDEX(Undirviðmið!$G$6:$G$105,ROW()-6)&lt;&gt;"Starfsbundinn",CA78="",$E78="",$D78=""),"",ROUND(CA78/$E78*$D78*KVARDI,2))</f>
        <v/>
      </c>
      <c r="CC78" s="66" t="n"/>
      <c r="CD78" s="78">
        <f>IF(OR(INDEX(Undirviðmið!$G$6:$G$105,ROW()-6)&lt;&gt;"Starfsbundinn",CC78="",$E78="",$D78=""),"",ROUND(CC78/$E78*$D78*KVARDI,2))</f>
        <v/>
      </c>
      <c r="CE78" s="66" t="n"/>
      <c r="CF78" s="78">
        <f>IF(OR(INDEX(Undirviðmið!$G$6:$G$105,ROW()-6)&lt;&gt;"Starfsbundinn",CE78="",$E78="",$D78=""),"",ROUND(CE78/$E78*$D78*KVARDI,2))</f>
        <v/>
      </c>
      <c r="CG78" s="66" t="n"/>
      <c r="CH78" s="78">
        <f>IF(OR(INDEX(Undirviðmið!$G$6:$G$105,ROW()-6)&lt;&gt;"Starfsbundinn",CG78="",$E78="",$D78=""),"",ROUND(CG78/$E78*$D78*KVARDI,2))</f>
        <v/>
      </c>
      <c r="CI78" s="66" t="n"/>
      <c r="CJ78" s="78">
        <f>IF(OR(INDEX(Undirviðmið!$G$6:$G$105,ROW()-6)&lt;&gt;"Starfsbundinn",CI78="",$E78="",$D78=""),"",ROUND(CI78/$E78*$D78*KVARDI,2))</f>
        <v/>
      </c>
      <c r="CK78" s="66" t="n"/>
      <c r="CL78" s="78">
        <f>IF(OR(INDEX(Undirviðmið!$G$6:$G$105,ROW()-6)&lt;&gt;"Starfsbundinn",CK78="",$E78="",$D78=""),"",ROUND(CK78/$E78*$D78*KVARDI,2))</f>
        <v/>
      </c>
      <c r="CM78" s="66" t="n"/>
      <c r="CN78" s="78">
        <f>IF(OR(INDEX(Undirviðmið!$G$6:$G$105,ROW()-6)&lt;&gt;"Starfsbundinn",CM78="",$E78="",$D78=""),"",ROUND(CM78/$E78*$D78*KVARDI,2))</f>
        <v/>
      </c>
      <c r="CO78" s="66" t="n"/>
      <c r="CP78" s="78">
        <f>IF(OR(INDEX(Undirviðmið!$G$6:$G$105,ROW()-6)&lt;&gt;"Starfsbundinn",CO78="",$E78="",$D78=""),"",ROUND(CO78/$E78*$D78*KVARDI,2))</f>
        <v/>
      </c>
      <c r="CQ78" s="66" t="n"/>
      <c r="CR78" s="78">
        <f>IF(OR(INDEX(Undirviðmið!$G$6:$G$105,ROW()-6)&lt;&gt;"Starfsbundinn",CQ78="",$E78="",$D78=""),"",ROUND(CQ78/$E78*$D78*KVARDI,2))</f>
        <v/>
      </c>
      <c r="CS78" s="66" t="n"/>
      <c r="CT78" s="78">
        <f>IF(OR(INDEX(Undirviðmið!$G$6:$G$105,ROW()-6)&lt;&gt;"Starfsbundinn",CS78="",$E78="",$D78=""),"",ROUND(CS78/$E78*$D78*KVARDI,2))</f>
        <v/>
      </c>
      <c r="CU78" s="66" t="n"/>
      <c r="CV78" s="78">
        <f>IF(OR(INDEX(Undirviðmið!$G$6:$G$105,ROW()-6)&lt;&gt;"Starfsbundinn",CU78="",$E78="",$D78=""),"",ROUND(CU78/$E78*$D78*KVARDI,2))</f>
        <v/>
      </c>
      <c r="CW78" s="66" t="n"/>
      <c r="CX78" s="78">
        <f>IF(OR(INDEX(Undirviðmið!$G$6:$G$105,ROW()-6)&lt;&gt;"Starfsbundinn",CW78="",$E78="",$D78=""),"",ROUND(CW78/$E78*$D78*KVARDI,2))</f>
        <v/>
      </c>
      <c r="CY78" s="66" t="n"/>
      <c r="CZ78" s="78">
        <f>IF(OR(INDEX(Undirviðmið!$G$6:$G$105,ROW()-6)&lt;&gt;"Starfsbundinn",CY78="",$E78="",$D78=""),"",ROUND(CY78/$E78*$D78*KVARDI,2))</f>
        <v/>
      </c>
      <c r="DA78" s="66" t="n"/>
      <c r="DB78" s="78">
        <f>IF(OR(INDEX(Undirviðmið!$G$6:$G$105,ROW()-6)&lt;&gt;"Starfsbundinn",DA78="",$E78="",$D78=""),"",ROUND(DA78/$E78*$D78*KVARDI,2))</f>
        <v/>
      </c>
      <c r="DC78" s="66" t="n"/>
      <c r="DD78" s="78">
        <f>IF(OR(INDEX(Undirviðmið!$G$6:$G$105,ROW()-6)&lt;&gt;"Starfsbundinn",DC78="",$E78="",$D78=""),"",ROUND(DC78/$E78*$D78*KVARDI,2))</f>
        <v/>
      </c>
      <c r="DE78" s="66" t="n"/>
      <c r="DF78" s="78">
        <f>IF(OR(INDEX(Undirviðmið!$G$6:$G$105,ROW()-6)&lt;&gt;"Starfsbundinn",DE78="",$E78="",$D78=""),"",ROUND(DE78/$E78*$D78*KVARDI,2))</f>
        <v/>
      </c>
      <c r="DG78" s="66" t="n"/>
      <c r="DH78" s="78">
        <f>IF(OR(INDEX(Undirviðmið!$G$6:$G$105,ROW()-6)&lt;&gt;"Starfsbundinn",DG78="",$E78="",$D78=""),"",ROUND(DG78/$E78*$D78*KVARDI,2))</f>
        <v/>
      </c>
      <c r="DI78" s="66" t="n"/>
      <c r="DJ78" s="78">
        <f>IF(OR(INDEX(Undirviðmið!$G$6:$G$105,ROW()-6)&lt;&gt;"Starfsbundinn",DI78="",$E78="",$D78=""),"",ROUND(DI78/$E78*$D78*KVARDI,2))</f>
        <v/>
      </c>
      <c r="DK78" s="66" t="n"/>
      <c r="DL78" s="78">
        <f>IF(OR(INDEX(Undirviðmið!$G$6:$G$105,ROW()-6)&lt;&gt;"Starfsbundinn",DK78="",$E78="",$D78=""),"",ROUND(DK78/$E78*$D78*KVARDI,2))</f>
        <v/>
      </c>
      <c r="DM78" s="66" t="n"/>
      <c r="DN78" s="78">
        <f>IF(OR(INDEX(Undirviðmið!$G$6:$G$105,ROW()-6)&lt;&gt;"Starfsbundinn",DM78="",$E78="",$D78=""),"",ROUND(DM78/$E78*$D78*KVARDI,2))</f>
        <v/>
      </c>
      <c r="DO78" s="66" t="n"/>
      <c r="DP78" s="78">
        <f>IF(OR(INDEX(Undirviðmið!$G$6:$G$105,ROW()-6)&lt;&gt;"Starfsbundinn",DO78="",$E78="",$D78=""),"",ROUND(DO78/$E78*$D78*KVARDI,2))</f>
        <v/>
      </c>
      <c r="DQ78" s="66" t="n"/>
      <c r="DR78" s="78">
        <f>IF(OR(INDEX(Undirviðmið!$G$6:$G$105,ROW()-6)&lt;&gt;"Starfsbundinn",DQ78="",$E78="",$D78=""),"",ROUND(DQ78/$E78*$D78*KVARDI,2))</f>
        <v/>
      </c>
      <c r="DS78" s="66" t="n"/>
      <c r="DT78" s="78">
        <f>IF(OR(INDEX(Undirviðmið!$G$6:$G$105,ROW()-6)&lt;&gt;"Starfsbundinn",DS78="",$E78="",$D78=""),"",ROUND(DS78/$E78*$D78*KVARDI,2))</f>
        <v/>
      </c>
      <c r="DU78" s="66" t="n"/>
      <c r="DV78" s="78">
        <f>IF(OR(INDEX(Undirviðmið!$G$6:$G$105,ROW()-6)&lt;&gt;"Starfsbundinn",DU78="",$E78="",$D78=""),"",ROUND(DU78/$E78*$D78*KVARDI,2))</f>
        <v/>
      </c>
      <c r="DW78" s="66" t="n"/>
      <c r="DX78" s="78">
        <f>IF(OR(INDEX(Undirviðmið!$G$6:$G$105,ROW()-6)&lt;&gt;"Starfsbundinn",DW78="",$E78="",$D78=""),"",ROUND(DW78/$E78*$D78*KVARDI,2))</f>
        <v/>
      </c>
      <c r="DY78" s="66" t="n"/>
      <c r="DZ78" s="78">
        <f>IF(OR(INDEX(Undirviðmið!$G$6:$G$105,ROW()-6)&lt;&gt;"Starfsbundinn",DY78="",$E78="",$D78=""),"",ROUND(DY78/$E78*$D78*KVARDI,2))</f>
        <v/>
      </c>
      <c r="EA78" s="66" t="n"/>
      <c r="EB78" s="78">
        <f>IF(OR(INDEX(Undirviðmið!$G$6:$G$105,ROW()-6)&lt;&gt;"Starfsbundinn",EA78="",$E78="",$D78=""),"",ROUND(EA78/$E78*$D78*KVARDI,2))</f>
        <v/>
      </c>
      <c r="EC78" s="66" t="n"/>
      <c r="ED78" s="78">
        <f>IF(OR(INDEX(Undirviðmið!$G$6:$G$105,ROW()-6)&lt;&gt;"Starfsbundinn",EC78="",$E78="",$D78=""),"",ROUND(EC78/$E78*$D78*KVARDI,2))</f>
        <v/>
      </c>
      <c r="EE78" s="66" t="n"/>
      <c r="EF78" s="78">
        <f>IF(OR(INDEX(Undirviðmið!$G$6:$G$105,ROW()-6)&lt;&gt;"Starfsbundinn",EE78="",$E78="",$D78=""),"",ROUND(EE78/$E78*$D78*KVARDI,2))</f>
        <v/>
      </c>
      <c r="EG78" s="66" t="n"/>
      <c r="EH78" s="78">
        <f>IF(OR(INDEX(Undirviðmið!$G$6:$G$105,ROW()-6)&lt;&gt;"Starfsbundinn",EG78="",$E78="",$D78=""),"",ROUND(EG78/$E78*$D78*KVARDI,2))</f>
        <v/>
      </c>
      <c r="EI78" s="66" t="n"/>
      <c r="EJ78" s="78">
        <f>IF(OR(INDEX(Undirviðmið!$G$6:$G$105,ROW()-6)&lt;&gt;"Starfsbundinn",EI78="",$E78="",$D78=""),"",ROUND(EI78/$E78*$D78*KVARDI,2))</f>
        <v/>
      </c>
      <c r="EK78" s="66" t="n"/>
      <c r="EL78" s="78">
        <f>IF(OR(INDEX(Undirviðmið!$G$6:$G$105,ROW()-6)&lt;&gt;"Starfsbundinn",EK78="",$E78="",$D78=""),"",ROUND(EK78/$E78*$D78*KVARDI,2))</f>
        <v/>
      </c>
      <c r="EM78" s="66" t="n"/>
      <c r="EN78" s="78">
        <f>IF(OR(INDEX(Undirviðmið!$G$6:$G$105,ROW()-6)&lt;&gt;"Starfsbundinn",EM78="",$E78="",$D78=""),"",ROUND(EM78/$E78*$D78*KVARDI,2))</f>
        <v/>
      </c>
      <c r="EO78" s="66" t="n"/>
      <c r="EP78" s="78">
        <f>IF(OR(INDEX(Undirviðmið!$G$6:$G$105,ROW()-6)&lt;&gt;"Starfsbundinn",EO78="",$E78="",$D78=""),"",ROUND(EO78/$E78*$D78*KVARDI,2))</f>
        <v/>
      </c>
      <c r="EQ78" s="66" t="n"/>
      <c r="ER78" s="78">
        <f>IF(OR(INDEX(Undirviðmið!$G$6:$G$105,ROW()-6)&lt;&gt;"Starfsbundinn",EQ78="",$E78="",$D78=""),"",ROUND(EQ78/$E78*$D78*KVARDI,2))</f>
        <v/>
      </c>
      <c r="ES78" s="66" t="n"/>
      <c r="ET78" s="78">
        <f>IF(OR(INDEX(Undirviðmið!$G$6:$G$105,ROW()-6)&lt;&gt;"Starfsbundinn",ES78="",$E78="",$D78=""),"",ROUND(ES78/$E78*$D78*KVARDI,2))</f>
        <v/>
      </c>
      <c r="EU78" s="66" t="n"/>
      <c r="EV78" s="78">
        <f>IF(OR(INDEX(Undirviðmið!$G$6:$G$105,ROW()-6)&lt;&gt;"Starfsbundinn",EU78="",$E78="",$D78=""),"",ROUND(EU78/$E78*$D78*KVARDI,2))</f>
        <v/>
      </c>
      <c r="EW78" s="66" t="n"/>
      <c r="EX78" s="78">
        <f>IF(OR(INDEX(Undirviðmið!$G$6:$G$105,ROW()-6)&lt;&gt;"Starfsbundinn",EW78="",$E78="",$D78=""),"",ROUND(EW78/$E78*$D78*KVARDI,2))</f>
        <v/>
      </c>
      <c r="EY78" s="66" t="n"/>
      <c r="EZ78" s="78">
        <f>IF(OR(INDEX(Undirviðmið!$G$6:$G$105,ROW()-6)&lt;&gt;"Starfsbundinn",EY78="",$E78="",$D78=""),"",ROUND(EY78/$E78*$D78*KVARDI,2))</f>
        <v/>
      </c>
      <c r="FA78" s="66" t="n"/>
      <c r="FB78" s="78">
        <f>IF(OR(INDEX(Undirviðmið!$G$6:$G$105,ROW()-6)&lt;&gt;"Starfsbundinn",FA78="",$E78="",$D78=""),"",ROUND(FA78/$E78*$D78*KVARDI,2))</f>
        <v/>
      </c>
      <c r="FC78" s="66" t="n"/>
      <c r="FD78" s="78">
        <f>IF(OR(INDEX(Undirviðmið!$G$6:$G$105,ROW()-6)&lt;&gt;"Starfsbundinn",FC78="",$E78="",$D78=""),"",ROUND(FC78/$E78*$D78*KVARDI,2))</f>
        <v/>
      </c>
      <c r="FE78" s="66" t="n"/>
      <c r="FF78" s="78">
        <f>IF(OR(INDEX(Undirviðmið!$G$6:$G$105,ROW()-6)&lt;&gt;"Starfsbundinn",FE78="",$E78="",$D78=""),"",ROUND(FE78/$E78*$D78*KVARDI,2))</f>
        <v/>
      </c>
      <c r="FG78" s="66" t="n"/>
      <c r="FH78" s="78">
        <f>IF(OR(INDEX(Undirviðmið!$G$6:$G$105,ROW()-6)&lt;&gt;"Starfsbundinn",FG78="",$E78="",$D78=""),"",ROUND(FG78/$E78*$D78*KVARDI,2))</f>
        <v/>
      </c>
      <c r="FI78" s="66" t="n"/>
      <c r="FJ78" s="78">
        <f>IF(OR(INDEX(Undirviðmið!$G$6:$G$105,ROW()-6)&lt;&gt;"Starfsbundinn",FI78="",$E78="",$D78=""),"",ROUND(FI78/$E78*$D78*KVARDI,2))</f>
        <v/>
      </c>
      <c r="FK78" s="66" t="n"/>
      <c r="FL78" s="78">
        <f>IF(OR(INDEX(Undirviðmið!$G$6:$G$105,ROW()-6)&lt;&gt;"Starfsbundinn",FK78="",$E78="",$D78=""),"",ROUND(FK78/$E78*$D78*KVARDI,2))</f>
        <v/>
      </c>
      <c r="FM78" s="66" t="n"/>
      <c r="FN78" s="78">
        <f>IF(OR(INDEX(Undirviðmið!$G$6:$G$105,ROW()-6)&lt;&gt;"Starfsbundinn",FM78="",$E78="",$D78=""),"",ROUND(FM78/$E78*$D78*KVARDI,2))</f>
        <v/>
      </c>
      <c r="FO78" s="66" t="n"/>
      <c r="FP78" s="78">
        <f>IF(OR(INDEX(Undirviðmið!$G$6:$G$105,ROW()-6)&lt;&gt;"Starfsbundinn",FO78="",$E78="",$D78=""),"",ROUND(FO78/$E78*$D78*KVARDI,2))</f>
        <v/>
      </c>
      <c r="FQ78" s="66" t="n"/>
      <c r="FR78" s="78">
        <f>IF(OR(INDEX(Undirviðmið!$G$6:$G$105,ROW()-6)&lt;&gt;"Starfsbundinn",FQ78="",$E78="",$D78=""),"",ROUND(FQ78/$E78*$D78*KVARDI,2))</f>
        <v/>
      </c>
      <c r="FS78" s="66" t="n"/>
      <c r="FT78" s="78">
        <f>IF(OR(INDEX(Undirviðmið!$G$6:$G$105,ROW()-6)&lt;&gt;"Starfsbundinn",FS78="",$E78="",$D78=""),"",ROUND(FS78/$E78*$D78*KVARDI,2))</f>
        <v/>
      </c>
      <c r="FU78" s="66" t="n"/>
      <c r="FV78" s="78">
        <f>IF(OR(INDEX(Undirviðmið!$G$6:$G$105,ROW()-6)&lt;&gt;"Starfsbundinn",FU78="",$E78="",$D78=""),"",ROUND(FU78/$E78*$D78*KVARDI,2))</f>
        <v/>
      </c>
      <c r="FW78" s="66" t="n"/>
      <c r="FX78" s="78">
        <f>IF(OR(INDEX(Undirviðmið!$G$6:$G$105,ROW()-6)&lt;&gt;"Starfsbundinn",FW78="",$E78="",$D78=""),"",ROUND(FW78/$E78*$D78*KVARDI,2))</f>
        <v/>
      </c>
      <c r="FY78" s="66" t="n"/>
      <c r="FZ78" s="78">
        <f>IF(OR(INDEX(Undirviðmið!$G$6:$G$105,ROW()-6)&lt;&gt;"Starfsbundinn",FY78="",$E78="",$D78=""),"",ROUND(FY78/$E78*$D78*KVARDI,2))</f>
        <v/>
      </c>
      <c r="GA78" s="66" t="n"/>
      <c r="GB78" s="78">
        <f>IF(OR(INDEX(Undirviðmið!$G$6:$G$105,ROW()-6)&lt;&gt;"Starfsbundinn",GA78="",$E78="",$D78=""),"",ROUND(GA78/$E78*$D78*KVARDI,2))</f>
        <v/>
      </c>
      <c r="GC78" s="66" t="n"/>
      <c r="GD78" s="78">
        <f>IF(OR(INDEX(Undirviðmið!$G$6:$G$105,ROW()-6)&lt;&gt;"Starfsbundinn",GC78="",$E78="",$D78=""),"",ROUND(GC78/$E78*$D78*KVARDI,2))</f>
        <v/>
      </c>
      <c r="GE78" s="66" t="n"/>
      <c r="GF78" s="78">
        <f>IF(OR(INDEX(Undirviðmið!$G$6:$G$105,ROW()-6)&lt;&gt;"Starfsbundinn",GE78="",$E78="",$D78=""),"",ROUND(GE78/$E78*$D78*KVARDI,2))</f>
        <v/>
      </c>
      <c r="GG78" s="66" t="n"/>
      <c r="GH78" s="78">
        <f>IF(OR(INDEX(Undirviðmið!$G$6:$G$105,ROW()-6)&lt;&gt;"Starfsbundinn",GG78="",$E78="",$D78=""),"",ROUND(GG78/$E78*$D78*KVARDI,2))</f>
        <v/>
      </c>
      <c r="GI78" s="66" t="n"/>
      <c r="GJ78" s="78">
        <f>IF(OR(INDEX(Undirviðmið!$G$6:$G$105,ROW()-6)&lt;&gt;"Starfsbundinn",GI78="",$E78="",$D78=""),"",ROUND(GI78/$E78*$D78*KVARDI,2))</f>
        <v/>
      </c>
      <c r="GK78" s="66" t="n"/>
      <c r="GL78" s="78">
        <f>IF(OR(INDEX(Undirviðmið!$G$6:$G$105,ROW()-6)&lt;&gt;"Starfsbundinn",GK78="",$E78="",$D78=""),"",ROUND(GK78/$E78*$D78*KVARDI,2))</f>
        <v/>
      </c>
      <c r="GM78" s="66" t="n"/>
      <c r="GN78" s="78">
        <f>IF(OR(INDEX(Undirviðmið!$G$6:$G$105,ROW()-6)&lt;&gt;"Starfsbundinn",GM78="",$E78="",$D78=""),"",ROUND(GM78/$E78*$D78*KVARDI,2))</f>
        <v/>
      </c>
      <c r="GO78" s="66" t="n"/>
      <c r="GP78" s="78">
        <f>IF(OR(INDEX(Undirviðmið!$G$6:$G$105,ROW()-6)&lt;&gt;"Starfsbundinn",GO78="",$E78="",$D78=""),"",ROUND(GO78/$E78*$D78*KVARDI,2))</f>
        <v/>
      </c>
      <c r="GQ78" s="66" t="n"/>
      <c r="GR78" s="78">
        <f>IF(OR(INDEX(Undirviðmið!$G$6:$G$105,ROW()-6)&lt;&gt;"Starfsbundinn",GQ78="",$E78="",$D78=""),"",ROUND(GQ78/$E78*$D78*KVARDI,2))</f>
        <v/>
      </c>
      <c r="GS78" s="66" t="n"/>
      <c r="GT78" s="78">
        <f>IF(OR(INDEX(Undirviðmið!$G$6:$G$105,ROW()-6)&lt;&gt;"Starfsbundinn",GS78="",$E78="",$D78=""),"",ROUND(GS78/$E78*$D78*KVARDI,2))</f>
        <v/>
      </c>
      <c r="GU78" s="66" t="n"/>
      <c r="GV78" s="78">
        <f>IF(OR(INDEX(Undirviðmið!$G$6:$G$105,ROW()-6)&lt;&gt;"Starfsbundinn",GU78="",$E78="",$D78=""),"",ROUND(GU78/$E78*$D78*KVARDI,2))</f>
        <v/>
      </c>
      <c r="GW78" s="66" t="n"/>
      <c r="GX78" s="78">
        <f>IF(OR(INDEX(Undirviðmið!$G$6:$G$105,ROW()-6)&lt;&gt;"Starfsbundinn",GW78="",$E78="",$D78=""),"",ROUND(GW78/$E78*$D78*KVARDI,2))</f>
        <v/>
      </c>
    </row>
    <row r="79" ht="15" customHeight="1" s="47">
      <c r="B79" s="67">
        <f>IF(INDEX(Undirviðmið!$G$6:$G$105,ROW()-6)="Starfsbundinn",INDEX(Undirviðmið!$B$6:$B$105,ROW()-6),"")</f>
        <v/>
      </c>
      <c r="C79" s="67">
        <f>IF(INDEX(Undirviðmið!$G$6:$G$105,ROW()-6)="Starfsbundinn",INDEX(Undirviðmið!$C$6:$C$105,ROW()-6),"")</f>
        <v/>
      </c>
      <c r="D79" s="77">
        <f>IF(INDEX(Undirviðmið!$G$6:$G$105,ROW()-6)="Starfsbundinn",INDEX(Undirviðmið!$E$6:$E$105,ROW()-6),"")</f>
        <v/>
      </c>
      <c r="E79" s="77">
        <f>IF(INDEX(Undirviðmið!$G$6:$G$105,ROW()-6)="Starfsbundinn",INDEX(Undirviðmið!$F$6:$F$105,ROW()-6),"")</f>
        <v/>
      </c>
      <c r="F79" s="77">
        <f>IF(INDEX(Undirviðmið!$G$6:$G$105,ROW()-6)="Starfsbundinn",IFERROR(INDEX(Undirviðmið!$E$6:$E$105,ROW()-6)*KVARDI,""),"")</f>
        <v/>
      </c>
      <c r="G79" s="66" t="n"/>
      <c r="H79" s="78">
        <f>IF(OR(INDEX(Undirviðmið!$G$6:$G$105,ROW()-6)&lt;&gt;"Starfsbundinn",G79="",$E79="",$D79=""),"",ROUND(G79/$E79*$D79*KVARDI,2))</f>
        <v/>
      </c>
      <c r="I79" s="66" t="n"/>
      <c r="J79" s="78">
        <f>IF(OR(INDEX(Undirviðmið!$G$6:$G$105,ROW()-6)&lt;&gt;"Starfsbundinn",I79="",$E79="",$D79=""),"",ROUND(I79/$E79*$D79*KVARDI,2))</f>
        <v/>
      </c>
      <c r="K79" s="66" t="n"/>
      <c r="L79" s="78">
        <f>IF(OR(INDEX(Undirviðmið!$G$6:$G$105,ROW()-6)&lt;&gt;"Starfsbundinn",K79="",$E79="",$D79=""),"",ROUND(K79/$E79*$D79*KVARDI,2))</f>
        <v/>
      </c>
      <c r="M79" s="66" t="n"/>
      <c r="N79" s="78">
        <f>IF(OR(INDEX(Undirviðmið!$G$6:$G$105,ROW()-6)&lt;&gt;"Starfsbundinn",M79="",$E79="",$D79=""),"",ROUND(M79/$E79*$D79*KVARDI,2))</f>
        <v/>
      </c>
      <c r="O79" s="66" t="n"/>
      <c r="P79" s="78">
        <f>IF(OR(INDEX(Undirviðmið!$G$6:$G$105,ROW()-6)&lt;&gt;"Starfsbundinn",O79="",$E79="",$D79=""),"",ROUND(O79/$E79*$D79*KVARDI,2))</f>
        <v/>
      </c>
      <c r="Q79" s="66" t="n"/>
      <c r="R79" s="78">
        <f>IF(OR(INDEX(Undirviðmið!$G$6:$G$105,ROW()-6)&lt;&gt;"Starfsbundinn",Q79="",$E79="",$D79=""),"",ROUND(Q79/$E79*$D79*KVARDI,2))</f>
        <v/>
      </c>
      <c r="S79" s="66" t="n"/>
      <c r="T79" s="78">
        <f>IF(OR(INDEX(Undirviðmið!$G$6:$G$105,ROW()-6)&lt;&gt;"Starfsbundinn",S79="",$E79="",$D79=""),"",ROUND(S79/$E79*$D79*KVARDI,2))</f>
        <v/>
      </c>
      <c r="U79" s="66" t="n"/>
      <c r="V79" s="78">
        <f>IF(OR(INDEX(Undirviðmið!$G$6:$G$105,ROW()-6)&lt;&gt;"Starfsbundinn",U79="",$E79="",$D79=""),"",ROUND(U79/$E79*$D79*KVARDI,2))</f>
        <v/>
      </c>
      <c r="W79" s="66" t="n"/>
      <c r="X79" s="78">
        <f>IF(OR(INDEX(Undirviðmið!$G$6:$G$105,ROW()-6)&lt;&gt;"Starfsbundinn",W79="",$E79="",$D79=""),"",ROUND(W79/$E79*$D79*KVARDI,2))</f>
        <v/>
      </c>
      <c r="Y79" s="66" t="n"/>
      <c r="Z79" s="78">
        <f>IF(OR(INDEX(Undirviðmið!$G$6:$G$105,ROW()-6)&lt;&gt;"Starfsbundinn",Y79="",$E79="",$D79=""),"",ROUND(Y79/$E79*$D79*KVARDI,2))</f>
        <v/>
      </c>
      <c r="AA79" s="66" t="n"/>
      <c r="AB79" s="78">
        <f>IF(OR(INDEX(Undirviðmið!$G$6:$G$105,ROW()-6)&lt;&gt;"Starfsbundinn",AA79="",$E79="",$D79=""),"",ROUND(AA79/$E79*$D79*KVARDI,2))</f>
        <v/>
      </c>
      <c r="AC79" s="66" t="n"/>
      <c r="AD79" s="78">
        <f>IF(OR(INDEX(Undirviðmið!$G$6:$G$105,ROW()-6)&lt;&gt;"Starfsbundinn",AC79="",$E79="",$D79=""),"",ROUND(AC79/$E79*$D79*KVARDI,2))</f>
        <v/>
      </c>
      <c r="AE79" s="66" t="n"/>
      <c r="AF79" s="78">
        <f>IF(OR(INDEX(Undirviðmið!$G$6:$G$105,ROW()-6)&lt;&gt;"Starfsbundinn",AE79="",$E79="",$D79=""),"",ROUND(AE79/$E79*$D79*KVARDI,2))</f>
        <v/>
      </c>
      <c r="AG79" s="66" t="n"/>
      <c r="AH79" s="78">
        <f>IF(OR(INDEX(Undirviðmið!$G$6:$G$105,ROW()-6)&lt;&gt;"Starfsbundinn",AG79="",$E79="",$D79=""),"",ROUND(AG79/$E79*$D79*KVARDI,2))</f>
        <v/>
      </c>
      <c r="AI79" s="66" t="n"/>
      <c r="AJ79" s="78">
        <f>IF(OR(INDEX(Undirviðmið!$G$6:$G$105,ROW()-6)&lt;&gt;"Starfsbundinn",AI79="",$E79="",$D79=""),"",ROUND(AI79/$E79*$D79*KVARDI,2))</f>
        <v/>
      </c>
      <c r="AK79" s="66" t="n"/>
      <c r="AL79" s="78">
        <f>IF(OR(INDEX(Undirviðmið!$G$6:$G$105,ROW()-6)&lt;&gt;"Starfsbundinn",AK79="",$E79="",$D79=""),"",ROUND(AK79/$E79*$D79*KVARDI,2))</f>
        <v/>
      </c>
      <c r="AM79" s="66" t="n"/>
      <c r="AN79" s="78">
        <f>IF(OR(INDEX(Undirviðmið!$G$6:$G$105,ROW()-6)&lt;&gt;"Starfsbundinn",AM79="",$E79="",$D79=""),"",ROUND(AM79/$E79*$D79*KVARDI,2))</f>
        <v/>
      </c>
      <c r="AO79" s="66" t="n"/>
      <c r="AP79" s="78">
        <f>IF(OR(INDEX(Undirviðmið!$G$6:$G$105,ROW()-6)&lt;&gt;"Starfsbundinn",AO79="",$E79="",$D79=""),"",ROUND(AO79/$E79*$D79*KVARDI,2))</f>
        <v/>
      </c>
      <c r="AQ79" s="66" t="n"/>
      <c r="AR79" s="78">
        <f>IF(OR(INDEX(Undirviðmið!$G$6:$G$105,ROW()-6)&lt;&gt;"Starfsbundinn",AQ79="",$E79="",$D79=""),"",ROUND(AQ79/$E79*$D79*KVARDI,2))</f>
        <v/>
      </c>
      <c r="AS79" s="66" t="n"/>
      <c r="AT79" s="78">
        <f>IF(OR(INDEX(Undirviðmið!$G$6:$G$105,ROW()-6)&lt;&gt;"Starfsbundinn",AS79="",$E79="",$D79=""),"",ROUND(AS79/$E79*$D79*KVARDI,2))</f>
        <v/>
      </c>
      <c r="AU79" s="66" t="n"/>
      <c r="AV79" s="78">
        <f>IF(OR(INDEX(Undirviðmið!$G$6:$G$105,ROW()-6)&lt;&gt;"Starfsbundinn",AU79="",$E79="",$D79=""),"",ROUND(AU79/$E79*$D79*KVARDI,2))</f>
        <v/>
      </c>
      <c r="AW79" s="66" t="n"/>
      <c r="AX79" s="78">
        <f>IF(OR(INDEX(Undirviðmið!$G$6:$G$105,ROW()-6)&lt;&gt;"Starfsbundinn",AW79="",$E79="",$D79=""),"",ROUND(AW79/$E79*$D79*KVARDI,2))</f>
        <v/>
      </c>
      <c r="AY79" s="66" t="n"/>
      <c r="AZ79" s="78">
        <f>IF(OR(INDEX(Undirviðmið!$G$6:$G$105,ROW()-6)&lt;&gt;"Starfsbundinn",AY79="",$E79="",$D79=""),"",ROUND(AY79/$E79*$D79*KVARDI,2))</f>
        <v/>
      </c>
      <c r="BA79" s="66" t="n"/>
      <c r="BB79" s="78">
        <f>IF(OR(INDEX(Undirviðmið!$G$6:$G$105,ROW()-6)&lt;&gt;"Starfsbundinn",BA79="",$E79="",$D79=""),"",ROUND(BA79/$E79*$D79*KVARDI,2))</f>
        <v/>
      </c>
      <c r="BC79" s="66" t="n"/>
      <c r="BD79" s="78">
        <f>IF(OR(INDEX(Undirviðmið!$G$6:$G$105,ROW()-6)&lt;&gt;"Starfsbundinn",BC79="",$E79="",$D79=""),"",ROUND(BC79/$E79*$D79*KVARDI,2))</f>
        <v/>
      </c>
      <c r="BE79" s="66" t="n"/>
      <c r="BF79" s="78">
        <f>IF(OR(INDEX(Undirviðmið!$G$6:$G$105,ROW()-6)&lt;&gt;"Starfsbundinn",BE79="",$E79="",$D79=""),"",ROUND(BE79/$E79*$D79*KVARDI,2))</f>
        <v/>
      </c>
      <c r="BG79" s="66" t="n"/>
      <c r="BH79" s="78">
        <f>IF(OR(INDEX(Undirviðmið!$G$6:$G$105,ROW()-6)&lt;&gt;"Starfsbundinn",BG79="",$E79="",$D79=""),"",ROUND(BG79/$E79*$D79*KVARDI,2))</f>
        <v/>
      </c>
      <c r="BI79" s="66" t="n"/>
      <c r="BJ79" s="78">
        <f>IF(OR(INDEX(Undirviðmið!$G$6:$G$105,ROW()-6)&lt;&gt;"Starfsbundinn",BI79="",$E79="",$D79=""),"",ROUND(BI79/$E79*$D79*KVARDI,2))</f>
        <v/>
      </c>
      <c r="BK79" s="66" t="n"/>
      <c r="BL79" s="78">
        <f>IF(OR(INDEX(Undirviðmið!$G$6:$G$105,ROW()-6)&lt;&gt;"Starfsbundinn",BK79="",$E79="",$D79=""),"",ROUND(BK79/$E79*$D79*KVARDI,2))</f>
        <v/>
      </c>
      <c r="BM79" s="66" t="n"/>
      <c r="BN79" s="78">
        <f>IF(OR(INDEX(Undirviðmið!$G$6:$G$105,ROW()-6)&lt;&gt;"Starfsbundinn",BM79="",$E79="",$D79=""),"",ROUND(BM79/$E79*$D79*KVARDI,2))</f>
        <v/>
      </c>
      <c r="BO79" s="66" t="n"/>
      <c r="BP79" s="78">
        <f>IF(OR(INDEX(Undirviðmið!$G$6:$G$105,ROW()-6)&lt;&gt;"Starfsbundinn",BO79="",$E79="",$D79=""),"",ROUND(BO79/$E79*$D79*KVARDI,2))</f>
        <v/>
      </c>
      <c r="BQ79" s="66" t="n"/>
      <c r="BR79" s="78">
        <f>IF(OR(INDEX(Undirviðmið!$G$6:$G$105,ROW()-6)&lt;&gt;"Starfsbundinn",BQ79="",$E79="",$D79=""),"",ROUND(BQ79/$E79*$D79*KVARDI,2))</f>
        <v/>
      </c>
      <c r="BS79" s="66" t="n"/>
      <c r="BT79" s="78">
        <f>IF(OR(INDEX(Undirviðmið!$G$6:$G$105,ROW()-6)&lt;&gt;"Starfsbundinn",BS79="",$E79="",$D79=""),"",ROUND(BS79/$E79*$D79*KVARDI,2))</f>
        <v/>
      </c>
      <c r="BU79" s="66" t="n"/>
      <c r="BV79" s="78">
        <f>IF(OR(INDEX(Undirviðmið!$G$6:$G$105,ROW()-6)&lt;&gt;"Starfsbundinn",BU79="",$E79="",$D79=""),"",ROUND(BU79/$E79*$D79*KVARDI,2))</f>
        <v/>
      </c>
      <c r="BW79" s="66" t="n"/>
      <c r="BX79" s="78">
        <f>IF(OR(INDEX(Undirviðmið!$G$6:$G$105,ROW()-6)&lt;&gt;"Starfsbundinn",BW79="",$E79="",$D79=""),"",ROUND(BW79/$E79*$D79*KVARDI,2))</f>
        <v/>
      </c>
      <c r="BY79" s="66" t="n"/>
      <c r="BZ79" s="78">
        <f>IF(OR(INDEX(Undirviðmið!$G$6:$G$105,ROW()-6)&lt;&gt;"Starfsbundinn",BY79="",$E79="",$D79=""),"",ROUND(BY79/$E79*$D79*KVARDI,2))</f>
        <v/>
      </c>
      <c r="CA79" s="66" t="n"/>
      <c r="CB79" s="78">
        <f>IF(OR(INDEX(Undirviðmið!$G$6:$G$105,ROW()-6)&lt;&gt;"Starfsbundinn",CA79="",$E79="",$D79=""),"",ROUND(CA79/$E79*$D79*KVARDI,2))</f>
        <v/>
      </c>
      <c r="CC79" s="66" t="n"/>
      <c r="CD79" s="78">
        <f>IF(OR(INDEX(Undirviðmið!$G$6:$G$105,ROW()-6)&lt;&gt;"Starfsbundinn",CC79="",$E79="",$D79=""),"",ROUND(CC79/$E79*$D79*KVARDI,2))</f>
        <v/>
      </c>
      <c r="CE79" s="66" t="n"/>
      <c r="CF79" s="78">
        <f>IF(OR(INDEX(Undirviðmið!$G$6:$G$105,ROW()-6)&lt;&gt;"Starfsbundinn",CE79="",$E79="",$D79=""),"",ROUND(CE79/$E79*$D79*KVARDI,2))</f>
        <v/>
      </c>
      <c r="CG79" s="66" t="n"/>
      <c r="CH79" s="78">
        <f>IF(OR(INDEX(Undirviðmið!$G$6:$G$105,ROW()-6)&lt;&gt;"Starfsbundinn",CG79="",$E79="",$D79=""),"",ROUND(CG79/$E79*$D79*KVARDI,2))</f>
        <v/>
      </c>
      <c r="CI79" s="66" t="n"/>
      <c r="CJ79" s="78">
        <f>IF(OR(INDEX(Undirviðmið!$G$6:$G$105,ROW()-6)&lt;&gt;"Starfsbundinn",CI79="",$E79="",$D79=""),"",ROUND(CI79/$E79*$D79*KVARDI,2))</f>
        <v/>
      </c>
      <c r="CK79" s="66" t="n"/>
      <c r="CL79" s="78">
        <f>IF(OR(INDEX(Undirviðmið!$G$6:$G$105,ROW()-6)&lt;&gt;"Starfsbundinn",CK79="",$E79="",$D79=""),"",ROUND(CK79/$E79*$D79*KVARDI,2))</f>
        <v/>
      </c>
      <c r="CM79" s="66" t="n"/>
      <c r="CN79" s="78">
        <f>IF(OR(INDEX(Undirviðmið!$G$6:$G$105,ROW()-6)&lt;&gt;"Starfsbundinn",CM79="",$E79="",$D79=""),"",ROUND(CM79/$E79*$D79*KVARDI,2))</f>
        <v/>
      </c>
      <c r="CO79" s="66" t="n"/>
      <c r="CP79" s="78">
        <f>IF(OR(INDEX(Undirviðmið!$G$6:$G$105,ROW()-6)&lt;&gt;"Starfsbundinn",CO79="",$E79="",$D79=""),"",ROUND(CO79/$E79*$D79*KVARDI,2))</f>
        <v/>
      </c>
      <c r="CQ79" s="66" t="n"/>
      <c r="CR79" s="78">
        <f>IF(OR(INDEX(Undirviðmið!$G$6:$G$105,ROW()-6)&lt;&gt;"Starfsbundinn",CQ79="",$E79="",$D79=""),"",ROUND(CQ79/$E79*$D79*KVARDI,2))</f>
        <v/>
      </c>
      <c r="CS79" s="66" t="n"/>
      <c r="CT79" s="78">
        <f>IF(OR(INDEX(Undirviðmið!$G$6:$G$105,ROW()-6)&lt;&gt;"Starfsbundinn",CS79="",$E79="",$D79=""),"",ROUND(CS79/$E79*$D79*KVARDI,2))</f>
        <v/>
      </c>
      <c r="CU79" s="66" t="n"/>
      <c r="CV79" s="78">
        <f>IF(OR(INDEX(Undirviðmið!$G$6:$G$105,ROW()-6)&lt;&gt;"Starfsbundinn",CU79="",$E79="",$D79=""),"",ROUND(CU79/$E79*$D79*KVARDI,2))</f>
        <v/>
      </c>
      <c r="CW79" s="66" t="n"/>
      <c r="CX79" s="78">
        <f>IF(OR(INDEX(Undirviðmið!$G$6:$G$105,ROW()-6)&lt;&gt;"Starfsbundinn",CW79="",$E79="",$D79=""),"",ROUND(CW79/$E79*$D79*KVARDI,2))</f>
        <v/>
      </c>
      <c r="CY79" s="66" t="n"/>
      <c r="CZ79" s="78">
        <f>IF(OR(INDEX(Undirviðmið!$G$6:$G$105,ROW()-6)&lt;&gt;"Starfsbundinn",CY79="",$E79="",$D79=""),"",ROUND(CY79/$E79*$D79*KVARDI,2))</f>
        <v/>
      </c>
      <c r="DA79" s="66" t="n"/>
      <c r="DB79" s="78">
        <f>IF(OR(INDEX(Undirviðmið!$G$6:$G$105,ROW()-6)&lt;&gt;"Starfsbundinn",DA79="",$E79="",$D79=""),"",ROUND(DA79/$E79*$D79*KVARDI,2))</f>
        <v/>
      </c>
      <c r="DC79" s="66" t="n"/>
      <c r="DD79" s="78">
        <f>IF(OR(INDEX(Undirviðmið!$G$6:$G$105,ROW()-6)&lt;&gt;"Starfsbundinn",DC79="",$E79="",$D79=""),"",ROUND(DC79/$E79*$D79*KVARDI,2))</f>
        <v/>
      </c>
      <c r="DE79" s="66" t="n"/>
      <c r="DF79" s="78">
        <f>IF(OR(INDEX(Undirviðmið!$G$6:$G$105,ROW()-6)&lt;&gt;"Starfsbundinn",DE79="",$E79="",$D79=""),"",ROUND(DE79/$E79*$D79*KVARDI,2))</f>
        <v/>
      </c>
      <c r="DG79" s="66" t="n"/>
      <c r="DH79" s="78">
        <f>IF(OR(INDEX(Undirviðmið!$G$6:$G$105,ROW()-6)&lt;&gt;"Starfsbundinn",DG79="",$E79="",$D79=""),"",ROUND(DG79/$E79*$D79*KVARDI,2))</f>
        <v/>
      </c>
      <c r="DI79" s="66" t="n"/>
      <c r="DJ79" s="78">
        <f>IF(OR(INDEX(Undirviðmið!$G$6:$G$105,ROW()-6)&lt;&gt;"Starfsbundinn",DI79="",$E79="",$D79=""),"",ROUND(DI79/$E79*$D79*KVARDI,2))</f>
        <v/>
      </c>
      <c r="DK79" s="66" t="n"/>
      <c r="DL79" s="78">
        <f>IF(OR(INDEX(Undirviðmið!$G$6:$G$105,ROW()-6)&lt;&gt;"Starfsbundinn",DK79="",$E79="",$D79=""),"",ROUND(DK79/$E79*$D79*KVARDI,2))</f>
        <v/>
      </c>
      <c r="DM79" s="66" t="n"/>
      <c r="DN79" s="78">
        <f>IF(OR(INDEX(Undirviðmið!$G$6:$G$105,ROW()-6)&lt;&gt;"Starfsbundinn",DM79="",$E79="",$D79=""),"",ROUND(DM79/$E79*$D79*KVARDI,2))</f>
        <v/>
      </c>
      <c r="DO79" s="66" t="n"/>
      <c r="DP79" s="78">
        <f>IF(OR(INDEX(Undirviðmið!$G$6:$G$105,ROW()-6)&lt;&gt;"Starfsbundinn",DO79="",$E79="",$D79=""),"",ROUND(DO79/$E79*$D79*KVARDI,2))</f>
        <v/>
      </c>
      <c r="DQ79" s="66" t="n"/>
      <c r="DR79" s="78">
        <f>IF(OR(INDEX(Undirviðmið!$G$6:$G$105,ROW()-6)&lt;&gt;"Starfsbundinn",DQ79="",$E79="",$D79=""),"",ROUND(DQ79/$E79*$D79*KVARDI,2))</f>
        <v/>
      </c>
      <c r="DS79" s="66" t="n"/>
      <c r="DT79" s="78">
        <f>IF(OR(INDEX(Undirviðmið!$G$6:$G$105,ROW()-6)&lt;&gt;"Starfsbundinn",DS79="",$E79="",$D79=""),"",ROUND(DS79/$E79*$D79*KVARDI,2))</f>
        <v/>
      </c>
      <c r="DU79" s="66" t="n"/>
      <c r="DV79" s="78">
        <f>IF(OR(INDEX(Undirviðmið!$G$6:$G$105,ROW()-6)&lt;&gt;"Starfsbundinn",DU79="",$E79="",$D79=""),"",ROUND(DU79/$E79*$D79*KVARDI,2))</f>
        <v/>
      </c>
      <c r="DW79" s="66" t="n"/>
      <c r="DX79" s="78">
        <f>IF(OR(INDEX(Undirviðmið!$G$6:$G$105,ROW()-6)&lt;&gt;"Starfsbundinn",DW79="",$E79="",$D79=""),"",ROUND(DW79/$E79*$D79*KVARDI,2))</f>
        <v/>
      </c>
      <c r="DY79" s="66" t="n"/>
      <c r="DZ79" s="78">
        <f>IF(OR(INDEX(Undirviðmið!$G$6:$G$105,ROW()-6)&lt;&gt;"Starfsbundinn",DY79="",$E79="",$D79=""),"",ROUND(DY79/$E79*$D79*KVARDI,2))</f>
        <v/>
      </c>
      <c r="EA79" s="66" t="n"/>
      <c r="EB79" s="78">
        <f>IF(OR(INDEX(Undirviðmið!$G$6:$G$105,ROW()-6)&lt;&gt;"Starfsbundinn",EA79="",$E79="",$D79=""),"",ROUND(EA79/$E79*$D79*KVARDI,2))</f>
        <v/>
      </c>
      <c r="EC79" s="66" t="n"/>
      <c r="ED79" s="78">
        <f>IF(OR(INDEX(Undirviðmið!$G$6:$G$105,ROW()-6)&lt;&gt;"Starfsbundinn",EC79="",$E79="",$D79=""),"",ROUND(EC79/$E79*$D79*KVARDI,2))</f>
        <v/>
      </c>
      <c r="EE79" s="66" t="n"/>
      <c r="EF79" s="78">
        <f>IF(OR(INDEX(Undirviðmið!$G$6:$G$105,ROW()-6)&lt;&gt;"Starfsbundinn",EE79="",$E79="",$D79=""),"",ROUND(EE79/$E79*$D79*KVARDI,2))</f>
        <v/>
      </c>
      <c r="EG79" s="66" t="n"/>
      <c r="EH79" s="78">
        <f>IF(OR(INDEX(Undirviðmið!$G$6:$G$105,ROW()-6)&lt;&gt;"Starfsbundinn",EG79="",$E79="",$D79=""),"",ROUND(EG79/$E79*$D79*KVARDI,2))</f>
        <v/>
      </c>
      <c r="EI79" s="66" t="n"/>
      <c r="EJ79" s="78">
        <f>IF(OR(INDEX(Undirviðmið!$G$6:$G$105,ROW()-6)&lt;&gt;"Starfsbundinn",EI79="",$E79="",$D79=""),"",ROUND(EI79/$E79*$D79*KVARDI,2))</f>
        <v/>
      </c>
      <c r="EK79" s="66" t="n"/>
      <c r="EL79" s="78">
        <f>IF(OR(INDEX(Undirviðmið!$G$6:$G$105,ROW()-6)&lt;&gt;"Starfsbundinn",EK79="",$E79="",$D79=""),"",ROUND(EK79/$E79*$D79*KVARDI,2))</f>
        <v/>
      </c>
      <c r="EM79" s="66" t="n"/>
      <c r="EN79" s="78">
        <f>IF(OR(INDEX(Undirviðmið!$G$6:$G$105,ROW()-6)&lt;&gt;"Starfsbundinn",EM79="",$E79="",$D79=""),"",ROUND(EM79/$E79*$D79*KVARDI,2))</f>
        <v/>
      </c>
      <c r="EO79" s="66" t="n"/>
      <c r="EP79" s="78">
        <f>IF(OR(INDEX(Undirviðmið!$G$6:$G$105,ROW()-6)&lt;&gt;"Starfsbundinn",EO79="",$E79="",$D79=""),"",ROUND(EO79/$E79*$D79*KVARDI,2))</f>
        <v/>
      </c>
      <c r="EQ79" s="66" t="n"/>
      <c r="ER79" s="78">
        <f>IF(OR(INDEX(Undirviðmið!$G$6:$G$105,ROW()-6)&lt;&gt;"Starfsbundinn",EQ79="",$E79="",$D79=""),"",ROUND(EQ79/$E79*$D79*KVARDI,2))</f>
        <v/>
      </c>
      <c r="ES79" s="66" t="n"/>
      <c r="ET79" s="78">
        <f>IF(OR(INDEX(Undirviðmið!$G$6:$G$105,ROW()-6)&lt;&gt;"Starfsbundinn",ES79="",$E79="",$D79=""),"",ROUND(ES79/$E79*$D79*KVARDI,2))</f>
        <v/>
      </c>
      <c r="EU79" s="66" t="n"/>
      <c r="EV79" s="78">
        <f>IF(OR(INDEX(Undirviðmið!$G$6:$G$105,ROW()-6)&lt;&gt;"Starfsbundinn",EU79="",$E79="",$D79=""),"",ROUND(EU79/$E79*$D79*KVARDI,2))</f>
        <v/>
      </c>
      <c r="EW79" s="66" t="n"/>
      <c r="EX79" s="78">
        <f>IF(OR(INDEX(Undirviðmið!$G$6:$G$105,ROW()-6)&lt;&gt;"Starfsbundinn",EW79="",$E79="",$D79=""),"",ROUND(EW79/$E79*$D79*KVARDI,2))</f>
        <v/>
      </c>
      <c r="EY79" s="66" t="n"/>
      <c r="EZ79" s="78">
        <f>IF(OR(INDEX(Undirviðmið!$G$6:$G$105,ROW()-6)&lt;&gt;"Starfsbundinn",EY79="",$E79="",$D79=""),"",ROUND(EY79/$E79*$D79*KVARDI,2))</f>
        <v/>
      </c>
      <c r="FA79" s="66" t="n"/>
      <c r="FB79" s="78">
        <f>IF(OR(INDEX(Undirviðmið!$G$6:$G$105,ROW()-6)&lt;&gt;"Starfsbundinn",FA79="",$E79="",$D79=""),"",ROUND(FA79/$E79*$D79*KVARDI,2))</f>
        <v/>
      </c>
      <c r="FC79" s="66" t="n"/>
      <c r="FD79" s="78">
        <f>IF(OR(INDEX(Undirviðmið!$G$6:$G$105,ROW()-6)&lt;&gt;"Starfsbundinn",FC79="",$E79="",$D79=""),"",ROUND(FC79/$E79*$D79*KVARDI,2))</f>
        <v/>
      </c>
      <c r="FE79" s="66" t="n"/>
      <c r="FF79" s="78">
        <f>IF(OR(INDEX(Undirviðmið!$G$6:$G$105,ROW()-6)&lt;&gt;"Starfsbundinn",FE79="",$E79="",$D79=""),"",ROUND(FE79/$E79*$D79*KVARDI,2))</f>
        <v/>
      </c>
      <c r="FG79" s="66" t="n"/>
      <c r="FH79" s="78">
        <f>IF(OR(INDEX(Undirviðmið!$G$6:$G$105,ROW()-6)&lt;&gt;"Starfsbundinn",FG79="",$E79="",$D79=""),"",ROUND(FG79/$E79*$D79*KVARDI,2))</f>
        <v/>
      </c>
      <c r="FI79" s="66" t="n"/>
      <c r="FJ79" s="78">
        <f>IF(OR(INDEX(Undirviðmið!$G$6:$G$105,ROW()-6)&lt;&gt;"Starfsbundinn",FI79="",$E79="",$D79=""),"",ROUND(FI79/$E79*$D79*KVARDI,2))</f>
        <v/>
      </c>
      <c r="FK79" s="66" t="n"/>
      <c r="FL79" s="78">
        <f>IF(OR(INDEX(Undirviðmið!$G$6:$G$105,ROW()-6)&lt;&gt;"Starfsbundinn",FK79="",$E79="",$D79=""),"",ROUND(FK79/$E79*$D79*KVARDI,2))</f>
        <v/>
      </c>
      <c r="FM79" s="66" t="n"/>
      <c r="FN79" s="78">
        <f>IF(OR(INDEX(Undirviðmið!$G$6:$G$105,ROW()-6)&lt;&gt;"Starfsbundinn",FM79="",$E79="",$D79=""),"",ROUND(FM79/$E79*$D79*KVARDI,2))</f>
        <v/>
      </c>
      <c r="FO79" s="66" t="n"/>
      <c r="FP79" s="78">
        <f>IF(OR(INDEX(Undirviðmið!$G$6:$G$105,ROW()-6)&lt;&gt;"Starfsbundinn",FO79="",$E79="",$D79=""),"",ROUND(FO79/$E79*$D79*KVARDI,2))</f>
        <v/>
      </c>
      <c r="FQ79" s="66" t="n"/>
      <c r="FR79" s="78">
        <f>IF(OR(INDEX(Undirviðmið!$G$6:$G$105,ROW()-6)&lt;&gt;"Starfsbundinn",FQ79="",$E79="",$D79=""),"",ROUND(FQ79/$E79*$D79*KVARDI,2))</f>
        <v/>
      </c>
      <c r="FS79" s="66" t="n"/>
      <c r="FT79" s="78">
        <f>IF(OR(INDEX(Undirviðmið!$G$6:$G$105,ROW()-6)&lt;&gt;"Starfsbundinn",FS79="",$E79="",$D79=""),"",ROUND(FS79/$E79*$D79*KVARDI,2))</f>
        <v/>
      </c>
      <c r="FU79" s="66" t="n"/>
      <c r="FV79" s="78">
        <f>IF(OR(INDEX(Undirviðmið!$G$6:$G$105,ROW()-6)&lt;&gt;"Starfsbundinn",FU79="",$E79="",$D79=""),"",ROUND(FU79/$E79*$D79*KVARDI,2))</f>
        <v/>
      </c>
      <c r="FW79" s="66" t="n"/>
      <c r="FX79" s="78">
        <f>IF(OR(INDEX(Undirviðmið!$G$6:$G$105,ROW()-6)&lt;&gt;"Starfsbundinn",FW79="",$E79="",$D79=""),"",ROUND(FW79/$E79*$D79*KVARDI,2))</f>
        <v/>
      </c>
      <c r="FY79" s="66" t="n"/>
      <c r="FZ79" s="78">
        <f>IF(OR(INDEX(Undirviðmið!$G$6:$G$105,ROW()-6)&lt;&gt;"Starfsbundinn",FY79="",$E79="",$D79=""),"",ROUND(FY79/$E79*$D79*KVARDI,2))</f>
        <v/>
      </c>
      <c r="GA79" s="66" t="n"/>
      <c r="GB79" s="78">
        <f>IF(OR(INDEX(Undirviðmið!$G$6:$G$105,ROW()-6)&lt;&gt;"Starfsbundinn",GA79="",$E79="",$D79=""),"",ROUND(GA79/$E79*$D79*KVARDI,2))</f>
        <v/>
      </c>
      <c r="GC79" s="66" t="n"/>
      <c r="GD79" s="78">
        <f>IF(OR(INDEX(Undirviðmið!$G$6:$G$105,ROW()-6)&lt;&gt;"Starfsbundinn",GC79="",$E79="",$D79=""),"",ROUND(GC79/$E79*$D79*KVARDI,2))</f>
        <v/>
      </c>
      <c r="GE79" s="66" t="n"/>
      <c r="GF79" s="78">
        <f>IF(OR(INDEX(Undirviðmið!$G$6:$G$105,ROW()-6)&lt;&gt;"Starfsbundinn",GE79="",$E79="",$D79=""),"",ROUND(GE79/$E79*$D79*KVARDI,2))</f>
        <v/>
      </c>
      <c r="GG79" s="66" t="n"/>
      <c r="GH79" s="78">
        <f>IF(OR(INDEX(Undirviðmið!$G$6:$G$105,ROW()-6)&lt;&gt;"Starfsbundinn",GG79="",$E79="",$D79=""),"",ROUND(GG79/$E79*$D79*KVARDI,2))</f>
        <v/>
      </c>
      <c r="GI79" s="66" t="n"/>
      <c r="GJ79" s="78">
        <f>IF(OR(INDEX(Undirviðmið!$G$6:$G$105,ROW()-6)&lt;&gt;"Starfsbundinn",GI79="",$E79="",$D79=""),"",ROUND(GI79/$E79*$D79*KVARDI,2))</f>
        <v/>
      </c>
      <c r="GK79" s="66" t="n"/>
      <c r="GL79" s="78">
        <f>IF(OR(INDEX(Undirviðmið!$G$6:$G$105,ROW()-6)&lt;&gt;"Starfsbundinn",GK79="",$E79="",$D79=""),"",ROUND(GK79/$E79*$D79*KVARDI,2))</f>
        <v/>
      </c>
      <c r="GM79" s="66" t="n"/>
      <c r="GN79" s="78">
        <f>IF(OR(INDEX(Undirviðmið!$G$6:$G$105,ROW()-6)&lt;&gt;"Starfsbundinn",GM79="",$E79="",$D79=""),"",ROUND(GM79/$E79*$D79*KVARDI,2))</f>
        <v/>
      </c>
      <c r="GO79" s="66" t="n"/>
      <c r="GP79" s="78">
        <f>IF(OR(INDEX(Undirviðmið!$G$6:$G$105,ROW()-6)&lt;&gt;"Starfsbundinn",GO79="",$E79="",$D79=""),"",ROUND(GO79/$E79*$D79*KVARDI,2))</f>
        <v/>
      </c>
      <c r="GQ79" s="66" t="n"/>
      <c r="GR79" s="78">
        <f>IF(OR(INDEX(Undirviðmið!$G$6:$G$105,ROW()-6)&lt;&gt;"Starfsbundinn",GQ79="",$E79="",$D79=""),"",ROUND(GQ79/$E79*$D79*KVARDI,2))</f>
        <v/>
      </c>
      <c r="GS79" s="66" t="n"/>
      <c r="GT79" s="78">
        <f>IF(OR(INDEX(Undirviðmið!$G$6:$G$105,ROW()-6)&lt;&gt;"Starfsbundinn",GS79="",$E79="",$D79=""),"",ROUND(GS79/$E79*$D79*KVARDI,2))</f>
        <v/>
      </c>
      <c r="GU79" s="66" t="n"/>
      <c r="GV79" s="78">
        <f>IF(OR(INDEX(Undirviðmið!$G$6:$G$105,ROW()-6)&lt;&gt;"Starfsbundinn",GU79="",$E79="",$D79=""),"",ROUND(GU79/$E79*$D79*KVARDI,2))</f>
        <v/>
      </c>
      <c r="GW79" s="66" t="n"/>
      <c r="GX79" s="78">
        <f>IF(OR(INDEX(Undirviðmið!$G$6:$G$105,ROW()-6)&lt;&gt;"Starfsbundinn",GW79="",$E79="",$D79=""),"",ROUND(GW79/$E79*$D79*KVARDI,2))</f>
        <v/>
      </c>
    </row>
    <row r="80" ht="15" customHeight="1" s="47">
      <c r="B80" s="67">
        <f>IF(INDEX(Undirviðmið!$G$6:$G$105,ROW()-6)="Starfsbundinn",INDEX(Undirviðmið!$B$6:$B$105,ROW()-6),"")</f>
        <v/>
      </c>
      <c r="C80" s="67">
        <f>IF(INDEX(Undirviðmið!$G$6:$G$105,ROW()-6)="Starfsbundinn",INDEX(Undirviðmið!$C$6:$C$105,ROW()-6),"")</f>
        <v/>
      </c>
      <c r="D80" s="77">
        <f>IF(INDEX(Undirviðmið!$G$6:$G$105,ROW()-6)="Starfsbundinn",INDEX(Undirviðmið!$E$6:$E$105,ROW()-6),"")</f>
        <v/>
      </c>
      <c r="E80" s="77">
        <f>IF(INDEX(Undirviðmið!$G$6:$G$105,ROW()-6)="Starfsbundinn",INDEX(Undirviðmið!$F$6:$F$105,ROW()-6),"")</f>
        <v/>
      </c>
      <c r="F80" s="77">
        <f>IF(INDEX(Undirviðmið!$G$6:$G$105,ROW()-6)="Starfsbundinn",IFERROR(INDEX(Undirviðmið!$E$6:$E$105,ROW()-6)*KVARDI,""),"")</f>
        <v/>
      </c>
      <c r="G80" s="66" t="n"/>
      <c r="H80" s="78">
        <f>IF(OR(INDEX(Undirviðmið!$G$6:$G$105,ROW()-6)&lt;&gt;"Starfsbundinn",G80="",$E80="",$D80=""),"",ROUND(G80/$E80*$D80*KVARDI,2))</f>
        <v/>
      </c>
      <c r="I80" s="66" t="n"/>
      <c r="J80" s="78">
        <f>IF(OR(INDEX(Undirviðmið!$G$6:$G$105,ROW()-6)&lt;&gt;"Starfsbundinn",I80="",$E80="",$D80=""),"",ROUND(I80/$E80*$D80*KVARDI,2))</f>
        <v/>
      </c>
      <c r="K80" s="66" t="n"/>
      <c r="L80" s="78">
        <f>IF(OR(INDEX(Undirviðmið!$G$6:$G$105,ROW()-6)&lt;&gt;"Starfsbundinn",K80="",$E80="",$D80=""),"",ROUND(K80/$E80*$D80*KVARDI,2))</f>
        <v/>
      </c>
      <c r="M80" s="66" t="n"/>
      <c r="N80" s="78">
        <f>IF(OR(INDEX(Undirviðmið!$G$6:$G$105,ROW()-6)&lt;&gt;"Starfsbundinn",M80="",$E80="",$D80=""),"",ROUND(M80/$E80*$D80*KVARDI,2))</f>
        <v/>
      </c>
      <c r="O80" s="66" t="n"/>
      <c r="P80" s="78">
        <f>IF(OR(INDEX(Undirviðmið!$G$6:$G$105,ROW()-6)&lt;&gt;"Starfsbundinn",O80="",$E80="",$D80=""),"",ROUND(O80/$E80*$D80*KVARDI,2))</f>
        <v/>
      </c>
      <c r="Q80" s="66" t="n"/>
      <c r="R80" s="78">
        <f>IF(OR(INDEX(Undirviðmið!$G$6:$G$105,ROW()-6)&lt;&gt;"Starfsbundinn",Q80="",$E80="",$D80=""),"",ROUND(Q80/$E80*$D80*KVARDI,2))</f>
        <v/>
      </c>
      <c r="S80" s="66" t="n"/>
      <c r="T80" s="78">
        <f>IF(OR(INDEX(Undirviðmið!$G$6:$G$105,ROW()-6)&lt;&gt;"Starfsbundinn",S80="",$E80="",$D80=""),"",ROUND(S80/$E80*$D80*KVARDI,2))</f>
        <v/>
      </c>
      <c r="U80" s="66" t="n"/>
      <c r="V80" s="78">
        <f>IF(OR(INDEX(Undirviðmið!$G$6:$G$105,ROW()-6)&lt;&gt;"Starfsbundinn",U80="",$E80="",$D80=""),"",ROUND(U80/$E80*$D80*KVARDI,2))</f>
        <v/>
      </c>
      <c r="W80" s="66" t="n"/>
      <c r="X80" s="78">
        <f>IF(OR(INDEX(Undirviðmið!$G$6:$G$105,ROW()-6)&lt;&gt;"Starfsbundinn",W80="",$E80="",$D80=""),"",ROUND(W80/$E80*$D80*KVARDI,2))</f>
        <v/>
      </c>
      <c r="Y80" s="66" t="n"/>
      <c r="Z80" s="78">
        <f>IF(OR(INDEX(Undirviðmið!$G$6:$G$105,ROW()-6)&lt;&gt;"Starfsbundinn",Y80="",$E80="",$D80=""),"",ROUND(Y80/$E80*$D80*KVARDI,2))</f>
        <v/>
      </c>
      <c r="AA80" s="66" t="n"/>
      <c r="AB80" s="78">
        <f>IF(OR(INDEX(Undirviðmið!$G$6:$G$105,ROW()-6)&lt;&gt;"Starfsbundinn",AA80="",$E80="",$D80=""),"",ROUND(AA80/$E80*$D80*KVARDI,2))</f>
        <v/>
      </c>
      <c r="AC80" s="66" t="n"/>
      <c r="AD80" s="78">
        <f>IF(OR(INDEX(Undirviðmið!$G$6:$G$105,ROW()-6)&lt;&gt;"Starfsbundinn",AC80="",$E80="",$D80=""),"",ROUND(AC80/$E80*$D80*KVARDI,2))</f>
        <v/>
      </c>
      <c r="AE80" s="66" t="n"/>
      <c r="AF80" s="78">
        <f>IF(OR(INDEX(Undirviðmið!$G$6:$G$105,ROW()-6)&lt;&gt;"Starfsbundinn",AE80="",$E80="",$D80=""),"",ROUND(AE80/$E80*$D80*KVARDI,2))</f>
        <v/>
      </c>
      <c r="AG80" s="66" t="n"/>
      <c r="AH80" s="78">
        <f>IF(OR(INDEX(Undirviðmið!$G$6:$G$105,ROW()-6)&lt;&gt;"Starfsbundinn",AG80="",$E80="",$D80=""),"",ROUND(AG80/$E80*$D80*KVARDI,2))</f>
        <v/>
      </c>
      <c r="AI80" s="66" t="n"/>
      <c r="AJ80" s="78">
        <f>IF(OR(INDEX(Undirviðmið!$G$6:$G$105,ROW()-6)&lt;&gt;"Starfsbundinn",AI80="",$E80="",$D80=""),"",ROUND(AI80/$E80*$D80*KVARDI,2))</f>
        <v/>
      </c>
      <c r="AK80" s="66" t="n"/>
      <c r="AL80" s="78">
        <f>IF(OR(INDEX(Undirviðmið!$G$6:$G$105,ROW()-6)&lt;&gt;"Starfsbundinn",AK80="",$E80="",$D80=""),"",ROUND(AK80/$E80*$D80*KVARDI,2))</f>
        <v/>
      </c>
      <c r="AM80" s="66" t="n"/>
      <c r="AN80" s="78">
        <f>IF(OR(INDEX(Undirviðmið!$G$6:$G$105,ROW()-6)&lt;&gt;"Starfsbundinn",AM80="",$E80="",$D80=""),"",ROUND(AM80/$E80*$D80*KVARDI,2))</f>
        <v/>
      </c>
      <c r="AO80" s="66" t="n"/>
      <c r="AP80" s="78">
        <f>IF(OR(INDEX(Undirviðmið!$G$6:$G$105,ROW()-6)&lt;&gt;"Starfsbundinn",AO80="",$E80="",$D80=""),"",ROUND(AO80/$E80*$D80*KVARDI,2))</f>
        <v/>
      </c>
      <c r="AQ80" s="66" t="n"/>
      <c r="AR80" s="78">
        <f>IF(OR(INDEX(Undirviðmið!$G$6:$G$105,ROW()-6)&lt;&gt;"Starfsbundinn",AQ80="",$E80="",$D80=""),"",ROUND(AQ80/$E80*$D80*KVARDI,2))</f>
        <v/>
      </c>
      <c r="AS80" s="66" t="n"/>
      <c r="AT80" s="78">
        <f>IF(OR(INDEX(Undirviðmið!$G$6:$G$105,ROW()-6)&lt;&gt;"Starfsbundinn",AS80="",$E80="",$D80=""),"",ROUND(AS80/$E80*$D80*KVARDI,2))</f>
        <v/>
      </c>
      <c r="AU80" s="66" t="n"/>
      <c r="AV80" s="78">
        <f>IF(OR(INDEX(Undirviðmið!$G$6:$G$105,ROW()-6)&lt;&gt;"Starfsbundinn",AU80="",$E80="",$D80=""),"",ROUND(AU80/$E80*$D80*KVARDI,2))</f>
        <v/>
      </c>
      <c r="AW80" s="66" t="n"/>
      <c r="AX80" s="78">
        <f>IF(OR(INDEX(Undirviðmið!$G$6:$G$105,ROW()-6)&lt;&gt;"Starfsbundinn",AW80="",$E80="",$D80=""),"",ROUND(AW80/$E80*$D80*KVARDI,2))</f>
        <v/>
      </c>
      <c r="AY80" s="66" t="n"/>
      <c r="AZ80" s="78">
        <f>IF(OR(INDEX(Undirviðmið!$G$6:$G$105,ROW()-6)&lt;&gt;"Starfsbundinn",AY80="",$E80="",$D80=""),"",ROUND(AY80/$E80*$D80*KVARDI,2))</f>
        <v/>
      </c>
      <c r="BA80" s="66" t="n"/>
      <c r="BB80" s="78">
        <f>IF(OR(INDEX(Undirviðmið!$G$6:$G$105,ROW()-6)&lt;&gt;"Starfsbundinn",BA80="",$E80="",$D80=""),"",ROUND(BA80/$E80*$D80*KVARDI,2))</f>
        <v/>
      </c>
      <c r="BC80" s="66" t="n"/>
      <c r="BD80" s="78">
        <f>IF(OR(INDEX(Undirviðmið!$G$6:$G$105,ROW()-6)&lt;&gt;"Starfsbundinn",BC80="",$E80="",$D80=""),"",ROUND(BC80/$E80*$D80*KVARDI,2))</f>
        <v/>
      </c>
      <c r="BE80" s="66" t="n"/>
      <c r="BF80" s="78">
        <f>IF(OR(INDEX(Undirviðmið!$G$6:$G$105,ROW()-6)&lt;&gt;"Starfsbundinn",BE80="",$E80="",$D80=""),"",ROUND(BE80/$E80*$D80*KVARDI,2))</f>
        <v/>
      </c>
      <c r="BG80" s="66" t="n"/>
      <c r="BH80" s="78">
        <f>IF(OR(INDEX(Undirviðmið!$G$6:$G$105,ROW()-6)&lt;&gt;"Starfsbundinn",BG80="",$E80="",$D80=""),"",ROUND(BG80/$E80*$D80*KVARDI,2))</f>
        <v/>
      </c>
      <c r="BI80" s="66" t="n"/>
      <c r="BJ80" s="78">
        <f>IF(OR(INDEX(Undirviðmið!$G$6:$G$105,ROW()-6)&lt;&gt;"Starfsbundinn",BI80="",$E80="",$D80=""),"",ROUND(BI80/$E80*$D80*KVARDI,2))</f>
        <v/>
      </c>
      <c r="BK80" s="66" t="n"/>
      <c r="BL80" s="78">
        <f>IF(OR(INDEX(Undirviðmið!$G$6:$G$105,ROW()-6)&lt;&gt;"Starfsbundinn",BK80="",$E80="",$D80=""),"",ROUND(BK80/$E80*$D80*KVARDI,2))</f>
        <v/>
      </c>
      <c r="BM80" s="66" t="n"/>
      <c r="BN80" s="78">
        <f>IF(OR(INDEX(Undirviðmið!$G$6:$G$105,ROW()-6)&lt;&gt;"Starfsbundinn",BM80="",$E80="",$D80=""),"",ROUND(BM80/$E80*$D80*KVARDI,2))</f>
        <v/>
      </c>
      <c r="BO80" s="66" t="n"/>
      <c r="BP80" s="78">
        <f>IF(OR(INDEX(Undirviðmið!$G$6:$G$105,ROW()-6)&lt;&gt;"Starfsbundinn",BO80="",$E80="",$D80=""),"",ROUND(BO80/$E80*$D80*KVARDI,2))</f>
        <v/>
      </c>
      <c r="BQ80" s="66" t="n"/>
      <c r="BR80" s="78">
        <f>IF(OR(INDEX(Undirviðmið!$G$6:$G$105,ROW()-6)&lt;&gt;"Starfsbundinn",BQ80="",$E80="",$D80=""),"",ROUND(BQ80/$E80*$D80*KVARDI,2))</f>
        <v/>
      </c>
      <c r="BS80" s="66" t="n"/>
      <c r="BT80" s="78">
        <f>IF(OR(INDEX(Undirviðmið!$G$6:$G$105,ROW()-6)&lt;&gt;"Starfsbundinn",BS80="",$E80="",$D80=""),"",ROUND(BS80/$E80*$D80*KVARDI,2))</f>
        <v/>
      </c>
      <c r="BU80" s="66" t="n"/>
      <c r="BV80" s="78">
        <f>IF(OR(INDEX(Undirviðmið!$G$6:$G$105,ROW()-6)&lt;&gt;"Starfsbundinn",BU80="",$E80="",$D80=""),"",ROUND(BU80/$E80*$D80*KVARDI,2))</f>
        <v/>
      </c>
      <c r="BW80" s="66" t="n"/>
      <c r="BX80" s="78">
        <f>IF(OR(INDEX(Undirviðmið!$G$6:$G$105,ROW()-6)&lt;&gt;"Starfsbundinn",BW80="",$E80="",$D80=""),"",ROUND(BW80/$E80*$D80*KVARDI,2))</f>
        <v/>
      </c>
      <c r="BY80" s="66" t="n"/>
      <c r="BZ80" s="78">
        <f>IF(OR(INDEX(Undirviðmið!$G$6:$G$105,ROW()-6)&lt;&gt;"Starfsbundinn",BY80="",$E80="",$D80=""),"",ROUND(BY80/$E80*$D80*KVARDI,2))</f>
        <v/>
      </c>
      <c r="CA80" s="66" t="n"/>
      <c r="CB80" s="78">
        <f>IF(OR(INDEX(Undirviðmið!$G$6:$G$105,ROW()-6)&lt;&gt;"Starfsbundinn",CA80="",$E80="",$D80=""),"",ROUND(CA80/$E80*$D80*KVARDI,2))</f>
        <v/>
      </c>
      <c r="CC80" s="66" t="n"/>
      <c r="CD80" s="78">
        <f>IF(OR(INDEX(Undirviðmið!$G$6:$G$105,ROW()-6)&lt;&gt;"Starfsbundinn",CC80="",$E80="",$D80=""),"",ROUND(CC80/$E80*$D80*KVARDI,2))</f>
        <v/>
      </c>
      <c r="CE80" s="66" t="n"/>
      <c r="CF80" s="78">
        <f>IF(OR(INDEX(Undirviðmið!$G$6:$G$105,ROW()-6)&lt;&gt;"Starfsbundinn",CE80="",$E80="",$D80=""),"",ROUND(CE80/$E80*$D80*KVARDI,2))</f>
        <v/>
      </c>
      <c r="CG80" s="66" t="n"/>
      <c r="CH80" s="78">
        <f>IF(OR(INDEX(Undirviðmið!$G$6:$G$105,ROW()-6)&lt;&gt;"Starfsbundinn",CG80="",$E80="",$D80=""),"",ROUND(CG80/$E80*$D80*KVARDI,2))</f>
        <v/>
      </c>
      <c r="CI80" s="66" t="n"/>
      <c r="CJ80" s="78">
        <f>IF(OR(INDEX(Undirviðmið!$G$6:$G$105,ROW()-6)&lt;&gt;"Starfsbundinn",CI80="",$E80="",$D80=""),"",ROUND(CI80/$E80*$D80*KVARDI,2))</f>
        <v/>
      </c>
      <c r="CK80" s="66" t="n"/>
      <c r="CL80" s="78">
        <f>IF(OR(INDEX(Undirviðmið!$G$6:$G$105,ROW()-6)&lt;&gt;"Starfsbundinn",CK80="",$E80="",$D80=""),"",ROUND(CK80/$E80*$D80*KVARDI,2))</f>
        <v/>
      </c>
      <c r="CM80" s="66" t="n"/>
      <c r="CN80" s="78">
        <f>IF(OR(INDEX(Undirviðmið!$G$6:$G$105,ROW()-6)&lt;&gt;"Starfsbundinn",CM80="",$E80="",$D80=""),"",ROUND(CM80/$E80*$D80*KVARDI,2))</f>
        <v/>
      </c>
      <c r="CO80" s="66" t="n"/>
      <c r="CP80" s="78">
        <f>IF(OR(INDEX(Undirviðmið!$G$6:$G$105,ROW()-6)&lt;&gt;"Starfsbundinn",CO80="",$E80="",$D80=""),"",ROUND(CO80/$E80*$D80*KVARDI,2))</f>
        <v/>
      </c>
      <c r="CQ80" s="66" t="n"/>
      <c r="CR80" s="78">
        <f>IF(OR(INDEX(Undirviðmið!$G$6:$G$105,ROW()-6)&lt;&gt;"Starfsbundinn",CQ80="",$E80="",$D80=""),"",ROUND(CQ80/$E80*$D80*KVARDI,2))</f>
        <v/>
      </c>
      <c r="CS80" s="66" t="n"/>
      <c r="CT80" s="78">
        <f>IF(OR(INDEX(Undirviðmið!$G$6:$G$105,ROW()-6)&lt;&gt;"Starfsbundinn",CS80="",$E80="",$D80=""),"",ROUND(CS80/$E80*$D80*KVARDI,2))</f>
        <v/>
      </c>
      <c r="CU80" s="66" t="n"/>
      <c r="CV80" s="78">
        <f>IF(OR(INDEX(Undirviðmið!$G$6:$G$105,ROW()-6)&lt;&gt;"Starfsbundinn",CU80="",$E80="",$D80=""),"",ROUND(CU80/$E80*$D80*KVARDI,2))</f>
        <v/>
      </c>
      <c r="CW80" s="66" t="n"/>
      <c r="CX80" s="78">
        <f>IF(OR(INDEX(Undirviðmið!$G$6:$G$105,ROW()-6)&lt;&gt;"Starfsbundinn",CW80="",$E80="",$D80=""),"",ROUND(CW80/$E80*$D80*KVARDI,2))</f>
        <v/>
      </c>
      <c r="CY80" s="66" t="n"/>
      <c r="CZ80" s="78">
        <f>IF(OR(INDEX(Undirviðmið!$G$6:$G$105,ROW()-6)&lt;&gt;"Starfsbundinn",CY80="",$E80="",$D80=""),"",ROUND(CY80/$E80*$D80*KVARDI,2))</f>
        <v/>
      </c>
      <c r="DA80" s="66" t="n"/>
      <c r="DB80" s="78">
        <f>IF(OR(INDEX(Undirviðmið!$G$6:$G$105,ROW()-6)&lt;&gt;"Starfsbundinn",DA80="",$E80="",$D80=""),"",ROUND(DA80/$E80*$D80*KVARDI,2))</f>
        <v/>
      </c>
      <c r="DC80" s="66" t="n"/>
      <c r="DD80" s="78">
        <f>IF(OR(INDEX(Undirviðmið!$G$6:$G$105,ROW()-6)&lt;&gt;"Starfsbundinn",DC80="",$E80="",$D80=""),"",ROUND(DC80/$E80*$D80*KVARDI,2))</f>
        <v/>
      </c>
      <c r="DE80" s="66" t="n"/>
      <c r="DF80" s="78">
        <f>IF(OR(INDEX(Undirviðmið!$G$6:$G$105,ROW()-6)&lt;&gt;"Starfsbundinn",DE80="",$E80="",$D80=""),"",ROUND(DE80/$E80*$D80*KVARDI,2))</f>
        <v/>
      </c>
      <c r="DG80" s="66" t="n"/>
      <c r="DH80" s="78">
        <f>IF(OR(INDEX(Undirviðmið!$G$6:$G$105,ROW()-6)&lt;&gt;"Starfsbundinn",DG80="",$E80="",$D80=""),"",ROUND(DG80/$E80*$D80*KVARDI,2))</f>
        <v/>
      </c>
      <c r="DI80" s="66" t="n"/>
      <c r="DJ80" s="78">
        <f>IF(OR(INDEX(Undirviðmið!$G$6:$G$105,ROW()-6)&lt;&gt;"Starfsbundinn",DI80="",$E80="",$D80=""),"",ROUND(DI80/$E80*$D80*KVARDI,2))</f>
        <v/>
      </c>
      <c r="DK80" s="66" t="n"/>
      <c r="DL80" s="78">
        <f>IF(OR(INDEX(Undirviðmið!$G$6:$G$105,ROW()-6)&lt;&gt;"Starfsbundinn",DK80="",$E80="",$D80=""),"",ROUND(DK80/$E80*$D80*KVARDI,2))</f>
        <v/>
      </c>
      <c r="DM80" s="66" t="n"/>
      <c r="DN80" s="78">
        <f>IF(OR(INDEX(Undirviðmið!$G$6:$G$105,ROW()-6)&lt;&gt;"Starfsbundinn",DM80="",$E80="",$D80=""),"",ROUND(DM80/$E80*$D80*KVARDI,2))</f>
        <v/>
      </c>
      <c r="DO80" s="66" t="n"/>
      <c r="DP80" s="78">
        <f>IF(OR(INDEX(Undirviðmið!$G$6:$G$105,ROW()-6)&lt;&gt;"Starfsbundinn",DO80="",$E80="",$D80=""),"",ROUND(DO80/$E80*$D80*KVARDI,2))</f>
        <v/>
      </c>
      <c r="DQ80" s="66" t="n"/>
      <c r="DR80" s="78">
        <f>IF(OR(INDEX(Undirviðmið!$G$6:$G$105,ROW()-6)&lt;&gt;"Starfsbundinn",DQ80="",$E80="",$D80=""),"",ROUND(DQ80/$E80*$D80*KVARDI,2))</f>
        <v/>
      </c>
      <c r="DS80" s="66" t="n"/>
      <c r="DT80" s="78">
        <f>IF(OR(INDEX(Undirviðmið!$G$6:$G$105,ROW()-6)&lt;&gt;"Starfsbundinn",DS80="",$E80="",$D80=""),"",ROUND(DS80/$E80*$D80*KVARDI,2))</f>
        <v/>
      </c>
      <c r="DU80" s="66" t="n"/>
      <c r="DV80" s="78">
        <f>IF(OR(INDEX(Undirviðmið!$G$6:$G$105,ROW()-6)&lt;&gt;"Starfsbundinn",DU80="",$E80="",$D80=""),"",ROUND(DU80/$E80*$D80*KVARDI,2))</f>
        <v/>
      </c>
      <c r="DW80" s="66" t="n"/>
      <c r="DX80" s="78">
        <f>IF(OR(INDEX(Undirviðmið!$G$6:$G$105,ROW()-6)&lt;&gt;"Starfsbundinn",DW80="",$E80="",$D80=""),"",ROUND(DW80/$E80*$D80*KVARDI,2))</f>
        <v/>
      </c>
      <c r="DY80" s="66" t="n"/>
      <c r="DZ80" s="78">
        <f>IF(OR(INDEX(Undirviðmið!$G$6:$G$105,ROW()-6)&lt;&gt;"Starfsbundinn",DY80="",$E80="",$D80=""),"",ROUND(DY80/$E80*$D80*KVARDI,2))</f>
        <v/>
      </c>
      <c r="EA80" s="66" t="n"/>
      <c r="EB80" s="78">
        <f>IF(OR(INDEX(Undirviðmið!$G$6:$G$105,ROW()-6)&lt;&gt;"Starfsbundinn",EA80="",$E80="",$D80=""),"",ROUND(EA80/$E80*$D80*KVARDI,2))</f>
        <v/>
      </c>
      <c r="EC80" s="66" t="n"/>
      <c r="ED80" s="78">
        <f>IF(OR(INDEX(Undirviðmið!$G$6:$G$105,ROW()-6)&lt;&gt;"Starfsbundinn",EC80="",$E80="",$D80=""),"",ROUND(EC80/$E80*$D80*KVARDI,2))</f>
        <v/>
      </c>
      <c r="EE80" s="66" t="n"/>
      <c r="EF80" s="78">
        <f>IF(OR(INDEX(Undirviðmið!$G$6:$G$105,ROW()-6)&lt;&gt;"Starfsbundinn",EE80="",$E80="",$D80=""),"",ROUND(EE80/$E80*$D80*KVARDI,2))</f>
        <v/>
      </c>
      <c r="EG80" s="66" t="n"/>
      <c r="EH80" s="78">
        <f>IF(OR(INDEX(Undirviðmið!$G$6:$G$105,ROW()-6)&lt;&gt;"Starfsbundinn",EG80="",$E80="",$D80=""),"",ROUND(EG80/$E80*$D80*KVARDI,2))</f>
        <v/>
      </c>
      <c r="EI80" s="66" t="n"/>
      <c r="EJ80" s="78">
        <f>IF(OR(INDEX(Undirviðmið!$G$6:$G$105,ROW()-6)&lt;&gt;"Starfsbundinn",EI80="",$E80="",$D80=""),"",ROUND(EI80/$E80*$D80*KVARDI,2))</f>
        <v/>
      </c>
      <c r="EK80" s="66" t="n"/>
      <c r="EL80" s="78">
        <f>IF(OR(INDEX(Undirviðmið!$G$6:$G$105,ROW()-6)&lt;&gt;"Starfsbundinn",EK80="",$E80="",$D80=""),"",ROUND(EK80/$E80*$D80*KVARDI,2))</f>
        <v/>
      </c>
      <c r="EM80" s="66" t="n"/>
      <c r="EN80" s="78">
        <f>IF(OR(INDEX(Undirviðmið!$G$6:$G$105,ROW()-6)&lt;&gt;"Starfsbundinn",EM80="",$E80="",$D80=""),"",ROUND(EM80/$E80*$D80*KVARDI,2))</f>
        <v/>
      </c>
      <c r="EO80" s="66" t="n"/>
      <c r="EP80" s="78">
        <f>IF(OR(INDEX(Undirviðmið!$G$6:$G$105,ROW()-6)&lt;&gt;"Starfsbundinn",EO80="",$E80="",$D80=""),"",ROUND(EO80/$E80*$D80*KVARDI,2))</f>
        <v/>
      </c>
      <c r="EQ80" s="66" t="n"/>
      <c r="ER80" s="78">
        <f>IF(OR(INDEX(Undirviðmið!$G$6:$G$105,ROW()-6)&lt;&gt;"Starfsbundinn",EQ80="",$E80="",$D80=""),"",ROUND(EQ80/$E80*$D80*KVARDI,2))</f>
        <v/>
      </c>
      <c r="ES80" s="66" t="n"/>
      <c r="ET80" s="78">
        <f>IF(OR(INDEX(Undirviðmið!$G$6:$G$105,ROW()-6)&lt;&gt;"Starfsbundinn",ES80="",$E80="",$D80=""),"",ROUND(ES80/$E80*$D80*KVARDI,2))</f>
        <v/>
      </c>
      <c r="EU80" s="66" t="n"/>
      <c r="EV80" s="78">
        <f>IF(OR(INDEX(Undirviðmið!$G$6:$G$105,ROW()-6)&lt;&gt;"Starfsbundinn",EU80="",$E80="",$D80=""),"",ROUND(EU80/$E80*$D80*KVARDI,2))</f>
        <v/>
      </c>
      <c r="EW80" s="66" t="n"/>
      <c r="EX80" s="78">
        <f>IF(OR(INDEX(Undirviðmið!$G$6:$G$105,ROW()-6)&lt;&gt;"Starfsbundinn",EW80="",$E80="",$D80=""),"",ROUND(EW80/$E80*$D80*KVARDI,2))</f>
        <v/>
      </c>
      <c r="EY80" s="66" t="n"/>
      <c r="EZ80" s="78">
        <f>IF(OR(INDEX(Undirviðmið!$G$6:$G$105,ROW()-6)&lt;&gt;"Starfsbundinn",EY80="",$E80="",$D80=""),"",ROUND(EY80/$E80*$D80*KVARDI,2))</f>
        <v/>
      </c>
      <c r="FA80" s="66" t="n"/>
      <c r="FB80" s="78">
        <f>IF(OR(INDEX(Undirviðmið!$G$6:$G$105,ROW()-6)&lt;&gt;"Starfsbundinn",FA80="",$E80="",$D80=""),"",ROUND(FA80/$E80*$D80*KVARDI,2))</f>
        <v/>
      </c>
      <c r="FC80" s="66" t="n"/>
      <c r="FD80" s="78">
        <f>IF(OR(INDEX(Undirviðmið!$G$6:$G$105,ROW()-6)&lt;&gt;"Starfsbundinn",FC80="",$E80="",$D80=""),"",ROUND(FC80/$E80*$D80*KVARDI,2))</f>
        <v/>
      </c>
      <c r="FE80" s="66" t="n"/>
      <c r="FF80" s="78">
        <f>IF(OR(INDEX(Undirviðmið!$G$6:$G$105,ROW()-6)&lt;&gt;"Starfsbundinn",FE80="",$E80="",$D80=""),"",ROUND(FE80/$E80*$D80*KVARDI,2))</f>
        <v/>
      </c>
      <c r="FG80" s="66" t="n"/>
      <c r="FH80" s="78">
        <f>IF(OR(INDEX(Undirviðmið!$G$6:$G$105,ROW()-6)&lt;&gt;"Starfsbundinn",FG80="",$E80="",$D80=""),"",ROUND(FG80/$E80*$D80*KVARDI,2))</f>
        <v/>
      </c>
      <c r="FI80" s="66" t="n"/>
      <c r="FJ80" s="78">
        <f>IF(OR(INDEX(Undirviðmið!$G$6:$G$105,ROW()-6)&lt;&gt;"Starfsbundinn",FI80="",$E80="",$D80=""),"",ROUND(FI80/$E80*$D80*KVARDI,2))</f>
        <v/>
      </c>
      <c r="FK80" s="66" t="n"/>
      <c r="FL80" s="78">
        <f>IF(OR(INDEX(Undirviðmið!$G$6:$G$105,ROW()-6)&lt;&gt;"Starfsbundinn",FK80="",$E80="",$D80=""),"",ROUND(FK80/$E80*$D80*KVARDI,2))</f>
        <v/>
      </c>
      <c r="FM80" s="66" t="n"/>
      <c r="FN80" s="78">
        <f>IF(OR(INDEX(Undirviðmið!$G$6:$G$105,ROW()-6)&lt;&gt;"Starfsbundinn",FM80="",$E80="",$D80=""),"",ROUND(FM80/$E80*$D80*KVARDI,2))</f>
        <v/>
      </c>
      <c r="FO80" s="66" t="n"/>
      <c r="FP80" s="78">
        <f>IF(OR(INDEX(Undirviðmið!$G$6:$G$105,ROW()-6)&lt;&gt;"Starfsbundinn",FO80="",$E80="",$D80=""),"",ROUND(FO80/$E80*$D80*KVARDI,2))</f>
        <v/>
      </c>
      <c r="FQ80" s="66" t="n"/>
      <c r="FR80" s="78">
        <f>IF(OR(INDEX(Undirviðmið!$G$6:$G$105,ROW()-6)&lt;&gt;"Starfsbundinn",FQ80="",$E80="",$D80=""),"",ROUND(FQ80/$E80*$D80*KVARDI,2))</f>
        <v/>
      </c>
      <c r="FS80" s="66" t="n"/>
      <c r="FT80" s="78">
        <f>IF(OR(INDEX(Undirviðmið!$G$6:$G$105,ROW()-6)&lt;&gt;"Starfsbundinn",FS80="",$E80="",$D80=""),"",ROUND(FS80/$E80*$D80*KVARDI,2))</f>
        <v/>
      </c>
      <c r="FU80" s="66" t="n"/>
      <c r="FV80" s="78">
        <f>IF(OR(INDEX(Undirviðmið!$G$6:$G$105,ROW()-6)&lt;&gt;"Starfsbundinn",FU80="",$E80="",$D80=""),"",ROUND(FU80/$E80*$D80*KVARDI,2))</f>
        <v/>
      </c>
      <c r="FW80" s="66" t="n"/>
      <c r="FX80" s="78">
        <f>IF(OR(INDEX(Undirviðmið!$G$6:$G$105,ROW()-6)&lt;&gt;"Starfsbundinn",FW80="",$E80="",$D80=""),"",ROUND(FW80/$E80*$D80*KVARDI,2))</f>
        <v/>
      </c>
      <c r="FY80" s="66" t="n"/>
      <c r="FZ80" s="78">
        <f>IF(OR(INDEX(Undirviðmið!$G$6:$G$105,ROW()-6)&lt;&gt;"Starfsbundinn",FY80="",$E80="",$D80=""),"",ROUND(FY80/$E80*$D80*KVARDI,2))</f>
        <v/>
      </c>
      <c r="GA80" s="66" t="n"/>
      <c r="GB80" s="78">
        <f>IF(OR(INDEX(Undirviðmið!$G$6:$G$105,ROW()-6)&lt;&gt;"Starfsbundinn",GA80="",$E80="",$D80=""),"",ROUND(GA80/$E80*$D80*KVARDI,2))</f>
        <v/>
      </c>
      <c r="GC80" s="66" t="n"/>
      <c r="GD80" s="78">
        <f>IF(OR(INDEX(Undirviðmið!$G$6:$G$105,ROW()-6)&lt;&gt;"Starfsbundinn",GC80="",$E80="",$D80=""),"",ROUND(GC80/$E80*$D80*KVARDI,2))</f>
        <v/>
      </c>
      <c r="GE80" s="66" t="n"/>
      <c r="GF80" s="78">
        <f>IF(OR(INDEX(Undirviðmið!$G$6:$G$105,ROW()-6)&lt;&gt;"Starfsbundinn",GE80="",$E80="",$D80=""),"",ROUND(GE80/$E80*$D80*KVARDI,2))</f>
        <v/>
      </c>
      <c r="GG80" s="66" t="n"/>
      <c r="GH80" s="78">
        <f>IF(OR(INDEX(Undirviðmið!$G$6:$G$105,ROW()-6)&lt;&gt;"Starfsbundinn",GG80="",$E80="",$D80=""),"",ROUND(GG80/$E80*$D80*KVARDI,2))</f>
        <v/>
      </c>
      <c r="GI80" s="66" t="n"/>
      <c r="GJ80" s="78">
        <f>IF(OR(INDEX(Undirviðmið!$G$6:$G$105,ROW()-6)&lt;&gt;"Starfsbundinn",GI80="",$E80="",$D80=""),"",ROUND(GI80/$E80*$D80*KVARDI,2))</f>
        <v/>
      </c>
      <c r="GK80" s="66" t="n"/>
      <c r="GL80" s="78">
        <f>IF(OR(INDEX(Undirviðmið!$G$6:$G$105,ROW()-6)&lt;&gt;"Starfsbundinn",GK80="",$E80="",$D80=""),"",ROUND(GK80/$E80*$D80*KVARDI,2))</f>
        <v/>
      </c>
      <c r="GM80" s="66" t="n"/>
      <c r="GN80" s="78">
        <f>IF(OR(INDEX(Undirviðmið!$G$6:$G$105,ROW()-6)&lt;&gt;"Starfsbundinn",GM80="",$E80="",$D80=""),"",ROUND(GM80/$E80*$D80*KVARDI,2))</f>
        <v/>
      </c>
      <c r="GO80" s="66" t="n"/>
      <c r="GP80" s="78">
        <f>IF(OR(INDEX(Undirviðmið!$G$6:$G$105,ROW()-6)&lt;&gt;"Starfsbundinn",GO80="",$E80="",$D80=""),"",ROUND(GO80/$E80*$D80*KVARDI,2))</f>
        <v/>
      </c>
      <c r="GQ80" s="66" t="n"/>
      <c r="GR80" s="78">
        <f>IF(OR(INDEX(Undirviðmið!$G$6:$G$105,ROW()-6)&lt;&gt;"Starfsbundinn",GQ80="",$E80="",$D80=""),"",ROUND(GQ80/$E80*$D80*KVARDI,2))</f>
        <v/>
      </c>
      <c r="GS80" s="66" t="n"/>
      <c r="GT80" s="78">
        <f>IF(OR(INDEX(Undirviðmið!$G$6:$G$105,ROW()-6)&lt;&gt;"Starfsbundinn",GS80="",$E80="",$D80=""),"",ROUND(GS80/$E80*$D80*KVARDI,2))</f>
        <v/>
      </c>
      <c r="GU80" s="66" t="n"/>
      <c r="GV80" s="78">
        <f>IF(OR(INDEX(Undirviðmið!$G$6:$G$105,ROW()-6)&lt;&gt;"Starfsbundinn",GU80="",$E80="",$D80=""),"",ROUND(GU80/$E80*$D80*KVARDI,2))</f>
        <v/>
      </c>
      <c r="GW80" s="66" t="n"/>
      <c r="GX80" s="78">
        <f>IF(OR(INDEX(Undirviðmið!$G$6:$G$105,ROW()-6)&lt;&gt;"Starfsbundinn",GW80="",$E80="",$D80=""),"",ROUND(GW80/$E80*$D80*KVARDI,2))</f>
        <v/>
      </c>
    </row>
    <row r="81" ht="15" customHeight="1" s="47">
      <c r="B81" s="67">
        <f>IF(INDEX(Undirviðmið!$G$6:$G$105,ROW()-6)="Starfsbundinn",INDEX(Undirviðmið!$B$6:$B$105,ROW()-6),"")</f>
        <v/>
      </c>
      <c r="C81" s="67">
        <f>IF(INDEX(Undirviðmið!$G$6:$G$105,ROW()-6)="Starfsbundinn",INDEX(Undirviðmið!$C$6:$C$105,ROW()-6),"")</f>
        <v/>
      </c>
      <c r="D81" s="77">
        <f>IF(INDEX(Undirviðmið!$G$6:$G$105,ROW()-6)="Starfsbundinn",INDEX(Undirviðmið!$E$6:$E$105,ROW()-6),"")</f>
        <v/>
      </c>
      <c r="E81" s="77">
        <f>IF(INDEX(Undirviðmið!$G$6:$G$105,ROW()-6)="Starfsbundinn",INDEX(Undirviðmið!$F$6:$F$105,ROW()-6),"")</f>
        <v/>
      </c>
      <c r="F81" s="77">
        <f>IF(INDEX(Undirviðmið!$G$6:$G$105,ROW()-6)="Starfsbundinn",IFERROR(INDEX(Undirviðmið!$E$6:$E$105,ROW()-6)*KVARDI,""),"")</f>
        <v/>
      </c>
      <c r="G81" s="66" t="n"/>
      <c r="H81" s="78">
        <f>IF(OR(INDEX(Undirviðmið!$G$6:$G$105,ROW()-6)&lt;&gt;"Starfsbundinn",G81="",$E81="",$D81=""),"",ROUND(G81/$E81*$D81*KVARDI,2))</f>
        <v/>
      </c>
      <c r="I81" s="66" t="n"/>
      <c r="J81" s="78">
        <f>IF(OR(INDEX(Undirviðmið!$G$6:$G$105,ROW()-6)&lt;&gt;"Starfsbundinn",I81="",$E81="",$D81=""),"",ROUND(I81/$E81*$D81*KVARDI,2))</f>
        <v/>
      </c>
      <c r="K81" s="66" t="n"/>
      <c r="L81" s="78">
        <f>IF(OR(INDEX(Undirviðmið!$G$6:$G$105,ROW()-6)&lt;&gt;"Starfsbundinn",K81="",$E81="",$D81=""),"",ROUND(K81/$E81*$D81*KVARDI,2))</f>
        <v/>
      </c>
      <c r="M81" s="66" t="n"/>
      <c r="N81" s="78">
        <f>IF(OR(INDEX(Undirviðmið!$G$6:$G$105,ROW()-6)&lt;&gt;"Starfsbundinn",M81="",$E81="",$D81=""),"",ROUND(M81/$E81*$D81*KVARDI,2))</f>
        <v/>
      </c>
      <c r="O81" s="66" t="n"/>
      <c r="P81" s="78">
        <f>IF(OR(INDEX(Undirviðmið!$G$6:$G$105,ROW()-6)&lt;&gt;"Starfsbundinn",O81="",$E81="",$D81=""),"",ROUND(O81/$E81*$D81*KVARDI,2))</f>
        <v/>
      </c>
      <c r="Q81" s="66" t="n"/>
      <c r="R81" s="78">
        <f>IF(OR(INDEX(Undirviðmið!$G$6:$G$105,ROW()-6)&lt;&gt;"Starfsbundinn",Q81="",$E81="",$D81=""),"",ROUND(Q81/$E81*$D81*KVARDI,2))</f>
        <v/>
      </c>
      <c r="S81" s="66" t="n"/>
      <c r="T81" s="78">
        <f>IF(OR(INDEX(Undirviðmið!$G$6:$G$105,ROW()-6)&lt;&gt;"Starfsbundinn",S81="",$E81="",$D81=""),"",ROUND(S81/$E81*$D81*KVARDI,2))</f>
        <v/>
      </c>
      <c r="U81" s="66" t="n"/>
      <c r="V81" s="78">
        <f>IF(OR(INDEX(Undirviðmið!$G$6:$G$105,ROW()-6)&lt;&gt;"Starfsbundinn",U81="",$E81="",$D81=""),"",ROUND(U81/$E81*$D81*KVARDI,2))</f>
        <v/>
      </c>
      <c r="W81" s="66" t="n"/>
      <c r="X81" s="78">
        <f>IF(OR(INDEX(Undirviðmið!$G$6:$G$105,ROW()-6)&lt;&gt;"Starfsbundinn",W81="",$E81="",$D81=""),"",ROUND(W81/$E81*$D81*KVARDI,2))</f>
        <v/>
      </c>
      <c r="Y81" s="66" t="n"/>
      <c r="Z81" s="78">
        <f>IF(OR(INDEX(Undirviðmið!$G$6:$G$105,ROW()-6)&lt;&gt;"Starfsbundinn",Y81="",$E81="",$D81=""),"",ROUND(Y81/$E81*$D81*KVARDI,2))</f>
        <v/>
      </c>
      <c r="AA81" s="66" t="n"/>
      <c r="AB81" s="78">
        <f>IF(OR(INDEX(Undirviðmið!$G$6:$G$105,ROW()-6)&lt;&gt;"Starfsbundinn",AA81="",$E81="",$D81=""),"",ROUND(AA81/$E81*$D81*KVARDI,2))</f>
        <v/>
      </c>
      <c r="AC81" s="66" t="n"/>
      <c r="AD81" s="78">
        <f>IF(OR(INDEX(Undirviðmið!$G$6:$G$105,ROW()-6)&lt;&gt;"Starfsbundinn",AC81="",$E81="",$D81=""),"",ROUND(AC81/$E81*$D81*KVARDI,2))</f>
        <v/>
      </c>
      <c r="AE81" s="66" t="n"/>
      <c r="AF81" s="78">
        <f>IF(OR(INDEX(Undirviðmið!$G$6:$G$105,ROW()-6)&lt;&gt;"Starfsbundinn",AE81="",$E81="",$D81=""),"",ROUND(AE81/$E81*$D81*KVARDI,2))</f>
        <v/>
      </c>
      <c r="AG81" s="66" t="n"/>
      <c r="AH81" s="78">
        <f>IF(OR(INDEX(Undirviðmið!$G$6:$G$105,ROW()-6)&lt;&gt;"Starfsbundinn",AG81="",$E81="",$D81=""),"",ROUND(AG81/$E81*$D81*KVARDI,2))</f>
        <v/>
      </c>
      <c r="AI81" s="66" t="n"/>
      <c r="AJ81" s="78">
        <f>IF(OR(INDEX(Undirviðmið!$G$6:$G$105,ROW()-6)&lt;&gt;"Starfsbundinn",AI81="",$E81="",$D81=""),"",ROUND(AI81/$E81*$D81*KVARDI,2))</f>
        <v/>
      </c>
      <c r="AK81" s="66" t="n"/>
      <c r="AL81" s="78">
        <f>IF(OR(INDEX(Undirviðmið!$G$6:$G$105,ROW()-6)&lt;&gt;"Starfsbundinn",AK81="",$E81="",$D81=""),"",ROUND(AK81/$E81*$D81*KVARDI,2))</f>
        <v/>
      </c>
      <c r="AM81" s="66" t="n"/>
      <c r="AN81" s="78">
        <f>IF(OR(INDEX(Undirviðmið!$G$6:$G$105,ROW()-6)&lt;&gt;"Starfsbundinn",AM81="",$E81="",$D81=""),"",ROUND(AM81/$E81*$D81*KVARDI,2))</f>
        <v/>
      </c>
      <c r="AO81" s="66" t="n"/>
      <c r="AP81" s="78">
        <f>IF(OR(INDEX(Undirviðmið!$G$6:$G$105,ROW()-6)&lt;&gt;"Starfsbundinn",AO81="",$E81="",$D81=""),"",ROUND(AO81/$E81*$D81*KVARDI,2))</f>
        <v/>
      </c>
      <c r="AQ81" s="66" t="n"/>
      <c r="AR81" s="78">
        <f>IF(OR(INDEX(Undirviðmið!$G$6:$G$105,ROW()-6)&lt;&gt;"Starfsbundinn",AQ81="",$E81="",$D81=""),"",ROUND(AQ81/$E81*$D81*KVARDI,2))</f>
        <v/>
      </c>
      <c r="AS81" s="66" t="n"/>
      <c r="AT81" s="78">
        <f>IF(OR(INDEX(Undirviðmið!$G$6:$G$105,ROW()-6)&lt;&gt;"Starfsbundinn",AS81="",$E81="",$D81=""),"",ROUND(AS81/$E81*$D81*KVARDI,2))</f>
        <v/>
      </c>
      <c r="AU81" s="66" t="n"/>
      <c r="AV81" s="78">
        <f>IF(OR(INDEX(Undirviðmið!$G$6:$G$105,ROW()-6)&lt;&gt;"Starfsbundinn",AU81="",$E81="",$D81=""),"",ROUND(AU81/$E81*$D81*KVARDI,2))</f>
        <v/>
      </c>
      <c r="AW81" s="66" t="n"/>
      <c r="AX81" s="78">
        <f>IF(OR(INDEX(Undirviðmið!$G$6:$G$105,ROW()-6)&lt;&gt;"Starfsbundinn",AW81="",$E81="",$D81=""),"",ROUND(AW81/$E81*$D81*KVARDI,2))</f>
        <v/>
      </c>
      <c r="AY81" s="66" t="n"/>
      <c r="AZ81" s="78">
        <f>IF(OR(INDEX(Undirviðmið!$G$6:$G$105,ROW()-6)&lt;&gt;"Starfsbundinn",AY81="",$E81="",$D81=""),"",ROUND(AY81/$E81*$D81*KVARDI,2))</f>
        <v/>
      </c>
      <c r="BA81" s="66" t="n"/>
      <c r="BB81" s="78">
        <f>IF(OR(INDEX(Undirviðmið!$G$6:$G$105,ROW()-6)&lt;&gt;"Starfsbundinn",BA81="",$E81="",$D81=""),"",ROUND(BA81/$E81*$D81*KVARDI,2))</f>
        <v/>
      </c>
      <c r="BC81" s="66" t="n"/>
      <c r="BD81" s="78">
        <f>IF(OR(INDEX(Undirviðmið!$G$6:$G$105,ROW()-6)&lt;&gt;"Starfsbundinn",BC81="",$E81="",$D81=""),"",ROUND(BC81/$E81*$D81*KVARDI,2))</f>
        <v/>
      </c>
      <c r="BE81" s="66" t="n"/>
      <c r="BF81" s="78">
        <f>IF(OR(INDEX(Undirviðmið!$G$6:$G$105,ROW()-6)&lt;&gt;"Starfsbundinn",BE81="",$E81="",$D81=""),"",ROUND(BE81/$E81*$D81*KVARDI,2))</f>
        <v/>
      </c>
      <c r="BG81" s="66" t="n"/>
      <c r="BH81" s="78">
        <f>IF(OR(INDEX(Undirviðmið!$G$6:$G$105,ROW()-6)&lt;&gt;"Starfsbundinn",BG81="",$E81="",$D81=""),"",ROUND(BG81/$E81*$D81*KVARDI,2))</f>
        <v/>
      </c>
      <c r="BI81" s="66" t="n"/>
      <c r="BJ81" s="78">
        <f>IF(OR(INDEX(Undirviðmið!$G$6:$G$105,ROW()-6)&lt;&gt;"Starfsbundinn",BI81="",$E81="",$D81=""),"",ROUND(BI81/$E81*$D81*KVARDI,2))</f>
        <v/>
      </c>
      <c r="BK81" s="66" t="n"/>
      <c r="BL81" s="78">
        <f>IF(OR(INDEX(Undirviðmið!$G$6:$G$105,ROW()-6)&lt;&gt;"Starfsbundinn",BK81="",$E81="",$D81=""),"",ROUND(BK81/$E81*$D81*KVARDI,2))</f>
        <v/>
      </c>
      <c r="BM81" s="66" t="n"/>
      <c r="BN81" s="78">
        <f>IF(OR(INDEX(Undirviðmið!$G$6:$G$105,ROW()-6)&lt;&gt;"Starfsbundinn",BM81="",$E81="",$D81=""),"",ROUND(BM81/$E81*$D81*KVARDI,2))</f>
        <v/>
      </c>
      <c r="BO81" s="66" t="n"/>
      <c r="BP81" s="78">
        <f>IF(OR(INDEX(Undirviðmið!$G$6:$G$105,ROW()-6)&lt;&gt;"Starfsbundinn",BO81="",$E81="",$D81=""),"",ROUND(BO81/$E81*$D81*KVARDI,2))</f>
        <v/>
      </c>
      <c r="BQ81" s="66" t="n"/>
      <c r="BR81" s="78">
        <f>IF(OR(INDEX(Undirviðmið!$G$6:$G$105,ROW()-6)&lt;&gt;"Starfsbundinn",BQ81="",$E81="",$D81=""),"",ROUND(BQ81/$E81*$D81*KVARDI,2))</f>
        <v/>
      </c>
      <c r="BS81" s="66" t="n"/>
      <c r="BT81" s="78">
        <f>IF(OR(INDEX(Undirviðmið!$G$6:$G$105,ROW()-6)&lt;&gt;"Starfsbundinn",BS81="",$E81="",$D81=""),"",ROUND(BS81/$E81*$D81*KVARDI,2))</f>
        <v/>
      </c>
      <c r="BU81" s="66" t="n"/>
      <c r="BV81" s="78">
        <f>IF(OR(INDEX(Undirviðmið!$G$6:$G$105,ROW()-6)&lt;&gt;"Starfsbundinn",BU81="",$E81="",$D81=""),"",ROUND(BU81/$E81*$D81*KVARDI,2))</f>
        <v/>
      </c>
      <c r="BW81" s="66" t="n"/>
      <c r="BX81" s="78">
        <f>IF(OR(INDEX(Undirviðmið!$G$6:$G$105,ROW()-6)&lt;&gt;"Starfsbundinn",BW81="",$E81="",$D81=""),"",ROUND(BW81/$E81*$D81*KVARDI,2))</f>
        <v/>
      </c>
      <c r="BY81" s="66" t="n"/>
      <c r="BZ81" s="78">
        <f>IF(OR(INDEX(Undirviðmið!$G$6:$G$105,ROW()-6)&lt;&gt;"Starfsbundinn",BY81="",$E81="",$D81=""),"",ROUND(BY81/$E81*$D81*KVARDI,2))</f>
        <v/>
      </c>
      <c r="CA81" s="66" t="n"/>
      <c r="CB81" s="78">
        <f>IF(OR(INDEX(Undirviðmið!$G$6:$G$105,ROW()-6)&lt;&gt;"Starfsbundinn",CA81="",$E81="",$D81=""),"",ROUND(CA81/$E81*$D81*KVARDI,2))</f>
        <v/>
      </c>
      <c r="CC81" s="66" t="n"/>
      <c r="CD81" s="78">
        <f>IF(OR(INDEX(Undirviðmið!$G$6:$G$105,ROW()-6)&lt;&gt;"Starfsbundinn",CC81="",$E81="",$D81=""),"",ROUND(CC81/$E81*$D81*KVARDI,2))</f>
        <v/>
      </c>
      <c r="CE81" s="66" t="n"/>
      <c r="CF81" s="78">
        <f>IF(OR(INDEX(Undirviðmið!$G$6:$G$105,ROW()-6)&lt;&gt;"Starfsbundinn",CE81="",$E81="",$D81=""),"",ROUND(CE81/$E81*$D81*KVARDI,2))</f>
        <v/>
      </c>
      <c r="CG81" s="66" t="n"/>
      <c r="CH81" s="78">
        <f>IF(OR(INDEX(Undirviðmið!$G$6:$G$105,ROW()-6)&lt;&gt;"Starfsbundinn",CG81="",$E81="",$D81=""),"",ROUND(CG81/$E81*$D81*KVARDI,2))</f>
        <v/>
      </c>
      <c r="CI81" s="66" t="n"/>
      <c r="CJ81" s="78">
        <f>IF(OR(INDEX(Undirviðmið!$G$6:$G$105,ROW()-6)&lt;&gt;"Starfsbundinn",CI81="",$E81="",$D81=""),"",ROUND(CI81/$E81*$D81*KVARDI,2))</f>
        <v/>
      </c>
      <c r="CK81" s="66" t="n"/>
      <c r="CL81" s="78">
        <f>IF(OR(INDEX(Undirviðmið!$G$6:$G$105,ROW()-6)&lt;&gt;"Starfsbundinn",CK81="",$E81="",$D81=""),"",ROUND(CK81/$E81*$D81*KVARDI,2))</f>
        <v/>
      </c>
      <c r="CM81" s="66" t="n"/>
      <c r="CN81" s="78">
        <f>IF(OR(INDEX(Undirviðmið!$G$6:$G$105,ROW()-6)&lt;&gt;"Starfsbundinn",CM81="",$E81="",$D81=""),"",ROUND(CM81/$E81*$D81*KVARDI,2))</f>
        <v/>
      </c>
      <c r="CO81" s="66" t="n"/>
      <c r="CP81" s="78">
        <f>IF(OR(INDEX(Undirviðmið!$G$6:$G$105,ROW()-6)&lt;&gt;"Starfsbundinn",CO81="",$E81="",$D81=""),"",ROUND(CO81/$E81*$D81*KVARDI,2))</f>
        <v/>
      </c>
      <c r="CQ81" s="66" t="n"/>
      <c r="CR81" s="78">
        <f>IF(OR(INDEX(Undirviðmið!$G$6:$G$105,ROW()-6)&lt;&gt;"Starfsbundinn",CQ81="",$E81="",$D81=""),"",ROUND(CQ81/$E81*$D81*KVARDI,2))</f>
        <v/>
      </c>
      <c r="CS81" s="66" t="n"/>
      <c r="CT81" s="78">
        <f>IF(OR(INDEX(Undirviðmið!$G$6:$G$105,ROW()-6)&lt;&gt;"Starfsbundinn",CS81="",$E81="",$D81=""),"",ROUND(CS81/$E81*$D81*KVARDI,2))</f>
        <v/>
      </c>
      <c r="CU81" s="66" t="n"/>
      <c r="CV81" s="78">
        <f>IF(OR(INDEX(Undirviðmið!$G$6:$G$105,ROW()-6)&lt;&gt;"Starfsbundinn",CU81="",$E81="",$D81=""),"",ROUND(CU81/$E81*$D81*KVARDI,2))</f>
        <v/>
      </c>
      <c r="CW81" s="66" t="n"/>
      <c r="CX81" s="78">
        <f>IF(OR(INDEX(Undirviðmið!$G$6:$G$105,ROW()-6)&lt;&gt;"Starfsbundinn",CW81="",$E81="",$D81=""),"",ROUND(CW81/$E81*$D81*KVARDI,2))</f>
        <v/>
      </c>
      <c r="CY81" s="66" t="n"/>
      <c r="CZ81" s="78">
        <f>IF(OR(INDEX(Undirviðmið!$G$6:$G$105,ROW()-6)&lt;&gt;"Starfsbundinn",CY81="",$E81="",$D81=""),"",ROUND(CY81/$E81*$D81*KVARDI,2))</f>
        <v/>
      </c>
      <c r="DA81" s="66" t="n"/>
      <c r="DB81" s="78">
        <f>IF(OR(INDEX(Undirviðmið!$G$6:$G$105,ROW()-6)&lt;&gt;"Starfsbundinn",DA81="",$E81="",$D81=""),"",ROUND(DA81/$E81*$D81*KVARDI,2))</f>
        <v/>
      </c>
      <c r="DC81" s="66" t="n"/>
      <c r="DD81" s="78">
        <f>IF(OR(INDEX(Undirviðmið!$G$6:$G$105,ROW()-6)&lt;&gt;"Starfsbundinn",DC81="",$E81="",$D81=""),"",ROUND(DC81/$E81*$D81*KVARDI,2))</f>
        <v/>
      </c>
      <c r="DE81" s="66" t="n"/>
      <c r="DF81" s="78">
        <f>IF(OR(INDEX(Undirviðmið!$G$6:$G$105,ROW()-6)&lt;&gt;"Starfsbundinn",DE81="",$E81="",$D81=""),"",ROUND(DE81/$E81*$D81*KVARDI,2))</f>
        <v/>
      </c>
      <c r="DG81" s="66" t="n"/>
      <c r="DH81" s="78">
        <f>IF(OR(INDEX(Undirviðmið!$G$6:$G$105,ROW()-6)&lt;&gt;"Starfsbundinn",DG81="",$E81="",$D81=""),"",ROUND(DG81/$E81*$D81*KVARDI,2))</f>
        <v/>
      </c>
      <c r="DI81" s="66" t="n"/>
      <c r="DJ81" s="78">
        <f>IF(OR(INDEX(Undirviðmið!$G$6:$G$105,ROW()-6)&lt;&gt;"Starfsbundinn",DI81="",$E81="",$D81=""),"",ROUND(DI81/$E81*$D81*KVARDI,2))</f>
        <v/>
      </c>
      <c r="DK81" s="66" t="n"/>
      <c r="DL81" s="78">
        <f>IF(OR(INDEX(Undirviðmið!$G$6:$G$105,ROW()-6)&lt;&gt;"Starfsbundinn",DK81="",$E81="",$D81=""),"",ROUND(DK81/$E81*$D81*KVARDI,2))</f>
        <v/>
      </c>
      <c r="DM81" s="66" t="n"/>
      <c r="DN81" s="78">
        <f>IF(OR(INDEX(Undirviðmið!$G$6:$G$105,ROW()-6)&lt;&gt;"Starfsbundinn",DM81="",$E81="",$D81=""),"",ROUND(DM81/$E81*$D81*KVARDI,2))</f>
        <v/>
      </c>
      <c r="DO81" s="66" t="n"/>
      <c r="DP81" s="78">
        <f>IF(OR(INDEX(Undirviðmið!$G$6:$G$105,ROW()-6)&lt;&gt;"Starfsbundinn",DO81="",$E81="",$D81=""),"",ROUND(DO81/$E81*$D81*KVARDI,2))</f>
        <v/>
      </c>
      <c r="DQ81" s="66" t="n"/>
      <c r="DR81" s="78">
        <f>IF(OR(INDEX(Undirviðmið!$G$6:$G$105,ROW()-6)&lt;&gt;"Starfsbundinn",DQ81="",$E81="",$D81=""),"",ROUND(DQ81/$E81*$D81*KVARDI,2))</f>
        <v/>
      </c>
      <c r="DS81" s="66" t="n"/>
      <c r="DT81" s="78">
        <f>IF(OR(INDEX(Undirviðmið!$G$6:$G$105,ROW()-6)&lt;&gt;"Starfsbundinn",DS81="",$E81="",$D81=""),"",ROUND(DS81/$E81*$D81*KVARDI,2))</f>
        <v/>
      </c>
      <c r="DU81" s="66" t="n"/>
      <c r="DV81" s="78">
        <f>IF(OR(INDEX(Undirviðmið!$G$6:$G$105,ROW()-6)&lt;&gt;"Starfsbundinn",DU81="",$E81="",$D81=""),"",ROUND(DU81/$E81*$D81*KVARDI,2))</f>
        <v/>
      </c>
      <c r="DW81" s="66" t="n"/>
      <c r="DX81" s="78">
        <f>IF(OR(INDEX(Undirviðmið!$G$6:$G$105,ROW()-6)&lt;&gt;"Starfsbundinn",DW81="",$E81="",$D81=""),"",ROUND(DW81/$E81*$D81*KVARDI,2))</f>
        <v/>
      </c>
      <c r="DY81" s="66" t="n"/>
      <c r="DZ81" s="78">
        <f>IF(OR(INDEX(Undirviðmið!$G$6:$G$105,ROW()-6)&lt;&gt;"Starfsbundinn",DY81="",$E81="",$D81=""),"",ROUND(DY81/$E81*$D81*KVARDI,2))</f>
        <v/>
      </c>
      <c r="EA81" s="66" t="n"/>
      <c r="EB81" s="78">
        <f>IF(OR(INDEX(Undirviðmið!$G$6:$G$105,ROW()-6)&lt;&gt;"Starfsbundinn",EA81="",$E81="",$D81=""),"",ROUND(EA81/$E81*$D81*KVARDI,2))</f>
        <v/>
      </c>
      <c r="EC81" s="66" t="n"/>
      <c r="ED81" s="78">
        <f>IF(OR(INDEX(Undirviðmið!$G$6:$G$105,ROW()-6)&lt;&gt;"Starfsbundinn",EC81="",$E81="",$D81=""),"",ROUND(EC81/$E81*$D81*KVARDI,2))</f>
        <v/>
      </c>
      <c r="EE81" s="66" t="n"/>
      <c r="EF81" s="78">
        <f>IF(OR(INDEX(Undirviðmið!$G$6:$G$105,ROW()-6)&lt;&gt;"Starfsbundinn",EE81="",$E81="",$D81=""),"",ROUND(EE81/$E81*$D81*KVARDI,2))</f>
        <v/>
      </c>
      <c r="EG81" s="66" t="n"/>
      <c r="EH81" s="78">
        <f>IF(OR(INDEX(Undirviðmið!$G$6:$G$105,ROW()-6)&lt;&gt;"Starfsbundinn",EG81="",$E81="",$D81=""),"",ROUND(EG81/$E81*$D81*KVARDI,2))</f>
        <v/>
      </c>
      <c r="EI81" s="66" t="n"/>
      <c r="EJ81" s="78">
        <f>IF(OR(INDEX(Undirviðmið!$G$6:$G$105,ROW()-6)&lt;&gt;"Starfsbundinn",EI81="",$E81="",$D81=""),"",ROUND(EI81/$E81*$D81*KVARDI,2))</f>
        <v/>
      </c>
      <c r="EK81" s="66" t="n"/>
      <c r="EL81" s="78">
        <f>IF(OR(INDEX(Undirviðmið!$G$6:$G$105,ROW()-6)&lt;&gt;"Starfsbundinn",EK81="",$E81="",$D81=""),"",ROUND(EK81/$E81*$D81*KVARDI,2))</f>
        <v/>
      </c>
      <c r="EM81" s="66" t="n"/>
      <c r="EN81" s="78">
        <f>IF(OR(INDEX(Undirviðmið!$G$6:$G$105,ROW()-6)&lt;&gt;"Starfsbundinn",EM81="",$E81="",$D81=""),"",ROUND(EM81/$E81*$D81*KVARDI,2))</f>
        <v/>
      </c>
      <c r="EO81" s="66" t="n"/>
      <c r="EP81" s="78">
        <f>IF(OR(INDEX(Undirviðmið!$G$6:$G$105,ROW()-6)&lt;&gt;"Starfsbundinn",EO81="",$E81="",$D81=""),"",ROUND(EO81/$E81*$D81*KVARDI,2))</f>
        <v/>
      </c>
      <c r="EQ81" s="66" t="n"/>
      <c r="ER81" s="78">
        <f>IF(OR(INDEX(Undirviðmið!$G$6:$G$105,ROW()-6)&lt;&gt;"Starfsbundinn",EQ81="",$E81="",$D81=""),"",ROUND(EQ81/$E81*$D81*KVARDI,2))</f>
        <v/>
      </c>
      <c r="ES81" s="66" t="n"/>
      <c r="ET81" s="78">
        <f>IF(OR(INDEX(Undirviðmið!$G$6:$G$105,ROW()-6)&lt;&gt;"Starfsbundinn",ES81="",$E81="",$D81=""),"",ROUND(ES81/$E81*$D81*KVARDI,2))</f>
        <v/>
      </c>
      <c r="EU81" s="66" t="n"/>
      <c r="EV81" s="78">
        <f>IF(OR(INDEX(Undirviðmið!$G$6:$G$105,ROW()-6)&lt;&gt;"Starfsbundinn",EU81="",$E81="",$D81=""),"",ROUND(EU81/$E81*$D81*KVARDI,2))</f>
        <v/>
      </c>
      <c r="EW81" s="66" t="n"/>
      <c r="EX81" s="78">
        <f>IF(OR(INDEX(Undirviðmið!$G$6:$G$105,ROW()-6)&lt;&gt;"Starfsbundinn",EW81="",$E81="",$D81=""),"",ROUND(EW81/$E81*$D81*KVARDI,2))</f>
        <v/>
      </c>
      <c r="EY81" s="66" t="n"/>
      <c r="EZ81" s="78">
        <f>IF(OR(INDEX(Undirviðmið!$G$6:$G$105,ROW()-6)&lt;&gt;"Starfsbundinn",EY81="",$E81="",$D81=""),"",ROUND(EY81/$E81*$D81*KVARDI,2))</f>
        <v/>
      </c>
      <c r="FA81" s="66" t="n"/>
      <c r="FB81" s="78">
        <f>IF(OR(INDEX(Undirviðmið!$G$6:$G$105,ROW()-6)&lt;&gt;"Starfsbundinn",FA81="",$E81="",$D81=""),"",ROUND(FA81/$E81*$D81*KVARDI,2))</f>
        <v/>
      </c>
      <c r="FC81" s="66" t="n"/>
      <c r="FD81" s="78">
        <f>IF(OR(INDEX(Undirviðmið!$G$6:$G$105,ROW()-6)&lt;&gt;"Starfsbundinn",FC81="",$E81="",$D81=""),"",ROUND(FC81/$E81*$D81*KVARDI,2))</f>
        <v/>
      </c>
      <c r="FE81" s="66" t="n"/>
      <c r="FF81" s="78">
        <f>IF(OR(INDEX(Undirviðmið!$G$6:$G$105,ROW()-6)&lt;&gt;"Starfsbundinn",FE81="",$E81="",$D81=""),"",ROUND(FE81/$E81*$D81*KVARDI,2))</f>
        <v/>
      </c>
      <c r="FG81" s="66" t="n"/>
      <c r="FH81" s="78">
        <f>IF(OR(INDEX(Undirviðmið!$G$6:$G$105,ROW()-6)&lt;&gt;"Starfsbundinn",FG81="",$E81="",$D81=""),"",ROUND(FG81/$E81*$D81*KVARDI,2))</f>
        <v/>
      </c>
      <c r="FI81" s="66" t="n"/>
      <c r="FJ81" s="78">
        <f>IF(OR(INDEX(Undirviðmið!$G$6:$G$105,ROW()-6)&lt;&gt;"Starfsbundinn",FI81="",$E81="",$D81=""),"",ROUND(FI81/$E81*$D81*KVARDI,2))</f>
        <v/>
      </c>
      <c r="FK81" s="66" t="n"/>
      <c r="FL81" s="78">
        <f>IF(OR(INDEX(Undirviðmið!$G$6:$G$105,ROW()-6)&lt;&gt;"Starfsbundinn",FK81="",$E81="",$D81=""),"",ROUND(FK81/$E81*$D81*KVARDI,2))</f>
        <v/>
      </c>
      <c r="FM81" s="66" t="n"/>
      <c r="FN81" s="78">
        <f>IF(OR(INDEX(Undirviðmið!$G$6:$G$105,ROW()-6)&lt;&gt;"Starfsbundinn",FM81="",$E81="",$D81=""),"",ROUND(FM81/$E81*$D81*KVARDI,2))</f>
        <v/>
      </c>
      <c r="FO81" s="66" t="n"/>
      <c r="FP81" s="78">
        <f>IF(OR(INDEX(Undirviðmið!$G$6:$G$105,ROW()-6)&lt;&gt;"Starfsbundinn",FO81="",$E81="",$D81=""),"",ROUND(FO81/$E81*$D81*KVARDI,2))</f>
        <v/>
      </c>
      <c r="FQ81" s="66" t="n"/>
      <c r="FR81" s="78">
        <f>IF(OR(INDEX(Undirviðmið!$G$6:$G$105,ROW()-6)&lt;&gt;"Starfsbundinn",FQ81="",$E81="",$D81=""),"",ROUND(FQ81/$E81*$D81*KVARDI,2))</f>
        <v/>
      </c>
      <c r="FS81" s="66" t="n"/>
      <c r="FT81" s="78">
        <f>IF(OR(INDEX(Undirviðmið!$G$6:$G$105,ROW()-6)&lt;&gt;"Starfsbundinn",FS81="",$E81="",$D81=""),"",ROUND(FS81/$E81*$D81*KVARDI,2))</f>
        <v/>
      </c>
      <c r="FU81" s="66" t="n"/>
      <c r="FV81" s="78">
        <f>IF(OR(INDEX(Undirviðmið!$G$6:$G$105,ROW()-6)&lt;&gt;"Starfsbundinn",FU81="",$E81="",$D81=""),"",ROUND(FU81/$E81*$D81*KVARDI,2))</f>
        <v/>
      </c>
      <c r="FW81" s="66" t="n"/>
      <c r="FX81" s="78">
        <f>IF(OR(INDEX(Undirviðmið!$G$6:$G$105,ROW()-6)&lt;&gt;"Starfsbundinn",FW81="",$E81="",$D81=""),"",ROUND(FW81/$E81*$D81*KVARDI,2))</f>
        <v/>
      </c>
      <c r="FY81" s="66" t="n"/>
      <c r="FZ81" s="78">
        <f>IF(OR(INDEX(Undirviðmið!$G$6:$G$105,ROW()-6)&lt;&gt;"Starfsbundinn",FY81="",$E81="",$D81=""),"",ROUND(FY81/$E81*$D81*KVARDI,2))</f>
        <v/>
      </c>
      <c r="GA81" s="66" t="n"/>
      <c r="GB81" s="78">
        <f>IF(OR(INDEX(Undirviðmið!$G$6:$G$105,ROW()-6)&lt;&gt;"Starfsbundinn",GA81="",$E81="",$D81=""),"",ROUND(GA81/$E81*$D81*KVARDI,2))</f>
        <v/>
      </c>
      <c r="GC81" s="66" t="n"/>
      <c r="GD81" s="78">
        <f>IF(OR(INDEX(Undirviðmið!$G$6:$G$105,ROW()-6)&lt;&gt;"Starfsbundinn",GC81="",$E81="",$D81=""),"",ROUND(GC81/$E81*$D81*KVARDI,2))</f>
        <v/>
      </c>
      <c r="GE81" s="66" t="n"/>
      <c r="GF81" s="78">
        <f>IF(OR(INDEX(Undirviðmið!$G$6:$G$105,ROW()-6)&lt;&gt;"Starfsbundinn",GE81="",$E81="",$D81=""),"",ROUND(GE81/$E81*$D81*KVARDI,2))</f>
        <v/>
      </c>
      <c r="GG81" s="66" t="n"/>
      <c r="GH81" s="78">
        <f>IF(OR(INDEX(Undirviðmið!$G$6:$G$105,ROW()-6)&lt;&gt;"Starfsbundinn",GG81="",$E81="",$D81=""),"",ROUND(GG81/$E81*$D81*KVARDI,2))</f>
        <v/>
      </c>
      <c r="GI81" s="66" t="n"/>
      <c r="GJ81" s="78">
        <f>IF(OR(INDEX(Undirviðmið!$G$6:$G$105,ROW()-6)&lt;&gt;"Starfsbundinn",GI81="",$E81="",$D81=""),"",ROUND(GI81/$E81*$D81*KVARDI,2))</f>
        <v/>
      </c>
      <c r="GK81" s="66" t="n"/>
      <c r="GL81" s="78">
        <f>IF(OR(INDEX(Undirviðmið!$G$6:$G$105,ROW()-6)&lt;&gt;"Starfsbundinn",GK81="",$E81="",$D81=""),"",ROUND(GK81/$E81*$D81*KVARDI,2))</f>
        <v/>
      </c>
      <c r="GM81" s="66" t="n"/>
      <c r="GN81" s="78">
        <f>IF(OR(INDEX(Undirviðmið!$G$6:$G$105,ROW()-6)&lt;&gt;"Starfsbundinn",GM81="",$E81="",$D81=""),"",ROUND(GM81/$E81*$D81*KVARDI,2))</f>
        <v/>
      </c>
      <c r="GO81" s="66" t="n"/>
      <c r="GP81" s="78">
        <f>IF(OR(INDEX(Undirviðmið!$G$6:$G$105,ROW()-6)&lt;&gt;"Starfsbundinn",GO81="",$E81="",$D81=""),"",ROUND(GO81/$E81*$D81*KVARDI,2))</f>
        <v/>
      </c>
      <c r="GQ81" s="66" t="n"/>
      <c r="GR81" s="78">
        <f>IF(OR(INDEX(Undirviðmið!$G$6:$G$105,ROW()-6)&lt;&gt;"Starfsbundinn",GQ81="",$E81="",$D81=""),"",ROUND(GQ81/$E81*$D81*KVARDI,2))</f>
        <v/>
      </c>
      <c r="GS81" s="66" t="n"/>
      <c r="GT81" s="78">
        <f>IF(OR(INDEX(Undirviðmið!$G$6:$G$105,ROW()-6)&lt;&gt;"Starfsbundinn",GS81="",$E81="",$D81=""),"",ROUND(GS81/$E81*$D81*KVARDI,2))</f>
        <v/>
      </c>
      <c r="GU81" s="66" t="n"/>
      <c r="GV81" s="78">
        <f>IF(OR(INDEX(Undirviðmið!$G$6:$G$105,ROW()-6)&lt;&gt;"Starfsbundinn",GU81="",$E81="",$D81=""),"",ROUND(GU81/$E81*$D81*KVARDI,2))</f>
        <v/>
      </c>
      <c r="GW81" s="66" t="n"/>
      <c r="GX81" s="78">
        <f>IF(OR(INDEX(Undirviðmið!$G$6:$G$105,ROW()-6)&lt;&gt;"Starfsbundinn",GW81="",$E81="",$D81=""),"",ROUND(GW81/$E81*$D81*KVARDI,2))</f>
        <v/>
      </c>
    </row>
    <row r="82" ht="15" customHeight="1" s="47">
      <c r="B82" s="67">
        <f>IF(INDEX(Undirviðmið!$G$6:$G$105,ROW()-6)="Starfsbundinn",INDEX(Undirviðmið!$B$6:$B$105,ROW()-6),"")</f>
        <v/>
      </c>
      <c r="C82" s="67">
        <f>IF(INDEX(Undirviðmið!$G$6:$G$105,ROW()-6)="Starfsbundinn",INDEX(Undirviðmið!$C$6:$C$105,ROW()-6),"")</f>
        <v/>
      </c>
      <c r="D82" s="77">
        <f>IF(INDEX(Undirviðmið!$G$6:$G$105,ROW()-6)="Starfsbundinn",INDEX(Undirviðmið!$E$6:$E$105,ROW()-6),"")</f>
        <v/>
      </c>
      <c r="E82" s="77">
        <f>IF(INDEX(Undirviðmið!$G$6:$G$105,ROW()-6)="Starfsbundinn",INDEX(Undirviðmið!$F$6:$F$105,ROW()-6),"")</f>
        <v/>
      </c>
      <c r="F82" s="77">
        <f>IF(INDEX(Undirviðmið!$G$6:$G$105,ROW()-6)="Starfsbundinn",IFERROR(INDEX(Undirviðmið!$E$6:$E$105,ROW()-6)*KVARDI,""),"")</f>
        <v/>
      </c>
      <c r="G82" s="66" t="n"/>
      <c r="H82" s="78">
        <f>IF(OR(INDEX(Undirviðmið!$G$6:$G$105,ROW()-6)&lt;&gt;"Starfsbundinn",G82="",$E82="",$D82=""),"",ROUND(G82/$E82*$D82*KVARDI,2))</f>
        <v/>
      </c>
      <c r="I82" s="66" t="n"/>
      <c r="J82" s="78">
        <f>IF(OR(INDEX(Undirviðmið!$G$6:$G$105,ROW()-6)&lt;&gt;"Starfsbundinn",I82="",$E82="",$D82=""),"",ROUND(I82/$E82*$D82*KVARDI,2))</f>
        <v/>
      </c>
      <c r="K82" s="66" t="n"/>
      <c r="L82" s="78">
        <f>IF(OR(INDEX(Undirviðmið!$G$6:$G$105,ROW()-6)&lt;&gt;"Starfsbundinn",K82="",$E82="",$D82=""),"",ROUND(K82/$E82*$D82*KVARDI,2))</f>
        <v/>
      </c>
      <c r="M82" s="66" t="n"/>
      <c r="N82" s="78">
        <f>IF(OR(INDEX(Undirviðmið!$G$6:$G$105,ROW()-6)&lt;&gt;"Starfsbundinn",M82="",$E82="",$D82=""),"",ROUND(M82/$E82*$D82*KVARDI,2))</f>
        <v/>
      </c>
      <c r="O82" s="66" t="n"/>
      <c r="P82" s="78">
        <f>IF(OR(INDEX(Undirviðmið!$G$6:$G$105,ROW()-6)&lt;&gt;"Starfsbundinn",O82="",$E82="",$D82=""),"",ROUND(O82/$E82*$D82*KVARDI,2))</f>
        <v/>
      </c>
      <c r="Q82" s="66" t="n"/>
      <c r="R82" s="78">
        <f>IF(OR(INDEX(Undirviðmið!$G$6:$G$105,ROW()-6)&lt;&gt;"Starfsbundinn",Q82="",$E82="",$D82=""),"",ROUND(Q82/$E82*$D82*KVARDI,2))</f>
        <v/>
      </c>
      <c r="S82" s="66" t="n"/>
      <c r="T82" s="78">
        <f>IF(OR(INDEX(Undirviðmið!$G$6:$G$105,ROW()-6)&lt;&gt;"Starfsbundinn",S82="",$E82="",$D82=""),"",ROUND(S82/$E82*$D82*KVARDI,2))</f>
        <v/>
      </c>
      <c r="U82" s="66" t="n"/>
      <c r="V82" s="78">
        <f>IF(OR(INDEX(Undirviðmið!$G$6:$G$105,ROW()-6)&lt;&gt;"Starfsbundinn",U82="",$E82="",$D82=""),"",ROUND(U82/$E82*$D82*KVARDI,2))</f>
        <v/>
      </c>
      <c r="W82" s="66" t="n"/>
      <c r="X82" s="78">
        <f>IF(OR(INDEX(Undirviðmið!$G$6:$G$105,ROW()-6)&lt;&gt;"Starfsbundinn",W82="",$E82="",$D82=""),"",ROUND(W82/$E82*$D82*KVARDI,2))</f>
        <v/>
      </c>
      <c r="Y82" s="66" t="n"/>
      <c r="Z82" s="78">
        <f>IF(OR(INDEX(Undirviðmið!$G$6:$G$105,ROW()-6)&lt;&gt;"Starfsbundinn",Y82="",$E82="",$D82=""),"",ROUND(Y82/$E82*$D82*KVARDI,2))</f>
        <v/>
      </c>
      <c r="AA82" s="66" t="n"/>
      <c r="AB82" s="78">
        <f>IF(OR(INDEX(Undirviðmið!$G$6:$G$105,ROW()-6)&lt;&gt;"Starfsbundinn",AA82="",$E82="",$D82=""),"",ROUND(AA82/$E82*$D82*KVARDI,2))</f>
        <v/>
      </c>
      <c r="AC82" s="66" t="n"/>
      <c r="AD82" s="78">
        <f>IF(OR(INDEX(Undirviðmið!$G$6:$G$105,ROW()-6)&lt;&gt;"Starfsbundinn",AC82="",$E82="",$D82=""),"",ROUND(AC82/$E82*$D82*KVARDI,2))</f>
        <v/>
      </c>
      <c r="AE82" s="66" t="n"/>
      <c r="AF82" s="78">
        <f>IF(OR(INDEX(Undirviðmið!$G$6:$G$105,ROW()-6)&lt;&gt;"Starfsbundinn",AE82="",$E82="",$D82=""),"",ROUND(AE82/$E82*$D82*KVARDI,2))</f>
        <v/>
      </c>
      <c r="AG82" s="66" t="n"/>
      <c r="AH82" s="78">
        <f>IF(OR(INDEX(Undirviðmið!$G$6:$G$105,ROW()-6)&lt;&gt;"Starfsbundinn",AG82="",$E82="",$D82=""),"",ROUND(AG82/$E82*$D82*KVARDI,2))</f>
        <v/>
      </c>
      <c r="AI82" s="66" t="n"/>
      <c r="AJ82" s="78">
        <f>IF(OR(INDEX(Undirviðmið!$G$6:$G$105,ROW()-6)&lt;&gt;"Starfsbundinn",AI82="",$E82="",$D82=""),"",ROUND(AI82/$E82*$D82*KVARDI,2))</f>
        <v/>
      </c>
      <c r="AK82" s="66" t="n"/>
      <c r="AL82" s="78">
        <f>IF(OR(INDEX(Undirviðmið!$G$6:$G$105,ROW()-6)&lt;&gt;"Starfsbundinn",AK82="",$E82="",$D82=""),"",ROUND(AK82/$E82*$D82*KVARDI,2))</f>
        <v/>
      </c>
      <c r="AM82" s="66" t="n"/>
      <c r="AN82" s="78">
        <f>IF(OR(INDEX(Undirviðmið!$G$6:$G$105,ROW()-6)&lt;&gt;"Starfsbundinn",AM82="",$E82="",$D82=""),"",ROUND(AM82/$E82*$D82*KVARDI,2))</f>
        <v/>
      </c>
      <c r="AO82" s="66" t="n"/>
      <c r="AP82" s="78">
        <f>IF(OR(INDEX(Undirviðmið!$G$6:$G$105,ROW()-6)&lt;&gt;"Starfsbundinn",AO82="",$E82="",$D82=""),"",ROUND(AO82/$E82*$D82*KVARDI,2))</f>
        <v/>
      </c>
      <c r="AQ82" s="66" t="n"/>
      <c r="AR82" s="78">
        <f>IF(OR(INDEX(Undirviðmið!$G$6:$G$105,ROW()-6)&lt;&gt;"Starfsbundinn",AQ82="",$E82="",$D82=""),"",ROUND(AQ82/$E82*$D82*KVARDI,2))</f>
        <v/>
      </c>
      <c r="AS82" s="66" t="n"/>
      <c r="AT82" s="78">
        <f>IF(OR(INDEX(Undirviðmið!$G$6:$G$105,ROW()-6)&lt;&gt;"Starfsbundinn",AS82="",$E82="",$D82=""),"",ROUND(AS82/$E82*$D82*KVARDI,2))</f>
        <v/>
      </c>
      <c r="AU82" s="66" t="n"/>
      <c r="AV82" s="78">
        <f>IF(OR(INDEX(Undirviðmið!$G$6:$G$105,ROW()-6)&lt;&gt;"Starfsbundinn",AU82="",$E82="",$D82=""),"",ROUND(AU82/$E82*$D82*KVARDI,2))</f>
        <v/>
      </c>
      <c r="AW82" s="66" t="n"/>
      <c r="AX82" s="78">
        <f>IF(OR(INDEX(Undirviðmið!$G$6:$G$105,ROW()-6)&lt;&gt;"Starfsbundinn",AW82="",$E82="",$D82=""),"",ROUND(AW82/$E82*$D82*KVARDI,2))</f>
        <v/>
      </c>
      <c r="AY82" s="66" t="n"/>
      <c r="AZ82" s="78">
        <f>IF(OR(INDEX(Undirviðmið!$G$6:$G$105,ROW()-6)&lt;&gt;"Starfsbundinn",AY82="",$E82="",$D82=""),"",ROUND(AY82/$E82*$D82*KVARDI,2))</f>
        <v/>
      </c>
      <c r="BA82" s="66" t="n"/>
      <c r="BB82" s="78">
        <f>IF(OR(INDEX(Undirviðmið!$G$6:$G$105,ROW()-6)&lt;&gt;"Starfsbundinn",BA82="",$E82="",$D82=""),"",ROUND(BA82/$E82*$D82*KVARDI,2))</f>
        <v/>
      </c>
      <c r="BC82" s="66" t="n"/>
      <c r="BD82" s="78">
        <f>IF(OR(INDEX(Undirviðmið!$G$6:$G$105,ROW()-6)&lt;&gt;"Starfsbundinn",BC82="",$E82="",$D82=""),"",ROUND(BC82/$E82*$D82*KVARDI,2))</f>
        <v/>
      </c>
      <c r="BE82" s="66" t="n"/>
      <c r="BF82" s="78">
        <f>IF(OR(INDEX(Undirviðmið!$G$6:$G$105,ROW()-6)&lt;&gt;"Starfsbundinn",BE82="",$E82="",$D82=""),"",ROUND(BE82/$E82*$D82*KVARDI,2))</f>
        <v/>
      </c>
      <c r="BG82" s="66" t="n"/>
      <c r="BH82" s="78">
        <f>IF(OR(INDEX(Undirviðmið!$G$6:$G$105,ROW()-6)&lt;&gt;"Starfsbundinn",BG82="",$E82="",$D82=""),"",ROUND(BG82/$E82*$D82*KVARDI,2))</f>
        <v/>
      </c>
      <c r="BI82" s="66" t="n"/>
      <c r="BJ82" s="78">
        <f>IF(OR(INDEX(Undirviðmið!$G$6:$G$105,ROW()-6)&lt;&gt;"Starfsbundinn",BI82="",$E82="",$D82=""),"",ROUND(BI82/$E82*$D82*KVARDI,2))</f>
        <v/>
      </c>
      <c r="BK82" s="66" t="n"/>
      <c r="BL82" s="78">
        <f>IF(OR(INDEX(Undirviðmið!$G$6:$G$105,ROW()-6)&lt;&gt;"Starfsbundinn",BK82="",$E82="",$D82=""),"",ROUND(BK82/$E82*$D82*KVARDI,2))</f>
        <v/>
      </c>
      <c r="BM82" s="66" t="n"/>
      <c r="BN82" s="78">
        <f>IF(OR(INDEX(Undirviðmið!$G$6:$G$105,ROW()-6)&lt;&gt;"Starfsbundinn",BM82="",$E82="",$D82=""),"",ROUND(BM82/$E82*$D82*KVARDI,2))</f>
        <v/>
      </c>
      <c r="BO82" s="66" t="n"/>
      <c r="BP82" s="78">
        <f>IF(OR(INDEX(Undirviðmið!$G$6:$G$105,ROW()-6)&lt;&gt;"Starfsbundinn",BO82="",$E82="",$D82=""),"",ROUND(BO82/$E82*$D82*KVARDI,2))</f>
        <v/>
      </c>
      <c r="BQ82" s="66" t="n"/>
      <c r="BR82" s="78">
        <f>IF(OR(INDEX(Undirviðmið!$G$6:$G$105,ROW()-6)&lt;&gt;"Starfsbundinn",BQ82="",$E82="",$D82=""),"",ROUND(BQ82/$E82*$D82*KVARDI,2))</f>
        <v/>
      </c>
      <c r="BS82" s="66" t="n"/>
      <c r="BT82" s="78">
        <f>IF(OR(INDEX(Undirviðmið!$G$6:$G$105,ROW()-6)&lt;&gt;"Starfsbundinn",BS82="",$E82="",$D82=""),"",ROUND(BS82/$E82*$D82*KVARDI,2))</f>
        <v/>
      </c>
      <c r="BU82" s="66" t="n"/>
      <c r="BV82" s="78">
        <f>IF(OR(INDEX(Undirviðmið!$G$6:$G$105,ROW()-6)&lt;&gt;"Starfsbundinn",BU82="",$E82="",$D82=""),"",ROUND(BU82/$E82*$D82*KVARDI,2))</f>
        <v/>
      </c>
      <c r="BW82" s="66" t="n"/>
      <c r="BX82" s="78">
        <f>IF(OR(INDEX(Undirviðmið!$G$6:$G$105,ROW()-6)&lt;&gt;"Starfsbundinn",BW82="",$E82="",$D82=""),"",ROUND(BW82/$E82*$D82*KVARDI,2))</f>
        <v/>
      </c>
      <c r="BY82" s="66" t="n"/>
      <c r="BZ82" s="78">
        <f>IF(OR(INDEX(Undirviðmið!$G$6:$G$105,ROW()-6)&lt;&gt;"Starfsbundinn",BY82="",$E82="",$D82=""),"",ROUND(BY82/$E82*$D82*KVARDI,2))</f>
        <v/>
      </c>
      <c r="CA82" s="66" t="n"/>
      <c r="CB82" s="78">
        <f>IF(OR(INDEX(Undirviðmið!$G$6:$G$105,ROW()-6)&lt;&gt;"Starfsbundinn",CA82="",$E82="",$D82=""),"",ROUND(CA82/$E82*$D82*KVARDI,2))</f>
        <v/>
      </c>
      <c r="CC82" s="66" t="n"/>
      <c r="CD82" s="78">
        <f>IF(OR(INDEX(Undirviðmið!$G$6:$G$105,ROW()-6)&lt;&gt;"Starfsbundinn",CC82="",$E82="",$D82=""),"",ROUND(CC82/$E82*$D82*KVARDI,2))</f>
        <v/>
      </c>
      <c r="CE82" s="66" t="n"/>
      <c r="CF82" s="78">
        <f>IF(OR(INDEX(Undirviðmið!$G$6:$G$105,ROW()-6)&lt;&gt;"Starfsbundinn",CE82="",$E82="",$D82=""),"",ROUND(CE82/$E82*$D82*KVARDI,2))</f>
        <v/>
      </c>
      <c r="CG82" s="66" t="n"/>
      <c r="CH82" s="78">
        <f>IF(OR(INDEX(Undirviðmið!$G$6:$G$105,ROW()-6)&lt;&gt;"Starfsbundinn",CG82="",$E82="",$D82=""),"",ROUND(CG82/$E82*$D82*KVARDI,2))</f>
        <v/>
      </c>
      <c r="CI82" s="66" t="n"/>
      <c r="CJ82" s="78">
        <f>IF(OR(INDEX(Undirviðmið!$G$6:$G$105,ROW()-6)&lt;&gt;"Starfsbundinn",CI82="",$E82="",$D82=""),"",ROUND(CI82/$E82*$D82*KVARDI,2))</f>
        <v/>
      </c>
      <c r="CK82" s="66" t="n"/>
      <c r="CL82" s="78">
        <f>IF(OR(INDEX(Undirviðmið!$G$6:$G$105,ROW()-6)&lt;&gt;"Starfsbundinn",CK82="",$E82="",$D82=""),"",ROUND(CK82/$E82*$D82*KVARDI,2))</f>
        <v/>
      </c>
      <c r="CM82" s="66" t="n"/>
      <c r="CN82" s="78">
        <f>IF(OR(INDEX(Undirviðmið!$G$6:$G$105,ROW()-6)&lt;&gt;"Starfsbundinn",CM82="",$E82="",$D82=""),"",ROUND(CM82/$E82*$D82*KVARDI,2))</f>
        <v/>
      </c>
      <c r="CO82" s="66" t="n"/>
      <c r="CP82" s="78">
        <f>IF(OR(INDEX(Undirviðmið!$G$6:$G$105,ROW()-6)&lt;&gt;"Starfsbundinn",CO82="",$E82="",$D82=""),"",ROUND(CO82/$E82*$D82*KVARDI,2))</f>
        <v/>
      </c>
      <c r="CQ82" s="66" t="n"/>
      <c r="CR82" s="78">
        <f>IF(OR(INDEX(Undirviðmið!$G$6:$G$105,ROW()-6)&lt;&gt;"Starfsbundinn",CQ82="",$E82="",$D82=""),"",ROUND(CQ82/$E82*$D82*KVARDI,2))</f>
        <v/>
      </c>
      <c r="CS82" s="66" t="n"/>
      <c r="CT82" s="78">
        <f>IF(OR(INDEX(Undirviðmið!$G$6:$G$105,ROW()-6)&lt;&gt;"Starfsbundinn",CS82="",$E82="",$D82=""),"",ROUND(CS82/$E82*$D82*KVARDI,2))</f>
        <v/>
      </c>
      <c r="CU82" s="66" t="n"/>
      <c r="CV82" s="78">
        <f>IF(OR(INDEX(Undirviðmið!$G$6:$G$105,ROW()-6)&lt;&gt;"Starfsbundinn",CU82="",$E82="",$D82=""),"",ROUND(CU82/$E82*$D82*KVARDI,2))</f>
        <v/>
      </c>
      <c r="CW82" s="66" t="n"/>
      <c r="CX82" s="78">
        <f>IF(OR(INDEX(Undirviðmið!$G$6:$G$105,ROW()-6)&lt;&gt;"Starfsbundinn",CW82="",$E82="",$D82=""),"",ROUND(CW82/$E82*$D82*KVARDI,2))</f>
        <v/>
      </c>
      <c r="CY82" s="66" t="n"/>
      <c r="CZ82" s="78">
        <f>IF(OR(INDEX(Undirviðmið!$G$6:$G$105,ROW()-6)&lt;&gt;"Starfsbundinn",CY82="",$E82="",$D82=""),"",ROUND(CY82/$E82*$D82*KVARDI,2))</f>
        <v/>
      </c>
      <c r="DA82" s="66" t="n"/>
      <c r="DB82" s="78">
        <f>IF(OR(INDEX(Undirviðmið!$G$6:$G$105,ROW()-6)&lt;&gt;"Starfsbundinn",DA82="",$E82="",$D82=""),"",ROUND(DA82/$E82*$D82*KVARDI,2))</f>
        <v/>
      </c>
      <c r="DC82" s="66" t="n"/>
      <c r="DD82" s="78">
        <f>IF(OR(INDEX(Undirviðmið!$G$6:$G$105,ROW()-6)&lt;&gt;"Starfsbundinn",DC82="",$E82="",$D82=""),"",ROUND(DC82/$E82*$D82*KVARDI,2))</f>
        <v/>
      </c>
      <c r="DE82" s="66" t="n"/>
      <c r="DF82" s="78">
        <f>IF(OR(INDEX(Undirviðmið!$G$6:$G$105,ROW()-6)&lt;&gt;"Starfsbundinn",DE82="",$E82="",$D82=""),"",ROUND(DE82/$E82*$D82*KVARDI,2))</f>
        <v/>
      </c>
      <c r="DG82" s="66" t="n"/>
      <c r="DH82" s="78">
        <f>IF(OR(INDEX(Undirviðmið!$G$6:$G$105,ROW()-6)&lt;&gt;"Starfsbundinn",DG82="",$E82="",$D82=""),"",ROUND(DG82/$E82*$D82*KVARDI,2))</f>
        <v/>
      </c>
      <c r="DI82" s="66" t="n"/>
      <c r="DJ82" s="78">
        <f>IF(OR(INDEX(Undirviðmið!$G$6:$G$105,ROW()-6)&lt;&gt;"Starfsbundinn",DI82="",$E82="",$D82=""),"",ROUND(DI82/$E82*$D82*KVARDI,2))</f>
        <v/>
      </c>
      <c r="DK82" s="66" t="n"/>
      <c r="DL82" s="78">
        <f>IF(OR(INDEX(Undirviðmið!$G$6:$G$105,ROW()-6)&lt;&gt;"Starfsbundinn",DK82="",$E82="",$D82=""),"",ROUND(DK82/$E82*$D82*KVARDI,2))</f>
        <v/>
      </c>
      <c r="DM82" s="66" t="n"/>
      <c r="DN82" s="78">
        <f>IF(OR(INDEX(Undirviðmið!$G$6:$G$105,ROW()-6)&lt;&gt;"Starfsbundinn",DM82="",$E82="",$D82=""),"",ROUND(DM82/$E82*$D82*KVARDI,2))</f>
        <v/>
      </c>
      <c r="DO82" s="66" t="n"/>
      <c r="DP82" s="78">
        <f>IF(OR(INDEX(Undirviðmið!$G$6:$G$105,ROW()-6)&lt;&gt;"Starfsbundinn",DO82="",$E82="",$D82=""),"",ROUND(DO82/$E82*$D82*KVARDI,2))</f>
        <v/>
      </c>
      <c r="DQ82" s="66" t="n"/>
      <c r="DR82" s="78">
        <f>IF(OR(INDEX(Undirviðmið!$G$6:$G$105,ROW()-6)&lt;&gt;"Starfsbundinn",DQ82="",$E82="",$D82=""),"",ROUND(DQ82/$E82*$D82*KVARDI,2))</f>
        <v/>
      </c>
      <c r="DS82" s="66" t="n"/>
      <c r="DT82" s="78">
        <f>IF(OR(INDEX(Undirviðmið!$G$6:$G$105,ROW()-6)&lt;&gt;"Starfsbundinn",DS82="",$E82="",$D82=""),"",ROUND(DS82/$E82*$D82*KVARDI,2))</f>
        <v/>
      </c>
      <c r="DU82" s="66" t="n"/>
      <c r="DV82" s="78">
        <f>IF(OR(INDEX(Undirviðmið!$G$6:$G$105,ROW()-6)&lt;&gt;"Starfsbundinn",DU82="",$E82="",$D82=""),"",ROUND(DU82/$E82*$D82*KVARDI,2))</f>
        <v/>
      </c>
      <c r="DW82" s="66" t="n"/>
      <c r="DX82" s="78">
        <f>IF(OR(INDEX(Undirviðmið!$G$6:$G$105,ROW()-6)&lt;&gt;"Starfsbundinn",DW82="",$E82="",$D82=""),"",ROUND(DW82/$E82*$D82*KVARDI,2))</f>
        <v/>
      </c>
      <c r="DY82" s="66" t="n"/>
      <c r="DZ82" s="78">
        <f>IF(OR(INDEX(Undirviðmið!$G$6:$G$105,ROW()-6)&lt;&gt;"Starfsbundinn",DY82="",$E82="",$D82=""),"",ROUND(DY82/$E82*$D82*KVARDI,2))</f>
        <v/>
      </c>
      <c r="EA82" s="66" t="n"/>
      <c r="EB82" s="78">
        <f>IF(OR(INDEX(Undirviðmið!$G$6:$G$105,ROW()-6)&lt;&gt;"Starfsbundinn",EA82="",$E82="",$D82=""),"",ROUND(EA82/$E82*$D82*KVARDI,2))</f>
        <v/>
      </c>
      <c r="EC82" s="66" t="n"/>
      <c r="ED82" s="78">
        <f>IF(OR(INDEX(Undirviðmið!$G$6:$G$105,ROW()-6)&lt;&gt;"Starfsbundinn",EC82="",$E82="",$D82=""),"",ROUND(EC82/$E82*$D82*KVARDI,2))</f>
        <v/>
      </c>
      <c r="EE82" s="66" t="n"/>
      <c r="EF82" s="78">
        <f>IF(OR(INDEX(Undirviðmið!$G$6:$G$105,ROW()-6)&lt;&gt;"Starfsbundinn",EE82="",$E82="",$D82=""),"",ROUND(EE82/$E82*$D82*KVARDI,2))</f>
        <v/>
      </c>
      <c r="EG82" s="66" t="n"/>
      <c r="EH82" s="78">
        <f>IF(OR(INDEX(Undirviðmið!$G$6:$G$105,ROW()-6)&lt;&gt;"Starfsbundinn",EG82="",$E82="",$D82=""),"",ROUND(EG82/$E82*$D82*KVARDI,2))</f>
        <v/>
      </c>
      <c r="EI82" s="66" t="n"/>
      <c r="EJ82" s="78">
        <f>IF(OR(INDEX(Undirviðmið!$G$6:$G$105,ROW()-6)&lt;&gt;"Starfsbundinn",EI82="",$E82="",$D82=""),"",ROUND(EI82/$E82*$D82*KVARDI,2))</f>
        <v/>
      </c>
      <c r="EK82" s="66" t="n"/>
      <c r="EL82" s="78">
        <f>IF(OR(INDEX(Undirviðmið!$G$6:$G$105,ROW()-6)&lt;&gt;"Starfsbundinn",EK82="",$E82="",$D82=""),"",ROUND(EK82/$E82*$D82*KVARDI,2))</f>
        <v/>
      </c>
      <c r="EM82" s="66" t="n"/>
      <c r="EN82" s="78">
        <f>IF(OR(INDEX(Undirviðmið!$G$6:$G$105,ROW()-6)&lt;&gt;"Starfsbundinn",EM82="",$E82="",$D82=""),"",ROUND(EM82/$E82*$D82*KVARDI,2))</f>
        <v/>
      </c>
      <c r="EO82" s="66" t="n"/>
      <c r="EP82" s="78">
        <f>IF(OR(INDEX(Undirviðmið!$G$6:$G$105,ROW()-6)&lt;&gt;"Starfsbundinn",EO82="",$E82="",$D82=""),"",ROUND(EO82/$E82*$D82*KVARDI,2))</f>
        <v/>
      </c>
      <c r="EQ82" s="66" t="n"/>
      <c r="ER82" s="78">
        <f>IF(OR(INDEX(Undirviðmið!$G$6:$G$105,ROW()-6)&lt;&gt;"Starfsbundinn",EQ82="",$E82="",$D82=""),"",ROUND(EQ82/$E82*$D82*KVARDI,2))</f>
        <v/>
      </c>
      <c r="ES82" s="66" t="n"/>
      <c r="ET82" s="78">
        <f>IF(OR(INDEX(Undirviðmið!$G$6:$G$105,ROW()-6)&lt;&gt;"Starfsbundinn",ES82="",$E82="",$D82=""),"",ROUND(ES82/$E82*$D82*KVARDI,2))</f>
        <v/>
      </c>
      <c r="EU82" s="66" t="n"/>
      <c r="EV82" s="78">
        <f>IF(OR(INDEX(Undirviðmið!$G$6:$G$105,ROW()-6)&lt;&gt;"Starfsbundinn",EU82="",$E82="",$D82=""),"",ROUND(EU82/$E82*$D82*KVARDI,2))</f>
        <v/>
      </c>
      <c r="EW82" s="66" t="n"/>
      <c r="EX82" s="78">
        <f>IF(OR(INDEX(Undirviðmið!$G$6:$G$105,ROW()-6)&lt;&gt;"Starfsbundinn",EW82="",$E82="",$D82=""),"",ROUND(EW82/$E82*$D82*KVARDI,2))</f>
        <v/>
      </c>
      <c r="EY82" s="66" t="n"/>
      <c r="EZ82" s="78">
        <f>IF(OR(INDEX(Undirviðmið!$G$6:$G$105,ROW()-6)&lt;&gt;"Starfsbundinn",EY82="",$E82="",$D82=""),"",ROUND(EY82/$E82*$D82*KVARDI,2))</f>
        <v/>
      </c>
      <c r="FA82" s="66" t="n"/>
      <c r="FB82" s="78">
        <f>IF(OR(INDEX(Undirviðmið!$G$6:$G$105,ROW()-6)&lt;&gt;"Starfsbundinn",FA82="",$E82="",$D82=""),"",ROUND(FA82/$E82*$D82*KVARDI,2))</f>
        <v/>
      </c>
      <c r="FC82" s="66" t="n"/>
      <c r="FD82" s="78">
        <f>IF(OR(INDEX(Undirviðmið!$G$6:$G$105,ROW()-6)&lt;&gt;"Starfsbundinn",FC82="",$E82="",$D82=""),"",ROUND(FC82/$E82*$D82*KVARDI,2))</f>
        <v/>
      </c>
      <c r="FE82" s="66" t="n"/>
      <c r="FF82" s="78">
        <f>IF(OR(INDEX(Undirviðmið!$G$6:$G$105,ROW()-6)&lt;&gt;"Starfsbundinn",FE82="",$E82="",$D82=""),"",ROUND(FE82/$E82*$D82*KVARDI,2))</f>
        <v/>
      </c>
      <c r="FG82" s="66" t="n"/>
      <c r="FH82" s="78">
        <f>IF(OR(INDEX(Undirviðmið!$G$6:$G$105,ROW()-6)&lt;&gt;"Starfsbundinn",FG82="",$E82="",$D82=""),"",ROUND(FG82/$E82*$D82*KVARDI,2))</f>
        <v/>
      </c>
      <c r="FI82" s="66" t="n"/>
      <c r="FJ82" s="78">
        <f>IF(OR(INDEX(Undirviðmið!$G$6:$G$105,ROW()-6)&lt;&gt;"Starfsbundinn",FI82="",$E82="",$D82=""),"",ROUND(FI82/$E82*$D82*KVARDI,2))</f>
        <v/>
      </c>
      <c r="FK82" s="66" t="n"/>
      <c r="FL82" s="78">
        <f>IF(OR(INDEX(Undirviðmið!$G$6:$G$105,ROW()-6)&lt;&gt;"Starfsbundinn",FK82="",$E82="",$D82=""),"",ROUND(FK82/$E82*$D82*KVARDI,2))</f>
        <v/>
      </c>
      <c r="FM82" s="66" t="n"/>
      <c r="FN82" s="78">
        <f>IF(OR(INDEX(Undirviðmið!$G$6:$G$105,ROW()-6)&lt;&gt;"Starfsbundinn",FM82="",$E82="",$D82=""),"",ROUND(FM82/$E82*$D82*KVARDI,2))</f>
        <v/>
      </c>
      <c r="FO82" s="66" t="n"/>
      <c r="FP82" s="78">
        <f>IF(OR(INDEX(Undirviðmið!$G$6:$G$105,ROW()-6)&lt;&gt;"Starfsbundinn",FO82="",$E82="",$D82=""),"",ROUND(FO82/$E82*$D82*KVARDI,2))</f>
        <v/>
      </c>
      <c r="FQ82" s="66" t="n"/>
      <c r="FR82" s="78">
        <f>IF(OR(INDEX(Undirviðmið!$G$6:$G$105,ROW()-6)&lt;&gt;"Starfsbundinn",FQ82="",$E82="",$D82=""),"",ROUND(FQ82/$E82*$D82*KVARDI,2))</f>
        <v/>
      </c>
      <c r="FS82" s="66" t="n"/>
      <c r="FT82" s="78">
        <f>IF(OR(INDEX(Undirviðmið!$G$6:$G$105,ROW()-6)&lt;&gt;"Starfsbundinn",FS82="",$E82="",$D82=""),"",ROUND(FS82/$E82*$D82*KVARDI,2))</f>
        <v/>
      </c>
      <c r="FU82" s="66" t="n"/>
      <c r="FV82" s="78">
        <f>IF(OR(INDEX(Undirviðmið!$G$6:$G$105,ROW()-6)&lt;&gt;"Starfsbundinn",FU82="",$E82="",$D82=""),"",ROUND(FU82/$E82*$D82*KVARDI,2))</f>
        <v/>
      </c>
      <c r="FW82" s="66" t="n"/>
      <c r="FX82" s="78">
        <f>IF(OR(INDEX(Undirviðmið!$G$6:$G$105,ROW()-6)&lt;&gt;"Starfsbundinn",FW82="",$E82="",$D82=""),"",ROUND(FW82/$E82*$D82*KVARDI,2))</f>
        <v/>
      </c>
      <c r="FY82" s="66" t="n"/>
      <c r="FZ82" s="78">
        <f>IF(OR(INDEX(Undirviðmið!$G$6:$G$105,ROW()-6)&lt;&gt;"Starfsbundinn",FY82="",$E82="",$D82=""),"",ROUND(FY82/$E82*$D82*KVARDI,2))</f>
        <v/>
      </c>
      <c r="GA82" s="66" t="n"/>
      <c r="GB82" s="78">
        <f>IF(OR(INDEX(Undirviðmið!$G$6:$G$105,ROW()-6)&lt;&gt;"Starfsbundinn",GA82="",$E82="",$D82=""),"",ROUND(GA82/$E82*$D82*KVARDI,2))</f>
        <v/>
      </c>
      <c r="GC82" s="66" t="n"/>
      <c r="GD82" s="78">
        <f>IF(OR(INDEX(Undirviðmið!$G$6:$G$105,ROW()-6)&lt;&gt;"Starfsbundinn",GC82="",$E82="",$D82=""),"",ROUND(GC82/$E82*$D82*KVARDI,2))</f>
        <v/>
      </c>
      <c r="GE82" s="66" t="n"/>
      <c r="GF82" s="78">
        <f>IF(OR(INDEX(Undirviðmið!$G$6:$G$105,ROW()-6)&lt;&gt;"Starfsbundinn",GE82="",$E82="",$D82=""),"",ROUND(GE82/$E82*$D82*KVARDI,2))</f>
        <v/>
      </c>
      <c r="GG82" s="66" t="n"/>
      <c r="GH82" s="78">
        <f>IF(OR(INDEX(Undirviðmið!$G$6:$G$105,ROW()-6)&lt;&gt;"Starfsbundinn",GG82="",$E82="",$D82=""),"",ROUND(GG82/$E82*$D82*KVARDI,2))</f>
        <v/>
      </c>
      <c r="GI82" s="66" t="n"/>
      <c r="GJ82" s="78">
        <f>IF(OR(INDEX(Undirviðmið!$G$6:$G$105,ROW()-6)&lt;&gt;"Starfsbundinn",GI82="",$E82="",$D82=""),"",ROUND(GI82/$E82*$D82*KVARDI,2))</f>
        <v/>
      </c>
      <c r="GK82" s="66" t="n"/>
      <c r="GL82" s="78">
        <f>IF(OR(INDEX(Undirviðmið!$G$6:$G$105,ROW()-6)&lt;&gt;"Starfsbundinn",GK82="",$E82="",$D82=""),"",ROUND(GK82/$E82*$D82*KVARDI,2))</f>
        <v/>
      </c>
      <c r="GM82" s="66" t="n"/>
      <c r="GN82" s="78">
        <f>IF(OR(INDEX(Undirviðmið!$G$6:$G$105,ROW()-6)&lt;&gt;"Starfsbundinn",GM82="",$E82="",$D82=""),"",ROUND(GM82/$E82*$D82*KVARDI,2))</f>
        <v/>
      </c>
      <c r="GO82" s="66" t="n"/>
      <c r="GP82" s="78">
        <f>IF(OR(INDEX(Undirviðmið!$G$6:$G$105,ROW()-6)&lt;&gt;"Starfsbundinn",GO82="",$E82="",$D82=""),"",ROUND(GO82/$E82*$D82*KVARDI,2))</f>
        <v/>
      </c>
      <c r="GQ82" s="66" t="n"/>
      <c r="GR82" s="78">
        <f>IF(OR(INDEX(Undirviðmið!$G$6:$G$105,ROW()-6)&lt;&gt;"Starfsbundinn",GQ82="",$E82="",$D82=""),"",ROUND(GQ82/$E82*$D82*KVARDI,2))</f>
        <v/>
      </c>
      <c r="GS82" s="66" t="n"/>
      <c r="GT82" s="78">
        <f>IF(OR(INDEX(Undirviðmið!$G$6:$G$105,ROW()-6)&lt;&gt;"Starfsbundinn",GS82="",$E82="",$D82=""),"",ROUND(GS82/$E82*$D82*KVARDI,2))</f>
        <v/>
      </c>
      <c r="GU82" s="66" t="n"/>
      <c r="GV82" s="78">
        <f>IF(OR(INDEX(Undirviðmið!$G$6:$G$105,ROW()-6)&lt;&gt;"Starfsbundinn",GU82="",$E82="",$D82=""),"",ROUND(GU82/$E82*$D82*KVARDI,2))</f>
        <v/>
      </c>
      <c r="GW82" s="66" t="n"/>
      <c r="GX82" s="78">
        <f>IF(OR(INDEX(Undirviðmið!$G$6:$G$105,ROW()-6)&lt;&gt;"Starfsbundinn",GW82="",$E82="",$D82=""),"",ROUND(GW82/$E82*$D82*KVARDI,2))</f>
        <v/>
      </c>
    </row>
    <row r="83" ht="15" customHeight="1" s="47">
      <c r="B83" s="67">
        <f>IF(INDEX(Undirviðmið!$G$6:$G$105,ROW()-6)="Starfsbundinn",INDEX(Undirviðmið!$B$6:$B$105,ROW()-6),"")</f>
        <v/>
      </c>
      <c r="C83" s="67">
        <f>IF(INDEX(Undirviðmið!$G$6:$G$105,ROW()-6)="Starfsbundinn",INDEX(Undirviðmið!$C$6:$C$105,ROW()-6),"")</f>
        <v/>
      </c>
      <c r="D83" s="77">
        <f>IF(INDEX(Undirviðmið!$G$6:$G$105,ROW()-6)="Starfsbundinn",INDEX(Undirviðmið!$E$6:$E$105,ROW()-6),"")</f>
        <v/>
      </c>
      <c r="E83" s="77">
        <f>IF(INDEX(Undirviðmið!$G$6:$G$105,ROW()-6)="Starfsbundinn",INDEX(Undirviðmið!$F$6:$F$105,ROW()-6),"")</f>
        <v/>
      </c>
      <c r="F83" s="77">
        <f>IF(INDEX(Undirviðmið!$G$6:$G$105,ROW()-6)="Starfsbundinn",IFERROR(INDEX(Undirviðmið!$E$6:$E$105,ROW()-6)*KVARDI,""),"")</f>
        <v/>
      </c>
      <c r="G83" s="66" t="n"/>
      <c r="H83" s="78">
        <f>IF(OR(INDEX(Undirviðmið!$G$6:$G$105,ROW()-6)&lt;&gt;"Starfsbundinn",G83="",$E83="",$D83=""),"",ROUND(G83/$E83*$D83*KVARDI,2))</f>
        <v/>
      </c>
      <c r="I83" s="66" t="n"/>
      <c r="J83" s="78">
        <f>IF(OR(INDEX(Undirviðmið!$G$6:$G$105,ROW()-6)&lt;&gt;"Starfsbundinn",I83="",$E83="",$D83=""),"",ROUND(I83/$E83*$D83*KVARDI,2))</f>
        <v/>
      </c>
      <c r="K83" s="66" t="n"/>
      <c r="L83" s="78">
        <f>IF(OR(INDEX(Undirviðmið!$G$6:$G$105,ROW()-6)&lt;&gt;"Starfsbundinn",K83="",$E83="",$D83=""),"",ROUND(K83/$E83*$D83*KVARDI,2))</f>
        <v/>
      </c>
      <c r="M83" s="66" t="n"/>
      <c r="N83" s="78">
        <f>IF(OR(INDEX(Undirviðmið!$G$6:$G$105,ROW()-6)&lt;&gt;"Starfsbundinn",M83="",$E83="",$D83=""),"",ROUND(M83/$E83*$D83*KVARDI,2))</f>
        <v/>
      </c>
      <c r="O83" s="66" t="n"/>
      <c r="P83" s="78">
        <f>IF(OR(INDEX(Undirviðmið!$G$6:$G$105,ROW()-6)&lt;&gt;"Starfsbundinn",O83="",$E83="",$D83=""),"",ROUND(O83/$E83*$D83*KVARDI,2))</f>
        <v/>
      </c>
      <c r="Q83" s="66" t="n"/>
      <c r="R83" s="78">
        <f>IF(OR(INDEX(Undirviðmið!$G$6:$G$105,ROW()-6)&lt;&gt;"Starfsbundinn",Q83="",$E83="",$D83=""),"",ROUND(Q83/$E83*$D83*KVARDI,2))</f>
        <v/>
      </c>
      <c r="S83" s="66" t="n"/>
      <c r="T83" s="78">
        <f>IF(OR(INDEX(Undirviðmið!$G$6:$G$105,ROW()-6)&lt;&gt;"Starfsbundinn",S83="",$E83="",$D83=""),"",ROUND(S83/$E83*$D83*KVARDI,2))</f>
        <v/>
      </c>
      <c r="U83" s="66" t="n"/>
      <c r="V83" s="78">
        <f>IF(OR(INDEX(Undirviðmið!$G$6:$G$105,ROW()-6)&lt;&gt;"Starfsbundinn",U83="",$E83="",$D83=""),"",ROUND(U83/$E83*$D83*KVARDI,2))</f>
        <v/>
      </c>
      <c r="W83" s="66" t="n"/>
      <c r="X83" s="78">
        <f>IF(OR(INDEX(Undirviðmið!$G$6:$G$105,ROW()-6)&lt;&gt;"Starfsbundinn",W83="",$E83="",$D83=""),"",ROUND(W83/$E83*$D83*KVARDI,2))</f>
        <v/>
      </c>
      <c r="Y83" s="66" t="n"/>
      <c r="Z83" s="78">
        <f>IF(OR(INDEX(Undirviðmið!$G$6:$G$105,ROW()-6)&lt;&gt;"Starfsbundinn",Y83="",$E83="",$D83=""),"",ROUND(Y83/$E83*$D83*KVARDI,2))</f>
        <v/>
      </c>
      <c r="AA83" s="66" t="n"/>
      <c r="AB83" s="78">
        <f>IF(OR(INDEX(Undirviðmið!$G$6:$G$105,ROW()-6)&lt;&gt;"Starfsbundinn",AA83="",$E83="",$D83=""),"",ROUND(AA83/$E83*$D83*KVARDI,2))</f>
        <v/>
      </c>
      <c r="AC83" s="66" t="n"/>
      <c r="AD83" s="78">
        <f>IF(OR(INDEX(Undirviðmið!$G$6:$G$105,ROW()-6)&lt;&gt;"Starfsbundinn",AC83="",$E83="",$D83=""),"",ROUND(AC83/$E83*$D83*KVARDI,2))</f>
        <v/>
      </c>
      <c r="AE83" s="66" t="n"/>
      <c r="AF83" s="78">
        <f>IF(OR(INDEX(Undirviðmið!$G$6:$G$105,ROW()-6)&lt;&gt;"Starfsbundinn",AE83="",$E83="",$D83=""),"",ROUND(AE83/$E83*$D83*KVARDI,2))</f>
        <v/>
      </c>
      <c r="AG83" s="66" t="n"/>
      <c r="AH83" s="78">
        <f>IF(OR(INDEX(Undirviðmið!$G$6:$G$105,ROW()-6)&lt;&gt;"Starfsbundinn",AG83="",$E83="",$D83=""),"",ROUND(AG83/$E83*$D83*KVARDI,2))</f>
        <v/>
      </c>
      <c r="AI83" s="66" t="n"/>
      <c r="AJ83" s="78">
        <f>IF(OR(INDEX(Undirviðmið!$G$6:$G$105,ROW()-6)&lt;&gt;"Starfsbundinn",AI83="",$E83="",$D83=""),"",ROUND(AI83/$E83*$D83*KVARDI,2))</f>
        <v/>
      </c>
      <c r="AK83" s="66" t="n"/>
      <c r="AL83" s="78">
        <f>IF(OR(INDEX(Undirviðmið!$G$6:$G$105,ROW()-6)&lt;&gt;"Starfsbundinn",AK83="",$E83="",$D83=""),"",ROUND(AK83/$E83*$D83*KVARDI,2))</f>
        <v/>
      </c>
      <c r="AM83" s="66" t="n"/>
      <c r="AN83" s="78">
        <f>IF(OR(INDEX(Undirviðmið!$G$6:$G$105,ROW()-6)&lt;&gt;"Starfsbundinn",AM83="",$E83="",$D83=""),"",ROUND(AM83/$E83*$D83*KVARDI,2))</f>
        <v/>
      </c>
      <c r="AO83" s="66" t="n"/>
      <c r="AP83" s="78">
        <f>IF(OR(INDEX(Undirviðmið!$G$6:$G$105,ROW()-6)&lt;&gt;"Starfsbundinn",AO83="",$E83="",$D83=""),"",ROUND(AO83/$E83*$D83*KVARDI,2))</f>
        <v/>
      </c>
      <c r="AQ83" s="66" t="n"/>
      <c r="AR83" s="78">
        <f>IF(OR(INDEX(Undirviðmið!$G$6:$G$105,ROW()-6)&lt;&gt;"Starfsbundinn",AQ83="",$E83="",$D83=""),"",ROUND(AQ83/$E83*$D83*KVARDI,2))</f>
        <v/>
      </c>
      <c r="AS83" s="66" t="n"/>
      <c r="AT83" s="78">
        <f>IF(OR(INDEX(Undirviðmið!$G$6:$G$105,ROW()-6)&lt;&gt;"Starfsbundinn",AS83="",$E83="",$D83=""),"",ROUND(AS83/$E83*$D83*KVARDI,2))</f>
        <v/>
      </c>
      <c r="AU83" s="66" t="n"/>
      <c r="AV83" s="78">
        <f>IF(OR(INDEX(Undirviðmið!$G$6:$G$105,ROW()-6)&lt;&gt;"Starfsbundinn",AU83="",$E83="",$D83=""),"",ROUND(AU83/$E83*$D83*KVARDI,2))</f>
        <v/>
      </c>
      <c r="AW83" s="66" t="n"/>
      <c r="AX83" s="78">
        <f>IF(OR(INDEX(Undirviðmið!$G$6:$G$105,ROW()-6)&lt;&gt;"Starfsbundinn",AW83="",$E83="",$D83=""),"",ROUND(AW83/$E83*$D83*KVARDI,2))</f>
        <v/>
      </c>
      <c r="AY83" s="66" t="n"/>
      <c r="AZ83" s="78">
        <f>IF(OR(INDEX(Undirviðmið!$G$6:$G$105,ROW()-6)&lt;&gt;"Starfsbundinn",AY83="",$E83="",$D83=""),"",ROUND(AY83/$E83*$D83*KVARDI,2))</f>
        <v/>
      </c>
      <c r="BA83" s="66" t="n"/>
      <c r="BB83" s="78">
        <f>IF(OR(INDEX(Undirviðmið!$G$6:$G$105,ROW()-6)&lt;&gt;"Starfsbundinn",BA83="",$E83="",$D83=""),"",ROUND(BA83/$E83*$D83*KVARDI,2))</f>
        <v/>
      </c>
      <c r="BC83" s="66" t="n"/>
      <c r="BD83" s="78">
        <f>IF(OR(INDEX(Undirviðmið!$G$6:$G$105,ROW()-6)&lt;&gt;"Starfsbundinn",BC83="",$E83="",$D83=""),"",ROUND(BC83/$E83*$D83*KVARDI,2))</f>
        <v/>
      </c>
      <c r="BE83" s="66" t="n"/>
      <c r="BF83" s="78">
        <f>IF(OR(INDEX(Undirviðmið!$G$6:$G$105,ROW()-6)&lt;&gt;"Starfsbundinn",BE83="",$E83="",$D83=""),"",ROUND(BE83/$E83*$D83*KVARDI,2))</f>
        <v/>
      </c>
      <c r="BG83" s="66" t="n"/>
      <c r="BH83" s="78">
        <f>IF(OR(INDEX(Undirviðmið!$G$6:$G$105,ROW()-6)&lt;&gt;"Starfsbundinn",BG83="",$E83="",$D83=""),"",ROUND(BG83/$E83*$D83*KVARDI,2))</f>
        <v/>
      </c>
      <c r="BI83" s="66" t="n"/>
      <c r="BJ83" s="78">
        <f>IF(OR(INDEX(Undirviðmið!$G$6:$G$105,ROW()-6)&lt;&gt;"Starfsbundinn",BI83="",$E83="",$D83=""),"",ROUND(BI83/$E83*$D83*KVARDI,2))</f>
        <v/>
      </c>
      <c r="BK83" s="66" t="n"/>
      <c r="BL83" s="78">
        <f>IF(OR(INDEX(Undirviðmið!$G$6:$G$105,ROW()-6)&lt;&gt;"Starfsbundinn",BK83="",$E83="",$D83=""),"",ROUND(BK83/$E83*$D83*KVARDI,2))</f>
        <v/>
      </c>
      <c r="BM83" s="66" t="n"/>
      <c r="BN83" s="78">
        <f>IF(OR(INDEX(Undirviðmið!$G$6:$G$105,ROW()-6)&lt;&gt;"Starfsbundinn",BM83="",$E83="",$D83=""),"",ROUND(BM83/$E83*$D83*KVARDI,2))</f>
        <v/>
      </c>
      <c r="BO83" s="66" t="n"/>
      <c r="BP83" s="78">
        <f>IF(OR(INDEX(Undirviðmið!$G$6:$G$105,ROW()-6)&lt;&gt;"Starfsbundinn",BO83="",$E83="",$D83=""),"",ROUND(BO83/$E83*$D83*KVARDI,2))</f>
        <v/>
      </c>
      <c r="BQ83" s="66" t="n"/>
      <c r="BR83" s="78">
        <f>IF(OR(INDEX(Undirviðmið!$G$6:$G$105,ROW()-6)&lt;&gt;"Starfsbundinn",BQ83="",$E83="",$D83=""),"",ROUND(BQ83/$E83*$D83*KVARDI,2))</f>
        <v/>
      </c>
      <c r="BS83" s="66" t="n"/>
      <c r="BT83" s="78">
        <f>IF(OR(INDEX(Undirviðmið!$G$6:$G$105,ROW()-6)&lt;&gt;"Starfsbundinn",BS83="",$E83="",$D83=""),"",ROUND(BS83/$E83*$D83*KVARDI,2))</f>
        <v/>
      </c>
      <c r="BU83" s="66" t="n"/>
      <c r="BV83" s="78">
        <f>IF(OR(INDEX(Undirviðmið!$G$6:$G$105,ROW()-6)&lt;&gt;"Starfsbundinn",BU83="",$E83="",$D83=""),"",ROUND(BU83/$E83*$D83*KVARDI,2))</f>
        <v/>
      </c>
      <c r="BW83" s="66" t="n"/>
      <c r="BX83" s="78">
        <f>IF(OR(INDEX(Undirviðmið!$G$6:$G$105,ROW()-6)&lt;&gt;"Starfsbundinn",BW83="",$E83="",$D83=""),"",ROUND(BW83/$E83*$D83*KVARDI,2))</f>
        <v/>
      </c>
      <c r="BY83" s="66" t="n"/>
      <c r="BZ83" s="78">
        <f>IF(OR(INDEX(Undirviðmið!$G$6:$G$105,ROW()-6)&lt;&gt;"Starfsbundinn",BY83="",$E83="",$D83=""),"",ROUND(BY83/$E83*$D83*KVARDI,2))</f>
        <v/>
      </c>
      <c r="CA83" s="66" t="n"/>
      <c r="CB83" s="78">
        <f>IF(OR(INDEX(Undirviðmið!$G$6:$G$105,ROW()-6)&lt;&gt;"Starfsbundinn",CA83="",$E83="",$D83=""),"",ROUND(CA83/$E83*$D83*KVARDI,2))</f>
        <v/>
      </c>
      <c r="CC83" s="66" t="n"/>
      <c r="CD83" s="78">
        <f>IF(OR(INDEX(Undirviðmið!$G$6:$G$105,ROW()-6)&lt;&gt;"Starfsbundinn",CC83="",$E83="",$D83=""),"",ROUND(CC83/$E83*$D83*KVARDI,2))</f>
        <v/>
      </c>
      <c r="CE83" s="66" t="n"/>
      <c r="CF83" s="78">
        <f>IF(OR(INDEX(Undirviðmið!$G$6:$G$105,ROW()-6)&lt;&gt;"Starfsbundinn",CE83="",$E83="",$D83=""),"",ROUND(CE83/$E83*$D83*KVARDI,2))</f>
        <v/>
      </c>
      <c r="CG83" s="66" t="n"/>
      <c r="CH83" s="78">
        <f>IF(OR(INDEX(Undirviðmið!$G$6:$G$105,ROW()-6)&lt;&gt;"Starfsbundinn",CG83="",$E83="",$D83=""),"",ROUND(CG83/$E83*$D83*KVARDI,2))</f>
        <v/>
      </c>
      <c r="CI83" s="66" t="n"/>
      <c r="CJ83" s="78">
        <f>IF(OR(INDEX(Undirviðmið!$G$6:$G$105,ROW()-6)&lt;&gt;"Starfsbundinn",CI83="",$E83="",$D83=""),"",ROUND(CI83/$E83*$D83*KVARDI,2))</f>
        <v/>
      </c>
      <c r="CK83" s="66" t="n"/>
      <c r="CL83" s="78">
        <f>IF(OR(INDEX(Undirviðmið!$G$6:$G$105,ROW()-6)&lt;&gt;"Starfsbundinn",CK83="",$E83="",$D83=""),"",ROUND(CK83/$E83*$D83*KVARDI,2))</f>
        <v/>
      </c>
      <c r="CM83" s="66" t="n"/>
      <c r="CN83" s="78">
        <f>IF(OR(INDEX(Undirviðmið!$G$6:$G$105,ROW()-6)&lt;&gt;"Starfsbundinn",CM83="",$E83="",$D83=""),"",ROUND(CM83/$E83*$D83*KVARDI,2))</f>
        <v/>
      </c>
      <c r="CO83" s="66" t="n"/>
      <c r="CP83" s="78">
        <f>IF(OR(INDEX(Undirviðmið!$G$6:$G$105,ROW()-6)&lt;&gt;"Starfsbundinn",CO83="",$E83="",$D83=""),"",ROUND(CO83/$E83*$D83*KVARDI,2))</f>
        <v/>
      </c>
      <c r="CQ83" s="66" t="n"/>
      <c r="CR83" s="78">
        <f>IF(OR(INDEX(Undirviðmið!$G$6:$G$105,ROW()-6)&lt;&gt;"Starfsbundinn",CQ83="",$E83="",$D83=""),"",ROUND(CQ83/$E83*$D83*KVARDI,2))</f>
        <v/>
      </c>
      <c r="CS83" s="66" t="n"/>
      <c r="CT83" s="78">
        <f>IF(OR(INDEX(Undirviðmið!$G$6:$G$105,ROW()-6)&lt;&gt;"Starfsbundinn",CS83="",$E83="",$D83=""),"",ROUND(CS83/$E83*$D83*KVARDI,2))</f>
        <v/>
      </c>
      <c r="CU83" s="66" t="n"/>
      <c r="CV83" s="78">
        <f>IF(OR(INDEX(Undirviðmið!$G$6:$G$105,ROW()-6)&lt;&gt;"Starfsbundinn",CU83="",$E83="",$D83=""),"",ROUND(CU83/$E83*$D83*KVARDI,2))</f>
        <v/>
      </c>
      <c r="CW83" s="66" t="n"/>
      <c r="CX83" s="78">
        <f>IF(OR(INDEX(Undirviðmið!$G$6:$G$105,ROW()-6)&lt;&gt;"Starfsbundinn",CW83="",$E83="",$D83=""),"",ROUND(CW83/$E83*$D83*KVARDI,2))</f>
        <v/>
      </c>
      <c r="CY83" s="66" t="n"/>
      <c r="CZ83" s="78">
        <f>IF(OR(INDEX(Undirviðmið!$G$6:$G$105,ROW()-6)&lt;&gt;"Starfsbundinn",CY83="",$E83="",$D83=""),"",ROUND(CY83/$E83*$D83*KVARDI,2))</f>
        <v/>
      </c>
      <c r="DA83" s="66" t="n"/>
      <c r="DB83" s="78">
        <f>IF(OR(INDEX(Undirviðmið!$G$6:$G$105,ROW()-6)&lt;&gt;"Starfsbundinn",DA83="",$E83="",$D83=""),"",ROUND(DA83/$E83*$D83*KVARDI,2))</f>
        <v/>
      </c>
      <c r="DC83" s="66" t="n"/>
      <c r="DD83" s="78">
        <f>IF(OR(INDEX(Undirviðmið!$G$6:$G$105,ROW()-6)&lt;&gt;"Starfsbundinn",DC83="",$E83="",$D83=""),"",ROUND(DC83/$E83*$D83*KVARDI,2))</f>
        <v/>
      </c>
      <c r="DE83" s="66" t="n"/>
      <c r="DF83" s="78">
        <f>IF(OR(INDEX(Undirviðmið!$G$6:$G$105,ROW()-6)&lt;&gt;"Starfsbundinn",DE83="",$E83="",$D83=""),"",ROUND(DE83/$E83*$D83*KVARDI,2))</f>
        <v/>
      </c>
      <c r="DG83" s="66" t="n"/>
      <c r="DH83" s="78">
        <f>IF(OR(INDEX(Undirviðmið!$G$6:$G$105,ROW()-6)&lt;&gt;"Starfsbundinn",DG83="",$E83="",$D83=""),"",ROUND(DG83/$E83*$D83*KVARDI,2))</f>
        <v/>
      </c>
      <c r="DI83" s="66" t="n"/>
      <c r="DJ83" s="78">
        <f>IF(OR(INDEX(Undirviðmið!$G$6:$G$105,ROW()-6)&lt;&gt;"Starfsbundinn",DI83="",$E83="",$D83=""),"",ROUND(DI83/$E83*$D83*KVARDI,2))</f>
        <v/>
      </c>
      <c r="DK83" s="66" t="n"/>
      <c r="DL83" s="78">
        <f>IF(OR(INDEX(Undirviðmið!$G$6:$G$105,ROW()-6)&lt;&gt;"Starfsbundinn",DK83="",$E83="",$D83=""),"",ROUND(DK83/$E83*$D83*KVARDI,2))</f>
        <v/>
      </c>
      <c r="DM83" s="66" t="n"/>
      <c r="DN83" s="78">
        <f>IF(OR(INDEX(Undirviðmið!$G$6:$G$105,ROW()-6)&lt;&gt;"Starfsbundinn",DM83="",$E83="",$D83=""),"",ROUND(DM83/$E83*$D83*KVARDI,2))</f>
        <v/>
      </c>
      <c r="DO83" s="66" t="n"/>
      <c r="DP83" s="78">
        <f>IF(OR(INDEX(Undirviðmið!$G$6:$G$105,ROW()-6)&lt;&gt;"Starfsbundinn",DO83="",$E83="",$D83=""),"",ROUND(DO83/$E83*$D83*KVARDI,2))</f>
        <v/>
      </c>
      <c r="DQ83" s="66" t="n"/>
      <c r="DR83" s="78">
        <f>IF(OR(INDEX(Undirviðmið!$G$6:$G$105,ROW()-6)&lt;&gt;"Starfsbundinn",DQ83="",$E83="",$D83=""),"",ROUND(DQ83/$E83*$D83*KVARDI,2))</f>
        <v/>
      </c>
      <c r="DS83" s="66" t="n"/>
      <c r="DT83" s="78">
        <f>IF(OR(INDEX(Undirviðmið!$G$6:$G$105,ROW()-6)&lt;&gt;"Starfsbundinn",DS83="",$E83="",$D83=""),"",ROUND(DS83/$E83*$D83*KVARDI,2))</f>
        <v/>
      </c>
      <c r="DU83" s="66" t="n"/>
      <c r="DV83" s="78">
        <f>IF(OR(INDEX(Undirviðmið!$G$6:$G$105,ROW()-6)&lt;&gt;"Starfsbundinn",DU83="",$E83="",$D83=""),"",ROUND(DU83/$E83*$D83*KVARDI,2))</f>
        <v/>
      </c>
      <c r="DW83" s="66" t="n"/>
      <c r="DX83" s="78">
        <f>IF(OR(INDEX(Undirviðmið!$G$6:$G$105,ROW()-6)&lt;&gt;"Starfsbundinn",DW83="",$E83="",$D83=""),"",ROUND(DW83/$E83*$D83*KVARDI,2))</f>
        <v/>
      </c>
      <c r="DY83" s="66" t="n"/>
      <c r="DZ83" s="78">
        <f>IF(OR(INDEX(Undirviðmið!$G$6:$G$105,ROW()-6)&lt;&gt;"Starfsbundinn",DY83="",$E83="",$D83=""),"",ROUND(DY83/$E83*$D83*KVARDI,2))</f>
        <v/>
      </c>
      <c r="EA83" s="66" t="n"/>
      <c r="EB83" s="78">
        <f>IF(OR(INDEX(Undirviðmið!$G$6:$G$105,ROW()-6)&lt;&gt;"Starfsbundinn",EA83="",$E83="",$D83=""),"",ROUND(EA83/$E83*$D83*KVARDI,2))</f>
        <v/>
      </c>
      <c r="EC83" s="66" t="n"/>
      <c r="ED83" s="78">
        <f>IF(OR(INDEX(Undirviðmið!$G$6:$G$105,ROW()-6)&lt;&gt;"Starfsbundinn",EC83="",$E83="",$D83=""),"",ROUND(EC83/$E83*$D83*KVARDI,2))</f>
        <v/>
      </c>
      <c r="EE83" s="66" t="n"/>
      <c r="EF83" s="78">
        <f>IF(OR(INDEX(Undirviðmið!$G$6:$G$105,ROW()-6)&lt;&gt;"Starfsbundinn",EE83="",$E83="",$D83=""),"",ROUND(EE83/$E83*$D83*KVARDI,2))</f>
        <v/>
      </c>
      <c r="EG83" s="66" t="n"/>
      <c r="EH83" s="78">
        <f>IF(OR(INDEX(Undirviðmið!$G$6:$G$105,ROW()-6)&lt;&gt;"Starfsbundinn",EG83="",$E83="",$D83=""),"",ROUND(EG83/$E83*$D83*KVARDI,2))</f>
        <v/>
      </c>
      <c r="EI83" s="66" t="n"/>
      <c r="EJ83" s="78">
        <f>IF(OR(INDEX(Undirviðmið!$G$6:$G$105,ROW()-6)&lt;&gt;"Starfsbundinn",EI83="",$E83="",$D83=""),"",ROUND(EI83/$E83*$D83*KVARDI,2))</f>
        <v/>
      </c>
      <c r="EK83" s="66" t="n"/>
      <c r="EL83" s="78">
        <f>IF(OR(INDEX(Undirviðmið!$G$6:$G$105,ROW()-6)&lt;&gt;"Starfsbundinn",EK83="",$E83="",$D83=""),"",ROUND(EK83/$E83*$D83*KVARDI,2))</f>
        <v/>
      </c>
      <c r="EM83" s="66" t="n"/>
      <c r="EN83" s="78">
        <f>IF(OR(INDEX(Undirviðmið!$G$6:$G$105,ROW()-6)&lt;&gt;"Starfsbundinn",EM83="",$E83="",$D83=""),"",ROUND(EM83/$E83*$D83*KVARDI,2))</f>
        <v/>
      </c>
      <c r="EO83" s="66" t="n"/>
      <c r="EP83" s="78">
        <f>IF(OR(INDEX(Undirviðmið!$G$6:$G$105,ROW()-6)&lt;&gt;"Starfsbundinn",EO83="",$E83="",$D83=""),"",ROUND(EO83/$E83*$D83*KVARDI,2))</f>
        <v/>
      </c>
      <c r="EQ83" s="66" t="n"/>
      <c r="ER83" s="78">
        <f>IF(OR(INDEX(Undirviðmið!$G$6:$G$105,ROW()-6)&lt;&gt;"Starfsbundinn",EQ83="",$E83="",$D83=""),"",ROUND(EQ83/$E83*$D83*KVARDI,2))</f>
        <v/>
      </c>
      <c r="ES83" s="66" t="n"/>
      <c r="ET83" s="78">
        <f>IF(OR(INDEX(Undirviðmið!$G$6:$G$105,ROW()-6)&lt;&gt;"Starfsbundinn",ES83="",$E83="",$D83=""),"",ROUND(ES83/$E83*$D83*KVARDI,2))</f>
        <v/>
      </c>
      <c r="EU83" s="66" t="n"/>
      <c r="EV83" s="78">
        <f>IF(OR(INDEX(Undirviðmið!$G$6:$G$105,ROW()-6)&lt;&gt;"Starfsbundinn",EU83="",$E83="",$D83=""),"",ROUND(EU83/$E83*$D83*KVARDI,2))</f>
        <v/>
      </c>
      <c r="EW83" s="66" t="n"/>
      <c r="EX83" s="78">
        <f>IF(OR(INDEX(Undirviðmið!$G$6:$G$105,ROW()-6)&lt;&gt;"Starfsbundinn",EW83="",$E83="",$D83=""),"",ROUND(EW83/$E83*$D83*KVARDI,2))</f>
        <v/>
      </c>
      <c r="EY83" s="66" t="n"/>
      <c r="EZ83" s="78">
        <f>IF(OR(INDEX(Undirviðmið!$G$6:$G$105,ROW()-6)&lt;&gt;"Starfsbundinn",EY83="",$E83="",$D83=""),"",ROUND(EY83/$E83*$D83*KVARDI,2))</f>
        <v/>
      </c>
      <c r="FA83" s="66" t="n"/>
      <c r="FB83" s="78">
        <f>IF(OR(INDEX(Undirviðmið!$G$6:$G$105,ROW()-6)&lt;&gt;"Starfsbundinn",FA83="",$E83="",$D83=""),"",ROUND(FA83/$E83*$D83*KVARDI,2))</f>
        <v/>
      </c>
      <c r="FC83" s="66" t="n"/>
      <c r="FD83" s="78">
        <f>IF(OR(INDEX(Undirviðmið!$G$6:$G$105,ROW()-6)&lt;&gt;"Starfsbundinn",FC83="",$E83="",$D83=""),"",ROUND(FC83/$E83*$D83*KVARDI,2))</f>
        <v/>
      </c>
      <c r="FE83" s="66" t="n"/>
      <c r="FF83" s="78">
        <f>IF(OR(INDEX(Undirviðmið!$G$6:$G$105,ROW()-6)&lt;&gt;"Starfsbundinn",FE83="",$E83="",$D83=""),"",ROUND(FE83/$E83*$D83*KVARDI,2))</f>
        <v/>
      </c>
      <c r="FG83" s="66" t="n"/>
      <c r="FH83" s="78">
        <f>IF(OR(INDEX(Undirviðmið!$G$6:$G$105,ROW()-6)&lt;&gt;"Starfsbundinn",FG83="",$E83="",$D83=""),"",ROUND(FG83/$E83*$D83*KVARDI,2))</f>
        <v/>
      </c>
      <c r="FI83" s="66" t="n"/>
      <c r="FJ83" s="78">
        <f>IF(OR(INDEX(Undirviðmið!$G$6:$G$105,ROW()-6)&lt;&gt;"Starfsbundinn",FI83="",$E83="",$D83=""),"",ROUND(FI83/$E83*$D83*KVARDI,2))</f>
        <v/>
      </c>
      <c r="FK83" s="66" t="n"/>
      <c r="FL83" s="78">
        <f>IF(OR(INDEX(Undirviðmið!$G$6:$G$105,ROW()-6)&lt;&gt;"Starfsbundinn",FK83="",$E83="",$D83=""),"",ROUND(FK83/$E83*$D83*KVARDI,2))</f>
        <v/>
      </c>
      <c r="FM83" s="66" t="n"/>
      <c r="FN83" s="78">
        <f>IF(OR(INDEX(Undirviðmið!$G$6:$G$105,ROW()-6)&lt;&gt;"Starfsbundinn",FM83="",$E83="",$D83=""),"",ROUND(FM83/$E83*$D83*KVARDI,2))</f>
        <v/>
      </c>
      <c r="FO83" s="66" t="n"/>
      <c r="FP83" s="78">
        <f>IF(OR(INDEX(Undirviðmið!$G$6:$G$105,ROW()-6)&lt;&gt;"Starfsbundinn",FO83="",$E83="",$D83=""),"",ROUND(FO83/$E83*$D83*KVARDI,2))</f>
        <v/>
      </c>
      <c r="FQ83" s="66" t="n"/>
      <c r="FR83" s="78">
        <f>IF(OR(INDEX(Undirviðmið!$G$6:$G$105,ROW()-6)&lt;&gt;"Starfsbundinn",FQ83="",$E83="",$D83=""),"",ROUND(FQ83/$E83*$D83*KVARDI,2))</f>
        <v/>
      </c>
      <c r="FS83" s="66" t="n"/>
      <c r="FT83" s="78">
        <f>IF(OR(INDEX(Undirviðmið!$G$6:$G$105,ROW()-6)&lt;&gt;"Starfsbundinn",FS83="",$E83="",$D83=""),"",ROUND(FS83/$E83*$D83*KVARDI,2))</f>
        <v/>
      </c>
      <c r="FU83" s="66" t="n"/>
      <c r="FV83" s="78">
        <f>IF(OR(INDEX(Undirviðmið!$G$6:$G$105,ROW()-6)&lt;&gt;"Starfsbundinn",FU83="",$E83="",$D83=""),"",ROUND(FU83/$E83*$D83*KVARDI,2))</f>
        <v/>
      </c>
      <c r="FW83" s="66" t="n"/>
      <c r="FX83" s="78">
        <f>IF(OR(INDEX(Undirviðmið!$G$6:$G$105,ROW()-6)&lt;&gt;"Starfsbundinn",FW83="",$E83="",$D83=""),"",ROUND(FW83/$E83*$D83*KVARDI,2))</f>
        <v/>
      </c>
      <c r="FY83" s="66" t="n"/>
      <c r="FZ83" s="78">
        <f>IF(OR(INDEX(Undirviðmið!$G$6:$G$105,ROW()-6)&lt;&gt;"Starfsbundinn",FY83="",$E83="",$D83=""),"",ROUND(FY83/$E83*$D83*KVARDI,2))</f>
        <v/>
      </c>
      <c r="GA83" s="66" t="n"/>
      <c r="GB83" s="78">
        <f>IF(OR(INDEX(Undirviðmið!$G$6:$G$105,ROW()-6)&lt;&gt;"Starfsbundinn",GA83="",$E83="",$D83=""),"",ROUND(GA83/$E83*$D83*KVARDI,2))</f>
        <v/>
      </c>
      <c r="GC83" s="66" t="n"/>
      <c r="GD83" s="78">
        <f>IF(OR(INDEX(Undirviðmið!$G$6:$G$105,ROW()-6)&lt;&gt;"Starfsbundinn",GC83="",$E83="",$D83=""),"",ROUND(GC83/$E83*$D83*KVARDI,2))</f>
        <v/>
      </c>
      <c r="GE83" s="66" t="n"/>
      <c r="GF83" s="78">
        <f>IF(OR(INDEX(Undirviðmið!$G$6:$G$105,ROW()-6)&lt;&gt;"Starfsbundinn",GE83="",$E83="",$D83=""),"",ROUND(GE83/$E83*$D83*KVARDI,2))</f>
        <v/>
      </c>
      <c r="GG83" s="66" t="n"/>
      <c r="GH83" s="78">
        <f>IF(OR(INDEX(Undirviðmið!$G$6:$G$105,ROW()-6)&lt;&gt;"Starfsbundinn",GG83="",$E83="",$D83=""),"",ROUND(GG83/$E83*$D83*KVARDI,2))</f>
        <v/>
      </c>
      <c r="GI83" s="66" t="n"/>
      <c r="GJ83" s="78">
        <f>IF(OR(INDEX(Undirviðmið!$G$6:$G$105,ROW()-6)&lt;&gt;"Starfsbundinn",GI83="",$E83="",$D83=""),"",ROUND(GI83/$E83*$D83*KVARDI,2))</f>
        <v/>
      </c>
      <c r="GK83" s="66" t="n"/>
      <c r="GL83" s="78">
        <f>IF(OR(INDEX(Undirviðmið!$G$6:$G$105,ROW()-6)&lt;&gt;"Starfsbundinn",GK83="",$E83="",$D83=""),"",ROUND(GK83/$E83*$D83*KVARDI,2))</f>
        <v/>
      </c>
      <c r="GM83" s="66" t="n"/>
      <c r="GN83" s="78">
        <f>IF(OR(INDEX(Undirviðmið!$G$6:$G$105,ROW()-6)&lt;&gt;"Starfsbundinn",GM83="",$E83="",$D83=""),"",ROUND(GM83/$E83*$D83*KVARDI,2))</f>
        <v/>
      </c>
      <c r="GO83" s="66" t="n"/>
      <c r="GP83" s="78">
        <f>IF(OR(INDEX(Undirviðmið!$G$6:$G$105,ROW()-6)&lt;&gt;"Starfsbundinn",GO83="",$E83="",$D83=""),"",ROUND(GO83/$E83*$D83*KVARDI,2))</f>
        <v/>
      </c>
      <c r="GQ83" s="66" t="n"/>
      <c r="GR83" s="78">
        <f>IF(OR(INDEX(Undirviðmið!$G$6:$G$105,ROW()-6)&lt;&gt;"Starfsbundinn",GQ83="",$E83="",$D83=""),"",ROUND(GQ83/$E83*$D83*KVARDI,2))</f>
        <v/>
      </c>
      <c r="GS83" s="66" t="n"/>
      <c r="GT83" s="78">
        <f>IF(OR(INDEX(Undirviðmið!$G$6:$G$105,ROW()-6)&lt;&gt;"Starfsbundinn",GS83="",$E83="",$D83=""),"",ROUND(GS83/$E83*$D83*KVARDI,2))</f>
        <v/>
      </c>
      <c r="GU83" s="66" t="n"/>
      <c r="GV83" s="78">
        <f>IF(OR(INDEX(Undirviðmið!$G$6:$G$105,ROW()-6)&lt;&gt;"Starfsbundinn",GU83="",$E83="",$D83=""),"",ROUND(GU83/$E83*$D83*KVARDI,2))</f>
        <v/>
      </c>
      <c r="GW83" s="66" t="n"/>
      <c r="GX83" s="78">
        <f>IF(OR(INDEX(Undirviðmið!$G$6:$G$105,ROW()-6)&lt;&gt;"Starfsbundinn",GW83="",$E83="",$D83=""),"",ROUND(GW83/$E83*$D83*KVARDI,2))</f>
        <v/>
      </c>
    </row>
    <row r="84" ht="15" customHeight="1" s="47">
      <c r="B84" s="67">
        <f>IF(INDEX(Undirviðmið!$G$6:$G$105,ROW()-6)="Starfsbundinn",INDEX(Undirviðmið!$B$6:$B$105,ROW()-6),"")</f>
        <v/>
      </c>
      <c r="C84" s="67">
        <f>IF(INDEX(Undirviðmið!$G$6:$G$105,ROW()-6)="Starfsbundinn",INDEX(Undirviðmið!$C$6:$C$105,ROW()-6),"")</f>
        <v/>
      </c>
      <c r="D84" s="77">
        <f>IF(INDEX(Undirviðmið!$G$6:$G$105,ROW()-6)="Starfsbundinn",INDEX(Undirviðmið!$E$6:$E$105,ROW()-6),"")</f>
        <v/>
      </c>
      <c r="E84" s="77">
        <f>IF(INDEX(Undirviðmið!$G$6:$G$105,ROW()-6)="Starfsbundinn",INDEX(Undirviðmið!$F$6:$F$105,ROW()-6),"")</f>
        <v/>
      </c>
      <c r="F84" s="77">
        <f>IF(INDEX(Undirviðmið!$G$6:$G$105,ROW()-6)="Starfsbundinn",IFERROR(INDEX(Undirviðmið!$E$6:$E$105,ROW()-6)*KVARDI,""),"")</f>
        <v/>
      </c>
      <c r="G84" s="66" t="n"/>
      <c r="H84" s="78">
        <f>IF(OR(INDEX(Undirviðmið!$G$6:$G$105,ROW()-6)&lt;&gt;"Starfsbundinn",G84="",$E84="",$D84=""),"",ROUND(G84/$E84*$D84*KVARDI,2))</f>
        <v/>
      </c>
      <c r="I84" s="66" t="n"/>
      <c r="J84" s="78">
        <f>IF(OR(INDEX(Undirviðmið!$G$6:$G$105,ROW()-6)&lt;&gt;"Starfsbundinn",I84="",$E84="",$D84=""),"",ROUND(I84/$E84*$D84*KVARDI,2))</f>
        <v/>
      </c>
      <c r="K84" s="66" t="n"/>
      <c r="L84" s="78">
        <f>IF(OR(INDEX(Undirviðmið!$G$6:$G$105,ROW()-6)&lt;&gt;"Starfsbundinn",K84="",$E84="",$D84=""),"",ROUND(K84/$E84*$D84*KVARDI,2))</f>
        <v/>
      </c>
      <c r="M84" s="66" t="n"/>
      <c r="N84" s="78">
        <f>IF(OR(INDEX(Undirviðmið!$G$6:$G$105,ROW()-6)&lt;&gt;"Starfsbundinn",M84="",$E84="",$D84=""),"",ROUND(M84/$E84*$D84*KVARDI,2))</f>
        <v/>
      </c>
      <c r="O84" s="66" t="n"/>
      <c r="P84" s="78">
        <f>IF(OR(INDEX(Undirviðmið!$G$6:$G$105,ROW()-6)&lt;&gt;"Starfsbundinn",O84="",$E84="",$D84=""),"",ROUND(O84/$E84*$D84*KVARDI,2))</f>
        <v/>
      </c>
      <c r="Q84" s="66" t="n"/>
      <c r="R84" s="78">
        <f>IF(OR(INDEX(Undirviðmið!$G$6:$G$105,ROW()-6)&lt;&gt;"Starfsbundinn",Q84="",$E84="",$D84=""),"",ROUND(Q84/$E84*$D84*KVARDI,2))</f>
        <v/>
      </c>
      <c r="S84" s="66" t="n"/>
      <c r="T84" s="78">
        <f>IF(OR(INDEX(Undirviðmið!$G$6:$G$105,ROW()-6)&lt;&gt;"Starfsbundinn",S84="",$E84="",$D84=""),"",ROUND(S84/$E84*$D84*KVARDI,2))</f>
        <v/>
      </c>
      <c r="U84" s="66" t="n"/>
      <c r="V84" s="78">
        <f>IF(OR(INDEX(Undirviðmið!$G$6:$G$105,ROW()-6)&lt;&gt;"Starfsbundinn",U84="",$E84="",$D84=""),"",ROUND(U84/$E84*$D84*KVARDI,2))</f>
        <v/>
      </c>
      <c r="W84" s="66" t="n"/>
      <c r="X84" s="78">
        <f>IF(OR(INDEX(Undirviðmið!$G$6:$G$105,ROW()-6)&lt;&gt;"Starfsbundinn",W84="",$E84="",$D84=""),"",ROUND(W84/$E84*$D84*KVARDI,2))</f>
        <v/>
      </c>
      <c r="Y84" s="66" t="n"/>
      <c r="Z84" s="78">
        <f>IF(OR(INDEX(Undirviðmið!$G$6:$G$105,ROW()-6)&lt;&gt;"Starfsbundinn",Y84="",$E84="",$D84=""),"",ROUND(Y84/$E84*$D84*KVARDI,2))</f>
        <v/>
      </c>
      <c r="AA84" s="66" t="n"/>
      <c r="AB84" s="78">
        <f>IF(OR(INDEX(Undirviðmið!$G$6:$G$105,ROW()-6)&lt;&gt;"Starfsbundinn",AA84="",$E84="",$D84=""),"",ROUND(AA84/$E84*$D84*KVARDI,2))</f>
        <v/>
      </c>
      <c r="AC84" s="66" t="n"/>
      <c r="AD84" s="78">
        <f>IF(OR(INDEX(Undirviðmið!$G$6:$G$105,ROW()-6)&lt;&gt;"Starfsbundinn",AC84="",$E84="",$D84=""),"",ROUND(AC84/$E84*$D84*KVARDI,2))</f>
        <v/>
      </c>
      <c r="AE84" s="66" t="n"/>
      <c r="AF84" s="78">
        <f>IF(OR(INDEX(Undirviðmið!$G$6:$G$105,ROW()-6)&lt;&gt;"Starfsbundinn",AE84="",$E84="",$D84=""),"",ROUND(AE84/$E84*$D84*KVARDI,2))</f>
        <v/>
      </c>
      <c r="AG84" s="66" t="n"/>
      <c r="AH84" s="78">
        <f>IF(OR(INDEX(Undirviðmið!$G$6:$G$105,ROW()-6)&lt;&gt;"Starfsbundinn",AG84="",$E84="",$D84=""),"",ROUND(AG84/$E84*$D84*KVARDI,2))</f>
        <v/>
      </c>
      <c r="AI84" s="66" t="n"/>
      <c r="AJ84" s="78">
        <f>IF(OR(INDEX(Undirviðmið!$G$6:$G$105,ROW()-6)&lt;&gt;"Starfsbundinn",AI84="",$E84="",$D84=""),"",ROUND(AI84/$E84*$D84*KVARDI,2))</f>
        <v/>
      </c>
      <c r="AK84" s="66" t="n"/>
      <c r="AL84" s="78">
        <f>IF(OR(INDEX(Undirviðmið!$G$6:$G$105,ROW()-6)&lt;&gt;"Starfsbundinn",AK84="",$E84="",$D84=""),"",ROUND(AK84/$E84*$D84*KVARDI,2))</f>
        <v/>
      </c>
      <c r="AM84" s="66" t="n"/>
      <c r="AN84" s="78">
        <f>IF(OR(INDEX(Undirviðmið!$G$6:$G$105,ROW()-6)&lt;&gt;"Starfsbundinn",AM84="",$E84="",$D84=""),"",ROUND(AM84/$E84*$D84*KVARDI,2))</f>
        <v/>
      </c>
      <c r="AO84" s="66" t="n"/>
      <c r="AP84" s="78">
        <f>IF(OR(INDEX(Undirviðmið!$G$6:$G$105,ROW()-6)&lt;&gt;"Starfsbundinn",AO84="",$E84="",$D84=""),"",ROUND(AO84/$E84*$D84*KVARDI,2))</f>
        <v/>
      </c>
      <c r="AQ84" s="66" t="n"/>
      <c r="AR84" s="78">
        <f>IF(OR(INDEX(Undirviðmið!$G$6:$G$105,ROW()-6)&lt;&gt;"Starfsbundinn",AQ84="",$E84="",$D84=""),"",ROUND(AQ84/$E84*$D84*KVARDI,2))</f>
        <v/>
      </c>
      <c r="AS84" s="66" t="n"/>
      <c r="AT84" s="78">
        <f>IF(OR(INDEX(Undirviðmið!$G$6:$G$105,ROW()-6)&lt;&gt;"Starfsbundinn",AS84="",$E84="",$D84=""),"",ROUND(AS84/$E84*$D84*KVARDI,2))</f>
        <v/>
      </c>
      <c r="AU84" s="66" t="n"/>
      <c r="AV84" s="78">
        <f>IF(OR(INDEX(Undirviðmið!$G$6:$G$105,ROW()-6)&lt;&gt;"Starfsbundinn",AU84="",$E84="",$D84=""),"",ROUND(AU84/$E84*$D84*KVARDI,2))</f>
        <v/>
      </c>
      <c r="AW84" s="66" t="n"/>
      <c r="AX84" s="78">
        <f>IF(OR(INDEX(Undirviðmið!$G$6:$G$105,ROW()-6)&lt;&gt;"Starfsbundinn",AW84="",$E84="",$D84=""),"",ROUND(AW84/$E84*$D84*KVARDI,2))</f>
        <v/>
      </c>
      <c r="AY84" s="66" t="n"/>
      <c r="AZ84" s="78">
        <f>IF(OR(INDEX(Undirviðmið!$G$6:$G$105,ROW()-6)&lt;&gt;"Starfsbundinn",AY84="",$E84="",$D84=""),"",ROUND(AY84/$E84*$D84*KVARDI,2))</f>
        <v/>
      </c>
      <c r="BA84" s="66" t="n"/>
      <c r="BB84" s="78">
        <f>IF(OR(INDEX(Undirviðmið!$G$6:$G$105,ROW()-6)&lt;&gt;"Starfsbundinn",BA84="",$E84="",$D84=""),"",ROUND(BA84/$E84*$D84*KVARDI,2))</f>
        <v/>
      </c>
      <c r="BC84" s="66" t="n"/>
      <c r="BD84" s="78">
        <f>IF(OR(INDEX(Undirviðmið!$G$6:$G$105,ROW()-6)&lt;&gt;"Starfsbundinn",BC84="",$E84="",$D84=""),"",ROUND(BC84/$E84*$D84*KVARDI,2))</f>
        <v/>
      </c>
      <c r="BE84" s="66" t="n"/>
      <c r="BF84" s="78">
        <f>IF(OR(INDEX(Undirviðmið!$G$6:$G$105,ROW()-6)&lt;&gt;"Starfsbundinn",BE84="",$E84="",$D84=""),"",ROUND(BE84/$E84*$D84*KVARDI,2))</f>
        <v/>
      </c>
      <c r="BG84" s="66" t="n"/>
      <c r="BH84" s="78">
        <f>IF(OR(INDEX(Undirviðmið!$G$6:$G$105,ROW()-6)&lt;&gt;"Starfsbundinn",BG84="",$E84="",$D84=""),"",ROUND(BG84/$E84*$D84*KVARDI,2))</f>
        <v/>
      </c>
      <c r="BI84" s="66" t="n"/>
      <c r="BJ84" s="78">
        <f>IF(OR(INDEX(Undirviðmið!$G$6:$G$105,ROW()-6)&lt;&gt;"Starfsbundinn",BI84="",$E84="",$D84=""),"",ROUND(BI84/$E84*$D84*KVARDI,2))</f>
        <v/>
      </c>
      <c r="BK84" s="66" t="n"/>
      <c r="BL84" s="78">
        <f>IF(OR(INDEX(Undirviðmið!$G$6:$G$105,ROW()-6)&lt;&gt;"Starfsbundinn",BK84="",$E84="",$D84=""),"",ROUND(BK84/$E84*$D84*KVARDI,2))</f>
        <v/>
      </c>
      <c r="BM84" s="66" t="n"/>
      <c r="BN84" s="78">
        <f>IF(OR(INDEX(Undirviðmið!$G$6:$G$105,ROW()-6)&lt;&gt;"Starfsbundinn",BM84="",$E84="",$D84=""),"",ROUND(BM84/$E84*$D84*KVARDI,2))</f>
        <v/>
      </c>
      <c r="BO84" s="66" t="n"/>
      <c r="BP84" s="78">
        <f>IF(OR(INDEX(Undirviðmið!$G$6:$G$105,ROW()-6)&lt;&gt;"Starfsbundinn",BO84="",$E84="",$D84=""),"",ROUND(BO84/$E84*$D84*KVARDI,2))</f>
        <v/>
      </c>
      <c r="BQ84" s="66" t="n"/>
      <c r="BR84" s="78">
        <f>IF(OR(INDEX(Undirviðmið!$G$6:$G$105,ROW()-6)&lt;&gt;"Starfsbundinn",BQ84="",$E84="",$D84=""),"",ROUND(BQ84/$E84*$D84*KVARDI,2))</f>
        <v/>
      </c>
      <c r="BS84" s="66" t="n"/>
      <c r="BT84" s="78">
        <f>IF(OR(INDEX(Undirviðmið!$G$6:$G$105,ROW()-6)&lt;&gt;"Starfsbundinn",BS84="",$E84="",$D84=""),"",ROUND(BS84/$E84*$D84*KVARDI,2))</f>
        <v/>
      </c>
      <c r="BU84" s="66" t="n"/>
      <c r="BV84" s="78">
        <f>IF(OR(INDEX(Undirviðmið!$G$6:$G$105,ROW()-6)&lt;&gt;"Starfsbundinn",BU84="",$E84="",$D84=""),"",ROUND(BU84/$E84*$D84*KVARDI,2))</f>
        <v/>
      </c>
      <c r="BW84" s="66" t="n"/>
      <c r="BX84" s="78">
        <f>IF(OR(INDEX(Undirviðmið!$G$6:$G$105,ROW()-6)&lt;&gt;"Starfsbundinn",BW84="",$E84="",$D84=""),"",ROUND(BW84/$E84*$D84*KVARDI,2))</f>
        <v/>
      </c>
      <c r="BY84" s="66" t="n"/>
      <c r="BZ84" s="78">
        <f>IF(OR(INDEX(Undirviðmið!$G$6:$G$105,ROW()-6)&lt;&gt;"Starfsbundinn",BY84="",$E84="",$D84=""),"",ROUND(BY84/$E84*$D84*KVARDI,2))</f>
        <v/>
      </c>
      <c r="CA84" s="66" t="n"/>
      <c r="CB84" s="78">
        <f>IF(OR(INDEX(Undirviðmið!$G$6:$G$105,ROW()-6)&lt;&gt;"Starfsbundinn",CA84="",$E84="",$D84=""),"",ROUND(CA84/$E84*$D84*KVARDI,2))</f>
        <v/>
      </c>
      <c r="CC84" s="66" t="n"/>
      <c r="CD84" s="78">
        <f>IF(OR(INDEX(Undirviðmið!$G$6:$G$105,ROW()-6)&lt;&gt;"Starfsbundinn",CC84="",$E84="",$D84=""),"",ROUND(CC84/$E84*$D84*KVARDI,2))</f>
        <v/>
      </c>
      <c r="CE84" s="66" t="n"/>
      <c r="CF84" s="78">
        <f>IF(OR(INDEX(Undirviðmið!$G$6:$G$105,ROW()-6)&lt;&gt;"Starfsbundinn",CE84="",$E84="",$D84=""),"",ROUND(CE84/$E84*$D84*KVARDI,2))</f>
        <v/>
      </c>
      <c r="CG84" s="66" t="n"/>
      <c r="CH84" s="78">
        <f>IF(OR(INDEX(Undirviðmið!$G$6:$G$105,ROW()-6)&lt;&gt;"Starfsbundinn",CG84="",$E84="",$D84=""),"",ROUND(CG84/$E84*$D84*KVARDI,2))</f>
        <v/>
      </c>
      <c r="CI84" s="66" t="n"/>
      <c r="CJ84" s="78">
        <f>IF(OR(INDEX(Undirviðmið!$G$6:$G$105,ROW()-6)&lt;&gt;"Starfsbundinn",CI84="",$E84="",$D84=""),"",ROUND(CI84/$E84*$D84*KVARDI,2))</f>
        <v/>
      </c>
      <c r="CK84" s="66" t="n"/>
      <c r="CL84" s="78">
        <f>IF(OR(INDEX(Undirviðmið!$G$6:$G$105,ROW()-6)&lt;&gt;"Starfsbundinn",CK84="",$E84="",$D84=""),"",ROUND(CK84/$E84*$D84*KVARDI,2))</f>
        <v/>
      </c>
      <c r="CM84" s="66" t="n"/>
      <c r="CN84" s="78">
        <f>IF(OR(INDEX(Undirviðmið!$G$6:$G$105,ROW()-6)&lt;&gt;"Starfsbundinn",CM84="",$E84="",$D84=""),"",ROUND(CM84/$E84*$D84*KVARDI,2))</f>
        <v/>
      </c>
      <c r="CO84" s="66" t="n"/>
      <c r="CP84" s="78">
        <f>IF(OR(INDEX(Undirviðmið!$G$6:$G$105,ROW()-6)&lt;&gt;"Starfsbundinn",CO84="",$E84="",$D84=""),"",ROUND(CO84/$E84*$D84*KVARDI,2))</f>
        <v/>
      </c>
      <c r="CQ84" s="66" t="n"/>
      <c r="CR84" s="78">
        <f>IF(OR(INDEX(Undirviðmið!$G$6:$G$105,ROW()-6)&lt;&gt;"Starfsbundinn",CQ84="",$E84="",$D84=""),"",ROUND(CQ84/$E84*$D84*KVARDI,2))</f>
        <v/>
      </c>
      <c r="CS84" s="66" t="n"/>
      <c r="CT84" s="78">
        <f>IF(OR(INDEX(Undirviðmið!$G$6:$G$105,ROW()-6)&lt;&gt;"Starfsbundinn",CS84="",$E84="",$D84=""),"",ROUND(CS84/$E84*$D84*KVARDI,2))</f>
        <v/>
      </c>
      <c r="CU84" s="66" t="n"/>
      <c r="CV84" s="78">
        <f>IF(OR(INDEX(Undirviðmið!$G$6:$G$105,ROW()-6)&lt;&gt;"Starfsbundinn",CU84="",$E84="",$D84=""),"",ROUND(CU84/$E84*$D84*KVARDI,2))</f>
        <v/>
      </c>
      <c r="CW84" s="66" t="n"/>
      <c r="CX84" s="78">
        <f>IF(OR(INDEX(Undirviðmið!$G$6:$G$105,ROW()-6)&lt;&gt;"Starfsbundinn",CW84="",$E84="",$D84=""),"",ROUND(CW84/$E84*$D84*KVARDI,2))</f>
        <v/>
      </c>
      <c r="CY84" s="66" t="n"/>
      <c r="CZ84" s="78">
        <f>IF(OR(INDEX(Undirviðmið!$G$6:$G$105,ROW()-6)&lt;&gt;"Starfsbundinn",CY84="",$E84="",$D84=""),"",ROUND(CY84/$E84*$D84*KVARDI,2))</f>
        <v/>
      </c>
      <c r="DA84" s="66" t="n"/>
      <c r="DB84" s="78">
        <f>IF(OR(INDEX(Undirviðmið!$G$6:$G$105,ROW()-6)&lt;&gt;"Starfsbundinn",DA84="",$E84="",$D84=""),"",ROUND(DA84/$E84*$D84*KVARDI,2))</f>
        <v/>
      </c>
      <c r="DC84" s="66" t="n"/>
      <c r="DD84" s="78">
        <f>IF(OR(INDEX(Undirviðmið!$G$6:$G$105,ROW()-6)&lt;&gt;"Starfsbundinn",DC84="",$E84="",$D84=""),"",ROUND(DC84/$E84*$D84*KVARDI,2))</f>
        <v/>
      </c>
      <c r="DE84" s="66" t="n"/>
      <c r="DF84" s="78">
        <f>IF(OR(INDEX(Undirviðmið!$G$6:$G$105,ROW()-6)&lt;&gt;"Starfsbundinn",DE84="",$E84="",$D84=""),"",ROUND(DE84/$E84*$D84*KVARDI,2))</f>
        <v/>
      </c>
      <c r="DG84" s="66" t="n"/>
      <c r="DH84" s="78">
        <f>IF(OR(INDEX(Undirviðmið!$G$6:$G$105,ROW()-6)&lt;&gt;"Starfsbundinn",DG84="",$E84="",$D84=""),"",ROUND(DG84/$E84*$D84*KVARDI,2))</f>
        <v/>
      </c>
      <c r="DI84" s="66" t="n"/>
      <c r="DJ84" s="78">
        <f>IF(OR(INDEX(Undirviðmið!$G$6:$G$105,ROW()-6)&lt;&gt;"Starfsbundinn",DI84="",$E84="",$D84=""),"",ROUND(DI84/$E84*$D84*KVARDI,2))</f>
        <v/>
      </c>
      <c r="DK84" s="66" t="n"/>
      <c r="DL84" s="78">
        <f>IF(OR(INDEX(Undirviðmið!$G$6:$G$105,ROW()-6)&lt;&gt;"Starfsbundinn",DK84="",$E84="",$D84=""),"",ROUND(DK84/$E84*$D84*KVARDI,2))</f>
        <v/>
      </c>
      <c r="DM84" s="66" t="n"/>
      <c r="DN84" s="78">
        <f>IF(OR(INDEX(Undirviðmið!$G$6:$G$105,ROW()-6)&lt;&gt;"Starfsbundinn",DM84="",$E84="",$D84=""),"",ROUND(DM84/$E84*$D84*KVARDI,2))</f>
        <v/>
      </c>
      <c r="DO84" s="66" t="n"/>
      <c r="DP84" s="78">
        <f>IF(OR(INDEX(Undirviðmið!$G$6:$G$105,ROW()-6)&lt;&gt;"Starfsbundinn",DO84="",$E84="",$D84=""),"",ROUND(DO84/$E84*$D84*KVARDI,2))</f>
        <v/>
      </c>
      <c r="DQ84" s="66" t="n"/>
      <c r="DR84" s="78">
        <f>IF(OR(INDEX(Undirviðmið!$G$6:$G$105,ROW()-6)&lt;&gt;"Starfsbundinn",DQ84="",$E84="",$D84=""),"",ROUND(DQ84/$E84*$D84*KVARDI,2))</f>
        <v/>
      </c>
      <c r="DS84" s="66" t="n"/>
      <c r="DT84" s="78">
        <f>IF(OR(INDEX(Undirviðmið!$G$6:$G$105,ROW()-6)&lt;&gt;"Starfsbundinn",DS84="",$E84="",$D84=""),"",ROUND(DS84/$E84*$D84*KVARDI,2))</f>
        <v/>
      </c>
      <c r="DU84" s="66" t="n"/>
      <c r="DV84" s="78">
        <f>IF(OR(INDEX(Undirviðmið!$G$6:$G$105,ROW()-6)&lt;&gt;"Starfsbundinn",DU84="",$E84="",$D84=""),"",ROUND(DU84/$E84*$D84*KVARDI,2))</f>
        <v/>
      </c>
      <c r="DW84" s="66" t="n"/>
      <c r="DX84" s="78">
        <f>IF(OR(INDEX(Undirviðmið!$G$6:$G$105,ROW()-6)&lt;&gt;"Starfsbundinn",DW84="",$E84="",$D84=""),"",ROUND(DW84/$E84*$D84*KVARDI,2))</f>
        <v/>
      </c>
      <c r="DY84" s="66" t="n"/>
      <c r="DZ84" s="78">
        <f>IF(OR(INDEX(Undirviðmið!$G$6:$G$105,ROW()-6)&lt;&gt;"Starfsbundinn",DY84="",$E84="",$D84=""),"",ROUND(DY84/$E84*$D84*KVARDI,2))</f>
        <v/>
      </c>
      <c r="EA84" s="66" t="n"/>
      <c r="EB84" s="78">
        <f>IF(OR(INDEX(Undirviðmið!$G$6:$G$105,ROW()-6)&lt;&gt;"Starfsbundinn",EA84="",$E84="",$D84=""),"",ROUND(EA84/$E84*$D84*KVARDI,2))</f>
        <v/>
      </c>
      <c r="EC84" s="66" t="n"/>
      <c r="ED84" s="78">
        <f>IF(OR(INDEX(Undirviðmið!$G$6:$G$105,ROW()-6)&lt;&gt;"Starfsbundinn",EC84="",$E84="",$D84=""),"",ROUND(EC84/$E84*$D84*KVARDI,2))</f>
        <v/>
      </c>
      <c r="EE84" s="66" t="n"/>
      <c r="EF84" s="78">
        <f>IF(OR(INDEX(Undirviðmið!$G$6:$G$105,ROW()-6)&lt;&gt;"Starfsbundinn",EE84="",$E84="",$D84=""),"",ROUND(EE84/$E84*$D84*KVARDI,2))</f>
        <v/>
      </c>
      <c r="EG84" s="66" t="n"/>
      <c r="EH84" s="78">
        <f>IF(OR(INDEX(Undirviðmið!$G$6:$G$105,ROW()-6)&lt;&gt;"Starfsbundinn",EG84="",$E84="",$D84=""),"",ROUND(EG84/$E84*$D84*KVARDI,2))</f>
        <v/>
      </c>
      <c r="EI84" s="66" t="n"/>
      <c r="EJ84" s="78">
        <f>IF(OR(INDEX(Undirviðmið!$G$6:$G$105,ROW()-6)&lt;&gt;"Starfsbundinn",EI84="",$E84="",$D84=""),"",ROUND(EI84/$E84*$D84*KVARDI,2))</f>
        <v/>
      </c>
      <c r="EK84" s="66" t="n"/>
      <c r="EL84" s="78">
        <f>IF(OR(INDEX(Undirviðmið!$G$6:$G$105,ROW()-6)&lt;&gt;"Starfsbundinn",EK84="",$E84="",$D84=""),"",ROUND(EK84/$E84*$D84*KVARDI,2))</f>
        <v/>
      </c>
      <c r="EM84" s="66" t="n"/>
      <c r="EN84" s="78">
        <f>IF(OR(INDEX(Undirviðmið!$G$6:$G$105,ROW()-6)&lt;&gt;"Starfsbundinn",EM84="",$E84="",$D84=""),"",ROUND(EM84/$E84*$D84*KVARDI,2))</f>
        <v/>
      </c>
      <c r="EO84" s="66" t="n"/>
      <c r="EP84" s="78">
        <f>IF(OR(INDEX(Undirviðmið!$G$6:$G$105,ROW()-6)&lt;&gt;"Starfsbundinn",EO84="",$E84="",$D84=""),"",ROUND(EO84/$E84*$D84*KVARDI,2))</f>
        <v/>
      </c>
      <c r="EQ84" s="66" t="n"/>
      <c r="ER84" s="78">
        <f>IF(OR(INDEX(Undirviðmið!$G$6:$G$105,ROW()-6)&lt;&gt;"Starfsbundinn",EQ84="",$E84="",$D84=""),"",ROUND(EQ84/$E84*$D84*KVARDI,2))</f>
        <v/>
      </c>
      <c r="ES84" s="66" t="n"/>
      <c r="ET84" s="78">
        <f>IF(OR(INDEX(Undirviðmið!$G$6:$G$105,ROW()-6)&lt;&gt;"Starfsbundinn",ES84="",$E84="",$D84=""),"",ROUND(ES84/$E84*$D84*KVARDI,2))</f>
        <v/>
      </c>
      <c r="EU84" s="66" t="n"/>
      <c r="EV84" s="78">
        <f>IF(OR(INDEX(Undirviðmið!$G$6:$G$105,ROW()-6)&lt;&gt;"Starfsbundinn",EU84="",$E84="",$D84=""),"",ROUND(EU84/$E84*$D84*KVARDI,2))</f>
        <v/>
      </c>
      <c r="EW84" s="66" t="n"/>
      <c r="EX84" s="78">
        <f>IF(OR(INDEX(Undirviðmið!$G$6:$G$105,ROW()-6)&lt;&gt;"Starfsbundinn",EW84="",$E84="",$D84=""),"",ROUND(EW84/$E84*$D84*KVARDI,2))</f>
        <v/>
      </c>
      <c r="EY84" s="66" t="n"/>
      <c r="EZ84" s="78">
        <f>IF(OR(INDEX(Undirviðmið!$G$6:$G$105,ROW()-6)&lt;&gt;"Starfsbundinn",EY84="",$E84="",$D84=""),"",ROUND(EY84/$E84*$D84*KVARDI,2))</f>
        <v/>
      </c>
      <c r="FA84" s="66" t="n"/>
      <c r="FB84" s="78">
        <f>IF(OR(INDEX(Undirviðmið!$G$6:$G$105,ROW()-6)&lt;&gt;"Starfsbundinn",FA84="",$E84="",$D84=""),"",ROUND(FA84/$E84*$D84*KVARDI,2))</f>
        <v/>
      </c>
      <c r="FC84" s="66" t="n"/>
      <c r="FD84" s="78">
        <f>IF(OR(INDEX(Undirviðmið!$G$6:$G$105,ROW()-6)&lt;&gt;"Starfsbundinn",FC84="",$E84="",$D84=""),"",ROUND(FC84/$E84*$D84*KVARDI,2))</f>
        <v/>
      </c>
      <c r="FE84" s="66" t="n"/>
      <c r="FF84" s="78">
        <f>IF(OR(INDEX(Undirviðmið!$G$6:$G$105,ROW()-6)&lt;&gt;"Starfsbundinn",FE84="",$E84="",$D84=""),"",ROUND(FE84/$E84*$D84*KVARDI,2))</f>
        <v/>
      </c>
      <c r="FG84" s="66" t="n"/>
      <c r="FH84" s="78">
        <f>IF(OR(INDEX(Undirviðmið!$G$6:$G$105,ROW()-6)&lt;&gt;"Starfsbundinn",FG84="",$E84="",$D84=""),"",ROUND(FG84/$E84*$D84*KVARDI,2))</f>
        <v/>
      </c>
      <c r="FI84" s="66" t="n"/>
      <c r="FJ84" s="78">
        <f>IF(OR(INDEX(Undirviðmið!$G$6:$G$105,ROW()-6)&lt;&gt;"Starfsbundinn",FI84="",$E84="",$D84=""),"",ROUND(FI84/$E84*$D84*KVARDI,2))</f>
        <v/>
      </c>
      <c r="FK84" s="66" t="n"/>
      <c r="FL84" s="78">
        <f>IF(OR(INDEX(Undirviðmið!$G$6:$G$105,ROW()-6)&lt;&gt;"Starfsbundinn",FK84="",$E84="",$D84=""),"",ROUND(FK84/$E84*$D84*KVARDI,2))</f>
        <v/>
      </c>
      <c r="FM84" s="66" t="n"/>
      <c r="FN84" s="78">
        <f>IF(OR(INDEX(Undirviðmið!$G$6:$G$105,ROW()-6)&lt;&gt;"Starfsbundinn",FM84="",$E84="",$D84=""),"",ROUND(FM84/$E84*$D84*KVARDI,2))</f>
        <v/>
      </c>
      <c r="FO84" s="66" t="n"/>
      <c r="FP84" s="78">
        <f>IF(OR(INDEX(Undirviðmið!$G$6:$G$105,ROW()-6)&lt;&gt;"Starfsbundinn",FO84="",$E84="",$D84=""),"",ROUND(FO84/$E84*$D84*KVARDI,2))</f>
        <v/>
      </c>
      <c r="FQ84" s="66" t="n"/>
      <c r="FR84" s="78">
        <f>IF(OR(INDEX(Undirviðmið!$G$6:$G$105,ROW()-6)&lt;&gt;"Starfsbundinn",FQ84="",$E84="",$D84=""),"",ROUND(FQ84/$E84*$D84*KVARDI,2))</f>
        <v/>
      </c>
      <c r="FS84" s="66" t="n"/>
      <c r="FT84" s="78">
        <f>IF(OR(INDEX(Undirviðmið!$G$6:$G$105,ROW()-6)&lt;&gt;"Starfsbundinn",FS84="",$E84="",$D84=""),"",ROUND(FS84/$E84*$D84*KVARDI,2))</f>
        <v/>
      </c>
      <c r="FU84" s="66" t="n"/>
      <c r="FV84" s="78">
        <f>IF(OR(INDEX(Undirviðmið!$G$6:$G$105,ROW()-6)&lt;&gt;"Starfsbundinn",FU84="",$E84="",$D84=""),"",ROUND(FU84/$E84*$D84*KVARDI,2))</f>
        <v/>
      </c>
      <c r="FW84" s="66" t="n"/>
      <c r="FX84" s="78">
        <f>IF(OR(INDEX(Undirviðmið!$G$6:$G$105,ROW()-6)&lt;&gt;"Starfsbundinn",FW84="",$E84="",$D84=""),"",ROUND(FW84/$E84*$D84*KVARDI,2))</f>
        <v/>
      </c>
      <c r="FY84" s="66" t="n"/>
      <c r="FZ84" s="78">
        <f>IF(OR(INDEX(Undirviðmið!$G$6:$G$105,ROW()-6)&lt;&gt;"Starfsbundinn",FY84="",$E84="",$D84=""),"",ROUND(FY84/$E84*$D84*KVARDI,2))</f>
        <v/>
      </c>
      <c r="GA84" s="66" t="n"/>
      <c r="GB84" s="78">
        <f>IF(OR(INDEX(Undirviðmið!$G$6:$G$105,ROW()-6)&lt;&gt;"Starfsbundinn",GA84="",$E84="",$D84=""),"",ROUND(GA84/$E84*$D84*KVARDI,2))</f>
        <v/>
      </c>
      <c r="GC84" s="66" t="n"/>
      <c r="GD84" s="78">
        <f>IF(OR(INDEX(Undirviðmið!$G$6:$G$105,ROW()-6)&lt;&gt;"Starfsbundinn",GC84="",$E84="",$D84=""),"",ROUND(GC84/$E84*$D84*KVARDI,2))</f>
        <v/>
      </c>
      <c r="GE84" s="66" t="n"/>
      <c r="GF84" s="78">
        <f>IF(OR(INDEX(Undirviðmið!$G$6:$G$105,ROW()-6)&lt;&gt;"Starfsbundinn",GE84="",$E84="",$D84=""),"",ROUND(GE84/$E84*$D84*KVARDI,2))</f>
        <v/>
      </c>
      <c r="GG84" s="66" t="n"/>
      <c r="GH84" s="78">
        <f>IF(OR(INDEX(Undirviðmið!$G$6:$G$105,ROW()-6)&lt;&gt;"Starfsbundinn",GG84="",$E84="",$D84=""),"",ROUND(GG84/$E84*$D84*KVARDI,2))</f>
        <v/>
      </c>
      <c r="GI84" s="66" t="n"/>
      <c r="GJ84" s="78">
        <f>IF(OR(INDEX(Undirviðmið!$G$6:$G$105,ROW()-6)&lt;&gt;"Starfsbundinn",GI84="",$E84="",$D84=""),"",ROUND(GI84/$E84*$D84*KVARDI,2))</f>
        <v/>
      </c>
      <c r="GK84" s="66" t="n"/>
      <c r="GL84" s="78">
        <f>IF(OR(INDEX(Undirviðmið!$G$6:$G$105,ROW()-6)&lt;&gt;"Starfsbundinn",GK84="",$E84="",$D84=""),"",ROUND(GK84/$E84*$D84*KVARDI,2))</f>
        <v/>
      </c>
      <c r="GM84" s="66" t="n"/>
      <c r="GN84" s="78">
        <f>IF(OR(INDEX(Undirviðmið!$G$6:$G$105,ROW()-6)&lt;&gt;"Starfsbundinn",GM84="",$E84="",$D84=""),"",ROUND(GM84/$E84*$D84*KVARDI,2))</f>
        <v/>
      </c>
      <c r="GO84" s="66" t="n"/>
      <c r="GP84" s="78">
        <f>IF(OR(INDEX(Undirviðmið!$G$6:$G$105,ROW()-6)&lt;&gt;"Starfsbundinn",GO84="",$E84="",$D84=""),"",ROUND(GO84/$E84*$D84*KVARDI,2))</f>
        <v/>
      </c>
      <c r="GQ84" s="66" t="n"/>
      <c r="GR84" s="78">
        <f>IF(OR(INDEX(Undirviðmið!$G$6:$G$105,ROW()-6)&lt;&gt;"Starfsbundinn",GQ84="",$E84="",$D84=""),"",ROUND(GQ84/$E84*$D84*KVARDI,2))</f>
        <v/>
      </c>
      <c r="GS84" s="66" t="n"/>
      <c r="GT84" s="78">
        <f>IF(OR(INDEX(Undirviðmið!$G$6:$G$105,ROW()-6)&lt;&gt;"Starfsbundinn",GS84="",$E84="",$D84=""),"",ROUND(GS84/$E84*$D84*KVARDI,2))</f>
        <v/>
      </c>
      <c r="GU84" s="66" t="n"/>
      <c r="GV84" s="78">
        <f>IF(OR(INDEX(Undirviðmið!$G$6:$G$105,ROW()-6)&lt;&gt;"Starfsbundinn",GU84="",$E84="",$D84=""),"",ROUND(GU84/$E84*$D84*KVARDI,2))</f>
        <v/>
      </c>
      <c r="GW84" s="66" t="n"/>
      <c r="GX84" s="78">
        <f>IF(OR(INDEX(Undirviðmið!$G$6:$G$105,ROW()-6)&lt;&gt;"Starfsbundinn",GW84="",$E84="",$D84=""),"",ROUND(GW84/$E84*$D84*KVARDI,2))</f>
        <v/>
      </c>
    </row>
    <row r="85" ht="15" customHeight="1" s="47">
      <c r="B85" s="67">
        <f>IF(INDEX(Undirviðmið!$G$6:$G$105,ROW()-6)="Starfsbundinn",INDEX(Undirviðmið!$B$6:$B$105,ROW()-6),"")</f>
        <v/>
      </c>
      <c r="C85" s="67">
        <f>IF(INDEX(Undirviðmið!$G$6:$G$105,ROW()-6)="Starfsbundinn",INDEX(Undirviðmið!$C$6:$C$105,ROW()-6),"")</f>
        <v/>
      </c>
      <c r="D85" s="77">
        <f>IF(INDEX(Undirviðmið!$G$6:$G$105,ROW()-6)="Starfsbundinn",INDEX(Undirviðmið!$E$6:$E$105,ROW()-6),"")</f>
        <v/>
      </c>
      <c r="E85" s="77">
        <f>IF(INDEX(Undirviðmið!$G$6:$G$105,ROW()-6)="Starfsbundinn",INDEX(Undirviðmið!$F$6:$F$105,ROW()-6),"")</f>
        <v/>
      </c>
      <c r="F85" s="77">
        <f>IF(INDEX(Undirviðmið!$G$6:$G$105,ROW()-6)="Starfsbundinn",IFERROR(INDEX(Undirviðmið!$E$6:$E$105,ROW()-6)*KVARDI,""),"")</f>
        <v/>
      </c>
      <c r="G85" s="66" t="n"/>
      <c r="H85" s="78">
        <f>IF(OR(INDEX(Undirviðmið!$G$6:$G$105,ROW()-6)&lt;&gt;"Starfsbundinn",G85="",$E85="",$D85=""),"",ROUND(G85/$E85*$D85*KVARDI,2))</f>
        <v/>
      </c>
      <c r="I85" s="66" t="n"/>
      <c r="J85" s="78">
        <f>IF(OR(INDEX(Undirviðmið!$G$6:$G$105,ROW()-6)&lt;&gt;"Starfsbundinn",I85="",$E85="",$D85=""),"",ROUND(I85/$E85*$D85*KVARDI,2))</f>
        <v/>
      </c>
      <c r="K85" s="66" t="n"/>
      <c r="L85" s="78">
        <f>IF(OR(INDEX(Undirviðmið!$G$6:$G$105,ROW()-6)&lt;&gt;"Starfsbundinn",K85="",$E85="",$D85=""),"",ROUND(K85/$E85*$D85*KVARDI,2))</f>
        <v/>
      </c>
      <c r="M85" s="66" t="n"/>
      <c r="N85" s="78">
        <f>IF(OR(INDEX(Undirviðmið!$G$6:$G$105,ROW()-6)&lt;&gt;"Starfsbundinn",M85="",$E85="",$D85=""),"",ROUND(M85/$E85*$D85*KVARDI,2))</f>
        <v/>
      </c>
      <c r="O85" s="66" t="n"/>
      <c r="P85" s="78">
        <f>IF(OR(INDEX(Undirviðmið!$G$6:$G$105,ROW()-6)&lt;&gt;"Starfsbundinn",O85="",$E85="",$D85=""),"",ROUND(O85/$E85*$D85*KVARDI,2))</f>
        <v/>
      </c>
      <c r="Q85" s="66" t="n"/>
      <c r="R85" s="78">
        <f>IF(OR(INDEX(Undirviðmið!$G$6:$G$105,ROW()-6)&lt;&gt;"Starfsbundinn",Q85="",$E85="",$D85=""),"",ROUND(Q85/$E85*$D85*KVARDI,2))</f>
        <v/>
      </c>
      <c r="S85" s="66" t="n"/>
      <c r="T85" s="78">
        <f>IF(OR(INDEX(Undirviðmið!$G$6:$G$105,ROW()-6)&lt;&gt;"Starfsbundinn",S85="",$E85="",$D85=""),"",ROUND(S85/$E85*$D85*KVARDI,2))</f>
        <v/>
      </c>
      <c r="U85" s="66" t="n"/>
      <c r="V85" s="78">
        <f>IF(OR(INDEX(Undirviðmið!$G$6:$G$105,ROW()-6)&lt;&gt;"Starfsbundinn",U85="",$E85="",$D85=""),"",ROUND(U85/$E85*$D85*KVARDI,2))</f>
        <v/>
      </c>
      <c r="W85" s="66" t="n"/>
      <c r="X85" s="78">
        <f>IF(OR(INDEX(Undirviðmið!$G$6:$G$105,ROW()-6)&lt;&gt;"Starfsbundinn",W85="",$E85="",$D85=""),"",ROUND(W85/$E85*$D85*KVARDI,2))</f>
        <v/>
      </c>
      <c r="Y85" s="66" t="n"/>
      <c r="Z85" s="78">
        <f>IF(OR(INDEX(Undirviðmið!$G$6:$G$105,ROW()-6)&lt;&gt;"Starfsbundinn",Y85="",$E85="",$D85=""),"",ROUND(Y85/$E85*$D85*KVARDI,2))</f>
        <v/>
      </c>
      <c r="AA85" s="66" t="n"/>
      <c r="AB85" s="78">
        <f>IF(OR(INDEX(Undirviðmið!$G$6:$G$105,ROW()-6)&lt;&gt;"Starfsbundinn",AA85="",$E85="",$D85=""),"",ROUND(AA85/$E85*$D85*KVARDI,2))</f>
        <v/>
      </c>
      <c r="AC85" s="66" t="n"/>
      <c r="AD85" s="78">
        <f>IF(OR(INDEX(Undirviðmið!$G$6:$G$105,ROW()-6)&lt;&gt;"Starfsbundinn",AC85="",$E85="",$D85=""),"",ROUND(AC85/$E85*$D85*KVARDI,2))</f>
        <v/>
      </c>
      <c r="AE85" s="66" t="n"/>
      <c r="AF85" s="78">
        <f>IF(OR(INDEX(Undirviðmið!$G$6:$G$105,ROW()-6)&lt;&gt;"Starfsbundinn",AE85="",$E85="",$D85=""),"",ROUND(AE85/$E85*$D85*KVARDI,2))</f>
        <v/>
      </c>
      <c r="AG85" s="66" t="n"/>
      <c r="AH85" s="78">
        <f>IF(OR(INDEX(Undirviðmið!$G$6:$G$105,ROW()-6)&lt;&gt;"Starfsbundinn",AG85="",$E85="",$D85=""),"",ROUND(AG85/$E85*$D85*KVARDI,2))</f>
        <v/>
      </c>
      <c r="AI85" s="66" t="n"/>
      <c r="AJ85" s="78">
        <f>IF(OR(INDEX(Undirviðmið!$G$6:$G$105,ROW()-6)&lt;&gt;"Starfsbundinn",AI85="",$E85="",$D85=""),"",ROUND(AI85/$E85*$D85*KVARDI,2))</f>
        <v/>
      </c>
      <c r="AK85" s="66" t="n"/>
      <c r="AL85" s="78">
        <f>IF(OR(INDEX(Undirviðmið!$G$6:$G$105,ROW()-6)&lt;&gt;"Starfsbundinn",AK85="",$E85="",$D85=""),"",ROUND(AK85/$E85*$D85*KVARDI,2))</f>
        <v/>
      </c>
      <c r="AM85" s="66" t="n"/>
      <c r="AN85" s="78">
        <f>IF(OR(INDEX(Undirviðmið!$G$6:$G$105,ROW()-6)&lt;&gt;"Starfsbundinn",AM85="",$E85="",$D85=""),"",ROUND(AM85/$E85*$D85*KVARDI,2))</f>
        <v/>
      </c>
      <c r="AO85" s="66" t="n"/>
      <c r="AP85" s="78">
        <f>IF(OR(INDEX(Undirviðmið!$G$6:$G$105,ROW()-6)&lt;&gt;"Starfsbundinn",AO85="",$E85="",$D85=""),"",ROUND(AO85/$E85*$D85*KVARDI,2))</f>
        <v/>
      </c>
      <c r="AQ85" s="66" t="n"/>
      <c r="AR85" s="78">
        <f>IF(OR(INDEX(Undirviðmið!$G$6:$G$105,ROW()-6)&lt;&gt;"Starfsbundinn",AQ85="",$E85="",$D85=""),"",ROUND(AQ85/$E85*$D85*KVARDI,2))</f>
        <v/>
      </c>
      <c r="AS85" s="66" t="n"/>
      <c r="AT85" s="78">
        <f>IF(OR(INDEX(Undirviðmið!$G$6:$G$105,ROW()-6)&lt;&gt;"Starfsbundinn",AS85="",$E85="",$D85=""),"",ROUND(AS85/$E85*$D85*KVARDI,2))</f>
        <v/>
      </c>
      <c r="AU85" s="66" t="n"/>
      <c r="AV85" s="78">
        <f>IF(OR(INDEX(Undirviðmið!$G$6:$G$105,ROW()-6)&lt;&gt;"Starfsbundinn",AU85="",$E85="",$D85=""),"",ROUND(AU85/$E85*$D85*KVARDI,2))</f>
        <v/>
      </c>
      <c r="AW85" s="66" t="n"/>
      <c r="AX85" s="78">
        <f>IF(OR(INDEX(Undirviðmið!$G$6:$G$105,ROW()-6)&lt;&gt;"Starfsbundinn",AW85="",$E85="",$D85=""),"",ROUND(AW85/$E85*$D85*KVARDI,2))</f>
        <v/>
      </c>
      <c r="AY85" s="66" t="n"/>
      <c r="AZ85" s="78">
        <f>IF(OR(INDEX(Undirviðmið!$G$6:$G$105,ROW()-6)&lt;&gt;"Starfsbundinn",AY85="",$E85="",$D85=""),"",ROUND(AY85/$E85*$D85*KVARDI,2))</f>
        <v/>
      </c>
      <c r="BA85" s="66" t="n"/>
      <c r="BB85" s="78">
        <f>IF(OR(INDEX(Undirviðmið!$G$6:$G$105,ROW()-6)&lt;&gt;"Starfsbundinn",BA85="",$E85="",$D85=""),"",ROUND(BA85/$E85*$D85*KVARDI,2))</f>
        <v/>
      </c>
      <c r="BC85" s="66" t="n"/>
      <c r="BD85" s="78">
        <f>IF(OR(INDEX(Undirviðmið!$G$6:$G$105,ROW()-6)&lt;&gt;"Starfsbundinn",BC85="",$E85="",$D85=""),"",ROUND(BC85/$E85*$D85*KVARDI,2))</f>
        <v/>
      </c>
      <c r="BE85" s="66" t="n"/>
      <c r="BF85" s="78">
        <f>IF(OR(INDEX(Undirviðmið!$G$6:$G$105,ROW()-6)&lt;&gt;"Starfsbundinn",BE85="",$E85="",$D85=""),"",ROUND(BE85/$E85*$D85*KVARDI,2))</f>
        <v/>
      </c>
      <c r="BG85" s="66" t="n"/>
      <c r="BH85" s="78">
        <f>IF(OR(INDEX(Undirviðmið!$G$6:$G$105,ROW()-6)&lt;&gt;"Starfsbundinn",BG85="",$E85="",$D85=""),"",ROUND(BG85/$E85*$D85*KVARDI,2))</f>
        <v/>
      </c>
      <c r="BI85" s="66" t="n"/>
      <c r="BJ85" s="78">
        <f>IF(OR(INDEX(Undirviðmið!$G$6:$G$105,ROW()-6)&lt;&gt;"Starfsbundinn",BI85="",$E85="",$D85=""),"",ROUND(BI85/$E85*$D85*KVARDI,2))</f>
        <v/>
      </c>
      <c r="BK85" s="66" t="n"/>
      <c r="BL85" s="78">
        <f>IF(OR(INDEX(Undirviðmið!$G$6:$G$105,ROW()-6)&lt;&gt;"Starfsbundinn",BK85="",$E85="",$D85=""),"",ROUND(BK85/$E85*$D85*KVARDI,2))</f>
        <v/>
      </c>
      <c r="BM85" s="66" t="n"/>
      <c r="BN85" s="78">
        <f>IF(OR(INDEX(Undirviðmið!$G$6:$G$105,ROW()-6)&lt;&gt;"Starfsbundinn",BM85="",$E85="",$D85=""),"",ROUND(BM85/$E85*$D85*KVARDI,2))</f>
        <v/>
      </c>
      <c r="BO85" s="66" t="n"/>
      <c r="BP85" s="78">
        <f>IF(OR(INDEX(Undirviðmið!$G$6:$G$105,ROW()-6)&lt;&gt;"Starfsbundinn",BO85="",$E85="",$D85=""),"",ROUND(BO85/$E85*$D85*KVARDI,2))</f>
        <v/>
      </c>
      <c r="BQ85" s="66" t="n"/>
      <c r="BR85" s="78">
        <f>IF(OR(INDEX(Undirviðmið!$G$6:$G$105,ROW()-6)&lt;&gt;"Starfsbundinn",BQ85="",$E85="",$D85=""),"",ROUND(BQ85/$E85*$D85*KVARDI,2))</f>
        <v/>
      </c>
      <c r="BS85" s="66" t="n"/>
      <c r="BT85" s="78">
        <f>IF(OR(INDEX(Undirviðmið!$G$6:$G$105,ROW()-6)&lt;&gt;"Starfsbundinn",BS85="",$E85="",$D85=""),"",ROUND(BS85/$E85*$D85*KVARDI,2))</f>
        <v/>
      </c>
      <c r="BU85" s="66" t="n"/>
      <c r="BV85" s="78">
        <f>IF(OR(INDEX(Undirviðmið!$G$6:$G$105,ROW()-6)&lt;&gt;"Starfsbundinn",BU85="",$E85="",$D85=""),"",ROUND(BU85/$E85*$D85*KVARDI,2))</f>
        <v/>
      </c>
      <c r="BW85" s="66" t="n"/>
      <c r="BX85" s="78">
        <f>IF(OR(INDEX(Undirviðmið!$G$6:$G$105,ROW()-6)&lt;&gt;"Starfsbundinn",BW85="",$E85="",$D85=""),"",ROUND(BW85/$E85*$D85*KVARDI,2))</f>
        <v/>
      </c>
      <c r="BY85" s="66" t="n"/>
      <c r="BZ85" s="78">
        <f>IF(OR(INDEX(Undirviðmið!$G$6:$G$105,ROW()-6)&lt;&gt;"Starfsbundinn",BY85="",$E85="",$D85=""),"",ROUND(BY85/$E85*$D85*KVARDI,2))</f>
        <v/>
      </c>
      <c r="CA85" s="66" t="n"/>
      <c r="CB85" s="78">
        <f>IF(OR(INDEX(Undirviðmið!$G$6:$G$105,ROW()-6)&lt;&gt;"Starfsbundinn",CA85="",$E85="",$D85=""),"",ROUND(CA85/$E85*$D85*KVARDI,2))</f>
        <v/>
      </c>
      <c r="CC85" s="66" t="n"/>
      <c r="CD85" s="78">
        <f>IF(OR(INDEX(Undirviðmið!$G$6:$G$105,ROW()-6)&lt;&gt;"Starfsbundinn",CC85="",$E85="",$D85=""),"",ROUND(CC85/$E85*$D85*KVARDI,2))</f>
        <v/>
      </c>
      <c r="CE85" s="66" t="n"/>
      <c r="CF85" s="78">
        <f>IF(OR(INDEX(Undirviðmið!$G$6:$G$105,ROW()-6)&lt;&gt;"Starfsbundinn",CE85="",$E85="",$D85=""),"",ROUND(CE85/$E85*$D85*KVARDI,2))</f>
        <v/>
      </c>
      <c r="CG85" s="66" t="n"/>
      <c r="CH85" s="78">
        <f>IF(OR(INDEX(Undirviðmið!$G$6:$G$105,ROW()-6)&lt;&gt;"Starfsbundinn",CG85="",$E85="",$D85=""),"",ROUND(CG85/$E85*$D85*KVARDI,2))</f>
        <v/>
      </c>
      <c r="CI85" s="66" t="n"/>
      <c r="CJ85" s="78">
        <f>IF(OR(INDEX(Undirviðmið!$G$6:$G$105,ROW()-6)&lt;&gt;"Starfsbundinn",CI85="",$E85="",$D85=""),"",ROUND(CI85/$E85*$D85*KVARDI,2))</f>
        <v/>
      </c>
      <c r="CK85" s="66" t="n"/>
      <c r="CL85" s="78">
        <f>IF(OR(INDEX(Undirviðmið!$G$6:$G$105,ROW()-6)&lt;&gt;"Starfsbundinn",CK85="",$E85="",$D85=""),"",ROUND(CK85/$E85*$D85*KVARDI,2))</f>
        <v/>
      </c>
      <c r="CM85" s="66" t="n"/>
      <c r="CN85" s="78">
        <f>IF(OR(INDEX(Undirviðmið!$G$6:$G$105,ROW()-6)&lt;&gt;"Starfsbundinn",CM85="",$E85="",$D85=""),"",ROUND(CM85/$E85*$D85*KVARDI,2))</f>
        <v/>
      </c>
      <c r="CO85" s="66" t="n"/>
      <c r="CP85" s="78">
        <f>IF(OR(INDEX(Undirviðmið!$G$6:$G$105,ROW()-6)&lt;&gt;"Starfsbundinn",CO85="",$E85="",$D85=""),"",ROUND(CO85/$E85*$D85*KVARDI,2))</f>
        <v/>
      </c>
      <c r="CQ85" s="66" t="n"/>
      <c r="CR85" s="78">
        <f>IF(OR(INDEX(Undirviðmið!$G$6:$G$105,ROW()-6)&lt;&gt;"Starfsbundinn",CQ85="",$E85="",$D85=""),"",ROUND(CQ85/$E85*$D85*KVARDI,2))</f>
        <v/>
      </c>
      <c r="CS85" s="66" t="n"/>
      <c r="CT85" s="78">
        <f>IF(OR(INDEX(Undirviðmið!$G$6:$G$105,ROW()-6)&lt;&gt;"Starfsbundinn",CS85="",$E85="",$D85=""),"",ROUND(CS85/$E85*$D85*KVARDI,2))</f>
        <v/>
      </c>
      <c r="CU85" s="66" t="n"/>
      <c r="CV85" s="78">
        <f>IF(OR(INDEX(Undirviðmið!$G$6:$G$105,ROW()-6)&lt;&gt;"Starfsbundinn",CU85="",$E85="",$D85=""),"",ROUND(CU85/$E85*$D85*KVARDI,2))</f>
        <v/>
      </c>
      <c r="CW85" s="66" t="n"/>
      <c r="CX85" s="78">
        <f>IF(OR(INDEX(Undirviðmið!$G$6:$G$105,ROW()-6)&lt;&gt;"Starfsbundinn",CW85="",$E85="",$D85=""),"",ROUND(CW85/$E85*$D85*KVARDI,2))</f>
        <v/>
      </c>
      <c r="CY85" s="66" t="n"/>
      <c r="CZ85" s="78">
        <f>IF(OR(INDEX(Undirviðmið!$G$6:$G$105,ROW()-6)&lt;&gt;"Starfsbundinn",CY85="",$E85="",$D85=""),"",ROUND(CY85/$E85*$D85*KVARDI,2))</f>
        <v/>
      </c>
      <c r="DA85" s="66" t="n"/>
      <c r="DB85" s="78">
        <f>IF(OR(INDEX(Undirviðmið!$G$6:$G$105,ROW()-6)&lt;&gt;"Starfsbundinn",DA85="",$E85="",$D85=""),"",ROUND(DA85/$E85*$D85*KVARDI,2))</f>
        <v/>
      </c>
      <c r="DC85" s="66" t="n"/>
      <c r="DD85" s="78">
        <f>IF(OR(INDEX(Undirviðmið!$G$6:$G$105,ROW()-6)&lt;&gt;"Starfsbundinn",DC85="",$E85="",$D85=""),"",ROUND(DC85/$E85*$D85*KVARDI,2))</f>
        <v/>
      </c>
      <c r="DE85" s="66" t="n"/>
      <c r="DF85" s="78">
        <f>IF(OR(INDEX(Undirviðmið!$G$6:$G$105,ROW()-6)&lt;&gt;"Starfsbundinn",DE85="",$E85="",$D85=""),"",ROUND(DE85/$E85*$D85*KVARDI,2))</f>
        <v/>
      </c>
      <c r="DG85" s="66" t="n"/>
      <c r="DH85" s="78">
        <f>IF(OR(INDEX(Undirviðmið!$G$6:$G$105,ROW()-6)&lt;&gt;"Starfsbundinn",DG85="",$E85="",$D85=""),"",ROUND(DG85/$E85*$D85*KVARDI,2))</f>
        <v/>
      </c>
      <c r="DI85" s="66" t="n"/>
      <c r="DJ85" s="78">
        <f>IF(OR(INDEX(Undirviðmið!$G$6:$G$105,ROW()-6)&lt;&gt;"Starfsbundinn",DI85="",$E85="",$D85=""),"",ROUND(DI85/$E85*$D85*KVARDI,2))</f>
        <v/>
      </c>
      <c r="DK85" s="66" t="n"/>
      <c r="DL85" s="78">
        <f>IF(OR(INDEX(Undirviðmið!$G$6:$G$105,ROW()-6)&lt;&gt;"Starfsbundinn",DK85="",$E85="",$D85=""),"",ROUND(DK85/$E85*$D85*KVARDI,2))</f>
        <v/>
      </c>
      <c r="DM85" s="66" t="n"/>
      <c r="DN85" s="78">
        <f>IF(OR(INDEX(Undirviðmið!$G$6:$G$105,ROW()-6)&lt;&gt;"Starfsbundinn",DM85="",$E85="",$D85=""),"",ROUND(DM85/$E85*$D85*KVARDI,2))</f>
        <v/>
      </c>
      <c r="DO85" s="66" t="n"/>
      <c r="DP85" s="78">
        <f>IF(OR(INDEX(Undirviðmið!$G$6:$G$105,ROW()-6)&lt;&gt;"Starfsbundinn",DO85="",$E85="",$D85=""),"",ROUND(DO85/$E85*$D85*KVARDI,2))</f>
        <v/>
      </c>
      <c r="DQ85" s="66" t="n"/>
      <c r="DR85" s="78">
        <f>IF(OR(INDEX(Undirviðmið!$G$6:$G$105,ROW()-6)&lt;&gt;"Starfsbundinn",DQ85="",$E85="",$D85=""),"",ROUND(DQ85/$E85*$D85*KVARDI,2))</f>
        <v/>
      </c>
      <c r="DS85" s="66" t="n"/>
      <c r="DT85" s="78">
        <f>IF(OR(INDEX(Undirviðmið!$G$6:$G$105,ROW()-6)&lt;&gt;"Starfsbundinn",DS85="",$E85="",$D85=""),"",ROUND(DS85/$E85*$D85*KVARDI,2))</f>
        <v/>
      </c>
      <c r="DU85" s="66" t="n"/>
      <c r="DV85" s="78">
        <f>IF(OR(INDEX(Undirviðmið!$G$6:$G$105,ROW()-6)&lt;&gt;"Starfsbundinn",DU85="",$E85="",$D85=""),"",ROUND(DU85/$E85*$D85*KVARDI,2))</f>
        <v/>
      </c>
      <c r="DW85" s="66" t="n"/>
      <c r="DX85" s="78">
        <f>IF(OR(INDEX(Undirviðmið!$G$6:$G$105,ROW()-6)&lt;&gt;"Starfsbundinn",DW85="",$E85="",$D85=""),"",ROUND(DW85/$E85*$D85*KVARDI,2))</f>
        <v/>
      </c>
      <c r="DY85" s="66" t="n"/>
      <c r="DZ85" s="78">
        <f>IF(OR(INDEX(Undirviðmið!$G$6:$G$105,ROW()-6)&lt;&gt;"Starfsbundinn",DY85="",$E85="",$D85=""),"",ROUND(DY85/$E85*$D85*KVARDI,2))</f>
        <v/>
      </c>
      <c r="EA85" s="66" t="n"/>
      <c r="EB85" s="78">
        <f>IF(OR(INDEX(Undirviðmið!$G$6:$G$105,ROW()-6)&lt;&gt;"Starfsbundinn",EA85="",$E85="",$D85=""),"",ROUND(EA85/$E85*$D85*KVARDI,2))</f>
        <v/>
      </c>
      <c r="EC85" s="66" t="n"/>
      <c r="ED85" s="78">
        <f>IF(OR(INDEX(Undirviðmið!$G$6:$G$105,ROW()-6)&lt;&gt;"Starfsbundinn",EC85="",$E85="",$D85=""),"",ROUND(EC85/$E85*$D85*KVARDI,2))</f>
        <v/>
      </c>
      <c r="EE85" s="66" t="n"/>
      <c r="EF85" s="78">
        <f>IF(OR(INDEX(Undirviðmið!$G$6:$G$105,ROW()-6)&lt;&gt;"Starfsbundinn",EE85="",$E85="",$D85=""),"",ROUND(EE85/$E85*$D85*KVARDI,2))</f>
        <v/>
      </c>
      <c r="EG85" s="66" t="n"/>
      <c r="EH85" s="78">
        <f>IF(OR(INDEX(Undirviðmið!$G$6:$G$105,ROW()-6)&lt;&gt;"Starfsbundinn",EG85="",$E85="",$D85=""),"",ROUND(EG85/$E85*$D85*KVARDI,2))</f>
        <v/>
      </c>
      <c r="EI85" s="66" t="n"/>
      <c r="EJ85" s="78">
        <f>IF(OR(INDEX(Undirviðmið!$G$6:$G$105,ROW()-6)&lt;&gt;"Starfsbundinn",EI85="",$E85="",$D85=""),"",ROUND(EI85/$E85*$D85*KVARDI,2))</f>
        <v/>
      </c>
      <c r="EK85" s="66" t="n"/>
      <c r="EL85" s="78">
        <f>IF(OR(INDEX(Undirviðmið!$G$6:$G$105,ROW()-6)&lt;&gt;"Starfsbundinn",EK85="",$E85="",$D85=""),"",ROUND(EK85/$E85*$D85*KVARDI,2))</f>
        <v/>
      </c>
      <c r="EM85" s="66" t="n"/>
      <c r="EN85" s="78">
        <f>IF(OR(INDEX(Undirviðmið!$G$6:$G$105,ROW()-6)&lt;&gt;"Starfsbundinn",EM85="",$E85="",$D85=""),"",ROUND(EM85/$E85*$D85*KVARDI,2))</f>
        <v/>
      </c>
      <c r="EO85" s="66" t="n"/>
      <c r="EP85" s="78">
        <f>IF(OR(INDEX(Undirviðmið!$G$6:$G$105,ROW()-6)&lt;&gt;"Starfsbundinn",EO85="",$E85="",$D85=""),"",ROUND(EO85/$E85*$D85*KVARDI,2))</f>
        <v/>
      </c>
      <c r="EQ85" s="66" t="n"/>
      <c r="ER85" s="78">
        <f>IF(OR(INDEX(Undirviðmið!$G$6:$G$105,ROW()-6)&lt;&gt;"Starfsbundinn",EQ85="",$E85="",$D85=""),"",ROUND(EQ85/$E85*$D85*KVARDI,2))</f>
        <v/>
      </c>
      <c r="ES85" s="66" t="n"/>
      <c r="ET85" s="78">
        <f>IF(OR(INDEX(Undirviðmið!$G$6:$G$105,ROW()-6)&lt;&gt;"Starfsbundinn",ES85="",$E85="",$D85=""),"",ROUND(ES85/$E85*$D85*KVARDI,2))</f>
        <v/>
      </c>
      <c r="EU85" s="66" t="n"/>
      <c r="EV85" s="78">
        <f>IF(OR(INDEX(Undirviðmið!$G$6:$G$105,ROW()-6)&lt;&gt;"Starfsbundinn",EU85="",$E85="",$D85=""),"",ROUND(EU85/$E85*$D85*KVARDI,2))</f>
        <v/>
      </c>
      <c r="EW85" s="66" t="n"/>
      <c r="EX85" s="78">
        <f>IF(OR(INDEX(Undirviðmið!$G$6:$G$105,ROW()-6)&lt;&gt;"Starfsbundinn",EW85="",$E85="",$D85=""),"",ROUND(EW85/$E85*$D85*KVARDI,2))</f>
        <v/>
      </c>
      <c r="EY85" s="66" t="n"/>
      <c r="EZ85" s="78">
        <f>IF(OR(INDEX(Undirviðmið!$G$6:$G$105,ROW()-6)&lt;&gt;"Starfsbundinn",EY85="",$E85="",$D85=""),"",ROUND(EY85/$E85*$D85*KVARDI,2))</f>
        <v/>
      </c>
      <c r="FA85" s="66" t="n"/>
      <c r="FB85" s="78">
        <f>IF(OR(INDEX(Undirviðmið!$G$6:$G$105,ROW()-6)&lt;&gt;"Starfsbundinn",FA85="",$E85="",$D85=""),"",ROUND(FA85/$E85*$D85*KVARDI,2))</f>
        <v/>
      </c>
      <c r="FC85" s="66" t="n"/>
      <c r="FD85" s="78">
        <f>IF(OR(INDEX(Undirviðmið!$G$6:$G$105,ROW()-6)&lt;&gt;"Starfsbundinn",FC85="",$E85="",$D85=""),"",ROUND(FC85/$E85*$D85*KVARDI,2))</f>
        <v/>
      </c>
      <c r="FE85" s="66" t="n"/>
      <c r="FF85" s="78">
        <f>IF(OR(INDEX(Undirviðmið!$G$6:$G$105,ROW()-6)&lt;&gt;"Starfsbundinn",FE85="",$E85="",$D85=""),"",ROUND(FE85/$E85*$D85*KVARDI,2))</f>
        <v/>
      </c>
      <c r="FG85" s="66" t="n"/>
      <c r="FH85" s="78">
        <f>IF(OR(INDEX(Undirviðmið!$G$6:$G$105,ROW()-6)&lt;&gt;"Starfsbundinn",FG85="",$E85="",$D85=""),"",ROUND(FG85/$E85*$D85*KVARDI,2))</f>
        <v/>
      </c>
      <c r="FI85" s="66" t="n"/>
      <c r="FJ85" s="78">
        <f>IF(OR(INDEX(Undirviðmið!$G$6:$G$105,ROW()-6)&lt;&gt;"Starfsbundinn",FI85="",$E85="",$D85=""),"",ROUND(FI85/$E85*$D85*KVARDI,2))</f>
        <v/>
      </c>
      <c r="FK85" s="66" t="n"/>
      <c r="FL85" s="78">
        <f>IF(OR(INDEX(Undirviðmið!$G$6:$G$105,ROW()-6)&lt;&gt;"Starfsbundinn",FK85="",$E85="",$D85=""),"",ROUND(FK85/$E85*$D85*KVARDI,2))</f>
        <v/>
      </c>
      <c r="FM85" s="66" t="n"/>
      <c r="FN85" s="78">
        <f>IF(OR(INDEX(Undirviðmið!$G$6:$G$105,ROW()-6)&lt;&gt;"Starfsbundinn",FM85="",$E85="",$D85=""),"",ROUND(FM85/$E85*$D85*KVARDI,2))</f>
        <v/>
      </c>
      <c r="FO85" s="66" t="n"/>
      <c r="FP85" s="78">
        <f>IF(OR(INDEX(Undirviðmið!$G$6:$G$105,ROW()-6)&lt;&gt;"Starfsbundinn",FO85="",$E85="",$D85=""),"",ROUND(FO85/$E85*$D85*KVARDI,2))</f>
        <v/>
      </c>
      <c r="FQ85" s="66" t="n"/>
      <c r="FR85" s="78">
        <f>IF(OR(INDEX(Undirviðmið!$G$6:$G$105,ROW()-6)&lt;&gt;"Starfsbundinn",FQ85="",$E85="",$D85=""),"",ROUND(FQ85/$E85*$D85*KVARDI,2))</f>
        <v/>
      </c>
      <c r="FS85" s="66" t="n"/>
      <c r="FT85" s="78">
        <f>IF(OR(INDEX(Undirviðmið!$G$6:$G$105,ROW()-6)&lt;&gt;"Starfsbundinn",FS85="",$E85="",$D85=""),"",ROUND(FS85/$E85*$D85*KVARDI,2))</f>
        <v/>
      </c>
      <c r="FU85" s="66" t="n"/>
      <c r="FV85" s="78">
        <f>IF(OR(INDEX(Undirviðmið!$G$6:$G$105,ROW()-6)&lt;&gt;"Starfsbundinn",FU85="",$E85="",$D85=""),"",ROUND(FU85/$E85*$D85*KVARDI,2))</f>
        <v/>
      </c>
      <c r="FW85" s="66" t="n"/>
      <c r="FX85" s="78">
        <f>IF(OR(INDEX(Undirviðmið!$G$6:$G$105,ROW()-6)&lt;&gt;"Starfsbundinn",FW85="",$E85="",$D85=""),"",ROUND(FW85/$E85*$D85*KVARDI,2))</f>
        <v/>
      </c>
      <c r="FY85" s="66" t="n"/>
      <c r="FZ85" s="78">
        <f>IF(OR(INDEX(Undirviðmið!$G$6:$G$105,ROW()-6)&lt;&gt;"Starfsbundinn",FY85="",$E85="",$D85=""),"",ROUND(FY85/$E85*$D85*KVARDI,2))</f>
        <v/>
      </c>
      <c r="GA85" s="66" t="n"/>
      <c r="GB85" s="78">
        <f>IF(OR(INDEX(Undirviðmið!$G$6:$G$105,ROW()-6)&lt;&gt;"Starfsbundinn",GA85="",$E85="",$D85=""),"",ROUND(GA85/$E85*$D85*KVARDI,2))</f>
        <v/>
      </c>
      <c r="GC85" s="66" t="n"/>
      <c r="GD85" s="78">
        <f>IF(OR(INDEX(Undirviðmið!$G$6:$G$105,ROW()-6)&lt;&gt;"Starfsbundinn",GC85="",$E85="",$D85=""),"",ROUND(GC85/$E85*$D85*KVARDI,2))</f>
        <v/>
      </c>
      <c r="GE85" s="66" t="n"/>
      <c r="GF85" s="78">
        <f>IF(OR(INDEX(Undirviðmið!$G$6:$G$105,ROW()-6)&lt;&gt;"Starfsbundinn",GE85="",$E85="",$D85=""),"",ROUND(GE85/$E85*$D85*KVARDI,2))</f>
        <v/>
      </c>
      <c r="GG85" s="66" t="n"/>
      <c r="GH85" s="78">
        <f>IF(OR(INDEX(Undirviðmið!$G$6:$G$105,ROW()-6)&lt;&gt;"Starfsbundinn",GG85="",$E85="",$D85=""),"",ROUND(GG85/$E85*$D85*KVARDI,2))</f>
        <v/>
      </c>
      <c r="GI85" s="66" t="n"/>
      <c r="GJ85" s="78">
        <f>IF(OR(INDEX(Undirviðmið!$G$6:$G$105,ROW()-6)&lt;&gt;"Starfsbundinn",GI85="",$E85="",$D85=""),"",ROUND(GI85/$E85*$D85*KVARDI,2))</f>
        <v/>
      </c>
      <c r="GK85" s="66" t="n"/>
      <c r="GL85" s="78">
        <f>IF(OR(INDEX(Undirviðmið!$G$6:$G$105,ROW()-6)&lt;&gt;"Starfsbundinn",GK85="",$E85="",$D85=""),"",ROUND(GK85/$E85*$D85*KVARDI,2))</f>
        <v/>
      </c>
      <c r="GM85" s="66" t="n"/>
      <c r="GN85" s="78">
        <f>IF(OR(INDEX(Undirviðmið!$G$6:$G$105,ROW()-6)&lt;&gt;"Starfsbundinn",GM85="",$E85="",$D85=""),"",ROUND(GM85/$E85*$D85*KVARDI,2))</f>
        <v/>
      </c>
      <c r="GO85" s="66" t="n"/>
      <c r="GP85" s="78">
        <f>IF(OR(INDEX(Undirviðmið!$G$6:$G$105,ROW()-6)&lt;&gt;"Starfsbundinn",GO85="",$E85="",$D85=""),"",ROUND(GO85/$E85*$D85*KVARDI,2))</f>
        <v/>
      </c>
      <c r="GQ85" s="66" t="n"/>
      <c r="GR85" s="78">
        <f>IF(OR(INDEX(Undirviðmið!$G$6:$G$105,ROW()-6)&lt;&gt;"Starfsbundinn",GQ85="",$E85="",$D85=""),"",ROUND(GQ85/$E85*$D85*KVARDI,2))</f>
        <v/>
      </c>
      <c r="GS85" s="66" t="n"/>
      <c r="GT85" s="78">
        <f>IF(OR(INDEX(Undirviðmið!$G$6:$G$105,ROW()-6)&lt;&gt;"Starfsbundinn",GS85="",$E85="",$D85=""),"",ROUND(GS85/$E85*$D85*KVARDI,2))</f>
        <v/>
      </c>
      <c r="GU85" s="66" t="n"/>
      <c r="GV85" s="78">
        <f>IF(OR(INDEX(Undirviðmið!$G$6:$G$105,ROW()-6)&lt;&gt;"Starfsbundinn",GU85="",$E85="",$D85=""),"",ROUND(GU85/$E85*$D85*KVARDI,2))</f>
        <v/>
      </c>
      <c r="GW85" s="66" t="n"/>
      <c r="GX85" s="78">
        <f>IF(OR(INDEX(Undirviðmið!$G$6:$G$105,ROW()-6)&lt;&gt;"Starfsbundinn",GW85="",$E85="",$D85=""),"",ROUND(GW85/$E85*$D85*KVARDI,2))</f>
        <v/>
      </c>
    </row>
    <row r="86" ht="15" customHeight="1" s="47">
      <c r="B86" s="67">
        <f>IF(INDEX(Undirviðmið!$G$6:$G$105,ROW()-6)="Starfsbundinn",INDEX(Undirviðmið!$B$6:$B$105,ROW()-6),"")</f>
        <v/>
      </c>
      <c r="C86" s="67">
        <f>IF(INDEX(Undirviðmið!$G$6:$G$105,ROW()-6)="Starfsbundinn",INDEX(Undirviðmið!$C$6:$C$105,ROW()-6),"")</f>
        <v/>
      </c>
      <c r="D86" s="77">
        <f>IF(INDEX(Undirviðmið!$G$6:$G$105,ROW()-6)="Starfsbundinn",INDEX(Undirviðmið!$E$6:$E$105,ROW()-6),"")</f>
        <v/>
      </c>
      <c r="E86" s="77">
        <f>IF(INDEX(Undirviðmið!$G$6:$G$105,ROW()-6)="Starfsbundinn",INDEX(Undirviðmið!$F$6:$F$105,ROW()-6),"")</f>
        <v/>
      </c>
      <c r="F86" s="77">
        <f>IF(INDEX(Undirviðmið!$G$6:$G$105,ROW()-6)="Starfsbundinn",IFERROR(INDEX(Undirviðmið!$E$6:$E$105,ROW()-6)*KVARDI,""),"")</f>
        <v/>
      </c>
      <c r="G86" s="66" t="n"/>
      <c r="H86" s="78">
        <f>IF(OR(INDEX(Undirviðmið!$G$6:$G$105,ROW()-6)&lt;&gt;"Starfsbundinn",G86="",$E86="",$D86=""),"",ROUND(G86/$E86*$D86*KVARDI,2))</f>
        <v/>
      </c>
      <c r="I86" s="66" t="n"/>
      <c r="J86" s="78">
        <f>IF(OR(INDEX(Undirviðmið!$G$6:$G$105,ROW()-6)&lt;&gt;"Starfsbundinn",I86="",$E86="",$D86=""),"",ROUND(I86/$E86*$D86*KVARDI,2))</f>
        <v/>
      </c>
      <c r="K86" s="66" t="n"/>
      <c r="L86" s="78">
        <f>IF(OR(INDEX(Undirviðmið!$G$6:$G$105,ROW()-6)&lt;&gt;"Starfsbundinn",K86="",$E86="",$D86=""),"",ROUND(K86/$E86*$D86*KVARDI,2))</f>
        <v/>
      </c>
      <c r="M86" s="66" t="n"/>
      <c r="N86" s="78">
        <f>IF(OR(INDEX(Undirviðmið!$G$6:$G$105,ROW()-6)&lt;&gt;"Starfsbundinn",M86="",$E86="",$D86=""),"",ROUND(M86/$E86*$D86*KVARDI,2))</f>
        <v/>
      </c>
      <c r="O86" s="66" t="n"/>
      <c r="P86" s="78">
        <f>IF(OR(INDEX(Undirviðmið!$G$6:$G$105,ROW()-6)&lt;&gt;"Starfsbundinn",O86="",$E86="",$D86=""),"",ROUND(O86/$E86*$D86*KVARDI,2))</f>
        <v/>
      </c>
      <c r="Q86" s="66" t="n"/>
      <c r="R86" s="78">
        <f>IF(OR(INDEX(Undirviðmið!$G$6:$G$105,ROW()-6)&lt;&gt;"Starfsbundinn",Q86="",$E86="",$D86=""),"",ROUND(Q86/$E86*$D86*KVARDI,2))</f>
        <v/>
      </c>
      <c r="S86" s="66" t="n"/>
      <c r="T86" s="78">
        <f>IF(OR(INDEX(Undirviðmið!$G$6:$G$105,ROW()-6)&lt;&gt;"Starfsbundinn",S86="",$E86="",$D86=""),"",ROUND(S86/$E86*$D86*KVARDI,2))</f>
        <v/>
      </c>
      <c r="U86" s="66" t="n"/>
      <c r="V86" s="78">
        <f>IF(OR(INDEX(Undirviðmið!$G$6:$G$105,ROW()-6)&lt;&gt;"Starfsbundinn",U86="",$E86="",$D86=""),"",ROUND(U86/$E86*$D86*KVARDI,2))</f>
        <v/>
      </c>
      <c r="W86" s="66" t="n"/>
      <c r="X86" s="78">
        <f>IF(OR(INDEX(Undirviðmið!$G$6:$G$105,ROW()-6)&lt;&gt;"Starfsbundinn",W86="",$E86="",$D86=""),"",ROUND(W86/$E86*$D86*KVARDI,2))</f>
        <v/>
      </c>
      <c r="Y86" s="66" t="n"/>
      <c r="Z86" s="78">
        <f>IF(OR(INDEX(Undirviðmið!$G$6:$G$105,ROW()-6)&lt;&gt;"Starfsbundinn",Y86="",$E86="",$D86=""),"",ROUND(Y86/$E86*$D86*KVARDI,2))</f>
        <v/>
      </c>
      <c r="AA86" s="66" t="n"/>
      <c r="AB86" s="78">
        <f>IF(OR(INDEX(Undirviðmið!$G$6:$G$105,ROW()-6)&lt;&gt;"Starfsbundinn",AA86="",$E86="",$D86=""),"",ROUND(AA86/$E86*$D86*KVARDI,2))</f>
        <v/>
      </c>
      <c r="AC86" s="66" t="n"/>
      <c r="AD86" s="78">
        <f>IF(OR(INDEX(Undirviðmið!$G$6:$G$105,ROW()-6)&lt;&gt;"Starfsbundinn",AC86="",$E86="",$D86=""),"",ROUND(AC86/$E86*$D86*KVARDI,2))</f>
        <v/>
      </c>
      <c r="AE86" s="66" t="n"/>
      <c r="AF86" s="78">
        <f>IF(OR(INDEX(Undirviðmið!$G$6:$G$105,ROW()-6)&lt;&gt;"Starfsbundinn",AE86="",$E86="",$D86=""),"",ROUND(AE86/$E86*$D86*KVARDI,2))</f>
        <v/>
      </c>
      <c r="AG86" s="66" t="n"/>
      <c r="AH86" s="78">
        <f>IF(OR(INDEX(Undirviðmið!$G$6:$G$105,ROW()-6)&lt;&gt;"Starfsbundinn",AG86="",$E86="",$D86=""),"",ROUND(AG86/$E86*$D86*KVARDI,2))</f>
        <v/>
      </c>
      <c r="AI86" s="66" t="n"/>
      <c r="AJ86" s="78">
        <f>IF(OR(INDEX(Undirviðmið!$G$6:$G$105,ROW()-6)&lt;&gt;"Starfsbundinn",AI86="",$E86="",$D86=""),"",ROUND(AI86/$E86*$D86*KVARDI,2))</f>
        <v/>
      </c>
      <c r="AK86" s="66" t="n"/>
      <c r="AL86" s="78">
        <f>IF(OR(INDEX(Undirviðmið!$G$6:$G$105,ROW()-6)&lt;&gt;"Starfsbundinn",AK86="",$E86="",$D86=""),"",ROUND(AK86/$E86*$D86*KVARDI,2))</f>
        <v/>
      </c>
      <c r="AM86" s="66" t="n"/>
      <c r="AN86" s="78">
        <f>IF(OR(INDEX(Undirviðmið!$G$6:$G$105,ROW()-6)&lt;&gt;"Starfsbundinn",AM86="",$E86="",$D86=""),"",ROUND(AM86/$E86*$D86*KVARDI,2))</f>
        <v/>
      </c>
      <c r="AO86" s="66" t="n"/>
      <c r="AP86" s="78">
        <f>IF(OR(INDEX(Undirviðmið!$G$6:$G$105,ROW()-6)&lt;&gt;"Starfsbundinn",AO86="",$E86="",$D86=""),"",ROUND(AO86/$E86*$D86*KVARDI,2))</f>
        <v/>
      </c>
      <c r="AQ86" s="66" t="n"/>
      <c r="AR86" s="78">
        <f>IF(OR(INDEX(Undirviðmið!$G$6:$G$105,ROW()-6)&lt;&gt;"Starfsbundinn",AQ86="",$E86="",$D86=""),"",ROUND(AQ86/$E86*$D86*KVARDI,2))</f>
        <v/>
      </c>
      <c r="AS86" s="66" t="n"/>
      <c r="AT86" s="78">
        <f>IF(OR(INDEX(Undirviðmið!$G$6:$G$105,ROW()-6)&lt;&gt;"Starfsbundinn",AS86="",$E86="",$D86=""),"",ROUND(AS86/$E86*$D86*KVARDI,2))</f>
        <v/>
      </c>
      <c r="AU86" s="66" t="n"/>
      <c r="AV86" s="78">
        <f>IF(OR(INDEX(Undirviðmið!$G$6:$G$105,ROW()-6)&lt;&gt;"Starfsbundinn",AU86="",$E86="",$D86=""),"",ROUND(AU86/$E86*$D86*KVARDI,2))</f>
        <v/>
      </c>
      <c r="AW86" s="66" t="n"/>
      <c r="AX86" s="78">
        <f>IF(OR(INDEX(Undirviðmið!$G$6:$G$105,ROW()-6)&lt;&gt;"Starfsbundinn",AW86="",$E86="",$D86=""),"",ROUND(AW86/$E86*$D86*KVARDI,2))</f>
        <v/>
      </c>
      <c r="AY86" s="66" t="n"/>
      <c r="AZ86" s="78">
        <f>IF(OR(INDEX(Undirviðmið!$G$6:$G$105,ROW()-6)&lt;&gt;"Starfsbundinn",AY86="",$E86="",$D86=""),"",ROUND(AY86/$E86*$D86*KVARDI,2))</f>
        <v/>
      </c>
      <c r="BA86" s="66" t="n"/>
      <c r="BB86" s="78">
        <f>IF(OR(INDEX(Undirviðmið!$G$6:$G$105,ROW()-6)&lt;&gt;"Starfsbundinn",BA86="",$E86="",$D86=""),"",ROUND(BA86/$E86*$D86*KVARDI,2))</f>
        <v/>
      </c>
      <c r="BC86" s="66" t="n"/>
      <c r="BD86" s="78">
        <f>IF(OR(INDEX(Undirviðmið!$G$6:$G$105,ROW()-6)&lt;&gt;"Starfsbundinn",BC86="",$E86="",$D86=""),"",ROUND(BC86/$E86*$D86*KVARDI,2))</f>
        <v/>
      </c>
      <c r="BE86" s="66" t="n"/>
      <c r="BF86" s="78">
        <f>IF(OR(INDEX(Undirviðmið!$G$6:$G$105,ROW()-6)&lt;&gt;"Starfsbundinn",BE86="",$E86="",$D86=""),"",ROUND(BE86/$E86*$D86*KVARDI,2))</f>
        <v/>
      </c>
      <c r="BG86" s="66" t="n"/>
      <c r="BH86" s="78">
        <f>IF(OR(INDEX(Undirviðmið!$G$6:$G$105,ROW()-6)&lt;&gt;"Starfsbundinn",BG86="",$E86="",$D86=""),"",ROUND(BG86/$E86*$D86*KVARDI,2))</f>
        <v/>
      </c>
      <c r="BI86" s="66" t="n"/>
      <c r="BJ86" s="78">
        <f>IF(OR(INDEX(Undirviðmið!$G$6:$G$105,ROW()-6)&lt;&gt;"Starfsbundinn",BI86="",$E86="",$D86=""),"",ROUND(BI86/$E86*$D86*KVARDI,2))</f>
        <v/>
      </c>
      <c r="BK86" s="66" t="n"/>
      <c r="BL86" s="78">
        <f>IF(OR(INDEX(Undirviðmið!$G$6:$G$105,ROW()-6)&lt;&gt;"Starfsbundinn",BK86="",$E86="",$D86=""),"",ROUND(BK86/$E86*$D86*KVARDI,2))</f>
        <v/>
      </c>
      <c r="BM86" s="66" t="n"/>
      <c r="BN86" s="78">
        <f>IF(OR(INDEX(Undirviðmið!$G$6:$G$105,ROW()-6)&lt;&gt;"Starfsbundinn",BM86="",$E86="",$D86=""),"",ROUND(BM86/$E86*$D86*KVARDI,2))</f>
        <v/>
      </c>
      <c r="BO86" s="66" t="n"/>
      <c r="BP86" s="78">
        <f>IF(OR(INDEX(Undirviðmið!$G$6:$G$105,ROW()-6)&lt;&gt;"Starfsbundinn",BO86="",$E86="",$D86=""),"",ROUND(BO86/$E86*$D86*KVARDI,2))</f>
        <v/>
      </c>
      <c r="BQ86" s="66" t="n"/>
      <c r="BR86" s="78">
        <f>IF(OR(INDEX(Undirviðmið!$G$6:$G$105,ROW()-6)&lt;&gt;"Starfsbundinn",BQ86="",$E86="",$D86=""),"",ROUND(BQ86/$E86*$D86*KVARDI,2))</f>
        <v/>
      </c>
      <c r="BS86" s="66" t="n"/>
      <c r="BT86" s="78">
        <f>IF(OR(INDEX(Undirviðmið!$G$6:$G$105,ROW()-6)&lt;&gt;"Starfsbundinn",BS86="",$E86="",$D86=""),"",ROUND(BS86/$E86*$D86*KVARDI,2))</f>
        <v/>
      </c>
      <c r="BU86" s="66" t="n"/>
      <c r="BV86" s="78">
        <f>IF(OR(INDEX(Undirviðmið!$G$6:$G$105,ROW()-6)&lt;&gt;"Starfsbundinn",BU86="",$E86="",$D86=""),"",ROUND(BU86/$E86*$D86*KVARDI,2))</f>
        <v/>
      </c>
      <c r="BW86" s="66" t="n"/>
      <c r="BX86" s="78">
        <f>IF(OR(INDEX(Undirviðmið!$G$6:$G$105,ROW()-6)&lt;&gt;"Starfsbundinn",BW86="",$E86="",$D86=""),"",ROUND(BW86/$E86*$D86*KVARDI,2))</f>
        <v/>
      </c>
      <c r="BY86" s="66" t="n"/>
      <c r="BZ86" s="78">
        <f>IF(OR(INDEX(Undirviðmið!$G$6:$G$105,ROW()-6)&lt;&gt;"Starfsbundinn",BY86="",$E86="",$D86=""),"",ROUND(BY86/$E86*$D86*KVARDI,2))</f>
        <v/>
      </c>
      <c r="CA86" s="66" t="n"/>
      <c r="CB86" s="78">
        <f>IF(OR(INDEX(Undirviðmið!$G$6:$G$105,ROW()-6)&lt;&gt;"Starfsbundinn",CA86="",$E86="",$D86=""),"",ROUND(CA86/$E86*$D86*KVARDI,2))</f>
        <v/>
      </c>
      <c r="CC86" s="66" t="n"/>
      <c r="CD86" s="78">
        <f>IF(OR(INDEX(Undirviðmið!$G$6:$G$105,ROW()-6)&lt;&gt;"Starfsbundinn",CC86="",$E86="",$D86=""),"",ROUND(CC86/$E86*$D86*KVARDI,2))</f>
        <v/>
      </c>
      <c r="CE86" s="66" t="n"/>
      <c r="CF86" s="78">
        <f>IF(OR(INDEX(Undirviðmið!$G$6:$G$105,ROW()-6)&lt;&gt;"Starfsbundinn",CE86="",$E86="",$D86=""),"",ROUND(CE86/$E86*$D86*KVARDI,2))</f>
        <v/>
      </c>
      <c r="CG86" s="66" t="n"/>
      <c r="CH86" s="78">
        <f>IF(OR(INDEX(Undirviðmið!$G$6:$G$105,ROW()-6)&lt;&gt;"Starfsbundinn",CG86="",$E86="",$D86=""),"",ROUND(CG86/$E86*$D86*KVARDI,2))</f>
        <v/>
      </c>
      <c r="CI86" s="66" t="n"/>
      <c r="CJ86" s="78">
        <f>IF(OR(INDEX(Undirviðmið!$G$6:$G$105,ROW()-6)&lt;&gt;"Starfsbundinn",CI86="",$E86="",$D86=""),"",ROUND(CI86/$E86*$D86*KVARDI,2))</f>
        <v/>
      </c>
      <c r="CK86" s="66" t="n"/>
      <c r="CL86" s="78">
        <f>IF(OR(INDEX(Undirviðmið!$G$6:$G$105,ROW()-6)&lt;&gt;"Starfsbundinn",CK86="",$E86="",$D86=""),"",ROUND(CK86/$E86*$D86*KVARDI,2))</f>
        <v/>
      </c>
      <c r="CM86" s="66" t="n"/>
      <c r="CN86" s="78">
        <f>IF(OR(INDEX(Undirviðmið!$G$6:$G$105,ROW()-6)&lt;&gt;"Starfsbundinn",CM86="",$E86="",$D86=""),"",ROUND(CM86/$E86*$D86*KVARDI,2))</f>
        <v/>
      </c>
      <c r="CO86" s="66" t="n"/>
      <c r="CP86" s="78">
        <f>IF(OR(INDEX(Undirviðmið!$G$6:$G$105,ROW()-6)&lt;&gt;"Starfsbundinn",CO86="",$E86="",$D86=""),"",ROUND(CO86/$E86*$D86*KVARDI,2))</f>
        <v/>
      </c>
      <c r="CQ86" s="66" t="n"/>
      <c r="CR86" s="78">
        <f>IF(OR(INDEX(Undirviðmið!$G$6:$G$105,ROW()-6)&lt;&gt;"Starfsbundinn",CQ86="",$E86="",$D86=""),"",ROUND(CQ86/$E86*$D86*KVARDI,2))</f>
        <v/>
      </c>
      <c r="CS86" s="66" t="n"/>
      <c r="CT86" s="78">
        <f>IF(OR(INDEX(Undirviðmið!$G$6:$G$105,ROW()-6)&lt;&gt;"Starfsbundinn",CS86="",$E86="",$D86=""),"",ROUND(CS86/$E86*$D86*KVARDI,2))</f>
        <v/>
      </c>
      <c r="CU86" s="66" t="n"/>
      <c r="CV86" s="78">
        <f>IF(OR(INDEX(Undirviðmið!$G$6:$G$105,ROW()-6)&lt;&gt;"Starfsbundinn",CU86="",$E86="",$D86=""),"",ROUND(CU86/$E86*$D86*KVARDI,2))</f>
        <v/>
      </c>
      <c r="CW86" s="66" t="n"/>
      <c r="CX86" s="78">
        <f>IF(OR(INDEX(Undirviðmið!$G$6:$G$105,ROW()-6)&lt;&gt;"Starfsbundinn",CW86="",$E86="",$D86=""),"",ROUND(CW86/$E86*$D86*KVARDI,2))</f>
        <v/>
      </c>
      <c r="CY86" s="66" t="n"/>
      <c r="CZ86" s="78">
        <f>IF(OR(INDEX(Undirviðmið!$G$6:$G$105,ROW()-6)&lt;&gt;"Starfsbundinn",CY86="",$E86="",$D86=""),"",ROUND(CY86/$E86*$D86*KVARDI,2))</f>
        <v/>
      </c>
      <c r="DA86" s="66" t="n"/>
      <c r="DB86" s="78">
        <f>IF(OR(INDEX(Undirviðmið!$G$6:$G$105,ROW()-6)&lt;&gt;"Starfsbundinn",DA86="",$E86="",$D86=""),"",ROUND(DA86/$E86*$D86*KVARDI,2))</f>
        <v/>
      </c>
      <c r="DC86" s="66" t="n"/>
      <c r="DD86" s="78">
        <f>IF(OR(INDEX(Undirviðmið!$G$6:$G$105,ROW()-6)&lt;&gt;"Starfsbundinn",DC86="",$E86="",$D86=""),"",ROUND(DC86/$E86*$D86*KVARDI,2))</f>
        <v/>
      </c>
      <c r="DE86" s="66" t="n"/>
      <c r="DF86" s="78">
        <f>IF(OR(INDEX(Undirviðmið!$G$6:$G$105,ROW()-6)&lt;&gt;"Starfsbundinn",DE86="",$E86="",$D86=""),"",ROUND(DE86/$E86*$D86*KVARDI,2))</f>
        <v/>
      </c>
      <c r="DG86" s="66" t="n"/>
      <c r="DH86" s="78">
        <f>IF(OR(INDEX(Undirviðmið!$G$6:$G$105,ROW()-6)&lt;&gt;"Starfsbundinn",DG86="",$E86="",$D86=""),"",ROUND(DG86/$E86*$D86*KVARDI,2))</f>
        <v/>
      </c>
      <c r="DI86" s="66" t="n"/>
      <c r="DJ86" s="78">
        <f>IF(OR(INDEX(Undirviðmið!$G$6:$G$105,ROW()-6)&lt;&gt;"Starfsbundinn",DI86="",$E86="",$D86=""),"",ROUND(DI86/$E86*$D86*KVARDI,2))</f>
        <v/>
      </c>
      <c r="DK86" s="66" t="n"/>
      <c r="DL86" s="78">
        <f>IF(OR(INDEX(Undirviðmið!$G$6:$G$105,ROW()-6)&lt;&gt;"Starfsbundinn",DK86="",$E86="",$D86=""),"",ROUND(DK86/$E86*$D86*KVARDI,2))</f>
        <v/>
      </c>
      <c r="DM86" s="66" t="n"/>
      <c r="DN86" s="78">
        <f>IF(OR(INDEX(Undirviðmið!$G$6:$G$105,ROW()-6)&lt;&gt;"Starfsbundinn",DM86="",$E86="",$D86=""),"",ROUND(DM86/$E86*$D86*KVARDI,2))</f>
        <v/>
      </c>
      <c r="DO86" s="66" t="n"/>
      <c r="DP86" s="78">
        <f>IF(OR(INDEX(Undirviðmið!$G$6:$G$105,ROW()-6)&lt;&gt;"Starfsbundinn",DO86="",$E86="",$D86=""),"",ROUND(DO86/$E86*$D86*KVARDI,2))</f>
        <v/>
      </c>
      <c r="DQ86" s="66" t="n"/>
      <c r="DR86" s="78">
        <f>IF(OR(INDEX(Undirviðmið!$G$6:$G$105,ROW()-6)&lt;&gt;"Starfsbundinn",DQ86="",$E86="",$D86=""),"",ROUND(DQ86/$E86*$D86*KVARDI,2))</f>
        <v/>
      </c>
      <c r="DS86" s="66" t="n"/>
      <c r="DT86" s="78">
        <f>IF(OR(INDEX(Undirviðmið!$G$6:$G$105,ROW()-6)&lt;&gt;"Starfsbundinn",DS86="",$E86="",$D86=""),"",ROUND(DS86/$E86*$D86*KVARDI,2))</f>
        <v/>
      </c>
      <c r="DU86" s="66" t="n"/>
      <c r="DV86" s="78">
        <f>IF(OR(INDEX(Undirviðmið!$G$6:$G$105,ROW()-6)&lt;&gt;"Starfsbundinn",DU86="",$E86="",$D86=""),"",ROUND(DU86/$E86*$D86*KVARDI,2))</f>
        <v/>
      </c>
      <c r="DW86" s="66" t="n"/>
      <c r="DX86" s="78">
        <f>IF(OR(INDEX(Undirviðmið!$G$6:$G$105,ROW()-6)&lt;&gt;"Starfsbundinn",DW86="",$E86="",$D86=""),"",ROUND(DW86/$E86*$D86*KVARDI,2))</f>
        <v/>
      </c>
      <c r="DY86" s="66" t="n"/>
      <c r="DZ86" s="78">
        <f>IF(OR(INDEX(Undirviðmið!$G$6:$G$105,ROW()-6)&lt;&gt;"Starfsbundinn",DY86="",$E86="",$D86=""),"",ROUND(DY86/$E86*$D86*KVARDI,2))</f>
        <v/>
      </c>
      <c r="EA86" s="66" t="n"/>
      <c r="EB86" s="78">
        <f>IF(OR(INDEX(Undirviðmið!$G$6:$G$105,ROW()-6)&lt;&gt;"Starfsbundinn",EA86="",$E86="",$D86=""),"",ROUND(EA86/$E86*$D86*KVARDI,2))</f>
        <v/>
      </c>
      <c r="EC86" s="66" t="n"/>
      <c r="ED86" s="78">
        <f>IF(OR(INDEX(Undirviðmið!$G$6:$G$105,ROW()-6)&lt;&gt;"Starfsbundinn",EC86="",$E86="",$D86=""),"",ROUND(EC86/$E86*$D86*KVARDI,2))</f>
        <v/>
      </c>
      <c r="EE86" s="66" t="n"/>
      <c r="EF86" s="78">
        <f>IF(OR(INDEX(Undirviðmið!$G$6:$G$105,ROW()-6)&lt;&gt;"Starfsbundinn",EE86="",$E86="",$D86=""),"",ROUND(EE86/$E86*$D86*KVARDI,2))</f>
        <v/>
      </c>
      <c r="EG86" s="66" t="n"/>
      <c r="EH86" s="78">
        <f>IF(OR(INDEX(Undirviðmið!$G$6:$G$105,ROW()-6)&lt;&gt;"Starfsbundinn",EG86="",$E86="",$D86=""),"",ROUND(EG86/$E86*$D86*KVARDI,2))</f>
        <v/>
      </c>
      <c r="EI86" s="66" t="n"/>
      <c r="EJ86" s="78">
        <f>IF(OR(INDEX(Undirviðmið!$G$6:$G$105,ROW()-6)&lt;&gt;"Starfsbundinn",EI86="",$E86="",$D86=""),"",ROUND(EI86/$E86*$D86*KVARDI,2))</f>
        <v/>
      </c>
      <c r="EK86" s="66" t="n"/>
      <c r="EL86" s="78">
        <f>IF(OR(INDEX(Undirviðmið!$G$6:$G$105,ROW()-6)&lt;&gt;"Starfsbundinn",EK86="",$E86="",$D86=""),"",ROUND(EK86/$E86*$D86*KVARDI,2))</f>
        <v/>
      </c>
      <c r="EM86" s="66" t="n"/>
      <c r="EN86" s="78">
        <f>IF(OR(INDEX(Undirviðmið!$G$6:$G$105,ROW()-6)&lt;&gt;"Starfsbundinn",EM86="",$E86="",$D86=""),"",ROUND(EM86/$E86*$D86*KVARDI,2))</f>
        <v/>
      </c>
      <c r="EO86" s="66" t="n"/>
      <c r="EP86" s="78">
        <f>IF(OR(INDEX(Undirviðmið!$G$6:$G$105,ROW()-6)&lt;&gt;"Starfsbundinn",EO86="",$E86="",$D86=""),"",ROUND(EO86/$E86*$D86*KVARDI,2))</f>
        <v/>
      </c>
      <c r="EQ86" s="66" t="n"/>
      <c r="ER86" s="78">
        <f>IF(OR(INDEX(Undirviðmið!$G$6:$G$105,ROW()-6)&lt;&gt;"Starfsbundinn",EQ86="",$E86="",$D86=""),"",ROUND(EQ86/$E86*$D86*KVARDI,2))</f>
        <v/>
      </c>
      <c r="ES86" s="66" t="n"/>
      <c r="ET86" s="78">
        <f>IF(OR(INDEX(Undirviðmið!$G$6:$G$105,ROW()-6)&lt;&gt;"Starfsbundinn",ES86="",$E86="",$D86=""),"",ROUND(ES86/$E86*$D86*KVARDI,2))</f>
        <v/>
      </c>
      <c r="EU86" s="66" t="n"/>
      <c r="EV86" s="78">
        <f>IF(OR(INDEX(Undirviðmið!$G$6:$G$105,ROW()-6)&lt;&gt;"Starfsbundinn",EU86="",$E86="",$D86=""),"",ROUND(EU86/$E86*$D86*KVARDI,2))</f>
        <v/>
      </c>
      <c r="EW86" s="66" t="n"/>
      <c r="EX86" s="78">
        <f>IF(OR(INDEX(Undirviðmið!$G$6:$G$105,ROW()-6)&lt;&gt;"Starfsbundinn",EW86="",$E86="",$D86=""),"",ROUND(EW86/$E86*$D86*KVARDI,2))</f>
        <v/>
      </c>
      <c r="EY86" s="66" t="n"/>
      <c r="EZ86" s="78">
        <f>IF(OR(INDEX(Undirviðmið!$G$6:$G$105,ROW()-6)&lt;&gt;"Starfsbundinn",EY86="",$E86="",$D86=""),"",ROUND(EY86/$E86*$D86*KVARDI,2))</f>
        <v/>
      </c>
      <c r="FA86" s="66" t="n"/>
      <c r="FB86" s="78">
        <f>IF(OR(INDEX(Undirviðmið!$G$6:$G$105,ROW()-6)&lt;&gt;"Starfsbundinn",FA86="",$E86="",$D86=""),"",ROUND(FA86/$E86*$D86*KVARDI,2))</f>
        <v/>
      </c>
      <c r="FC86" s="66" t="n"/>
      <c r="FD86" s="78">
        <f>IF(OR(INDEX(Undirviðmið!$G$6:$G$105,ROW()-6)&lt;&gt;"Starfsbundinn",FC86="",$E86="",$D86=""),"",ROUND(FC86/$E86*$D86*KVARDI,2))</f>
        <v/>
      </c>
      <c r="FE86" s="66" t="n"/>
      <c r="FF86" s="78">
        <f>IF(OR(INDEX(Undirviðmið!$G$6:$G$105,ROW()-6)&lt;&gt;"Starfsbundinn",FE86="",$E86="",$D86=""),"",ROUND(FE86/$E86*$D86*KVARDI,2))</f>
        <v/>
      </c>
      <c r="FG86" s="66" t="n"/>
      <c r="FH86" s="78">
        <f>IF(OR(INDEX(Undirviðmið!$G$6:$G$105,ROW()-6)&lt;&gt;"Starfsbundinn",FG86="",$E86="",$D86=""),"",ROUND(FG86/$E86*$D86*KVARDI,2))</f>
        <v/>
      </c>
      <c r="FI86" s="66" t="n"/>
      <c r="FJ86" s="78">
        <f>IF(OR(INDEX(Undirviðmið!$G$6:$G$105,ROW()-6)&lt;&gt;"Starfsbundinn",FI86="",$E86="",$D86=""),"",ROUND(FI86/$E86*$D86*KVARDI,2))</f>
        <v/>
      </c>
      <c r="FK86" s="66" t="n"/>
      <c r="FL86" s="78">
        <f>IF(OR(INDEX(Undirviðmið!$G$6:$G$105,ROW()-6)&lt;&gt;"Starfsbundinn",FK86="",$E86="",$D86=""),"",ROUND(FK86/$E86*$D86*KVARDI,2))</f>
        <v/>
      </c>
      <c r="FM86" s="66" t="n"/>
      <c r="FN86" s="78">
        <f>IF(OR(INDEX(Undirviðmið!$G$6:$G$105,ROW()-6)&lt;&gt;"Starfsbundinn",FM86="",$E86="",$D86=""),"",ROUND(FM86/$E86*$D86*KVARDI,2))</f>
        <v/>
      </c>
      <c r="FO86" s="66" t="n"/>
      <c r="FP86" s="78">
        <f>IF(OR(INDEX(Undirviðmið!$G$6:$G$105,ROW()-6)&lt;&gt;"Starfsbundinn",FO86="",$E86="",$D86=""),"",ROUND(FO86/$E86*$D86*KVARDI,2))</f>
        <v/>
      </c>
      <c r="FQ86" s="66" t="n"/>
      <c r="FR86" s="78">
        <f>IF(OR(INDEX(Undirviðmið!$G$6:$G$105,ROW()-6)&lt;&gt;"Starfsbundinn",FQ86="",$E86="",$D86=""),"",ROUND(FQ86/$E86*$D86*KVARDI,2))</f>
        <v/>
      </c>
      <c r="FS86" s="66" t="n"/>
      <c r="FT86" s="78">
        <f>IF(OR(INDEX(Undirviðmið!$G$6:$G$105,ROW()-6)&lt;&gt;"Starfsbundinn",FS86="",$E86="",$D86=""),"",ROUND(FS86/$E86*$D86*KVARDI,2))</f>
        <v/>
      </c>
      <c r="FU86" s="66" t="n"/>
      <c r="FV86" s="78">
        <f>IF(OR(INDEX(Undirviðmið!$G$6:$G$105,ROW()-6)&lt;&gt;"Starfsbundinn",FU86="",$E86="",$D86=""),"",ROUND(FU86/$E86*$D86*KVARDI,2))</f>
        <v/>
      </c>
      <c r="FW86" s="66" t="n"/>
      <c r="FX86" s="78">
        <f>IF(OR(INDEX(Undirviðmið!$G$6:$G$105,ROW()-6)&lt;&gt;"Starfsbundinn",FW86="",$E86="",$D86=""),"",ROUND(FW86/$E86*$D86*KVARDI,2))</f>
        <v/>
      </c>
      <c r="FY86" s="66" t="n"/>
      <c r="FZ86" s="78">
        <f>IF(OR(INDEX(Undirviðmið!$G$6:$G$105,ROW()-6)&lt;&gt;"Starfsbundinn",FY86="",$E86="",$D86=""),"",ROUND(FY86/$E86*$D86*KVARDI,2))</f>
        <v/>
      </c>
      <c r="GA86" s="66" t="n"/>
      <c r="GB86" s="78">
        <f>IF(OR(INDEX(Undirviðmið!$G$6:$G$105,ROW()-6)&lt;&gt;"Starfsbundinn",GA86="",$E86="",$D86=""),"",ROUND(GA86/$E86*$D86*KVARDI,2))</f>
        <v/>
      </c>
      <c r="GC86" s="66" t="n"/>
      <c r="GD86" s="78">
        <f>IF(OR(INDEX(Undirviðmið!$G$6:$G$105,ROW()-6)&lt;&gt;"Starfsbundinn",GC86="",$E86="",$D86=""),"",ROUND(GC86/$E86*$D86*KVARDI,2))</f>
        <v/>
      </c>
      <c r="GE86" s="66" t="n"/>
      <c r="GF86" s="78">
        <f>IF(OR(INDEX(Undirviðmið!$G$6:$G$105,ROW()-6)&lt;&gt;"Starfsbundinn",GE86="",$E86="",$D86=""),"",ROUND(GE86/$E86*$D86*KVARDI,2))</f>
        <v/>
      </c>
      <c r="GG86" s="66" t="n"/>
      <c r="GH86" s="78">
        <f>IF(OR(INDEX(Undirviðmið!$G$6:$G$105,ROW()-6)&lt;&gt;"Starfsbundinn",GG86="",$E86="",$D86=""),"",ROUND(GG86/$E86*$D86*KVARDI,2))</f>
        <v/>
      </c>
      <c r="GI86" s="66" t="n"/>
      <c r="GJ86" s="78">
        <f>IF(OR(INDEX(Undirviðmið!$G$6:$G$105,ROW()-6)&lt;&gt;"Starfsbundinn",GI86="",$E86="",$D86=""),"",ROUND(GI86/$E86*$D86*KVARDI,2))</f>
        <v/>
      </c>
      <c r="GK86" s="66" t="n"/>
      <c r="GL86" s="78">
        <f>IF(OR(INDEX(Undirviðmið!$G$6:$G$105,ROW()-6)&lt;&gt;"Starfsbundinn",GK86="",$E86="",$D86=""),"",ROUND(GK86/$E86*$D86*KVARDI,2))</f>
        <v/>
      </c>
      <c r="GM86" s="66" t="n"/>
      <c r="GN86" s="78">
        <f>IF(OR(INDEX(Undirviðmið!$G$6:$G$105,ROW()-6)&lt;&gt;"Starfsbundinn",GM86="",$E86="",$D86=""),"",ROUND(GM86/$E86*$D86*KVARDI,2))</f>
        <v/>
      </c>
      <c r="GO86" s="66" t="n"/>
      <c r="GP86" s="78">
        <f>IF(OR(INDEX(Undirviðmið!$G$6:$G$105,ROW()-6)&lt;&gt;"Starfsbundinn",GO86="",$E86="",$D86=""),"",ROUND(GO86/$E86*$D86*KVARDI,2))</f>
        <v/>
      </c>
      <c r="GQ86" s="66" t="n"/>
      <c r="GR86" s="78">
        <f>IF(OR(INDEX(Undirviðmið!$G$6:$G$105,ROW()-6)&lt;&gt;"Starfsbundinn",GQ86="",$E86="",$D86=""),"",ROUND(GQ86/$E86*$D86*KVARDI,2))</f>
        <v/>
      </c>
      <c r="GS86" s="66" t="n"/>
      <c r="GT86" s="78">
        <f>IF(OR(INDEX(Undirviðmið!$G$6:$G$105,ROW()-6)&lt;&gt;"Starfsbundinn",GS86="",$E86="",$D86=""),"",ROUND(GS86/$E86*$D86*KVARDI,2))</f>
        <v/>
      </c>
      <c r="GU86" s="66" t="n"/>
      <c r="GV86" s="78">
        <f>IF(OR(INDEX(Undirviðmið!$G$6:$G$105,ROW()-6)&lt;&gt;"Starfsbundinn",GU86="",$E86="",$D86=""),"",ROUND(GU86/$E86*$D86*KVARDI,2))</f>
        <v/>
      </c>
      <c r="GW86" s="66" t="n"/>
      <c r="GX86" s="78">
        <f>IF(OR(INDEX(Undirviðmið!$G$6:$G$105,ROW()-6)&lt;&gt;"Starfsbundinn",GW86="",$E86="",$D86=""),"",ROUND(GW86/$E86*$D86*KVARDI,2))</f>
        <v/>
      </c>
    </row>
    <row r="87" ht="15" customHeight="1" s="47">
      <c r="B87" s="67">
        <f>IF(INDEX(Undirviðmið!$G$6:$G$105,ROW()-6)="Starfsbundinn",INDEX(Undirviðmið!$B$6:$B$105,ROW()-6),"")</f>
        <v/>
      </c>
      <c r="C87" s="67">
        <f>IF(INDEX(Undirviðmið!$G$6:$G$105,ROW()-6)="Starfsbundinn",INDEX(Undirviðmið!$C$6:$C$105,ROW()-6),"")</f>
        <v/>
      </c>
      <c r="D87" s="77">
        <f>IF(INDEX(Undirviðmið!$G$6:$G$105,ROW()-6)="Starfsbundinn",INDEX(Undirviðmið!$E$6:$E$105,ROW()-6),"")</f>
        <v/>
      </c>
      <c r="E87" s="77">
        <f>IF(INDEX(Undirviðmið!$G$6:$G$105,ROW()-6)="Starfsbundinn",INDEX(Undirviðmið!$F$6:$F$105,ROW()-6),"")</f>
        <v/>
      </c>
      <c r="F87" s="77">
        <f>IF(INDEX(Undirviðmið!$G$6:$G$105,ROW()-6)="Starfsbundinn",IFERROR(INDEX(Undirviðmið!$E$6:$E$105,ROW()-6)*KVARDI,""),"")</f>
        <v/>
      </c>
      <c r="G87" s="66" t="n"/>
      <c r="H87" s="78">
        <f>IF(OR(INDEX(Undirviðmið!$G$6:$G$105,ROW()-6)&lt;&gt;"Starfsbundinn",G87="",$E87="",$D87=""),"",ROUND(G87/$E87*$D87*KVARDI,2))</f>
        <v/>
      </c>
      <c r="I87" s="66" t="n"/>
      <c r="J87" s="78">
        <f>IF(OR(INDEX(Undirviðmið!$G$6:$G$105,ROW()-6)&lt;&gt;"Starfsbundinn",I87="",$E87="",$D87=""),"",ROUND(I87/$E87*$D87*KVARDI,2))</f>
        <v/>
      </c>
      <c r="K87" s="66" t="n"/>
      <c r="L87" s="78">
        <f>IF(OR(INDEX(Undirviðmið!$G$6:$G$105,ROW()-6)&lt;&gt;"Starfsbundinn",K87="",$E87="",$D87=""),"",ROUND(K87/$E87*$D87*KVARDI,2))</f>
        <v/>
      </c>
      <c r="M87" s="66" t="n"/>
      <c r="N87" s="78">
        <f>IF(OR(INDEX(Undirviðmið!$G$6:$G$105,ROW()-6)&lt;&gt;"Starfsbundinn",M87="",$E87="",$D87=""),"",ROUND(M87/$E87*$D87*KVARDI,2))</f>
        <v/>
      </c>
      <c r="O87" s="66" t="n"/>
      <c r="P87" s="78">
        <f>IF(OR(INDEX(Undirviðmið!$G$6:$G$105,ROW()-6)&lt;&gt;"Starfsbundinn",O87="",$E87="",$D87=""),"",ROUND(O87/$E87*$D87*KVARDI,2))</f>
        <v/>
      </c>
      <c r="Q87" s="66" t="n"/>
      <c r="R87" s="78">
        <f>IF(OR(INDEX(Undirviðmið!$G$6:$G$105,ROW()-6)&lt;&gt;"Starfsbundinn",Q87="",$E87="",$D87=""),"",ROUND(Q87/$E87*$D87*KVARDI,2))</f>
        <v/>
      </c>
      <c r="S87" s="66" t="n"/>
      <c r="T87" s="78">
        <f>IF(OR(INDEX(Undirviðmið!$G$6:$G$105,ROW()-6)&lt;&gt;"Starfsbundinn",S87="",$E87="",$D87=""),"",ROUND(S87/$E87*$D87*KVARDI,2))</f>
        <v/>
      </c>
      <c r="U87" s="66" t="n"/>
      <c r="V87" s="78">
        <f>IF(OR(INDEX(Undirviðmið!$G$6:$G$105,ROW()-6)&lt;&gt;"Starfsbundinn",U87="",$E87="",$D87=""),"",ROUND(U87/$E87*$D87*KVARDI,2))</f>
        <v/>
      </c>
      <c r="W87" s="66" t="n"/>
      <c r="X87" s="78">
        <f>IF(OR(INDEX(Undirviðmið!$G$6:$G$105,ROW()-6)&lt;&gt;"Starfsbundinn",W87="",$E87="",$D87=""),"",ROUND(W87/$E87*$D87*KVARDI,2))</f>
        <v/>
      </c>
      <c r="Y87" s="66" t="n"/>
      <c r="Z87" s="78">
        <f>IF(OR(INDEX(Undirviðmið!$G$6:$G$105,ROW()-6)&lt;&gt;"Starfsbundinn",Y87="",$E87="",$D87=""),"",ROUND(Y87/$E87*$D87*KVARDI,2))</f>
        <v/>
      </c>
      <c r="AA87" s="66" t="n"/>
      <c r="AB87" s="78">
        <f>IF(OR(INDEX(Undirviðmið!$G$6:$G$105,ROW()-6)&lt;&gt;"Starfsbundinn",AA87="",$E87="",$D87=""),"",ROUND(AA87/$E87*$D87*KVARDI,2))</f>
        <v/>
      </c>
      <c r="AC87" s="66" t="n"/>
      <c r="AD87" s="78">
        <f>IF(OR(INDEX(Undirviðmið!$G$6:$G$105,ROW()-6)&lt;&gt;"Starfsbundinn",AC87="",$E87="",$D87=""),"",ROUND(AC87/$E87*$D87*KVARDI,2))</f>
        <v/>
      </c>
      <c r="AE87" s="66" t="n"/>
      <c r="AF87" s="78">
        <f>IF(OR(INDEX(Undirviðmið!$G$6:$G$105,ROW()-6)&lt;&gt;"Starfsbundinn",AE87="",$E87="",$D87=""),"",ROUND(AE87/$E87*$D87*KVARDI,2))</f>
        <v/>
      </c>
      <c r="AG87" s="66" t="n"/>
      <c r="AH87" s="78">
        <f>IF(OR(INDEX(Undirviðmið!$G$6:$G$105,ROW()-6)&lt;&gt;"Starfsbundinn",AG87="",$E87="",$D87=""),"",ROUND(AG87/$E87*$D87*KVARDI,2))</f>
        <v/>
      </c>
      <c r="AI87" s="66" t="n"/>
      <c r="AJ87" s="78">
        <f>IF(OR(INDEX(Undirviðmið!$G$6:$G$105,ROW()-6)&lt;&gt;"Starfsbundinn",AI87="",$E87="",$D87=""),"",ROUND(AI87/$E87*$D87*KVARDI,2))</f>
        <v/>
      </c>
      <c r="AK87" s="66" t="n"/>
      <c r="AL87" s="78">
        <f>IF(OR(INDEX(Undirviðmið!$G$6:$G$105,ROW()-6)&lt;&gt;"Starfsbundinn",AK87="",$E87="",$D87=""),"",ROUND(AK87/$E87*$D87*KVARDI,2))</f>
        <v/>
      </c>
      <c r="AM87" s="66" t="n"/>
      <c r="AN87" s="78">
        <f>IF(OR(INDEX(Undirviðmið!$G$6:$G$105,ROW()-6)&lt;&gt;"Starfsbundinn",AM87="",$E87="",$D87=""),"",ROUND(AM87/$E87*$D87*KVARDI,2))</f>
        <v/>
      </c>
      <c r="AO87" s="66" t="n"/>
      <c r="AP87" s="78">
        <f>IF(OR(INDEX(Undirviðmið!$G$6:$G$105,ROW()-6)&lt;&gt;"Starfsbundinn",AO87="",$E87="",$D87=""),"",ROUND(AO87/$E87*$D87*KVARDI,2))</f>
        <v/>
      </c>
      <c r="AQ87" s="66" t="n"/>
      <c r="AR87" s="78">
        <f>IF(OR(INDEX(Undirviðmið!$G$6:$G$105,ROW()-6)&lt;&gt;"Starfsbundinn",AQ87="",$E87="",$D87=""),"",ROUND(AQ87/$E87*$D87*KVARDI,2))</f>
        <v/>
      </c>
      <c r="AS87" s="66" t="n"/>
      <c r="AT87" s="78">
        <f>IF(OR(INDEX(Undirviðmið!$G$6:$G$105,ROW()-6)&lt;&gt;"Starfsbundinn",AS87="",$E87="",$D87=""),"",ROUND(AS87/$E87*$D87*KVARDI,2))</f>
        <v/>
      </c>
      <c r="AU87" s="66" t="n"/>
      <c r="AV87" s="78">
        <f>IF(OR(INDEX(Undirviðmið!$G$6:$G$105,ROW()-6)&lt;&gt;"Starfsbundinn",AU87="",$E87="",$D87=""),"",ROUND(AU87/$E87*$D87*KVARDI,2))</f>
        <v/>
      </c>
      <c r="AW87" s="66" t="n"/>
      <c r="AX87" s="78">
        <f>IF(OR(INDEX(Undirviðmið!$G$6:$G$105,ROW()-6)&lt;&gt;"Starfsbundinn",AW87="",$E87="",$D87=""),"",ROUND(AW87/$E87*$D87*KVARDI,2))</f>
        <v/>
      </c>
      <c r="AY87" s="66" t="n"/>
      <c r="AZ87" s="78">
        <f>IF(OR(INDEX(Undirviðmið!$G$6:$G$105,ROW()-6)&lt;&gt;"Starfsbundinn",AY87="",$E87="",$D87=""),"",ROUND(AY87/$E87*$D87*KVARDI,2))</f>
        <v/>
      </c>
      <c r="BA87" s="66" t="n"/>
      <c r="BB87" s="78">
        <f>IF(OR(INDEX(Undirviðmið!$G$6:$G$105,ROW()-6)&lt;&gt;"Starfsbundinn",BA87="",$E87="",$D87=""),"",ROUND(BA87/$E87*$D87*KVARDI,2))</f>
        <v/>
      </c>
      <c r="BC87" s="66" t="n"/>
      <c r="BD87" s="78">
        <f>IF(OR(INDEX(Undirviðmið!$G$6:$G$105,ROW()-6)&lt;&gt;"Starfsbundinn",BC87="",$E87="",$D87=""),"",ROUND(BC87/$E87*$D87*KVARDI,2))</f>
        <v/>
      </c>
      <c r="BE87" s="66" t="n"/>
      <c r="BF87" s="78">
        <f>IF(OR(INDEX(Undirviðmið!$G$6:$G$105,ROW()-6)&lt;&gt;"Starfsbundinn",BE87="",$E87="",$D87=""),"",ROUND(BE87/$E87*$D87*KVARDI,2))</f>
        <v/>
      </c>
      <c r="BG87" s="66" t="n"/>
      <c r="BH87" s="78">
        <f>IF(OR(INDEX(Undirviðmið!$G$6:$G$105,ROW()-6)&lt;&gt;"Starfsbundinn",BG87="",$E87="",$D87=""),"",ROUND(BG87/$E87*$D87*KVARDI,2))</f>
        <v/>
      </c>
      <c r="BI87" s="66" t="n"/>
      <c r="BJ87" s="78">
        <f>IF(OR(INDEX(Undirviðmið!$G$6:$G$105,ROW()-6)&lt;&gt;"Starfsbundinn",BI87="",$E87="",$D87=""),"",ROUND(BI87/$E87*$D87*KVARDI,2))</f>
        <v/>
      </c>
      <c r="BK87" s="66" t="n"/>
      <c r="BL87" s="78">
        <f>IF(OR(INDEX(Undirviðmið!$G$6:$G$105,ROW()-6)&lt;&gt;"Starfsbundinn",BK87="",$E87="",$D87=""),"",ROUND(BK87/$E87*$D87*KVARDI,2))</f>
        <v/>
      </c>
      <c r="BM87" s="66" t="n"/>
      <c r="BN87" s="78">
        <f>IF(OR(INDEX(Undirviðmið!$G$6:$G$105,ROW()-6)&lt;&gt;"Starfsbundinn",BM87="",$E87="",$D87=""),"",ROUND(BM87/$E87*$D87*KVARDI,2))</f>
        <v/>
      </c>
      <c r="BO87" s="66" t="n"/>
      <c r="BP87" s="78">
        <f>IF(OR(INDEX(Undirviðmið!$G$6:$G$105,ROW()-6)&lt;&gt;"Starfsbundinn",BO87="",$E87="",$D87=""),"",ROUND(BO87/$E87*$D87*KVARDI,2))</f>
        <v/>
      </c>
      <c r="BQ87" s="66" t="n"/>
      <c r="BR87" s="78">
        <f>IF(OR(INDEX(Undirviðmið!$G$6:$G$105,ROW()-6)&lt;&gt;"Starfsbundinn",BQ87="",$E87="",$D87=""),"",ROUND(BQ87/$E87*$D87*KVARDI,2))</f>
        <v/>
      </c>
      <c r="BS87" s="66" t="n"/>
      <c r="BT87" s="78">
        <f>IF(OR(INDEX(Undirviðmið!$G$6:$G$105,ROW()-6)&lt;&gt;"Starfsbundinn",BS87="",$E87="",$D87=""),"",ROUND(BS87/$E87*$D87*KVARDI,2))</f>
        <v/>
      </c>
      <c r="BU87" s="66" t="n"/>
      <c r="BV87" s="78">
        <f>IF(OR(INDEX(Undirviðmið!$G$6:$G$105,ROW()-6)&lt;&gt;"Starfsbundinn",BU87="",$E87="",$D87=""),"",ROUND(BU87/$E87*$D87*KVARDI,2))</f>
        <v/>
      </c>
      <c r="BW87" s="66" t="n"/>
      <c r="BX87" s="78">
        <f>IF(OR(INDEX(Undirviðmið!$G$6:$G$105,ROW()-6)&lt;&gt;"Starfsbundinn",BW87="",$E87="",$D87=""),"",ROUND(BW87/$E87*$D87*KVARDI,2))</f>
        <v/>
      </c>
      <c r="BY87" s="66" t="n"/>
      <c r="BZ87" s="78">
        <f>IF(OR(INDEX(Undirviðmið!$G$6:$G$105,ROW()-6)&lt;&gt;"Starfsbundinn",BY87="",$E87="",$D87=""),"",ROUND(BY87/$E87*$D87*KVARDI,2))</f>
        <v/>
      </c>
      <c r="CA87" s="66" t="n"/>
      <c r="CB87" s="78">
        <f>IF(OR(INDEX(Undirviðmið!$G$6:$G$105,ROW()-6)&lt;&gt;"Starfsbundinn",CA87="",$E87="",$D87=""),"",ROUND(CA87/$E87*$D87*KVARDI,2))</f>
        <v/>
      </c>
      <c r="CC87" s="66" t="n"/>
      <c r="CD87" s="78">
        <f>IF(OR(INDEX(Undirviðmið!$G$6:$G$105,ROW()-6)&lt;&gt;"Starfsbundinn",CC87="",$E87="",$D87=""),"",ROUND(CC87/$E87*$D87*KVARDI,2))</f>
        <v/>
      </c>
      <c r="CE87" s="66" t="n"/>
      <c r="CF87" s="78">
        <f>IF(OR(INDEX(Undirviðmið!$G$6:$G$105,ROW()-6)&lt;&gt;"Starfsbundinn",CE87="",$E87="",$D87=""),"",ROUND(CE87/$E87*$D87*KVARDI,2))</f>
        <v/>
      </c>
      <c r="CG87" s="66" t="n"/>
      <c r="CH87" s="78">
        <f>IF(OR(INDEX(Undirviðmið!$G$6:$G$105,ROW()-6)&lt;&gt;"Starfsbundinn",CG87="",$E87="",$D87=""),"",ROUND(CG87/$E87*$D87*KVARDI,2))</f>
        <v/>
      </c>
      <c r="CI87" s="66" t="n"/>
      <c r="CJ87" s="78">
        <f>IF(OR(INDEX(Undirviðmið!$G$6:$G$105,ROW()-6)&lt;&gt;"Starfsbundinn",CI87="",$E87="",$D87=""),"",ROUND(CI87/$E87*$D87*KVARDI,2))</f>
        <v/>
      </c>
      <c r="CK87" s="66" t="n"/>
      <c r="CL87" s="78">
        <f>IF(OR(INDEX(Undirviðmið!$G$6:$G$105,ROW()-6)&lt;&gt;"Starfsbundinn",CK87="",$E87="",$D87=""),"",ROUND(CK87/$E87*$D87*KVARDI,2))</f>
        <v/>
      </c>
      <c r="CM87" s="66" t="n"/>
      <c r="CN87" s="78">
        <f>IF(OR(INDEX(Undirviðmið!$G$6:$G$105,ROW()-6)&lt;&gt;"Starfsbundinn",CM87="",$E87="",$D87=""),"",ROUND(CM87/$E87*$D87*KVARDI,2))</f>
        <v/>
      </c>
      <c r="CO87" s="66" t="n"/>
      <c r="CP87" s="78">
        <f>IF(OR(INDEX(Undirviðmið!$G$6:$G$105,ROW()-6)&lt;&gt;"Starfsbundinn",CO87="",$E87="",$D87=""),"",ROUND(CO87/$E87*$D87*KVARDI,2))</f>
        <v/>
      </c>
      <c r="CQ87" s="66" t="n"/>
      <c r="CR87" s="78">
        <f>IF(OR(INDEX(Undirviðmið!$G$6:$G$105,ROW()-6)&lt;&gt;"Starfsbundinn",CQ87="",$E87="",$D87=""),"",ROUND(CQ87/$E87*$D87*KVARDI,2))</f>
        <v/>
      </c>
      <c r="CS87" s="66" t="n"/>
      <c r="CT87" s="78">
        <f>IF(OR(INDEX(Undirviðmið!$G$6:$G$105,ROW()-6)&lt;&gt;"Starfsbundinn",CS87="",$E87="",$D87=""),"",ROUND(CS87/$E87*$D87*KVARDI,2))</f>
        <v/>
      </c>
      <c r="CU87" s="66" t="n"/>
      <c r="CV87" s="78">
        <f>IF(OR(INDEX(Undirviðmið!$G$6:$G$105,ROW()-6)&lt;&gt;"Starfsbundinn",CU87="",$E87="",$D87=""),"",ROUND(CU87/$E87*$D87*KVARDI,2))</f>
        <v/>
      </c>
      <c r="CW87" s="66" t="n"/>
      <c r="CX87" s="78">
        <f>IF(OR(INDEX(Undirviðmið!$G$6:$G$105,ROW()-6)&lt;&gt;"Starfsbundinn",CW87="",$E87="",$D87=""),"",ROUND(CW87/$E87*$D87*KVARDI,2))</f>
        <v/>
      </c>
      <c r="CY87" s="66" t="n"/>
      <c r="CZ87" s="78">
        <f>IF(OR(INDEX(Undirviðmið!$G$6:$G$105,ROW()-6)&lt;&gt;"Starfsbundinn",CY87="",$E87="",$D87=""),"",ROUND(CY87/$E87*$D87*KVARDI,2))</f>
        <v/>
      </c>
      <c r="DA87" s="66" t="n"/>
      <c r="DB87" s="78">
        <f>IF(OR(INDEX(Undirviðmið!$G$6:$G$105,ROW()-6)&lt;&gt;"Starfsbundinn",DA87="",$E87="",$D87=""),"",ROUND(DA87/$E87*$D87*KVARDI,2))</f>
        <v/>
      </c>
      <c r="DC87" s="66" t="n"/>
      <c r="DD87" s="78">
        <f>IF(OR(INDEX(Undirviðmið!$G$6:$G$105,ROW()-6)&lt;&gt;"Starfsbundinn",DC87="",$E87="",$D87=""),"",ROUND(DC87/$E87*$D87*KVARDI,2))</f>
        <v/>
      </c>
      <c r="DE87" s="66" t="n"/>
      <c r="DF87" s="78">
        <f>IF(OR(INDEX(Undirviðmið!$G$6:$G$105,ROW()-6)&lt;&gt;"Starfsbundinn",DE87="",$E87="",$D87=""),"",ROUND(DE87/$E87*$D87*KVARDI,2))</f>
        <v/>
      </c>
      <c r="DG87" s="66" t="n"/>
      <c r="DH87" s="78">
        <f>IF(OR(INDEX(Undirviðmið!$G$6:$G$105,ROW()-6)&lt;&gt;"Starfsbundinn",DG87="",$E87="",$D87=""),"",ROUND(DG87/$E87*$D87*KVARDI,2))</f>
        <v/>
      </c>
      <c r="DI87" s="66" t="n"/>
      <c r="DJ87" s="78">
        <f>IF(OR(INDEX(Undirviðmið!$G$6:$G$105,ROW()-6)&lt;&gt;"Starfsbundinn",DI87="",$E87="",$D87=""),"",ROUND(DI87/$E87*$D87*KVARDI,2))</f>
        <v/>
      </c>
      <c r="DK87" s="66" t="n"/>
      <c r="DL87" s="78">
        <f>IF(OR(INDEX(Undirviðmið!$G$6:$G$105,ROW()-6)&lt;&gt;"Starfsbundinn",DK87="",$E87="",$D87=""),"",ROUND(DK87/$E87*$D87*KVARDI,2))</f>
        <v/>
      </c>
      <c r="DM87" s="66" t="n"/>
      <c r="DN87" s="78">
        <f>IF(OR(INDEX(Undirviðmið!$G$6:$G$105,ROW()-6)&lt;&gt;"Starfsbundinn",DM87="",$E87="",$D87=""),"",ROUND(DM87/$E87*$D87*KVARDI,2))</f>
        <v/>
      </c>
      <c r="DO87" s="66" t="n"/>
      <c r="DP87" s="78">
        <f>IF(OR(INDEX(Undirviðmið!$G$6:$G$105,ROW()-6)&lt;&gt;"Starfsbundinn",DO87="",$E87="",$D87=""),"",ROUND(DO87/$E87*$D87*KVARDI,2))</f>
        <v/>
      </c>
      <c r="DQ87" s="66" t="n"/>
      <c r="DR87" s="78">
        <f>IF(OR(INDEX(Undirviðmið!$G$6:$G$105,ROW()-6)&lt;&gt;"Starfsbundinn",DQ87="",$E87="",$D87=""),"",ROUND(DQ87/$E87*$D87*KVARDI,2))</f>
        <v/>
      </c>
      <c r="DS87" s="66" t="n"/>
      <c r="DT87" s="78">
        <f>IF(OR(INDEX(Undirviðmið!$G$6:$G$105,ROW()-6)&lt;&gt;"Starfsbundinn",DS87="",$E87="",$D87=""),"",ROUND(DS87/$E87*$D87*KVARDI,2))</f>
        <v/>
      </c>
      <c r="DU87" s="66" t="n"/>
      <c r="DV87" s="78">
        <f>IF(OR(INDEX(Undirviðmið!$G$6:$G$105,ROW()-6)&lt;&gt;"Starfsbundinn",DU87="",$E87="",$D87=""),"",ROUND(DU87/$E87*$D87*KVARDI,2))</f>
        <v/>
      </c>
      <c r="DW87" s="66" t="n"/>
      <c r="DX87" s="78">
        <f>IF(OR(INDEX(Undirviðmið!$G$6:$G$105,ROW()-6)&lt;&gt;"Starfsbundinn",DW87="",$E87="",$D87=""),"",ROUND(DW87/$E87*$D87*KVARDI,2))</f>
        <v/>
      </c>
      <c r="DY87" s="66" t="n"/>
      <c r="DZ87" s="78">
        <f>IF(OR(INDEX(Undirviðmið!$G$6:$G$105,ROW()-6)&lt;&gt;"Starfsbundinn",DY87="",$E87="",$D87=""),"",ROUND(DY87/$E87*$D87*KVARDI,2))</f>
        <v/>
      </c>
      <c r="EA87" s="66" t="n"/>
      <c r="EB87" s="78">
        <f>IF(OR(INDEX(Undirviðmið!$G$6:$G$105,ROW()-6)&lt;&gt;"Starfsbundinn",EA87="",$E87="",$D87=""),"",ROUND(EA87/$E87*$D87*KVARDI,2))</f>
        <v/>
      </c>
      <c r="EC87" s="66" t="n"/>
      <c r="ED87" s="78">
        <f>IF(OR(INDEX(Undirviðmið!$G$6:$G$105,ROW()-6)&lt;&gt;"Starfsbundinn",EC87="",$E87="",$D87=""),"",ROUND(EC87/$E87*$D87*KVARDI,2))</f>
        <v/>
      </c>
      <c r="EE87" s="66" t="n"/>
      <c r="EF87" s="78">
        <f>IF(OR(INDEX(Undirviðmið!$G$6:$G$105,ROW()-6)&lt;&gt;"Starfsbundinn",EE87="",$E87="",$D87=""),"",ROUND(EE87/$E87*$D87*KVARDI,2))</f>
        <v/>
      </c>
      <c r="EG87" s="66" t="n"/>
      <c r="EH87" s="78">
        <f>IF(OR(INDEX(Undirviðmið!$G$6:$G$105,ROW()-6)&lt;&gt;"Starfsbundinn",EG87="",$E87="",$D87=""),"",ROUND(EG87/$E87*$D87*KVARDI,2))</f>
        <v/>
      </c>
      <c r="EI87" s="66" t="n"/>
      <c r="EJ87" s="78">
        <f>IF(OR(INDEX(Undirviðmið!$G$6:$G$105,ROW()-6)&lt;&gt;"Starfsbundinn",EI87="",$E87="",$D87=""),"",ROUND(EI87/$E87*$D87*KVARDI,2))</f>
        <v/>
      </c>
      <c r="EK87" s="66" t="n"/>
      <c r="EL87" s="78">
        <f>IF(OR(INDEX(Undirviðmið!$G$6:$G$105,ROW()-6)&lt;&gt;"Starfsbundinn",EK87="",$E87="",$D87=""),"",ROUND(EK87/$E87*$D87*KVARDI,2))</f>
        <v/>
      </c>
      <c r="EM87" s="66" t="n"/>
      <c r="EN87" s="78">
        <f>IF(OR(INDEX(Undirviðmið!$G$6:$G$105,ROW()-6)&lt;&gt;"Starfsbundinn",EM87="",$E87="",$D87=""),"",ROUND(EM87/$E87*$D87*KVARDI,2))</f>
        <v/>
      </c>
      <c r="EO87" s="66" t="n"/>
      <c r="EP87" s="78">
        <f>IF(OR(INDEX(Undirviðmið!$G$6:$G$105,ROW()-6)&lt;&gt;"Starfsbundinn",EO87="",$E87="",$D87=""),"",ROUND(EO87/$E87*$D87*KVARDI,2))</f>
        <v/>
      </c>
      <c r="EQ87" s="66" t="n"/>
      <c r="ER87" s="78">
        <f>IF(OR(INDEX(Undirviðmið!$G$6:$G$105,ROW()-6)&lt;&gt;"Starfsbundinn",EQ87="",$E87="",$D87=""),"",ROUND(EQ87/$E87*$D87*KVARDI,2))</f>
        <v/>
      </c>
      <c r="ES87" s="66" t="n"/>
      <c r="ET87" s="78">
        <f>IF(OR(INDEX(Undirviðmið!$G$6:$G$105,ROW()-6)&lt;&gt;"Starfsbundinn",ES87="",$E87="",$D87=""),"",ROUND(ES87/$E87*$D87*KVARDI,2))</f>
        <v/>
      </c>
      <c r="EU87" s="66" t="n"/>
      <c r="EV87" s="78">
        <f>IF(OR(INDEX(Undirviðmið!$G$6:$G$105,ROW()-6)&lt;&gt;"Starfsbundinn",EU87="",$E87="",$D87=""),"",ROUND(EU87/$E87*$D87*KVARDI,2))</f>
        <v/>
      </c>
      <c r="EW87" s="66" t="n"/>
      <c r="EX87" s="78">
        <f>IF(OR(INDEX(Undirviðmið!$G$6:$G$105,ROW()-6)&lt;&gt;"Starfsbundinn",EW87="",$E87="",$D87=""),"",ROUND(EW87/$E87*$D87*KVARDI,2))</f>
        <v/>
      </c>
      <c r="EY87" s="66" t="n"/>
      <c r="EZ87" s="78">
        <f>IF(OR(INDEX(Undirviðmið!$G$6:$G$105,ROW()-6)&lt;&gt;"Starfsbundinn",EY87="",$E87="",$D87=""),"",ROUND(EY87/$E87*$D87*KVARDI,2))</f>
        <v/>
      </c>
      <c r="FA87" s="66" t="n"/>
      <c r="FB87" s="78">
        <f>IF(OR(INDEX(Undirviðmið!$G$6:$G$105,ROW()-6)&lt;&gt;"Starfsbundinn",FA87="",$E87="",$D87=""),"",ROUND(FA87/$E87*$D87*KVARDI,2))</f>
        <v/>
      </c>
      <c r="FC87" s="66" t="n"/>
      <c r="FD87" s="78">
        <f>IF(OR(INDEX(Undirviðmið!$G$6:$G$105,ROW()-6)&lt;&gt;"Starfsbundinn",FC87="",$E87="",$D87=""),"",ROUND(FC87/$E87*$D87*KVARDI,2))</f>
        <v/>
      </c>
      <c r="FE87" s="66" t="n"/>
      <c r="FF87" s="78">
        <f>IF(OR(INDEX(Undirviðmið!$G$6:$G$105,ROW()-6)&lt;&gt;"Starfsbundinn",FE87="",$E87="",$D87=""),"",ROUND(FE87/$E87*$D87*KVARDI,2))</f>
        <v/>
      </c>
      <c r="FG87" s="66" t="n"/>
      <c r="FH87" s="78">
        <f>IF(OR(INDEX(Undirviðmið!$G$6:$G$105,ROW()-6)&lt;&gt;"Starfsbundinn",FG87="",$E87="",$D87=""),"",ROUND(FG87/$E87*$D87*KVARDI,2))</f>
        <v/>
      </c>
      <c r="FI87" s="66" t="n"/>
      <c r="FJ87" s="78">
        <f>IF(OR(INDEX(Undirviðmið!$G$6:$G$105,ROW()-6)&lt;&gt;"Starfsbundinn",FI87="",$E87="",$D87=""),"",ROUND(FI87/$E87*$D87*KVARDI,2))</f>
        <v/>
      </c>
      <c r="FK87" s="66" t="n"/>
      <c r="FL87" s="78">
        <f>IF(OR(INDEX(Undirviðmið!$G$6:$G$105,ROW()-6)&lt;&gt;"Starfsbundinn",FK87="",$E87="",$D87=""),"",ROUND(FK87/$E87*$D87*KVARDI,2))</f>
        <v/>
      </c>
      <c r="FM87" s="66" t="n"/>
      <c r="FN87" s="78">
        <f>IF(OR(INDEX(Undirviðmið!$G$6:$G$105,ROW()-6)&lt;&gt;"Starfsbundinn",FM87="",$E87="",$D87=""),"",ROUND(FM87/$E87*$D87*KVARDI,2))</f>
        <v/>
      </c>
      <c r="FO87" s="66" t="n"/>
      <c r="FP87" s="78">
        <f>IF(OR(INDEX(Undirviðmið!$G$6:$G$105,ROW()-6)&lt;&gt;"Starfsbundinn",FO87="",$E87="",$D87=""),"",ROUND(FO87/$E87*$D87*KVARDI,2))</f>
        <v/>
      </c>
      <c r="FQ87" s="66" t="n"/>
      <c r="FR87" s="78">
        <f>IF(OR(INDEX(Undirviðmið!$G$6:$G$105,ROW()-6)&lt;&gt;"Starfsbundinn",FQ87="",$E87="",$D87=""),"",ROUND(FQ87/$E87*$D87*KVARDI,2))</f>
        <v/>
      </c>
      <c r="FS87" s="66" t="n"/>
      <c r="FT87" s="78">
        <f>IF(OR(INDEX(Undirviðmið!$G$6:$G$105,ROW()-6)&lt;&gt;"Starfsbundinn",FS87="",$E87="",$D87=""),"",ROUND(FS87/$E87*$D87*KVARDI,2))</f>
        <v/>
      </c>
      <c r="FU87" s="66" t="n"/>
      <c r="FV87" s="78">
        <f>IF(OR(INDEX(Undirviðmið!$G$6:$G$105,ROW()-6)&lt;&gt;"Starfsbundinn",FU87="",$E87="",$D87=""),"",ROUND(FU87/$E87*$D87*KVARDI,2))</f>
        <v/>
      </c>
      <c r="FW87" s="66" t="n"/>
      <c r="FX87" s="78">
        <f>IF(OR(INDEX(Undirviðmið!$G$6:$G$105,ROW()-6)&lt;&gt;"Starfsbundinn",FW87="",$E87="",$D87=""),"",ROUND(FW87/$E87*$D87*KVARDI,2))</f>
        <v/>
      </c>
      <c r="FY87" s="66" t="n"/>
      <c r="FZ87" s="78">
        <f>IF(OR(INDEX(Undirviðmið!$G$6:$G$105,ROW()-6)&lt;&gt;"Starfsbundinn",FY87="",$E87="",$D87=""),"",ROUND(FY87/$E87*$D87*KVARDI,2))</f>
        <v/>
      </c>
      <c r="GA87" s="66" t="n"/>
      <c r="GB87" s="78">
        <f>IF(OR(INDEX(Undirviðmið!$G$6:$G$105,ROW()-6)&lt;&gt;"Starfsbundinn",GA87="",$E87="",$D87=""),"",ROUND(GA87/$E87*$D87*KVARDI,2))</f>
        <v/>
      </c>
      <c r="GC87" s="66" t="n"/>
      <c r="GD87" s="78">
        <f>IF(OR(INDEX(Undirviðmið!$G$6:$G$105,ROW()-6)&lt;&gt;"Starfsbundinn",GC87="",$E87="",$D87=""),"",ROUND(GC87/$E87*$D87*KVARDI,2))</f>
        <v/>
      </c>
      <c r="GE87" s="66" t="n"/>
      <c r="GF87" s="78">
        <f>IF(OR(INDEX(Undirviðmið!$G$6:$G$105,ROW()-6)&lt;&gt;"Starfsbundinn",GE87="",$E87="",$D87=""),"",ROUND(GE87/$E87*$D87*KVARDI,2))</f>
        <v/>
      </c>
      <c r="GG87" s="66" t="n"/>
      <c r="GH87" s="78">
        <f>IF(OR(INDEX(Undirviðmið!$G$6:$G$105,ROW()-6)&lt;&gt;"Starfsbundinn",GG87="",$E87="",$D87=""),"",ROUND(GG87/$E87*$D87*KVARDI,2))</f>
        <v/>
      </c>
      <c r="GI87" s="66" t="n"/>
      <c r="GJ87" s="78">
        <f>IF(OR(INDEX(Undirviðmið!$G$6:$G$105,ROW()-6)&lt;&gt;"Starfsbundinn",GI87="",$E87="",$D87=""),"",ROUND(GI87/$E87*$D87*KVARDI,2))</f>
        <v/>
      </c>
      <c r="GK87" s="66" t="n"/>
      <c r="GL87" s="78">
        <f>IF(OR(INDEX(Undirviðmið!$G$6:$G$105,ROW()-6)&lt;&gt;"Starfsbundinn",GK87="",$E87="",$D87=""),"",ROUND(GK87/$E87*$D87*KVARDI,2))</f>
        <v/>
      </c>
      <c r="GM87" s="66" t="n"/>
      <c r="GN87" s="78">
        <f>IF(OR(INDEX(Undirviðmið!$G$6:$G$105,ROW()-6)&lt;&gt;"Starfsbundinn",GM87="",$E87="",$D87=""),"",ROUND(GM87/$E87*$D87*KVARDI,2))</f>
        <v/>
      </c>
      <c r="GO87" s="66" t="n"/>
      <c r="GP87" s="78">
        <f>IF(OR(INDEX(Undirviðmið!$G$6:$G$105,ROW()-6)&lt;&gt;"Starfsbundinn",GO87="",$E87="",$D87=""),"",ROUND(GO87/$E87*$D87*KVARDI,2))</f>
        <v/>
      </c>
      <c r="GQ87" s="66" t="n"/>
      <c r="GR87" s="78">
        <f>IF(OR(INDEX(Undirviðmið!$G$6:$G$105,ROW()-6)&lt;&gt;"Starfsbundinn",GQ87="",$E87="",$D87=""),"",ROUND(GQ87/$E87*$D87*KVARDI,2))</f>
        <v/>
      </c>
      <c r="GS87" s="66" t="n"/>
      <c r="GT87" s="78">
        <f>IF(OR(INDEX(Undirviðmið!$G$6:$G$105,ROW()-6)&lt;&gt;"Starfsbundinn",GS87="",$E87="",$D87=""),"",ROUND(GS87/$E87*$D87*KVARDI,2))</f>
        <v/>
      </c>
      <c r="GU87" s="66" t="n"/>
      <c r="GV87" s="78">
        <f>IF(OR(INDEX(Undirviðmið!$G$6:$G$105,ROW()-6)&lt;&gt;"Starfsbundinn",GU87="",$E87="",$D87=""),"",ROUND(GU87/$E87*$D87*KVARDI,2))</f>
        <v/>
      </c>
      <c r="GW87" s="66" t="n"/>
      <c r="GX87" s="78">
        <f>IF(OR(INDEX(Undirviðmið!$G$6:$G$105,ROW()-6)&lt;&gt;"Starfsbundinn",GW87="",$E87="",$D87=""),"",ROUND(GW87/$E87*$D87*KVARDI,2))</f>
        <v/>
      </c>
    </row>
    <row r="88" ht="15" customHeight="1" s="47">
      <c r="B88" s="67">
        <f>IF(INDEX(Undirviðmið!$G$6:$G$105,ROW()-6)="Starfsbundinn",INDEX(Undirviðmið!$B$6:$B$105,ROW()-6),"")</f>
        <v/>
      </c>
      <c r="C88" s="67">
        <f>IF(INDEX(Undirviðmið!$G$6:$G$105,ROW()-6)="Starfsbundinn",INDEX(Undirviðmið!$C$6:$C$105,ROW()-6),"")</f>
        <v/>
      </c>
      <c r="D88" s="77">
        <f>IF(INDEX(Undirviðmið!$G$6:$G$105,ROW()-6)="Starfsbundinn",INDEX(Undirviðmið!$E$6:$E$105,ROW()-6),"")</f>
        <v/>
      </c>
      <c r="E88" s="77">
        <f>IF(INDEX(Undirviðmið!$G$6:$G$105,ROW()-6)="Starfsbundinn",INDEX(Undirviðmið!$F$6:$F$105,ROW()-6),"")</f>
        <v/>
      </c>
      <c r="F88" s="77">
        <f>IF(INDEX(Undirviðmið!$G$6:$G$105,ROW()-6)="Starfsbundinn",IFERROR(INDEX(Undirviðmið!$E$6:$E$105,ROW()-6)*KVARDI,""),"")</f>
        <v/>
      </c>
      <c r="G88" s="66" t="n"/>
      <c r="H88" s="78">
        <f>IF(OR(INDEX(Undirviðmið!$G$6:$G$105,ROW()-6)&lt;&gt;"Starfsbundinn",G88="",$E88="",$D88=""),"",ROUND(G88/$E88*$D88*KVARDI,2))</f>
        <v/>
      </c>
      <c r="I88" s="66" t="n"/>
      <c r="J88" s="78">
        <f>IF(OR(INDEX(Undirviðmið!$G$6:$G$105,ROW()-6)&lt;&gt;"Starfsbundinn",I88="",$E88="",$D88=""),"",ROUND(I88/$E88*$D88*KVARDI,2))</f>
        <v/>
      </c>
      <c r="K88" s="66" t="n"/>
      <c r="L88" s="78">
        <f>IF(OR(INDEX(Undirviðmið!$G$6:$G$105,ROW()-6)&lt;&gt;"Starfsbundinn",K88="",$E88="",$D88=""),"",ROUND(K88/$E88*$D88*KVARDI,2))</f>
        <v/>
      </c>
      <c r="M88" s="66" t="n"/>
      <c r="N88" s="78">
        <f>IF(OR(INDEX(Undirviðmið!$G$6:$G$105,ROW()-6)&lt;&gt;"Starfsbundinn",M88="",$E88="",$D88=""),"",ROUND(M88/$E88*$D88*KVARDI,2))</f>
        <v/>
      </c>
      <c r="O88" s="66" t="n"/>
      <c r="P88" s="78">
        <f>IF(OR(INDEX(Undirviðmið!$G$6:$G$105,ROW()-6)&lt;&gt;"Starfsbundinn",O88="",$E88="",$D88=""),"",ROUND(O88/$E88*$D88*KVARDI,2))</f>
        <v/>
      </c>
      <c r="Q88" s="66" t="n"/>
      <c r="R88" s="78">
        <f>IF(OR(INDEX(Undirviðmið!$G$6:$G$105,ROW()-6)&lt;&gt;"Starfsbundinn",Q88="",$E88="",$D88=""),"",ROUND(Q88/$E88*$D88*KVARDI,2))</f>
        <v/>
      </c>
      <c r="S88" s="66" t="n"/>
      <c r="T88" s="78">
        <f>IF(OR(INDEX(Undirviðmið!$G$6:$G$105,ROW()-6)&lt;&gt;"Starfsbundinn",S88="",$E88="",$D88=""),"",ROUND(S88/$E88*$D88*KVARDI,2))</f>
        <v/>
      </c>
      <c r="U88" s="66" t="n"/>
      <c r="V88" s="78">
        <f>IF(OR(INDEX(Undirviðmið!$G$6:$G$105,ROW()-6)&lt;&gt;"Starfsbundinn",U88="",$E88="",$D88=""),"",ROUND(U88/$E88*$D88*KVARDI,2))</f>
        <v/>
      </c>
      <c r="W88" s="66" t="n"/>
      <c r="X88" s="78">
        <f>IF(OR(INDEX(Undirviðmið!$G$6:$G$105,ROW()-6)&lt;&gt;"Starfsbundinn",W88="",$E88="",$D88=""),"",ROUND(W88/$E88*$D88*KVARDI,2))</f>
        <v/>
      </c>
      <c r="Y88" s="66" t="n"/>
      <c r="Z88" s="78">
        <f>IF(OR(INDEX(Undirviðmið!$G$6:$G$105,ROW()-6)&lt;&gt;"Starfsbundinn",Y88="",$E88="",$D88=""),"",ROUND(Y88/$E88*$D88*KVARDI,2))</f>
        <v/>
      </c>
      <c r="AA88" s="66" t="n"/>
      <c r="AB88" s="78">
        <f>IF(OR(INDEX(Undirviðmið!$G$6:$G$105,ROW()-6)&lt;&gt;"Starfsbundinn",AA88="",$E88="",$D88=""),"",ROUND(AA88/$E88*$D88*KVARDI,2))</f>
        <v/>
      </c>
      <c r="AC88" s="66" t="n"/>
      <c r="AD88" s="78">
        <f>IF(OR(INDEX(Undirviðmið!$G$6:$G$105,ROW()-6)&lt;&gt;"Starfsbundinn",AC88="",$E88="",$D88=""),"",ROUND(AC88/$E88*$D88*KVARDI,2))</f>
        <v/>
      </c>
      <c r="AE88" s="66" t="n"/>
      <c r="AF88" s="78">
        <f>IF(OR(INDEX(Undirviðmið!$G$6:$G$105,ROW()-6)&lt;&gt;"Starfsbundinn",AE88="",$E88="",$D88=""),"",ROUND(AE88/$E88*$D88*KVARDI,2))</f>
        <v/>
      </c>
      <c r="AG88" s="66" t="n"/>
      <c r="AH88" s="78">
        <f>IF(OR(INDEX(Undirviðmið!$G$6:$G$105,ROW()-6)&lt;&gt;"Starfsbundinn",AG88="",$E88="",$D88=""),"",ROUND(AG88/$E88*$D88*KVARDI,2))</f>
        <v/>
      </c>
      <c r="AI88" s="66" t="n"/>
      <c r="AJ88" s="78">
        <f>IF(OR(INDEX(Undirviðmið!$G$6:$G$105,ROW()-6)&lt;&gt;"Starfsbundinn",AI88="",$E88="",$D88=""),"",ROUND(AI88/$E88*$D88*KVARDI,2))</f>
        <v/>
      </c>
      <c r="AK88" s="66" t="n"/>
      <c r="AL88" s="78">
        <f>IF(OR(INDEX(Undirviðmið!$G$6:$G$105,ROW()-6)&lt;&gt;"Starfsbundinn",AK88="",$E88="",$D88=""),"",ROUND(AK88/$E88*$D88*KVARDI,2))</f>
        <v/>
      </c>
      <c r="AM88" s="66" t="n"/>
      <c r="AN88" s="78">
        <f>IF(OR(INDEX(Undirviðmið!$G$6:$G$105,ROW()-6)&lt;&gt;"Starfsbundinn",AM88="",$E88="",$D88=""),"",ROUND(AM88/$E88*$D88*KVARDI,2))</f>
        <v/>
      </c>
      <c r="AO88" s="66" t="n"/>
      <c r="AP88" s="78">
        <f>IF(OR(INDEX(Undirviðmið!$G$6:$G$105,ROW()-6)&lt;&gt;"Starfsbundinn",AO88="",$E88="",$D88=""),"",ROUND(AO88/$E88*$D88*KVARDI,2))</f>
        <v/>
      </c>
      <c r="AQ88" s="66" t="n"/>
      <c r="AR88" s="78">
        <f>IF(OR(INDEX(Undirviðmið!$G$6:$G$105,ROW()-6)&lt;&gt;"Starfsbundinn",AQ88="",$E88="",$D88=""),"",ROUND(AQ88/$E88*$D88*KVARDI,2))</f>
        <v/>
      </c>
      <c r="AS88" s="66" t="n"/>
      <c r="AT88" s="78">
        <f>IF(OR(INDEX(Undirviðmið!$G$6:$G$105,ROW()-6)&lt;&gt;"Starfsbundinn",AS88="",$E88="",$D88=""),"",ROUND(AS88/$E88*$D88*KVARDI,2))</f>
        <v/>
      </c>
      <c r="AU88" s="66" t="n"/>
      <c r="AV88" s="78">
        <f>IF(OR(INDEX(Undirviðmið!$G$6:$G$105,ROW()-6)&lt;&gt;"Starfsbundinn",AU88="",$E88="",$D88=""),"",ROUND(AU88/$E88*$D88*KVARDI,2))</f>
        <v/>
      </c>
      <c r="AW88" s="66" t="n"/>
      <c r="AX88" s="78">
        <f>IF(OR(INDEX(Undirviðmið!$G$6:$G$105,ROW()-6)&lt;&gt;"Starfsbundinn",AW88="",$E88="",$D88=""),"",ROUND(AW88/$E88*$D88*KVARDI,2))</f>
        <v/>
      </c>
      <c r="AY88" s="66" t="n"/>
      <c r="AZ88" s="78">
        <f>IF(OR(INDEX(Undirviðmið!$G$6:$G$105,ROW()-6)&lt;&gt;"Starfsbundinn",AY88="",$E88="",$D88=""),"",ROUND(AY88/$E88*$D88*KVARDI,2))</f>
        <v/>
      </c>
      <c r="BA88" s="66" t="n"/>
      <c r="BB88" s="78">
        <f>IF(OR(INDEX(Undirviðmið!$G$6:$G$105,ROW()-6)&lt;&gt;"Starfsbundinn",BA88="",$E88="",$D88=""),"",ROUND(BA88/$E88*$D88*KVARDI,2))</f>
        <v/>
      </c>
      <c r="BC88" s="66" t="n"/>
      <c r="BD88" s="78">
        <f>IF(OR(INDEX(Undirviðmið!$G$6:$G$105,ROW()-6)&lt;&gt;"Starfsbundinn",BC88="",$E88="",$D88=""),"",ROUND(BC88/$E88*$D88*KVARDI,2))</f>
        <v/>
      </c>
      <c r="BE88" s="66" t="n"/>
      <c r="BF88" s="78">
        <f>IF(OR(INDEX(Undirviðmið!$G$6:$G$105,ROW()-6)&lt;&gt;"Starfsbundinn",BE88="",$E88="",$D88=""),"",ROUND(BE88/$E88*$D88*KVARDI,2))</f>
        <v/>
      </c>
      <c r="BG88" s="66" t="n"/>
      <c r="BH88" s="78">
        <f>IF(OR(INDEX(Undirviðmið!$G$6:$G$105,ROW()-6)&lt;&gt;"Starfsbundinn",BG88="",$E88="",$D88=""),"",ROUND(BG88/$E88*$D88*KVARDI,2))</f>
        <v/>
      </c>
      <c r="BI88" s="66" t="n"/>
      <c r="BJ88" s="78">
        <f>IF(OR(INDEX(Undirviðmið!$G$6:$G$105,ROW()-6)&lt;&gt;"Starfsbundinn",BI88="",$E88="",$D88=""),"",ROUND(BI88/$E88*$D88*KVARDI,2))</f>
        <v/>
      </c>
      <c r="BK88" s="66" t="n"/>
      <c r="BL88" s="78">
        <f>IF(OR(INDEX(Undirviðmið!$G$6:$G$105,ROW()-6)&lt;&gt;"Starfsbundinn",BK88="",$E88="",$D88=""),"",ROUND(BK88/$E88*$D88*KVARDI,2))</f>
        <v/>
      </c>
      <c r="BM88" s="66" t="n"/>
      <c r="BN88" s="78">
        <f>IF(OR(INDEX(Undirviðmið!$G$6:$G$105,ROW()-6)&lt;&gt;"Starfsbundinn",BM88="",$E88="",$D88=""),"",ROUND(BM88/$E88*$D88*KVARDI,2))</f>
        <v/>
      </c>
      <c r="BO88" s="66" t="n"/>
      <c r="BP88" s="78">
        <f>IF(OR(INDEX(Undirviðmið!$G$6:$G$105,ROW()-6)&lt;&gt;"Starfsbundinn",BO88="",$E88="",$D88=""),"",ROUND(BO88/$E88*$D88*KVARDI,2))</f>
        <v/>
      </c>
      <c r="BQ88" s="66" t="n"/>
      <c r="BR88" s="78">
        <f>IF(OR(INDEX(Undirviðmið!$G$6:$G$105,ROW()-6)&lt;&gt;"Starfsbundinn",BQ88="",$E88="",$D88=""),"",ROUND(BQ88/$E88*$D88*KVARDI,2))</f>
        <v/>
      </c>
      <c r="BS88" s="66" t="n"/>
      <c r="BT88" s="78">
        <f>IF(OR(INDEX(Undirviðmið!$G$6:$G$105,ROW()-6)&lt;&gt;"Starfsbundinn",BS88="",$E88="",$D88=""),"",ROUND(BS88/$E88*$D88*KVARDI,2))</f>
        <v/>
      </c>
      <c r="BU88" s="66" t="n"/>
      <c r="BV88" s="78">
        <f>IF(OR(INDEX(Undirviðmið!$G$6:$G$105,ROW()-6)&lt;&gt;"Starfsbundinn",BU88="",$E88="",$D88=""),"",ROUND(BU88/$E88*$D88*KVARDI,2))</f>
        <v/>
      </c>
      <c r="BW88" s="66" t="n"/>
      <c r="BX88" s="78">
        <f>IF(OR(INDEX(Undirviðmið!$G$6:$G$105,ROW()-6)&lt;&gt;"Starfsbundinn",BW88="",$E88="",$D88=""),"",ROUND(BW88/$E88*$D88*KVARDI,2))</f>
        <v/>
      </c>
      <c r="BY88" s="66" t="n"/>
      <c r="BZ88" s="78">
        <f>IF(OR(INDEX(Undirviðmið!$G$6:$G$105,ROW()-6)&lt;&gt;"Starfsbundinn",BY88="",$E88="",$D88=""),"",ROUND(BY88/$E88*$D88*KVARDI,2))</f>
        <v/>
      </c>
      <c r="CA88" s="66" t="n"/>
      <c r="CB88" s="78">
        <f>IF(OR(INDEX(Undirviðmið!$G$6:$G$105,ROW()-6)&lt;&gt;"Starfsbundinn",CA88="",$E88="",$D88=""),"",ROUND(CA88/$E88*$D88*KVARDI,2))</f>
        <v/>
      </c>
      <c r="CC88" s="66" t="n"/>
      <c r="CD88" s="78">
        <f>IF(OR(INDEX(Undirviðmið!$G$6:$G$105,ROW()-6)&lt;&gt;"Starfsbundinn",CC88="",$E88="",$D88=""),"",ROUND(CC88/$E88*$D88*KVARDI,2))</f>
        <v/>
      </c>
      <c r="CE88" s="66" t="n"/>
      <c r="CF88" s="78">
        <f>IF(OR(INDEX(Undirviðmið!$G$6:$G$105,ROW()-6)&lt;&gt;"Starfsbundinn",CE88="",$E88="",$D88=""),"",ROUND(CE88/$E88*$D88*KVARDI,2))</f>
        <v/>
      </c>
      <c r="CG88" s="66" t="n"/>
      <c r="CH88" s="78">
        <f>IF(OR(INDEX(Undirviðmið!$G$6:$G$105,ROW()-6)&lt;&gt;"Starfsbundinn",CG88="",$E88="",$D88=""),"",ROUND(CG88/$E88*$D88*KVARDI,2))</f>
        <v/>
      </c>
      <c r="CI88" s="66" t="n"/>
      <c r="CJ88" s="78">
        <f>IF(OR(INDEX(Undirviðmið!$G$6:$G$105,ROW()-6)&lt;&gt;"Starfsbundinn",CI88="",$E88="",$D88=""),"",ROUND(CI88/$E88*$D88*KVARDI,2))</f>
        <v/>
      </c>
      <c r="CK88" s="66" t="n"/>
      <c r="CL88" s="78">
        <f>IF(OR(INDEX(Undirviðmið!$G$6:$G$105,ROW()-6)&lt;&gt;"Starfsbundinn",CK88="",$E88="",$D88=""),"",ROUND(CK88/$E88*$D88*KVARDI,2))</f>
        <v/>
      </c>
      <c r="CM88" s="66" t="n"/>
      <c r="CN88" s="78">
        <f>IF(OR(INDEX(Undirviðmið!$G$6:$G$105,ROW()-6)&lt;&gt;"Starfsbundinn",CM88="",$E88="",$D88=""),"",ROUND(CM88/$E88*$D88*KVARDI,2))</f>
        <v/>
      </c>
      <c r="CO88" s="66" t="n"/>
      <c r="CP88" s="78">
        <f>IF(OR(INDEX(Undirviðmið!$G$6:$G$105,ROW()-6)&lt;&gt;"Starfsbundinn",CO88="",$E88="",$D88=""),"",ROUND(CO88/$E88*$D88*KVARDI,2))</f>
        <v/>
      </c>
      <c r="CQ88" s="66" t="n"/>
      <c r="CR88" s="78">
        <f>IF(OR(INDEX(Undirviðmið!$G$6:$G$105,ROW()-6)&lt;&gt;"Starfsbundinn",CQ88="",$E88="",$D88=""),"",ROUND(CQ88/$E88*$D88*KVARDI,2))</f>
        <v/>
      </c>
      <c r="CS88" s="66" t="n"/>
      <c r="CT88" s="78">
        <f>IF(OR(INDEX(Undirviðmið!$G$6:$G$105,ROW()-6)&lt;&gt;"Starfsbundinn",CS88="",$E88="",$D88=""),"",ROUND(CS88/$E88*$D88*KVARDI,2))</f>
        <v/>
      </c>
      <c r="CU88" s="66" t="n"/>
      <c r="CV88" s="78">
        <f>IF(OR(INDEX(Undirviðmið!$G$6:$G$105,ROW()-6)&lt;&gt;"Starfsbundinn",CU88="",$E88="",$D88=""),"",ROUND(CU88/$E88*$D88*KVARDI,2))</f>
        <v/>
      </c>
      <c r="CW88" s="66" t="n"/>
      <c r="CX88" s="78">
        <f>IF(OR(INDEX(Undirviðmið!$G$6:$G$105,ROW()-6)&lt;&gt;"Starfsbundinn",CW88="",$E88="",$D88=""),"",ROUND(CW88/$E88*$D88*KVARDI,2))</f>
        <v/>
      </c>
      <c r="CY88" s="66" t="n"/>
      <c r="CZ88" s="78">
        <f>IF(OR(INDEX(Undirviðmið!$G$6:$G$105,ROW()-6)&lt;&gt;"Starfsbundinn",CY88="",$E88="",$D88=""),"",ROUND(CY88/$E88*$D88*KVARDI,2))</f>
        <v/>
      </c>
      <c r="DA88" s="66" t="n"/>
      <c r="DB88" s="78">
        <f>IF(OR(INDEX(Undirviðmið!$G$6:$G$105,ROW()-6)&lt;&gt;"Starfsbundinn",DA88="",$E88="",$D88=""),"",ROUND(DA88/$E88*$D88*KVARDI,2))</f>
        <v/>
      </c>
      <c r="DC88" s="66" t="n"/>
      <c r="DD88" s="78">
        <f>IF(OR(INDEX(Undirviðmið!$G$6:$G$105,ROW()-6)&lt;&gt;"Starfsbundinn",DC88="",$E88="",$D88=""),"",ROUND(DC88/$E88*$D88*KVARDI,2))</f>
        <v/>
      </c>
      <c r="DE88" s="66" t="n"/>
      <c r="DF88" s="78">
        <f>IF(OR(INDEX(Undirviðmið!$G$6:$G$105,ROW()-6)&lt;&gt;"Starfsbundinn",DE88="",$E88="",$D88=""),"",ROUND(DE88/$E88*$D88*KVARDI,2))</f>
        <v/>
      </c>
      <c r="DG88" s="66" t="n"/>
      <c r="DH88" s="78">
        <f>IF(OR(INDEX(Undirviðmið!$G$6:$G$105,ROW()-6)&lt;&gt;"Starfsbundinn",DG88="",$E88="",$D88=""),"",ROUND(DG88/$E88*$D88*KVARDI,2))</f>
        <v/>
      </c>
      <c r="DI88" s="66" t="n"/>
      <c r="DJ88" s="78">
        <f>IF(OR(INDEX(Undirviðmið!$G$6:$G$105,ROW()-6)&lt;&gt;"Starfsbundinn",DI88="",$E88="",$D88=""),"",ROUND(DI88/$E88*$D88*KVARDI,2))</f>
        <v/>
      </c>
      <c r="DK88" s="66" t="n"/>
      <c r="DL88" s="78">
        <f>IF(OR(INDEX(Undirviðmið!$G$6:$G$105,ROW()-6)&lt;&gt;"Starfsbundinn",DK88="",$E88="",$D88=""),"",ROUND(DK88/$E88*$D88*KVARDI,2))</f>
        <v/>
      </c>
      <c r="DM88" s="66" t="n"/>
      <c r="DN88" s="78">
        <f>IF(OR(INDEX(Undirviðmið!$G$6:$G$105,ROW()-6)&lt;&gt;"Starfsbundinn",DM88="",$E88="",$D88=""),"",ROUND(DM88/$E88*$D88*KVARDI,2))</f>
        <v/>
      </c>
      <c r="DO88" s="66" t="n"/>
      <c r="DP88" s="78">
        <f>IF(OR(INDEX(Undirviðmið!$G$6:$G$105,ROW()-6)&lt;&gt;"Starfsbundinn",DO88="",$E88="",$D88=""),"",ROUND(DO88/$E88*$D88*KVARDI,2))</f>
        <v/>
      </c>
      <c r="DQ88" s="66" t="n"/>
      <c r="DR88" s="78">
        <f>IF(OR(INDEX(Undirviðmið!$G$6:$G$105,ROW()-6)&lt;&gt;"Starfsbundinn",DQ88="",$E88="",$D88=""),"",ROUND(DQ88/$E88*$D88*KVARDI,2))</f>
        <v/>
      </c>
      <c r="DS88" s="66" t="n"/>
      <c r="DT88" s="78">
        <f>IF(OR(INDEX(Undirviðmið!$G$6:$G$105,ROW()-6)&lt;&gt;"Starfsbundinn",DS88="",$E88="",$D88=""),"",ROUND(DS88/$E88*$D88*KVARDI,2))</f>
        <v/>
      </c>
      <c r="DU88" s="66" t="n"/>
      <c r="DV88" s="78">
        <f>IF(OR(INDEX(Undirviðmið!$G$6:$G$105,ROW()-6)&lt;&gt;"Starfsbundinn",DU88="",$E88="",$D88=""),"",ROUND(DU88/$E88*$D88*KVARDI,2))</f>
        <v/>
      </c>
      <c r="DW88" s="66" t="n"/>
      <c r="DX88" s="78">
        <f>IF(OR(INDEX(Undirviðmið!$G$6:$G$105,ROW()-6)&lt;&gt;"Starfsbundinn",DW88="",$E88="",$D88=""),"",ROUND(DW88/$E88*$D88*KVARDI,2))</f>
        <v/>
      </c>
      <c r="DY88" s="66" t="n"/>
      <c r="DZ88" s="78">
        <f>IF(OR(INDEX(Undirviðmið!$G$6:$G$105,ROW()-6)&lt;&gt;"Starfsbundinn",DY88="",$E88="",$D88=""),"",ROUND(DY88/$E88*$D88*KVARDI,2))</f>
        <v/>
      </c>
      <c r="EA88" s="66" t="n"/>
      <c r="EB88" s="78">
        <f>IF(OR(INDEX(Undirviðmið!$G$6:$G$105,ROW()-6)&lt;&gt;"Starfsbundinn",EA88="",$E88="",$D88=""),"",ROUND(EA88/$E88*$D88*KVARDI,2))</f>
        <v/>
      </c>
      <c r="EC88" s="66" t="n"/>
      <c r="ED88" s="78">
        <f>IF(OR(INDEX(Undirviðmið!$G$6:$G$105,ROW()-6)&lt;&gt;"Starfsbundinn",EC88="",$E88="",$D88=""),"",ROUND(EC88/$E88*$D88*KVARDI,2))</f>
        <v/>
      </c>
      <c r="EE88" s="66" t="n"/>
      <c r="EF88" s="78">
        <f>IF(OR(INDEX(Undirviðmið!$G$6:$G$105,ROW()-6)&lt;&gt;"Starfsbundinn",EE88="",$E88="",$D88=""),"",ROUND(EE88/$E88*$D88*KVARDI,2))</f>
        <v/>
      </c>
      <c r="EG88" s="66" t="n"/>
      <c r="EH88" s="78">
        <f>IF(OR(INDEX(Undirviðmið!$G$6:$G$105,ROW()-6)&lt;&gt;"Starfsbundinn",EG88="",$E88="",$D88=""),"",ROUND(EG88/$E88*$D88*KVARDI,2))</f>
        <v/>
      </c>
      <c r="EI88" s="66" t="n"/>
      <c r="EJ88" s="78">
        <f>IF(OR(INDEX(Undirviðmið!$G$6:$G$105,ROW()-6)&lt;&gt;"Starfsbundinn",EI88="",$E88="",$D88=""),"",ROUND(EI88/$E88*$D88*KVARDI,2))</f>
        <v/>
      </c>
      <c r="EK88" s="66" t="n"/>
      <c r="EL88" s="78">
        <f>IF(OR(INDEX(Undirviðmið!$G$6:$G$105,ROW()-6)&lt;&gt;"Starfsbundinn",EK88="",$E88="",$D88=""),"",ROUND(EK88/$E88*$D88*KVARDI,2))</f>
        <v/>
      </c>
      <c r="EM88" s="66" t="n"/>
      <c r="EN88" s="78">
        <f>IF(OR(INDEX(Undirviðmið!$G$6:$G$105,ROW()-6)&lt;&gt;"Starfsbundinn",EM88="",$E88="",$D88=""),"",ROUND(EM88/$E88*$D88*KVARDI,2))</f>
        <v/>
      </c>
      <c r="EO88" s="66" t="n"/>
      <c r="EP88" s="78">
        <f>IF(OR(INDEX(Undirviðmið!$G$6:$G$105,ROW()-6)&lt;&gt;"Starfsbundinn",EO88="",$E88="",$D88=""),"",ROUND(EO88/$E88*$D88*KVARDI,2))</f>
        <v/>
      </c>
      <c r="EQ88" s="66" t="n"/>
      <c r="ER88" s="78">
        <f>IF(OR(INDEX(Undirviðmið!$G$6:$G$105,ROW()-6)&lt;&gt;"Starfsbundinn",EQ88="",$E88="",$D88=""),"",ROUND(EQ88/$E88*$D88*KVARDI,2))</f>
        <v/>
      </c>
      <c r="ES88" s="66" t="n"/>
      <c r="ET88" s="78">
        <f>IF(OR(INDEX(Undirviðmið!$G$6:$G$105,ROW()-6)&lt;&gt;"Starfsbundinn",ES88="",$E88="",$D88=""),"",ROUND(ES88/$E88*$D88*KVARDI,2))</f>
        <v/>
      </c>
      <c r="EU88" s="66" t="n"/>
      <c r="EV88" s="78">
        <f>IF(OR(INDEX(Undirviðmið!$G$6:$G$105,ROW()-6)&lt;&gt;"Starfsbundinn",EU88="",$E88="",$D88=""),"",ROUND(EU88/$E88*$D88*KVARDI,2))</f>
        <v/>
      </c>
      <c r="EW88" s="66" t="n"/>
      <c r="EX88" s="78">
        <f>IF(OR(INDEX(Undirviðmið!$G$6:$G$105,ROW()-6)&lt;&gt;"Starfsbundinn",EW88="",$E88="",$D88=""),"",ROUND(EW88/$E88*$D88*KVARDI,2))</f>
        <v/>
      </c>
      <c r="EY88" s="66" t="n"/>
      <c r="EZ88" s="78">
        <f>IF(OR(INDEX(Undirviðmið!$G$6:$G$105,ROW()-6)&lt;&gt;"Starfsbundinn",EY88="",$E88="",$D88=""),"",ROUND(EY88/$E88*$D88*KVARDI,2))</f>
        <v/>
      </c>
      <c r="FA88" s="66" t="n"/>
      <c r="FB88" s="78">
        <f>IF(OR(INDEX(Undirviðmið!$G$6:$G$105,ROW()-6)&lt;&gt;"Starfsbundinn",FA88="",$E88="",$D88=""),"",ROUND(FA88/$E88*$D88*KVARDI,2))</f>
        <v/>
      </c>
      <c r="FC88" s="66" t="n"/>
      <c r="FD88" s="78">
        <f>IF(OR(INDEX(Undirviðmið!$G$6:$G$105,ROW()-6)&lt;&gt;"Starfsbundinn",FC88="",$E88="",$D88=""),"",ROUND(FC88/$E88*$D88*KVARDI,2))</f>
        <v/>
      </c>
      <c r="FE88" s="66" t="n"/>
      <c r="FF88" s="78">
        <f>IF(OR(INDEX(Undirviðmið!$G$6:$G$105,ROW()-6)&lt;&gt;"Starfsbundinn",FE88="",$E88="",$D88=""),"",ROUND(FE88/$E88*$D88*KVARDI,2))</f>
        <v/>
      </c>
      <c r="FG88" s="66" t="n"/>
      <c r="FH88" s="78">
        <f>IF(OR(INDEX(Undirviðmið!$G$6:$G$105,ROW()-6)&lt;&gt;"Starfsbundinn",FG88="",$E88="",$D88=""),"",ROUND(FG88/$E88*$D88*KVARDI,2))</f>
        <v/>
      </c>
      <c r="FI88" s="66" t="n"/>
      <c r="FJ88" s="78">
        <f>IF(OR(INDEX(Undirviðmið!$G$6:$G$105,ROW()-6)&lt;&gt;"Starfsbundinn",FI88="",$E88="",$D88=""),"",ROUND(FI88/$E88*$D88*KVARDI,2))</f>
        <v/>
      </c>
      <c r="FK88" s="66" t="n"/>
      <c r="FL88" s="78">
        <f>IF(OR(INDEX(Undirviðmið!$G$6:$G$105,ROW()-6)&lt;&gt;"Starfsbundinn",FK88="",$E88="",$D88=""),"",ROUND(FK88/$E88*$D88*KVARDI,2))</f>
        <v/>
      </c>
      <c r="FM88" s="66" t="n"/>
      <c r="FN88" s="78">
        <f>IF(OR(INDEX(Undirviðmið!$G$6:$G$105,ROW()-6)&lt;&gt;"Starfsbundinn",FM88="",$E88="",$D88=""),"",ROUND(FM88/$E88*$D88*KVARDI,2))</f>
        <v/>
      </c>
      <c r="FO88" s="66" t="n"/>
      <c r="FP88" s="78">
        <f>IF(OR(INDEX(Undirviðmið!$G$6:$G$105,ROW()-6)&lt;&gt;"Starfsbundinn",FO88="",$E88="",$D88=""),"",ROUND(FO88/$E88*$D88*KVARDI,2))</f>
        <v/>
      </c>
      <c r="FQ88" s="66" t="n"/>
      <c r="FR88" s="78">
        <f>IF(OR(INDEX(Undirviðmið!$G$6:$G$105,ROW()-6)&lt;&gt;"Starfsbundinn",FQ88="",$E88="",$D88=""),"",ROUND(FQ88/$E88*$D88*KVARDI,2))</f>
        <v/>
      </c>
      <c r="FS88" s="66" t="n"/>
      <c r="FT88" s="78">
        <f>IF(OR(INDEX(Undirviðmið!$G$6:$G$105,ROW()-6)&lt;&gt;"Starfsbundinn",FS88="",$E88="",$D88=""),"",ROUND(FS88/$E88*$D88*KVARDI,2))</f>
        <v/>
      </c>
      <c r="FU88" s="66" t="n"/>
      <c r="FV88" s="78">
        <f>IF(OR(INDEX(Undirviðmið!$G$6:$G$105,ROW()-6)&lt;&gt;"Starfsbundinn",FU88="",$E88="",$D88=""),"",ROUND(FU88/$E88*$D88*KVARDI,2))</f>
        <v/>
      </c>
      <c r="FW88" s="66" t="n"/>
      <c r="FX88" s="78">
        <f>IF(OR(INDEX(Undirviðmið!$G$6:$G$105,ROW()-6)&lt;&gt;"Starfsbundinn",FW88="",$E88="",$D88=""),"",ROUND(FW88/$E88*$D88*KVARDI,2))</f>
        <v/>
      </c>
      <c r="FY88" s="66" t="n"/>
      <c r="FZ88" s="78">
        <f>IF(OR(INDEX(Undirviðmið!$G$6:$G$105,ROW()-6)&lt;&gt;"Starfsbundinn",FY88="",$E88="",$D88=""),"",ROUND(FY88/$E88*$D88*KVARDI,2))</f>
        <v/>
      </c>
      <c r="GA88" s="66" t="n"/>
      <c r="GB88" s="78">
        <f>IF(OR(INDEX(Undirviðmið!$G$6:$G$105,ROW()-6)&lt;&gt;"Starfsbundinn",GA88="",$E88="",$D88=""),"",ROUND(GA88/$E88*$D88*KVARDI,2))</f>
        <v/>
      </c>
      <c r="GC88" s="66" t="n"/>
      <c r="GD88" s="78">
        <f>IF(OR(INDEX(Undirviðmið!$G$6:$G$105,ROW()-6)&lt;&gt;"Starfsbundinn",GC88="",$E88="",$D88=""),"",ROUND(GC88/$E88*$D88*KVARDI,2))</f>
        <v/>
      </c>
      <c r="GE88" s="66" t="n"/>
      <c r="GF88" s="78">
        <f>IF(OR(INDEX(Undirviðmið!$G$6:$G$105,ROW()-6)&lt;&gt;"Starfsbundinn",GE88="",$E88="",$D88=""),"",ROUND(GE88/$E88*$D88*KVARDI,2))</f>
        <v/>
      </c>
      <c r="GG88" s="66" t="n"/>
      <c r="GH88" s="78">
        <f>IF(OR(INDEX(Undirviðmið!$G$6:$G$105,ROW()-6)&lt;&gt;"Starfsbundinn",GG88="",$E88="",$D88=""),"",ROUND(GG88/$E88*$D88*KVARDI,2))</f>
        <v/>
      </c>
      <c r="GI88" s="66" t="n"/>
      <c r="GJ88" s="78">
        <f>IF(OR(INDEX(Undirviðmið!$G$6:$G$105,ROW()-6)&lt;&gt;"Starfsbundinn",GI88="",$E88="",$D88=""),"",ROUND(GI88/$E88*$D88*KVARDI,2))</f>
        <v/>
      </c>
      <c r="GK88" s="66" t="n"/>
      <c r="GL88" s="78">
        <f>IF(OR(INDEX(Undirviðmið!$G$6:$G$105,ROW()-6)&lt;&gt;"Starfsbundinn",GK88="",$E88="",$D88=""),"",ROUND(GK88/$E88*$D88*KVARDI,2))</f>
        <v/>
      </c>
      <c r="GM88" s="66" t="n"/>
      <c r="GN88" s="78">
        <f>IF(OR(INDEX(Undirviðmið!$G$6:$G$105,ROW()-6)&lt;&gt;"Starfsbundinn",GM88="",$E88="",$D88=""),"",ROUND(GM88/$E88*$D88*KVARDI,2))</f>
        <v/>
      </c>
      <c r="GO88" s="66" t="n"/>
      <c r="GP88" s="78">
        <f>IF(OR(INDEX(Undirviðmið!$G$6:$G$105,ROW()-6)&lt;&gt;"Starfsbundinn",GO88="",$E88="",$D88=""),"",ROUND(GO88/$E88*$D88*KVARDI,2))</f>
        <v/>
      </c>
      <c r="GQ88" s="66" t="n"/>
      <c r="GR88" s="78">
        <f>IF(OR(INDEX(Undirviðmið!$G$6:$G$105,ROW()-6)&lt;&gt;"Starfsbundinn",GQ88="",$E88="",$D88=""),"",ROUND(GQ88/$E88*$D88*KVARDI,2))</f>
        <v/>
      </c>
      <c r="GS88" s="66" t="n"/>
      <c r="GT88" s="78">
        <f>IF(OR(INDEX(Undirviðmið!$G$6:$G$105,ROW()-6)&lt;&gt;"Starfsbundinn",GS88="",$E88="",$D88=""),"",ROUND(GS88/$E88*$D88*KVARDI,2))</f>
        <v/>
      </c>
      <c r="GU88" s="66" t="n"/>
      <c r="GV88" s="78">
        <f>IF(OR(INDEX(Undirviðmið!$G$6:$G$105,ROW()-6)&lt;&gt;"Starfsbundinn",GU88="",$E88="",$D88=""),"",ROUND(GU88/$E88*$D88*KVARDI,2))</f>
        <v/>
      </c>
      <c r="GW88" s="66" t="n"/>
      <c r="GX88" s="78">
        <f>IF(OR(INDEX(Undirviðmið!$G$6:$G$105,ROW()-6)&lt;&gt;"Starfsbundinn",GW88="",$E88="",$D88=""),"",ROUND(GW88/$E88*$D88*KVARDI,2))</f>
        <v/>
      </c>
    </row>
    <row r="89" ht="15" customHeight="1" s="47">
      <c r="B89" s="67">
        <f>IF(INDEX(Undirviðmið!$G$6:$G$105,ROW()-6)="Starfsbundinn",INDEX(Undirviðmið!$B$6:$B$105,ROW()-6),"")</f>
        <v/>
      </c>
      <c r="C89" s="67">
        <f>IF(INDEX(Undirviðmið!$G$6:$G$105,ROW()-6)="Starfsbundinn",INDEX(Undirviðmið!$C$6:$C$105,ROW()-6),"")</f>
        <v/>
      </c>
      <c r="D89" s="77">
        <f>IF(INDEX(Undirviðmið!$G$6:$G$105,ROW()-6)="Starfsbundinn",INDEX(Undirviðmið!$E$6:$E$105,ROW()-6),"")</f>
        <v/>
      </c>
      <c r="E89" s="77">
        <f>IF(INDEX(Undirviðmið!$G$6:$G$105,ROW()-6)="Starfsbundinn",INDEX(Undirviðmið!$F$6:$F$105,ROW()-6),"")</f>
        <v/>
      </c>
      <c r="F89" s="77">
        <f>IF(INDEX(Undirviðmið!$G$6:$G$105,ROW()-6)="Starfsbundinn",IFERROR(INDEX(Undirviðmið!$E$6:$E$105,ROW()-6)*KVARDI,""),"")</f>
        <v/>
      </c>
      <c r="G89" s="66" t="n"/>
      <c r="H89" s="78">
        <f>IF(OR(INDEX(Undirviðmið!$G$6:$G$105,ROW()-6)&lt;&gt;"Starfsbundinn",G89="",$E89="",$D89=""),"",ROUND(G89/$E89*$D89*KVARDI,2))</f>
        <v/>
      </c>
      <c r="I89" s="66" t="n"/>
      <c r="J89" s="78">
        <f>IF(OR(INDEX(Undirviðmið!$G$6:$G$105,ROW()-6)&lt;&gt;"Starfsbundinn",I89="",$E89="",$D89=""),"",ROUND(I89/$E89*$D89*KVARDI,2))</f>
        <v/>
      </c>
      <c r="K89" s="66" t="n"/>
      <c r="L89" s="78">
        <f>IF(OR(INDEX(Undirviðmið!$G$6:$G$105,ROW()-6)&lt;&gt;"Starfsbundinn",K89="",$E89="",$D89=""),"",ROUND(K89/$E89*$D89*KVARDI,2))</f>
        <v/>
      </c>
      <c r="M89" s="66" t="n"/>
      <c r="N89" s="78">
        <f>IF(OR(INDEX(Undirviðmið!$G$6:$G$105,ROW()-6)&lt;&gt;"Starfsbundinn",M89="",$E89="",$D89=""),"",ROUND(M89/$E89*$D89*KVARDI,2))</f>
        <v/>
      </c>
      <c r="O89" s="66" t="n"/>
      <c r="P89" s="78">
        <f>IF(OR(INDEX(Undirviðmið!$G$6:$G$105,ROW()-6)&lt;&gt;"Starfsbundinn",O89="",$E89="",$D89=""),"",ROUND(O89/$E89*$D89*KVARDI,2))</f>
        <v/>
      </c>
      <c r="Q89" s="66" t="n"/>
      <c r="R89" s="78">
        <f>IF(OR(INDEX(Undirviðmið!$G$6:$G$105,ROW()-6)&lt;&gt;"Starfsbundinn",Q89="",$E89="",$D89=""),"",ROUND(Q89/$E89*$D89*KVARDI,2))</f>
        <v/>
      </c>
      <c r="S89" s="66" t="n"/>
      <c r="T89" s="78">
        <f>IF(OR(INDEX(Undirviðmið!$G$6:$G$105,ROW()-6)&lt;&gt;"Starfsbundinn",S89="",$E89="",$D89=""),"",ROUND(S89/$E89*$D89*KVARDI,2))</f>
        <v/>
      </c>
      <c r="U89" s="66" t="n"/>
      <c r="V89" s="78">
        <f>IF(OR(INDEX(Undirviðmið!$G$6:$G$105,ROW()-6)&lt;&gt;"Starfsbundinn",U89="",$E89="",$D89=""),"",ROUND(U89/$E89*$D89*KVARDI,2))</f>
        <v/>
      </c>
      <c r="W89" s="66" t="n"/>
      <c r="X89" s="78">
        <f>IF(OR(INDEX(Undirviðmið!$G$6:$G$105,ROW()-6)&lt;&gt;"Starfsbundinn",W89="",$E89="",$D89=""),"",ROUND(W89/$E89*$D89*KVARDI,2))</f>
        <v/>
      </c>
      <c r="Y89" s="66" t="n"/>
      <c r="Z89" s="78">
        <f>IF(OR(INDEX(Undirviðmið!$G$6:$G$105,ROW()-6)&lt;&gt;"Starfsbundinn",Y89="",$E89="",$D89=""),"",ROUND(Y89/$E89*$D89*KVARDI,2))</f>
        <v/>
      </c>
      <c r="AA89" s="66" t="n"/>
      <c r="AB89" s="78">
        <f>IF(OR(INDEX(Undirviðmið!$G$6:$G$105,ROW()-6)&lt;&gt;"Starfsbundinn",AA89="",$E89="",$D89=""),"",ROUND(AA89/$E89*$D89*KVARDI,2))</f>
        <v/>
      </c>
      <c r="AC89" s="66" t="n"/>
      <c r="AD89" s="78">
        <f>IF(OR(INDEX(Undirviðmið!$G$6:$G$105,ROW()-6)&lt;&gt;"Starfsbundinn",AC89="",$E89="",$D89=""),"",ROUND(AC89/$E89*$D89*KVARDI,2))</f>
        <v/>
      </c>
      <c r="AE89" s="66" t="n"/>
      <c r="AF89" s="78">
        <f>IF(OR(INDEX(Undirviðmið!$G$6:$G$105,ROW()-6)&lt;&gt;"Starfsbundinn",AE89="",$E89="",$D89=""),"",ROUND(AE89/$E89*$D89*KVARDI,2))</f>
        <v/>
      </c>
      <c r="AG89" s="66" t="n"/>
      <c r="AH89" s="78">
        <f>IF(OR(INDEX(Undirviðmið!$G$6:$G$105,ROW()-6)&lt;&gt;"Starfsbundinn",AG89="",$E89="",$D89=""),"",ROUND(AG89/$E89*$D89*KVARDI,2))</f>
        <v/>
      </c>
      <c r="AI89" s="66" t="n"/>
      <c r="AJ89" s="78">
        <f>IF(OR(INDEX(Undirviðmið!$G$6:$G$105,ROW()-6)&lt;&gt;"Starfsbundinn",AI89="",$E89="",$D89=""),"",ROUND(AI89/$E89*$D89*KVARDI,2))</f>
        <v/>
      </c>
      <c r="AK89" s="66" t="n"/>
      <c r="AL89" s="78">
        <f>IF(OR(INDEX(Undirviðmið!$G$6:$G$105,ROW()-6)&lt;&gt;"Starfsbundinn",AK89="",$E89="",$D89=""),"",ROUND(AK89/$E89*$D89*KVARDI,2))</f>
        <v/>
      </c>
      <c r="AM89" s="66" t="n"/>
      <c r="AN89" s="78">
        <f>IF(OR(INDEX(Undirviðmið!$G$6:$G$105,ROW()-6)&lt;&gt;"Starfsbundinn",AM89="",$E89="",$D89=""),"",ROUND(AM89/$E89*$D89*KVARDI,2))</f>
        <v/>
      </c>
      <c r="AO89" s="66" t="n"/>
      <c r="AP89" s="78">
        <f>IF(OR(INDEX(Undirviðmið!$G$6:$G$105,ROW()-6)&lt;&gt;"Starfsbundinn",AO89="",$E89="",$D89=""),"",ROUND(AO89/$E89*$D89*KVARDI,2))</f>
        <v/>
      </c>
      <c r="AQ89" s="66" t="n"/>
      <c r="AR89" s="78">
        <f>IF(OR(INDEX(Undirviðmið!$G$6:$G$105,ROW()-6)&lt;&gt;"Starfsbundinn",AQ89="",$E89="",$D89=""),"",ROUND(AQ89/$E89*$D89*KVARDI,2))</f>
        <v/>
      </c>
      <c r="AS89" s="66" t="n"/>
      <c r="AT89" s="78">
        <f>IF(OR(INDEX(Undirviðmið!$G$6:$G$105,ROW()-6)&lt;&gt;"Starfsbundinn",AS89="",$E89="",$D89=""),"",ROUND(AS89/$E89*$D89*KVARDI,2))</f>
        <v/>
      </c>
      <c r="AU89" s="66" t="n"/>
      <c r="AV89" s="78">
        <f>IF(OR(INDEX(Undirviðmið!$G$6:$G$105,ROW()-6)&lt;&gt;"Starfsbundinn",AU89="",$E89="",$D89=""),"",ROUND(AU89/$E89*$D89*KVARDI,2))</f>
        <v/>
      </c>
      <c r="AW89" s="66" t="n"/>
      <c r="AX89" s="78">
        <f>IF(OR(INDEX(Undirviðmið!$G$6:$G$105,ROW()-6)&lt;&gt;"Starfsbundinn",AW89="",$E89="",$D89=""),"",ROUND(AW89/$E89*$D89*KVARDI,2))</f>
        <v/>
      </c>
      <c r="AY89" s="66" t="n"/>
      <c r="AZ89" s="78">
        <f>IF(OR(INDEX(Undirviðmið!$G$6:$G$105,ROW()-6)&lt;&gt;"Starfsbundinn",AY89="",$E89="",$D89=""),"",ROUND(AY89/$E89*$D89*KVARDI,2))</f>
        <v/>
      </c>
      <c r="BA89" s="66" t="n"/>
      <c r="BB89" s="78">
        <f>IF(OR(INDEX(Undirviðmið!$G$6:$G$105,ROW()-6)&lt;&gt;"Starfsbundinn",BA89="",$E89="",$D89=""),"",ROUND(BA89/$E89*$D89*KVARDI,2))</f>
        <v/>
      </c>
      <c r="BC89" s="66" t="n"/>
      <c r="BD89" s="78">
        <f>IF(OR(INDEX(Undirviðmið!$G$6:$G$105,ROW()-6)&lt;&gt;"Starfsbundinn",BC89="",$E89="",$D89=""),"",ROUND(BC89/$E89*$D89*KVARDI,2))</f>
        <v/>
      </c>
      <c r="BE89" s="66" t="n"/>
      <c r="BF89" s="78">
        <f>IF(OR(INDEX(Undirviðmið!$G$6:$G$105,ROW()-6)&lt;&gt;"Starfsbundinn",BE89="",$E89="",$D89=""),"",ROUND(BE89/$E89*$D89*KVARDI,2))</f>
        <v/>
      </c>
      <c r="BG89" s="66" t="n"/>
      <c r="BH89" s="78">
        <f>IF(OR(INDEX(Undirviðmið!$G$6:$G$105,ROW()-6)&lt;&gt;"Starfsbundinn",BG89="",$E89="",$D89=""),"",ROUND(BG89/$E89*$D89*KVARDI,2))</f>
        <v/>
      </c>
      <c r="BI89" s="66" t="n"/>
      <c r="BJ89" s="78">
        <f>IF(OR(INDEX(Undirviðmið!$G$6:$G$105,ROW()-6)&lt;&gt;"Starfsbundinn",BI89="",$E89="",$D89=""),"",ROUND(BI89/$E89*$D89*KVARDI,2))</f>
        <v/>
      </c>
      <c r="BK89" s="66" t="n"/>
      <c r="BL89" s="78">
        <f>IF(OR(INDEX(Undirviðmið!$G$6:$G$105,ROW()-6)&lt;&gt;"Starfsbundinn",BK89="",$E89="",$D89=""),"",ROUND(BK89/$E89*$D89*KVARDI,2))</f>
        <v/>
      </c>
      <c r="BM89" s="66" t="n"/>
      <c r="BN89" s="78">
        <f>IF(OR(INDEX(Undirviðmið!$G$6:$G$105,ROW()-6)&lt;&gt;"Starfsbundinn",BM89="",$E89="",$D89=""),"",ROUND(BM89/$E89*$D89*KVARDI,2))</f>
        <v/>
      </c>
      <c r="BO89" s="66" t="n"/>
      <c r="BP89" s="78">
        <f>IF(OR(INDEX(Undirviðmið!$G$6:$G$105,ROW()-6)&lt;&gt;"Starfsbundinn",BO89="",$E89="",$D89=""),"",ROUND(BO89/$E89*$D89*KVARDI,2))</f>
        <v/>
      </c>
      <c r="BQ89" s="66" t="n"/>
      <c r="BR89" s="78">
        <f>IF(OR(INDEX(Undirviðmið!$G$6:$G$105,ROW()-6)&lt;&gt;"Starfsbundinn",BQ89="",$E89="",$D89=""),"",ROUND(BQ89/$E89*$D89*KVARDI,2))</f>
        <v/>
      </c>
      <c r="BS89" s="66" t="n"/>
      <c r="BT89" s="78">
        <f>IF(OR(INDEX(Undirviðmið!$G$6:$G$105,ROW()-6)&lt;&gt;"Starfsbundinn",BS89="",$E89="",$D89=""),"",ROUND(BS89/$E89*$D89*KVARDI,2))</f>
        <v/>
      </c>
      <c r="BU89" s="66" t="n"/>
      <c r="BV89" s="78">
        <f>IF(OR(INDEX(Undirviðmið!$G$6:$G$105,ROW()-6)&lt;&gt;"Starfsbundinn",BU89="",$E89="",$D89=""),"",ROUND(BU89/$E89*$D89*KVARDI,2))</f>
        <v/>
      </c>
      <c r="BW89" s="66" t="n"/>
      <c r="BX89" s="78">
        <f>IF(OR(INDEX(Undirviðmið!$G$6:$G$105,ROW()-6)&lt;&gt;"Starfsbundinn",BW89="",$E89="",$D89=""),"",ROUND(BW89/$E89*$D89*KVARDI,2))</f>
        <v/>
      </c>
      <c r="BY89" s="66" t="n"/>
      <c r="BZ89" s="78">
        <f>IF(OR(INDEX(Undirviðmið!$G$6:$G$105,ROW()-6)&lt;&gt;"Starfsbundinn",BY89="",$E89="",$D89=""),"",ROUND(BY89/$E89*$D89*KVARDI,2))</f>
        <v/>
      </c>
      <c r="CA89" s="66" t="n"/>
      <c r="CB89" s="78">
        <f>IF(OR(INDEX(Undirviðmið!$G$6:$G$105,ROW()-6)&lt;&gt;"Starfsbundinn",CA89="",$E89="",$D89=""),"",ROUND(CA89/$E89*$D89*KVARDI,2))</f>
        <v/>
      </c>
      <c r="CC89" s="66" t="n"/>
      <c r="CD89" s="78">
        <f>IF(OR(INDEX(Undirviðmið!$G$6:$G$105,ROW()-6)&lt;&gt;"Starfsbundinn",CC89="",$E89="",$D89=""),"",ROUND(CC89/$E89*$D89*KVARDI,2))</f>
        <v/>
      </c>
      <c r="CE89" s="66" t="n"/>
      <c r="CF89" s="78">
        <f>IF(OR(INDEX(Undirviðmið!$G$6:$G$105,ROW()-6)&lt;&gt;"Starfsbundinn",CE89="",$E89="",$D89=""),"",ROUND(CE89/$E89*$D89*KVARDI,2))</f>
        <v/>
      </c>
      <c r="CG89" s="66" t="n"/>
      <c r="CH89" s="78">
        <f>IF(OR(INDEX(Undirviðmið!$G$6:$G$105,ROW()-6)&lt;&gt;"Starfsbundinn",CG89="",$E89="",$D89=""),"",ROUND(CG89/$E89*$D89*KVARDI,2))</f>
        <v/>
      </c>
      <c r="CI89" s="66" t="n"/>
      <c r="CJ89" s="78">
        <f>IF(OR(INDEX(Undirviðmið!$G$6:$G$105,ROW()-6)&lt;&gt;"Starfsbundinn",CI89="",$E89="",$D89=""),"",ROUND(CI89/$E89*$D89*KVARDI,2))</f>
        <v/>
      </c>
      <c r="CK89" s="66" t="n"/>
      <c r="CL89" s="78">
        <f>IF(OR(INDEX(Undirviðmið!$G$6:$G$105,ROW()-6)&lt;&gt;"Starfsbundinn",CK89="",$E89="",$D89=""),"",ROUND(CK89/$E89*$D89*KVARDI,2))</f>
        <v/>
      </c>
      <c r="CM89" s="66" t="n"/>
      <c r="CN89" s="78">
        <f>IF(OR(INDEX(Undirviðmið!$G$6:$G$105,ROW()-6)&lt;&gt;"Starfsbundinn",CM89="",$E89="",$D89=""),"",ROUND(CM89/$E89*$D89*KVARDI,2))</f>
        <v/>
      </c>
      <c r="CO89" s="66" t="n"/>
      <c r="CP89" s="78">
        <f>IF(OR(INDEX(Undirviðmið!$G$6:$G$105,ROW()-6)&lt;&gt;"Starfsbundinn",CO89="",$E89="",$D89=""),"",ROUND(CO89/$E89*$D89*KVARDI,2))</f>
        <v/>
      </c>
      <c r="CQ89" s="66" t="n"/>
      <c r="CR89" s="78">
        <f>IF(OR(INDEX(Undirviðmið!$G$6:$G$105,ROW()-6)&lt;&gt;"Starfsbundinn",CQ89="",$E89="",$D89=""),"",ROUND(CQ89/$E89*$D89*KVARDI,2))</f>
        <v/>
      </c>
      <c r="CS89" s="66" t="n"/>
      <c r="CT89" s="78">
        <f>IF(OR(INDEX(Undirviðmið!$G$6:$G$105,ROW()-6)&lt;&gt;"Starfsbundinn",CS89="",$E89="",$D89=""),"",ROUND(CS89/$E89*$D89*KVARDI,2))</f>
        <v/>
      </c>
      <c r="CU89" s="66" t="n"/>
      <c r="CV89" s="78">
        <f>IF(OR(INDEX(Undirviðmið!$G$6:$G$105,ROW()-6)&lt;&gt;"Starfsbundinn",CU89="",$E89="",$D89=""),"",ROUND(CU89/$E89*$D89*KVARDI,2))</f>
        <v/>
      </c>
      <c r="CW89" s="66" t="n"/>
      <c r="CX89" s="78">
        <f>IF(OR(INDEX(Undirviðmið!$G$6:$G$105,ROW()-6)&lt;&gt;"Starfsbundinn",CW89="",$E89="",$D89=""),"",ROUND(CW89/$E89*$D89*KVARDI,2))</f>
        <v/>
      </c>
      <c r="CY89" s="66" t="n"/>
      <c r="CZ89" s="78">
        <f>IF(OR(INDEX(Undirviðmið!$G$6:$G$105,ROW()-6)&lt;&gt;"Starfsbundinn",CY89="",$E89="",$D89=""),"",ROUND(CY89/$E89*$D89*KVARDI,2))</f>
        <v/>
      </c>
      <c r="DA89" s="66" t="n"/>
      <c r="DB89" s="78">
        <f>IF(OR(INDEX(Undirviðmið!$G$6:$G$105,ROW()-6)&lt;&gt;"Starfsbundinn",DA89="",$E89="",$D89=""),"",ROUND(DA89/$E89*$D89*KVARDI,2))</f>
        <v/>
      </c>
      <c r="DC89" s="66" t="n"/>
      <c r="DD89" s="78">
        <f>IF(OR(INDEX(Undirviðmið!$G$6:$G$105,ROW()-6)&lt;&gt;"Starfsbundinn",DC89="",$E89="",$D89=""),"",ROUND(DC89/$E89*$D89*KVARDI,2))</f>
        <v/>
      </c>
      <c r="DE89" s="66" t="n"/>
      <c r="DF89" s="78">
        <f>IF(OR(INDEX(Undirviðmið!$G$6:$G$105,ROW()-6)&lt;&gt;"Starfsbundinn",DE89="",$E89="",$D89=""),"",ROUND(DE89/$E89*$D89*KVARDI,2))</f>
        <v/>
      </c>
      <c r="DG89" s="66" t="n"/>
      <c r="DH89" s="78">
        <f>IF(OR(INDEX(Undirviðmið!$G$6:$G$105,ROW()-6)&lt;&gt;"Starfsbundinn",DG89="",$E89="",$D89=""),"",ROUND(DG89/$E89*$D89*KVARDI,2))</f>
        <v/>
      </c>
      <c r="DI89" s="66" t="n"/>
      <c r="DJ89" s="78">
        <f>IF(OR(INDEX(Undirviðmið!$G$6:$G$105,ROW()-6)&lt;&gt;"Starfsbundinn",DI89="",$E89="",$D89=""),"",ROUND(DI89/$E89*$D89*KVARDI,2))</f>
        <v/>
      </c>
      <c r="DK89" s="66" t="n"/>
      <c r="DL89" s="78">
        <f>IF(OR(INDEX(Undirviðmið!$G$6:$G$105,ROW()-6)&lt;&gt;"Starfsbundinn",DK89="",$E89="",$D89=""),"",ROUND(DK89/$E89*$D89*KVARDI,2))</f>
        <v/>
      </c>
      <c r="DM89" s="66" t="n"/>
      <c r="DN89" s="78">
        <f>IF(OR(INDEX(Undirviðmið!$G$6:$G$105,ROW()-6)&lt;&gt;"Starfsbundinn",DM89="",$E89="",$D89=""),"",ROUND(DM89/$E89*$D89*KVARDI,2))</f>
        <v/>
      </c>
      <c r="DO89" s="66" t="n"/>
      <c r="DP89" s="78">
        <f>IF(OR(INDEX(Undirviðmið!$G$6:$G$105,ROW()-6)&lt;&gt;"Starfsbundinn",DO89="",$E89="",$D89=""),"",ROUND(DO89/$E89*$D89*KVARDI,2))</f>
        <v/>
      </c>
      <c r="DQ89" s="66" t="n"/>
      <c r="DR89" s="78">
        <f>IF(OR(INDEX(Undirviðmið!$G$6:$G$105,ROW()-6)&lt;&gt;"Starfsbundinn",DQ89="",$E89="",$D89=""),"",ROUND(DQ89/$E89*$D89*KVARDI,2))</f>
        <v/>
      </c>
      <c r="DS89" s="66" t="n"/>
      <c r="DT89" s="78">
        <f>IF(OR(INDEX(Undirviðmið!$G$6:$G$105,ROW()-6)&lt;&gt;"Starfsbundinn",DS89="",$E89="",$D89=""),"",ROUND(DS89/$E89*$D89*KVARDI,2))</f>
        <v/>
      </c>
      <c r="DU89" s="66" t="n"/>
      <c r="DV89" s="78">
        <f>IF(OR(INDEX(Undirviðmið!$G$6:$G$105,ROW()-6)&lt;&gt;"Starfsbundinn",DU89="",$E89="",$D89=""),"",ROUND(DU89/$E89*$D89*KVARDI,2))</f>
        <v/>
      </c>
      <c r="DW89" s="66" t="n"/>
      <c r="DX89" s="78">
        <f>IF(OR(INDEX(Undirviðmið!$G$6:$G$105,ROW()-6)&lt;&gt;"Starfsbundinn",DW89="",$E89="",$D89=""),"",ROUND(DW89/$E89*$D89*KVARDI,2))</f>
        <v/>
      </c>
      <c r="DY89" s="66" t="n"/>
      <c r="DZ89" s="78">
        <f>IF(OR(INDEX(Undirviðmið!$G$6:$G$105,ROW()-6)&lt;&gt;"Starfsbundinn",DY89="",$E89="",$D89=""),"",ROUND(DY89/$E89*$D89*KVARDI,2))</f>
        <v/>
      </c>
      <c r="EA89" s="66" t="n"/>
      <c r="EB89" s="78">
        <f>IF(OR(INDEX(Undirviðmið!$G$6:$G$105,ROW()-6)&lt;&gt;"Starfsbundinn",EA89="",$E89="",$D89=""),"",ROUND(EA89/$E89*$D89*KVARDI,2))</f>
        <v/>
      </c>
      <c r="EC89" s="66" t="n"/>
      <c r="ED89" s="78">
        <f>IF(OR(INDEX(Undirviðmið!$G$6:$G$105,ROW()-6)&lt;&gt;"Starfsbundinn",EC89="",$E89="",$D89=""),"",ROUND(EC89/$E89*$D89*KVARDI,2))</f>
        <v/>
      </c>
      <c r="EE89" s="66" t="n"/>
      <c r="EF89" s="78">
        <f>IF(OR(INDEX(Undirviðmið!$G$6:$G$105,ROW()-6)&lt;&gt;"Starfsbundinn",EE89="",$E89="",$D89=""),"",ROUND(EE89/$E89*$D89*KVARDI,2))</f>
        <v/>
      </c>
      <c r="EG89" s="66" t="n"/>
      <c r="EH89" s="78">
        <f>IF(OR(INDEX(Undirviðmið!$G$6:$G$105,ROW()-6)&lt;&gt;"Starfsbundinn",EG89="",$E89="",$D89=""),"",ROUND(EG89/$E89*$D89*KVARDI,2))</f>
        <v/>
      </c>
      <c r="EI89" s="66" t="n"/>
      <c r="EJ89" s="78">
        <f>IF(OR(INDEX(Undirviðmið!$G$6:$G$105,ROW()-6)&lt;&gt;"Starfsbundinn",EI89="",$E89="",$D89=""),"",ROUND(EI89/$E89*$D89*KVARDI,2))</f>
        <v/>
      </c>
      <c r="EK89" s="66" t="n"/>
      <c r="EL89" s="78">
        <f>IF(OR(INDEX(Undirviðmið!$G$6:$G$105,ROW()-6)&lt;&gt;"Starfsbundinn",EK89="",$E89="",$D89=""),"",ROUND(EK89/$E89*$D89*KVARDI,2))</f>
        <v/>
      </c>
      <c r="EM89" s="66" t="n"/>
      <c r="EN89" s="78">
        <f>IF(OR(INDEX(Undirviðmið!$G$6:$G$105,ROW()-6)&lt;&gt;"Starfsbundinn",EM89="",$E89="",$D89=""),"",ROUND(EM89/$E89*$D89*KVARDI,2))</f>
        <v/>
      </c>
      <c r="EO89" s="66" t="n"/>
      <c r="EP89" s="78">
        <f>IF(OR(INDEX(Undirviðmið!$G$6:$G$105,ROW()-6)&lt;&gt;"Starfsbundinn",EO89="",$E89="",$D89=""),"",ROUND(EO89/$E89*$D89*KVARDI,2))</f>
        <v/>
      </c>
      <c r="EQ89" s="66" t="n"/>
      <c r="ER89" s="78">
        <f>IF(OR(INDEX(Undirviðmið!$G$6:$G$105,ROW()-6)&lt;&gt;"Starfsbundinn",EQ89="",$E89="",$D89=""),"",ROUND(EQ89/$E89*$D89*KVARDI,2))</f>
        <v/>
      </c>
      <c r="ES89" s="66" t="n"/>
      <c r="ET89" s="78">
        <f>IF(OR(INDEX(Undirviðmið!$G$6:$G$105,ROW()-6)&lt;&gt;"Starfsbundinn",ES89="",$E89="",$D89=""),"",ROUND(ES89/$E89*$D89*KVARDI,2))</f>
        <v/>
      </c>
      <c r="EU89" s="66" t="n"/>
      <c r="EV89" s="78">
        <f>IF(OR(INDEX(Undirviðmið!$G$6:$G$105,ROW()-6)&lt;&gt;"Starfsbundinn",EU89="",$E89="",$D89=""),"",ROUND(EU89/$E89*$D89*KVARDI,2))</f>
        <v/>
      </c>
      <c r="EW89" s="66" t="n"/>
      <c r="EX89" s="78">
        <f>IF(OR(INDEX(Undirviðmið!$G$6:$G$105,ROW()-6)&lt;&gt;"Starfsbundinn",EW89="",$E89="",$D89=""),"",ROUND(EW89/$E89*$D89*KVARDI,2))</f>
        <v/>
      </c>
      <c r="EY89" s="66" t="n"/>
      <c r="EZ89" s="78">
        <f>IF(OR(INDEX(Undirviðmið!$G$6:$G$105,ROW()-6)&lt;&gt;"Starfsbundinn",EY89="",$E89="",$D89=""),"",ROUND(EY89/$E89*$D89*KVARDI,2))</f>
        <v/>
      </c>
      <c r="FA89" s="66" t="n"/>
      <c r="FB89" s="78">
        <f>IF(OR(INDEX(Undirviðmið!$G$6:$G$105,ROW()-6)&lt;&gt;"Starfsbundinn",FA89="",$E89="",$D89=""),"",ROUND(FA89/$E89*$D89*KVARDI,2))</f>
        <v/>
      </c>
      <c r="FC89" s="66" t="n"/>
      <c r="FD89" s="78">
        <f>IF(OR(INDEX(Undirviðmið!$G$6:$G$105,ROW()-6)&lt;&gt;"Starfsbundinn",FC89="",$E89="",$D89=""),"",ROUND(FC89/$E89*$D89*KVARDI,2))</f>
        <v/>
      </c>
      <c r="FE89" s="66" t="n"/>
      <c r="FF89" s="78">
        <f>IF(OR(INDEX(Undirviðmið!$G$6:$G$105,ROW()-6)&lt;&gt;"Starfsbundinn",FE89="",$E89="",$D89=""),"",ROUND(FE89/$E89*$D89*KVARDI,2))</f>
        <v/>
      </c>
      <c r="FG89" s="66" t="n"/>
      <c r="FH89" s="78">
        <f>IF(OR(INDEX(Undirviðmið!$G$6:$G$105,ROW()-6)&lt;&gt;"Starfsbundinn",FG89="",$E89="",$D89=""),"",ROUND(FG89/$E89*$D89*KVARDI,2))</f>
        <v/>
      </c>
      <c r="FI89" s="66" t="n"/>
      <c r="FJ89" s="78">
        <f>IF(OR(INDEX(Undirviðmið!$G$6:$G$105,ROW()-6)&lt;&gt;"Starfsbundinn",FI89="",$E89="",$D89=""),"",ROUND(FI89/$E89*$D89*KVARDI,2))</f>
        <v/>
      </c>
      <c r="FK89" s="66" t="n"/>
      <c r="FL89" s="78">
        <f>IF(OR(INDEX(Undirviðmið!$G$6:$G$105,ROW()-6)&lt;&gt;"Starfsbundinn",FK89="",$E89="",$D89=""),"",ROUND(FK89/$E89*$D89*KVARDI,2))</f>
        <v/>
      </c>
      <c r="FM89" s="66" t="n"/>
      <c r="FN89" s="78">
        <f>IF(OR(INDEX(Undirviðmið!$G$6:$G$105,ROW()-6)&lt;&gt;"Starfsbundinn",FM89="",$E89="",$D89=""),"",ROUND(FM89/$E89*$D89*KVARDI,2))</f>
        <v/>
      </c>
      <c r="FO89" s="66" t="n"/>
      <c r="FP89" s="78">
        <f>IF(OR(INDEX(Undirviðmið!$G$6:$G$105,ROW()-6)&lt;&gt;"Starfsbundinn",FO89="",$E89="",$D89=""),"",ROUND(FO89/$E89*$D89*KVARDI,2))</f>
        <v/>
      </c>
      <c r="FQ89" s="66" t="n"/>
      <c r="FR89" s="78">
        <f>IF(OR(INDEX(Undirviðmið!$G$6:$G$105,ROW()-6)&lt;&gt;"Starfsbundinn",FQ89="",$E89="",$D89=""),"",ROUND(FQ89/$E89*$D89*KVARDI,2))</f>
        <v/>
      </c>
      <c r="FS89" s="66" t="n"/>
      <c r="FT89" s="78">
        <f>IF(OR(INDEX(Undirviðmið!$G$6:$G$105,ROW()-6)&lt;&gt;"Starfsbundinn",FS89="",$E89="",$D89=""),"",ROUND(FS89/$E89*$D89*KVARDI,2))</f>
        <v/>
      </c>
      <c r="FU89" s="66" t="n"/>
      <c r="FV89" s="78">
        <f>IF(OR(INDEX(Undirviðmið!$G$6:$G$105,ROW()-6)&lt;&gt;"Starfsbundinn",FU89="",$E89="",$D89=""),"",ROUND(FU89/$E89*$D89*KVARDI,2))</f>
        <v/>
      </c>
      <c r="FW89" s="66" t="n"/>
      <c r="FX89" s="78">
        <f>IF(OR(INDEX(Undirviðmið!$G$6:$G$105,ROW()-6)&lt;&gt;"Starfsbundinn",FW89="",$E89="",$D89=""),"",ROUND(FW89/$E89*$D89*KVARDI,2))</f>
        <v/>
      </c>
      <c r="FY89" s="66" t="n"/>
      <c r="FZ89" s="78">
        <f>IF(OR(INDEX(Undirviðmið!$G$6:$G$105,ROW()-6)&lt;&gt;"Starfsbundinn",FY89="",$E89="",$D89=""),"",ROUND(FY89/$E89*$D89*KVARDI,2))</f>
        <v/>
      </c>
      <c r="GA89" s="66" t="n"/>
      <c r="GB89" s="78">
        <f>IF(OR(INDEX(Undirviðmið!$G$6:$G$105,ROW()-6)&lt;&gt;"Starfsbundinn",GA89="",$E89="",$D89=""),"",ROUND(GA89/$E89*$D89*KVARDI,2))</f>
        <v/>
      </c>
      <c r="GC89" s="66" t="n"/>
      <c r="GD89" s="78">
        <f>IF(OR(INDEX(Undirviðmið!$G$6:$G$105,ROW()-6)&lt;&gt;"Starfsbundinn",GC89="",$E89="",$D89=""),"",ROUND(GC89/$E89*$D89*KVARDI,2))</f>
        <v/>
      </c>
      <c r="GE89" s="66" t="n"/>
      <c r="GF89" s="78">
        <f>IF(OR(INDEX(Undirviðmið!$G$6:$G$105,ROW()-6)&lt;&gt;"Starfsbundinn",GE89="",$E89="",$D89=""),"",ROUND(GE89/$E89*$D89*KVARDI,2))</f>
        <v/>
      </c>
      <c r="GG89" s="66" t="n"/>
      <c r="GH89" s="78">
        <f>IF(OR(INDEX(Undirviðmið!$G$6:$G$105,ROW()-6)&lt;&gt;"Starfsbundinn",GG89="",$E89="",$D89=""),"",ROUND(GG89/$E89*$D89*KVARDI,2))</f>
        <v/>
      </c>
      <c r="GI89" s="66" t="n"/>
      <c r="GJ89" s="78">
        <f>IF(OR(INDEX(Undirviðmið!$G$6:$G$105,ROW()-6)&lt;&gt;"Starfsbundinn",GI89="",$E89="",$D89=""),"",ROUND(GI89/$E89*$D89*KVARDI,2))</f>
        <v/>
      </c>
      <c r="GK89" s="66" t="n"/>
      <c r="GL89" s="78">
        <f>IF(OR(INDEX(Undirviðmið!$G$6:$G$105,ROW()-6)&lt;&gt;"Starfsbundinn",GK89="",$E89="",$D89=""),"",ROUND(GK89/$E89*$D89*KVARDI,2))</f>
        <v/>
      </c>
      <c r="GM89" s="66" t="n"/>
      <c r="GN89" s="78">
        <f>IF(OR(INDEX(Undirviðmið!$G$6:$G$105,ROW()-6)&lt;&gt;"Starfsbundinn",GM89="",$E89="",$D89=""),"",ROUND(GM89/$E89*$D89*KVARDI,2))</f>
        <v/>
      </c>
      <c r="GO89" s="66" t="n"/>
      <c r="GP89" s="78">
        <f>IF(OR(INDEX(Undirviðmið!$G$6:$G$105,ROW()-6)&lt;&gt;"Starfsbundinn",GO89="",$E89="",$D89=""),"",ROUND(GO89/$E89*$D89*KVARDI,2))</f>
        <v/>
      </c>
      <c r="GQ89" s="66" t="n"/>
      <c r="GR89" s="78">
        <f>IF(OR(INDEX(Undirviðmið!$G$6:$G$105,ROW()-6)&lt;&gt;"Starfsbundinn",GQ89="",$E89="",$D89=""),"",ROUND(GQ89/$E89*$D89*KVARDI,2))</f>
        <v/>
      </c>
      <c r="GS89" s="66" t="n"/>
      <c r="GT89" s="78">
        <f>IF(OR(INDEX(Undirviðmið!$G$6:$G$105,ROW()-6)&lt;&gt;"Starfsbundinn",GS89="",$E89="",$D89=""),"",ROUND(GS89/$E89*$D89*KVARDI,2))</f>
        <v/>
      </c>
      <c r="GU89" s="66" t="n"/>
      <c r="GV89" s="78">
        <f>IF(OR(INDEX(Undirviðmið!$G$6:$G$105,ROW()-6)&lt;&gt;"Starfsbundinn",GU89="",$E89="",$D89=""),"",ROUND(GU89/$E89*$D89*KVARDI,2))</f>
        <v/>
      </c>
      <c r="GW89" s="66" t="n"/>
      <c r="GX89" s="78">
        <f>IF(OR(INDEX(Undirviðmið!$G$6:$G$105,ROW()-6)&lt;&gt;"Starfsbundinn",GW89="",$E89="",$D89=""),"",ROUND(GW89/$E89*$D89*KVARDI,2))</f>
        <v/>
      </c>
    </row>
    <row r="90" ht="15" customHeight="1" s="47">
      <c r="B90" s="67">
        <f>IF(INDEX(Undirviðmið!$G$6:$G$105,ROW()-6)="Starfsbundinn",INDEX(Undirviðmið!$B$6:$B$105,ROW()-6),"")</f>
        <v/>
      </c>
      <c r="C90" s="67">
        <f>IF(INDEX(Undirviðmið!$G$6:$G$105,ROW()-6)="Starfsbundinn",INDEX(Undirviðmið!$C$6:$C$105,ROW()-6),"")</f>
        <v/>
      </c>
      <c r="D90" s="77">
        <f>IF(INDEX(Undirviðmið!$G$6:$G$105,ROW()-6)="Starfsbundinn",INDEX(Undirviðmið!$E$6:$E$105,ROW()-6),"")</f>
        <v/>
      </c>
      <c r="E90" s="77">
        <f>IF(INDEX(Undirviðmið!$G$6:$G$105,ROW()-6)="Starfsbundinn",INDEX(Undirviðmið!$F$6:$F$105,ROW()-6),"")</f>
        <v/>
      </c>
      <c r="F90" s="77">
        <f>IF(INDEX(Undirviðmið!$G$6:$G$105,ROW()-6)="Starfsbundinn",IFERROR(INDEX(Undirviðmið!$E$6:$E$105,ROW()-6)*KVARDI,""),"")</f>
        <v/>
      </c>
      <c r="G90" s="66" t="n"/>
      <c r="H90" s="78">
        <f>IF(OR(INDEX(Undirviðmið!$G$6:$G$105,ROW()-6)&lt;&gt;"Starfsbundinn",G90="",$E90="",$D90=""),"",ROUND(G90/$E90*$D90*KVARDI,2))</f>
        <v/>
      </c>
      <c r="I90" s="66" t="n"/>
      <c r="J90" s="78">
        <f>IF(OR(INDEX(Undirviðmið!$G$6:$G$105,ROW()-6)&lt;&gt;"Starfsbundinn",I90="",$E90="",$D90=""),"",ROUND(I90/$E90*$D90*KVARDI,2))</f>
        <v/>
      </c>
      <c r="K90" s="66" t="n"/>
      <c r="L90" s="78">
        <f>IF(OR(INDEX(Undirviðmið!$G$6:$G$105,ROW()-6)&lt;&gt;"Starfsbundinn",K90="",$E90="",$D90=""),"",ROUND(K90/$E90*$D90*KVARDI,2))</f>
        <v/>
      </c>
      <c r="M90" s="66" t="n"/>
      <c r="N90" s="78">
        <f>IF(OR(INDEX(Undirviðmið!$G$6:$G$105,ROW()-6)&lt;&gt;"Starfsbundinn",M90="",$E90="",$D90=""),"",ROUND(M90/$E90*$D90*KVARDI,2))</f>
        <v/>
      </c>
      <c r="O90" s="66" t="n"/>
      <c r="P90" s="78">
        <f>IF(OR(INDEX(Undirviðmið!$G$6:$G$105,ROW()-6)&lt;&gt;"Starfsbundinn",O90="",$E90="",$D90=""),"",ROUND(O90/$E90*$D90*KVARDI,2))</f>
        <v/>
      </c>
      <c r="Q90" s="66" t="n"/>
      <c r="R90" s="78">
        <f>IF(OR(INDEX(Undirviðmið!$G$6:$G$105,ROW()-6)&lt;&gt;"Starfsbundinn",Q90="",$E90="",$D90=""),"",ROUND(Q90/$E90*$D90*KVARDI,2))</f>
        <v/>
      </c>
      <c r="S90" s="66" t="n"/>
      <c r="T90" s="78">
        <f>IF(OR(INDEX(Undirviðmið!$G$6:$G$105,ROW()-6)&lt;&gt;"Starfsbundinn",S90="",$E90="",$D90=""),"",ROUND(S90/$E90*$D90*KVARDI,2))</f>
        <v/>
      </c>
      <c r="U90" s="66" t="n"/>
      <c r="V90" s="78">
        <f>IF(OR(INDEX(Undirviðmið!$G$6:$G$105,ROW()-6)&lt;&gt;"Starfsbundinn",U90="",$E90="",$D90=""),"",ROUND(U90/$E90*$D90*KVARDI,2))</f>
        <v/>
      </c>
      <c r="W90" s="66" t="n"/>
      <c r="X90" s="78">
        <f>IF(OR(INDEX(Undirviðmið!$G$6:$G$105,ROW()-6)&lt;&gt;"Starfsbundinn",W90="",$E90="",$D90=""),"",ROUND(W90/$E90*$D90*KVARDI,2))</f>
        <v/>
      </c>
      <c r="Y90" s="66" t="n"/>
      <c r="Z90" s="78">
        <f>IF(OR(INDEX(Undirviðmið!$G$6:$G$105,ROW()-6)&lt;&gt;"Starfsbundinn",Y90="",$E90="",$D90=""),"",ROUND(Y90/$E90*$D90*KVARDI,2))</f>
        <v/>
      </c>
      <c r="AA90" s="66" t="n"/>
      <c r="AB90" s="78">
        <f>IF(OR(INDEX(Undirviðmið!$G$6:$G$105,ROW()-6)&lt;&gt;"Starfsbundinn",AA90="",$E90="",$D90=""),"",ROUND(AA90/$E90*$D90*KVARDI,2))</f>
        <v/>
      </c>
      <c r="AC90" s="66" t="n"/>
      <c r="AD90" s="78">
        <f>IF(OR(INDEX(Undirviðmið!$G$6:$G$105,ROW()-6)&lt;&gt;"Starfsbundinn",AC90="",$E90="",$D90=""),"",ROUND(AC90/$E90*$D90*KVARDI,2))</f>
        <v/>
      </c>
      <c r="AE90" s="66" t="n"/>
      <c r="AF90" s="78">
        <f>IF(OR(INDEX(Undirviðmið!$G$6:$G$105,ROW()-6)&lt;&gt;"Starfsbundinn",AE90="",$E90="",$D90=""),"",ROUND(AE90/$E90*$D90*KVARDI,2))</f>
        <v/>
      </c>
      <c r="AG90" s="66" t="n"/>
      <c r="AH90" s="78">
        <f>IF(OR(INDEX(Undirviðmið!$G$6:$G$105,ROW()-6)&lt;&gt;"Starfsbundinn",AG90="",$E90="",$D90=""),"",ROUND(AG90/$E90*$D90*KVARDI,2))</f>
        <v/>
      </c>
      <c r="AI90" s="66" t="n"/>
      <c r="AJ90" s="78">
        <f>IF(OR(INDEX(Undirviðmið!$G$6:$G$105,ROW()-6)&lt;&gt;"Starfsbundinn",AI90="",$E90="",$D90=""),"",ROUND(AI90/$E90*$D90*KVARDI,2))</f>
        <v/>
      </c>
      <c r="AK90" s="66" t="n"/>
      <c r="AL90" s="78">
        <f>IF(OR(INDEX(Undirviðmið!$G$6:$G$105,ROW()-6)&lt;&gt;"Starfsbundinn",AK90="",$E90="",$D90=""),"",ROUND(AK90/$E90*$D90*KVARDI,2))</f>
        <v/>
      </c>
      <c r="AM90" s="66" t="n"/>
      <c r="AN90" s="78">
        <f>IF(OR(INDEX(Undirviðmið!$G$6:$G$105,ROW()-6)&lt;&gt;"Starfsbundinn",AM90="",$E90="",$D90=""),"",ROUND(AM90/$E90*$D90*KVARDI,2))</f>
        <v/>
      </c>
      <c r="AO90" s="66" t="n"/>
      <c r="AP90" s="78">
        <f>IF(OR(INDEX(Undirviðmið!$G$6:$G$105,ROW()-6)&lt;&gt;"Starfsbundinn",AO90="",$E90="",$D90=""),"",ROUND(AO90/$E90*$D90*KVARDI,2))</f>
        <v/>
      </c>
      <c r="AQ90" s="66" t="n"/>
      <c r="AR90" s="78">
        <f>IF(OR(INDEX(Undirviðmið!$G$6:$G$105,ROW()-6)&lt;&gt;"Starfsbundinn",AQ90="",$E90="",$D90=""),"",ROUND(AQ90/$E90*$D90*KVARDI,2))</f>
        <v/>
      </c>
      <c r="AS90" s="66" t="n"/>
      <c r="AT90" s="78">
        <f>IF(OR(INDEX(Undirviðmið!$G$6:$G$105,ROW()-6)&lt;&gt;"Starfsbundinn",AS90="",$E90="",$D90=""),"",ROUND(AS90/$E90*$D90*KVARDI,2))</f>
        <v/>
      </c>
      <c r="AU90" s="66" t="n"/>
      <c r="AV90" s="78">
        <f>IF(OR(INDEX(Undirviðmið!$G$6:$G$105,ROW()-6)&lt;&gt;"Starfsbundinn",AU90="",$E90="",$D90=""),"",ROUND(AU90/$E90*$D90*KVARDI,2))</f>
        <v/>
      </c>
      <c r="AW90" s="66" t="n"/>
      <c r="AX90" s="78">
        <f>IF(OR(INDEX(Undirviðmið!$G$6:$G$105,ROW()-6)&lt;&gt;"Starfsbundinn",AW90="",$E90="",$D90=""),"",ROUND(AW90/$E90*$D90*KVARDI,2))</f>
        <v/>
      </c>
      <c r="AY90" s="66" t="n"/>
      <c r="AZ90" s="78">
        <f>IF(OR(INDEX(Undirviðmið!$G$6:$G$105,ROW()-6)&lt;&gt;"Starfsbundinn",AY90="",$E90="",$D90=""),"",ROUND(AY90/$E90*$D90*KVARDI,2))</f>
        <v/>
      </c>
      <c r="BA90" s="66" t="n"/>
      <c r="BB90" s="78">
        <f>IF(OR(INDEX(Undirviðmið!$G$6:$G$105,ROW()-6)&lt;&gt;"Starfsbundinn",BA90="",$E90="",$D90=""),"",ROUND(BA90/$E90*$D90*KVARDI,2))</f>
        <v/>
      </c>
      <c r="BC90" s="66" t="n"/>
      <c r="BD90" s="78">
        <f>IF(OR(INDEX(Undirviðmið!$G$6:$G$105,ROW()-6)&lt;&gt;"Starfsbundinn",BC90="",$E90="",$D90=""),"",ROUND(BC90/$E90*$D90*KVARDI,2))</f>
        <v/>
      </c>
      <c r="BE90" s="66" t="n"/>
      <c r="BF90" s="78">
        <f>IF(OR(INDEX(Undirviðmið!$G$6:$G$105,ROW()-6)&lt;&gt;"Starfsbundinn",BE90="",$E90="",$D90=""),"",ROUND(BE90/$E90*$D90*KVARDI,2))</f>
        <v/>
      </c>
      <c r="BG90" s="66" t="n"/>
      <c r="BH90" s="78">
        <f>IF(OR(INDEX(Undirviðmið!$G$6:$G$105,ROW()-6)&lt;&gt;"Starfsbundinn",BG90="",$E90="",$D90=""),"",ROUND(BG90/$E90*$D90*KVARDI,2))</f>
        <v/>
      </c>
      <c r="BI90" s="66" t="n"/>
      <c r="BJ90" s="78">
        <f>IF(OR(INDEX(Undirviðmið!$G$6:$G$105,ROW()-6)&lt;&gt;"Starfsbundinn",BI90="",$E90="",$D90=""),"",ROUND(BI90/$E90*$D90*KVARDI,2))</f>
        <v/>
      </c>
      <c r="BK90" s="66" t="n"/>
      <c r="BL90" s="78">
        <f>IF(OR(INDEX(Undirviðmið!$G$6:$G$105,ROW()-6)&lt;&gt;"Starfsbundinn",BK90="",$E90="",$D90=""),"",ROUND(BK90/$E90*$D90*KVARDI,2))</f>
        <v/>
      </c>
      <c r="BM90" s="66" t="n"/>
      <c r="BN90" s="78">
        <f>IF(OR(INDEX(Undirviðmið!$G$6:$G$105,ROW()-6)&lt;&gt;"Starfsbundinn",BM90="",$E90="",$D90=""),"",ROUND(BM90/$E90*$D90*KVARDI,2))</f>
        <v/>
      </c>
      <c r="BO90" s="66" t="n"/>
      <c r="BP90" s="78">
        <f>IF(OR(INDEX(Undirviðmið!$G$6:$G$105,ROW()-6)&lt;&gt;"Starfsbundinn",BO90="",$E90="",$D90=""),"",ROUND(BO90/$E90*$D90*KVARDI,2))</f>
        <v/>
      </c>
      <c r="BQ90" s="66" t="n"/>
      <c r="BR90" s="78">
        <f>IF(OR(INDEX(Undirviðmið!$G$6:$G$105,ROW()-6)&lt;&gt;"Starfsbundinn",BQ90="",$E90="",$D90=""),"",ROUND(BQ90/$E90*$D90*KVARDI,2))</f>
        <v/>
      </c>
      <c r="BS90" s="66" t="n"/>
      <c r="BT90" s="78">
        <f>IF(OR(INDEX(Undirviðmið!$G$6:$G$105,ROW()-6)&lt;&gt;"Starfsbundinn",BS90="",$E90="",$D90=""),"",ROUND(BS90/$E90*$D90*KVARDI,2))</f>
        <v/>
      </c>
      <c r="BU90" s="66" t="n"/>
      <c r="BV90" s="78">
        <f>IF(OR(INDEX(Undirviðmið!$G$6:$G$105,ROW()-6)&lt;&gt;"Starfsbundinn",BU90="",$E90="",$D90=""),"",ROUND(BU90/$E90*$D90*KVARDI,2))</f>
        <v/>
      </c>
      <c r="BW90" s="66" t="n"/>
      <c r="BX90" s="78">
        <f>IF(OR(INDEX(Undirviðmið!$G$6:$G$105,ROW()-6)&lt;&gt;"Starfsbundinn",BW90="",$E90="",$D90=""),"",ROUND(BW90/$E90*$D90*KVARDI,2))</f>
        <v/>
      </c>
      <c r="BY90" s="66" t="n"/>
      <c r="BZ90" s="78">
        <f>IF(OR(INDEX(Undirviðmið!$G$6:$G$105,ROW()-6)&lt;&gt;"Starfsbundinn",BY90="",$E90="",$D90=""),"",ROUND(BY90/$E90*$D90*KVARDI,2))</f>
        <v/>
      </c>
      <c r="CA90" s="66" t="n"/>
      <c r="CB90" s="78">
        <f>IF(OR(INDEX(Undirviðmið!$G$6:$G$105,ROW()-6)&lt;&gt;"Starfsbundinn",CA90="",$E90="",$D90=""),"",ROUND(CA90/$E90*$D90*KVARDI,2))</f>
        <v/>
      </c>
      <c r="CC90" s="66" t="n"/>
      <c r="CD90" s="78">
        <f>IF(OR(INDEX(Undirviðmið!$G$6:$G$105,ROW()-6)&lt;&gt;"Starfsbundinn",CC90="",$E90="",$D90=""),"",ROUND(CC90/$E90*$D90*KVARDI,2))</f>
        <v/>
      </c>
      <c r="CE90" s="66" t="n"/>
      <c r="CF90" s="78">
        <f>IF(OR(INDEX(Undirviðmið!$G$6:$G$105,ROW()-6)&lt;&gt;"Starfsbundinn",CE90="",$E90="",$D90=""),"",ROUND(CE90/$E90*$D90*KVARDI,2))</f>
        <v/>
      </c>
      <c r="CG90" s="66" t="n"/>
      <c r="CH90" s="78">
        <f>IF(OR(INDEX(Undirviðmið!$G$6:$G$105,ROW()-6)&lt;&gt;"Starfsbundinn",CG90="",$E90="",$D90=""),"",ROUND(CG90/$E90*$D90*KVARDI,2))</f>
        <v/>
      </c>
      <c r="CI90" s="66" t="n"/>
      <c r="CJ90" s="78">
        <f>IF(OR(INDEX(Undirviðmið!$G$6:$G$105,ROW()-6)&lt;&gt;"Starfsbundinn",CI90="",$E90="",$D90=""),"",ROUND(CI90/$E90*$D90*KVARDI,2))</f>
        <v/>
      </c>
      <c r="CK90" s="66" t="n"/>
      <c r="CL90" s="78">
        <f>IF(OR(INDEX(Undirviðmið!$G$6:$G$105,ROW()-6)&lt;&gt;"Starfsbundinn",CK90="",$E90="",$D90=""),"",ROUND(CK90/$E90*$D90*KVARDI,2))</f>
        <v/>
      </c>
      <c r="CM90" s="66" t="n"/>
      <c r="CN90" s="78">
        <f>IF(OR(INDEX(Undirviðmið!$G$6:$G$105,ROW()-6)&lt;&gt;"Starfsbundinn",CM90="",$E90="",$D90=""),"",ROUND(CM90/$E90*$D90*KVARDI,2))</f>
        <v/>
      </c>
      <c r="CO90" s="66" t="n"/>
      <c r="CP90" s="78">
        <f>IF(OR(INDEX(Undirviðmið!$G$6:$G$105,ROW()-6)&lt;&gt;"Starfsbundinn",CO90="",$E90="",$D90=""),"",ROUND(CO90/$E90*$D90*KVARDI,2))</f>
        <v/>
      </c>
      <c r="CQ90" s="66" t="n"/>
      <c r="CR90" s="78">
        <f>IF(OR(INDEX(Undirviðmið!$G$6:$G$105,ROW()-6)&lt;&gt;"Starfsbundinn",CQ90="",$E90="",$D90=""),"",ROUND(CQ90/$E90*$D90*KVARDI,2))</f>
        <v/>
      </c>
      <c r="CS90" s="66" t="n"/>
      <c r="CT90" s="78">
        <f>IF(OR(INDEX(Undirviðmið!$G$6:$G$105,ROW()-6)&lt;&gt;"Starfsbundinn",CS90="",$E90="",$D90=""),"",ROUND(CS90/$E90*$D90*KVARDI,2))</f>
        <v/>
      </c>
      <c r="CU90" s="66" t="n"/>
      <c r="CV90" s="78">
        <f>IF(OR(INDEX(Undirviðmið!$G$6:$G$105,ROW()-6)&lt;&gt;"Starfsbundinn",CU90="",$E90="",$D90=""),"",ROUND(CU90/$E90*$D90*KVARDI,2))</f>
        <v/>
      </c>
      <c r="CW90" s="66" t="n"/>
      <c r="CX90" s="78">
        <f>IF(OR(INDEX(Undirviðmið!$G$6:$G$105,ROW()-6)&lt;&gt;"Starfsbundinn",CW90="",$E90="",$D90=""),"",ROUND(CW90/$E90*$D90*KVARDI,2))</f>
        <v/>
      </c>
      <c r="CY90" s="66" t="n"/>
      <c r="CZ90" s="78">
        <f>IF(OR(INDEX(Undirviðmið!$G$6:$G$105,ROW()-6)&lt;&gt;"Starfsbundinn",CY90="",$E90="",$D90=""),"",ROUND(CY90/$E90*$D90*KVARDI,2))</f>
        <v/>
      </c>
      <c r="DA90" s="66" t="n"/>
      <c r="DB90" s="78">
        <f>IF(OR(INDEX(Undirviðmið!$G$6:$G$105,ROW()-6)&lt;&gt;"Starfsbundinn",DA90="",$E90="",$D90=""),"",ROUND(DA90/$E90*$D90*KVARDI,2))</f>
        <v/>
      </c>
      <c r="DC90" s="66" t="n"/>
      <c r="DD90" s="78">
        <f>IF(OR(INDEX(Undirviðmið!$G$6:$G$105,ROW()-6)&lt;&gt;"Starfsbundinn",DC90="",$E90="",$D90=""),"",ROUND(DC90/$E90*$D90*KVARDI,2))</f>
        <v/>
      </c>
      <c r="DE90" s="66" t="n"/>
      <c r="DF90" s="78">
        <f>IF(OR(INDEX(Undirviðmið!$G$6:$G$105,ROW()-6)&lt;&gt;"Starfsbundinn",DE90="",$E90="",$D90=""),"",ROUND(DE90/$E90*$D90*KVARDI,2))</f>
        <v/>
      </c>
      <c r="DG90" s="66" t="n"/>
      <c r="DH90" s="78">
        <f>IF(OR(INDEX(Undirviðmið!$G$6:$G$105,ROW()-6)&lt;&gt;"Starfsbundinn",DG90="",$E90="",$D90=""),"",ROUND(DG90/$E90*$D90*KVARDI,2))</f>
        <v/>
      </c>
      <c r="DI90" s="66" t="n"/>
      <c r="DJ90" s="78">
        <f>IF(OR(INDEX(Undirviðmið!$G$6:$G$105,ROW()-6)&lt;&gt;"Starfsbundinn",DI90="",$E90="",$D90=""),"",ROUND(DI90/$E90*$D90*KVARDI,2))</f>
        <v/>
      </c>
      <c r="DK90" s="66" t="n"/>
      <c r="DL90" s="78">
        <f>IF(OR(INDEX(Undirviðmið!$G$6:$G$105,ROW()-6)&lt;&gt;"Starfsbundinn",DK90="",$E90="",$D90=""),"",ROUND(DK90/$E90*$D90*KVARDI,2))</f>
        <v/>
      </c>
      <c r="DM90" s="66" t="n"/>
      <c r="DN90" s="78">
        <f>IF(OR(INDEX(Undirviðmið!$G$6:$G$105,ROW()-6)&lt;&gt;"Starfsbundinn",DM90="",$E90="",$D90=""),"",ROUND(DM90/$E90*$D90*KVARDI,2))</f>
        <v/>
      </c>
      <c r="DO90" s="66" t="n"/>
      <c r="DP90" s="78">
        <f>IF(OR(INDEX(Undirviðmið!$G$6:$G$105,ROW()-6)&lt;&gt;"Starfsbundinn",DO90="",$E90="",$D90=""),"",ROUND(DO90/$E90*$D90*KVARDI,2))</f>
        <v/>
      </c>
      <c r="DQ90" s="66" t="n"/>
      <c r="DR90" s="78">
        <f>IF(OR(INDEX(Undirviðmið!$G$6:$G$105,ROW()-6)&lt;&gt;"Starfsbundinn",DQ90="",$E90="",$D90=""),"",ROUND(DQ90/$E90*$D90*KVARDI,2))</f>
        <v/>
      </c>
      <c r="DS90" s="66" t="n"/>
      <c r="DT90" s="78">
        <f>IF(OR(INDEX(Undirviðmið!$G$6:$G$105,ROW()-6)&lt;&gt;"Starfsbundinn",DS90="",$E90="",$D90=""),"",ROUND(DS90/$E90*$D90*KVARDI,2))</f>
        <v/>
      </c>
      <c r="DU90" s="66" t="n"/>
      <c r="DV90" s="78">
        <f>IF(OR(INDEX(Undirviðmið!$G$6:$G$105,ROW()-6)&lt;&gt;"Starfsbundinn",DU90="",$E90="",$D90=""),"",ROUND(DU90/$E90*$D90*KVARDI,2))</f>
        <v/>
      </c>
      <c r="DW90" s="66" t="n"/>
      <c r="DX90" s="78">
        <f>IF(OR(INDEX(Undirviðmið!$G$6:$G$105,ROW()-6)&lt;&gt;"Starfsbundinn",DW90="",$E90="",$D90=""),"",ROUND(DW90/$E90*$D90*KVARDI,2))</f>
        <v/>
      </c>
      <c r="DY90" s="66" t="n"/>
      <c r="DZ90" s="78">
        <f>IF(OR(INDEX(Undirviðmið!$G$6:$G$105,ROW()-6)&lt;&gt;"Starfsbundinn",DY90="",$E90="",$D90=""),"",ROUND(DY90/$E90*$D90*KVARDI,2))</f>
        <v/>
      </c>
      <c r="EA90" s="66" t="n"/>
      <c r="EB90" s="78">
        <f>IF(OR(INDEX(Undirviðmið!$G$6:$G$105,ROW()-6)&lt;&gt;"Starfsbundinn",EA90="",$E90="",$D90=""),"",ROUND(EA90/$E90*$D90*KVARDI,2))</f>
        <v/>
      </c>
      <c r="EC90" s="66" t="n"/>
      <c r="ED90" s="78">
        <f>IF(OR(INDEX(Undirviðmið!$G$6:$G$105,ROW()-6)&lt;&gt;"Starfsbundinn",EC90="",$E90="",$D90=""),"",ROUND(EC90/$E90*$D90*KVARDI,2))</f>
        <v/>
      </c>
      <c r="EE90" s="66" t="n"/>
      <c r="EF90" s="78">
        <f>IF(OR(INDEX(Undirviðmið!$G$6:$G$105,ROW()-6)&lt;&gt;"Starfsbundinn",EE90="",$E90="",$D90=""),"",ROUND(EE90/$E90*$D90*KVARDI,2))</f>
        <v/>
      </c>
      <c r="EG90" s="66" t="n"/>
      <c r="EH90" s="78">
        <f>IF(OR(INDEX(Undirviðmið!$G$6:$G$105,ROW()-6)&lt;&gt;"Starfsbundinn",EG90="",$E90="",$D90=""),"",ROUND(EG90/$E90*$D90*KVARDI,2))</f>
        <v/>
      </c>
      <c r="EI90" s="66" t="n"/>
      <c r="EJ90" s="78">
        <f>IF(OR(INDEX(Undirviðmið!$G$6:$G$105,ROW()-6)&lt;&gt;"Starfsbundinn",EI90="",$E90="",$D90=""),"",ROUND(EI90/$E90*$D90*KVARDI,2))</f>
        <v/>
      </c>
      <c r="EK90" s="66" t="n"/>
      <c r="EL90" s="78">
        <f>IF(OR(INDEX(Undirviðmið!$G$6:$G$105,ROW()-6)&lt;&gt;"Starfsbundinn",EK90="",$E90="",$D90=""),"",ROUND(EK90/$E90*$D90*KVARDI,2))</f>
        <v/>
      </c>
      <c r="EM90" s="66" t="n"/>
      <c r="EN90" s="78">
        <f>IF(OR(INDEX(Undirviðmið!$G$6:$G$105,ROW()-6)&lt;&gt;"Starfsbundinn",EM90="",$E90="",$D90=""),"",ROUND(EM90/$E90*$D90*KVARDI,2))</f>
        <v/>
      </c>
      <c r="EO90" s="66" t="n"/>
      <c r="EP90" s="78">
        <f>IF(OR(INDEX(Undirviðmið!$G$6:$G$105,ROW()-6)&lt;&gt;"Starfsbundinn",EO90="",$E90="",$D90=""),"",ROUND(EO90/$E90*$D90*KVARDI,2))</f>
        <v/>
      </c>
      <c r="EQ90" s="66" t="n"/>
      <c r="ER90" s="78">
        <f>IF(OR(INDEX(Undirviðmið!$G$6:$G$105,ROW()-6)&lt;&gt;"Starfsbundinn",EQ90="",$E90="",$D90=""),"",ROUND(EQ90/$E90*$D90*KVARDI,2))</f>
        <v/>
      </c>
      <c r="ES90" s="66" t="n"/>
      <c r="ET90" s="78">
        <f>IF(OR(INDEX(Undirviðmið!$G$6:$G$105,ROW()-6)&lt;&gt;"Starfsbundinn",ES90="",$E90="",$D90=""),"",ROUND(ES90/$E90*$D90*KVARDI,2))</f>
        <v/>
      </c>
      <c r="EU90" s="66" t="n"/>
      <c r="EV90" s="78">
        <f>IF(OR(INDEX(Undirviðmið!$G$6:$G$105,ROW()-6)&lt;&gt;"Starfsbundinn",EU90="",$E90="",$D90=""),"",ROUND(EU90/$E90*$D90*KVARDI,2))</f>
        <v/>
      </c>
      <c r="EW90" s="66" t="n"/>
      <c r="EX90" s="78">
        <f>IF(OR(INDEX(Undirviðmið!$G$6:$G$105,ROW()-6)&lt;&gt;"Starfsbundinn",EW90="",$E90="",$D90=""),"",ROUND(EW90/$E90*$D90*KVARDI,2))</f>
        <v/>
      </c>
      <c r="EY90" s="66" t="n"/>
      <c r="EZ90" s="78">
        <f>IF(OR(INDEX(Undirviðmið!$G$6:$G$105,ROW()-6)&lt;&gt;"Starfsbundinn",EY90="",$E90="",$D90=""),"",ROUND(EY90/$E90*$D90*KVARDI,2))</f>
        <v/>
      </c>
      <c r="FA90" s="66" t="n"/>
      <c r="FB90" s="78">
        <f>IF(OR(INDEX(Undirviðmið!$G$6:$G$105,ROW()-6)&lt;&gt;"Starfsbundinn",FA90="",$E90="",$D90=""),"",ROUND(FA90/$E90*$D90*KVARDI,2))</f>
        <v/>
      </c>
      <c r="FC90" s="66" t="n"/>
      <c r="FD90" s="78">
        <f>IF(OR(INDEX(Undirviðmið!$G$6:$G$105,ROW()-6)&lt;&gt;"Starfsbundinn",FC90="",$E90="",$D90=""),"",ROUND(FC90/$E90*$D90*KVARDI,2))</f>
        <v/>
      </c>
      <c r="FE90" s="66" t="n"/>
      <c r="FF90" s="78">
        <f>IF(OR(INDEX(Undirviðmið!$G$6:$G$105,ROW()-6)&lt;&gt;"Starfsbundinn",FE90="",$E90="",$D90=""),"",ROUND(FE90/$E90*$D90*KVARDI,2))</f>
        <v/>
      </c>
      <c r="FG90" s="66" t="n"/>
      <c r="FH90" s="78">
        <f>IF(OR(INDEX(Undirviðmið!$G$6:$G$105,ROW()-6)&lt;&gt;"Starfsbundinn",FG90="",$E90="",$D90=""),"",ROUND(FG90/$E90*$D90*KVARDI,2))</f>
        <v/>
      </c>
      <c r="FI90" s="66" t="n"/>
      <c r="FJ90" s="78">
        <f>IF(OR(INDEX(Undirviðmið!$G$6:$G$105,ROW()-6)&lt;&gt;"Starfsbundinn",FI90="",$E90="",$D90=""),"",ROUND(FI90/$E90*$D90*KVARDI,2))</f>
        <v/>
      </c>
      <c r="FK90" s="66" t="n"/>
      <c r="FL90" s="78">
        <f>IF(OR(INDEX(Undirviðmið!$G$6:$G$105,ROW()-6)&lt;&gt;"Starfsbundinn",FK90="",$E90="",$D90=""),"",ROUND(FK90/$E90*$D90*KVARDI,2))</f>
        <v/>
      </c>
      <c r="FM90" s="66" t="n"/>
      <c r="FN90" s="78">
        <f>IF(OR(INDEX(Undirviðmið!$G$6:$G$105,ROW()-6)&lt;&gt;"Starfsbundinn",FM90="",$E90="",$D90=""),"",ROUND(FM90/$E90*$D90*KVARDI,2))</f>
        <v/>
      </c>
      <c r="FO90" s="66" t="n"/>
      <c r="FP90" s="78">
        <f>IF(OR(INDEX(Undirviðmið!$G$6:$G$105,ROW()-6)&lt;&gt;"Starfsbundinn",FO90="",$E90="",$D90=""),"",ROUND(FO90/$E90*$D90*KVARDI,2))</f>
        <v/>
      </c>
      <c r="FQ90" s="66" t="n"/>
      <c r="FR90" s="78">
        <f>IF(OR(INDEX(Undirviðmið!$G$6:$G$105,ROW()-6)&lt;&gt;"Starfsbundinn",FQ90="",$E90="",$D90=""),"",ROUND(FQ90/$E90*$D90*KVARDI,2))</f>
        <v/>
      </c>
      <c r="FS90" s="66" t="n"/>
      <c r="FT90" s="78">
        <f>IF(OR(INDEX(Undirviðmið!$G$6:$G$105,ROW()-6)&lt;&gt;"Starfsbundinn",FS90="",$E90="",$D90=""),"",ROUND(FS90/$E90*$D90*KVARDI,2))</f>
        <v/>
      </c>
      <c r="FU90" s="66" t="n"/>
      <c r="FV90" s="78">
        <f>IF(OR(INDEX(Undirviðmið!$G$6:$G$105,ROW()-6)&lt;&gt;"Starfsbundinn",FU90="",$E90="",$D90=""),"",ROUND(FU90/$E90*$D90*KVARDI,2))</f>
        <v/>
      </c>
      <c r="FW90" s="66" t="n"/>
      <c r="FX90" s="78">
        <f>IF(OR(INDEX(Undirviðmið!$G$6:$G$105,ROW()-6)&lt;&gt;"Starfsbundinn",FW90="",$E90="",$D90=""),"",ROUND(FW90/$E90*$D90*KVARDI,2))</f>
        <v/>
      </c>
      <c r="FY90" s="66" t="n"/>
      <c r="FZ90" s="78">
        <f>IF(OR(INDEX(Undirviðmið!$G$6:$G$105,ROW()-6)&lt;&gt;"Starfsbundinn",FY90="",$E90="",$D90=""),"",ROUND(FY90/$E90*$D90*KVARDI,2))</f>
        <v/>
      </c>
      <c r="GA90" s="66" t="n"/>
      <c r="GB90" s="78">
        <f>IF(OR(INDEX(Undirviðmið!$G$6:$G$105,ROW()-6)&lt;&gt;"Starfsbundinn",GA90="",$E90="",$D90=""),"",ROUND(GA90/$E90*$D90*KVARDI,2))</f>
        <v/>
      </c>
      <c r="GC90" s="66" t="n"/>
      <c r="GD90" s="78">
        <f>IF(OR(INDEX(Undirviðmið!$G$6:$G$105,ROW()-6)&lt;&gt;"Starfsbundinn",GC90="",$E90="",$D90=""),"",ROUND(GC90/$E90*$D90*KVARDI,2))</f>
        <v/>
      </c>
      <c r="GE90" s="66" t="n"/>
      <c r="GF90" s="78">
        <f>IF(OR(INDEX(Undirviðmið!$G$6:$G$105,ROW()-6)&lt;&gt;"Starfsbundinn",GE90="",$E90="",$D90=""),"",ROUND(GE90/$E90*$D90*KVARDI,2))</f>
        <v/>
      </c>
      <c r="GG90" s="66" t="n"/>
      <c r="GH90" s="78">
        <f>IF(OR(INDEX(Undirviðmið!$G$6:$G$105,ROW()-6)&lt;&gt;"Starfsbundinn",GG90="",$E90="",$D90=""),"",ROUND(GG90/$E90*$D90*KVARDI,2))</f>
        <v/>
      </c>
      <c r="GI90" s="66" t="n"/>
      <c r="GJ90" s="78">
        <f>IF(OR(INDEX(Undirviðmið!$G$6:$G$105,ROW()-6)&lt;&gt;"Starfsbundinn",GI90="",$E90="",$D90=""),"",ROUND(GI90/$E90*$D90*KVARDI,2))</f>
        <v/>
      </c>
      <c r="GK90" s="66" t="n"/>
      <c r="GL90" s="78">
        <f>IF(OR(INDEX(Undirviðmið!$G$6:$G$105,ROW()-6)&lt;&gt;"Starfsbundinn",GK90="",$E90="",$D90=""),"",ROUND(GK90/$E90*$D90*KVARDI,2))</f>
        <v/>
      </c>
      <c r="GM90" s="66" t="n"/>
      <c r="GN90" s="78">
        <f>IF(OR(INDEX(Undirviðmið!$G$6:$G$105,ROW()-6)&lt;&gt;"Starfsbundinn",GM90="",$E90="",$D90=""),"",ROUND(GM90/$E90*$D90*KVARDI,2))</f>
        <v/>
      </c>
      <c r="GO90" s="66" t="n"/>
      <c r="GP90" s="78">
        <f>IF(OR(INDEX(Undirviðmið!$G$6:$G$105,ROW()-6)&lt;&gt;"Starfsbundinn",GO90="",$E90="",$D90=""),"",ROUND(GO90/$E90*$D90*KVARDI,2))</f>
        <v/>
      </c>
      <c r="GQ90" s="66" t="n"/>
      <c r="GR90" s="78">
        <f>IF(OR(INDEX(Undirviðmið!$G$6:$G$105,ROW()-6)&lt;&gt;"Starfsbundinn",GQ90="",$E90="",$D90=""),"",ROUND(GQ90/$E90*$D90*KVARDI,2))</f>
        <v/>
      </c>
      <c r="GS90" s="66" t="n"/>
      <c r="GT90" s="78">
        <f>IF(OR(INDEX(Undirviðmið!$G$6:$G$105,ROW()-6)&lt;&gt;"Starfsbundinn",GS90="",$E90="",$D90=""),"",ROUND(GS90/$E90*$D90*KVARDI,2))</f>
        <v/>
      </c>
      <c r="GU90" s="66" t="n"/>
      <c r="GV90" s="78">
        <f>IF(OR(INDEX(Undirviðmið!$G$6:$G$105,ROW()-6)&lt;&gt;"Starfsbundinn",GU90="",$E90="",$D90=""),"",ROUND(GU90/$E90*$D90*KVARDI,2))</f>
        <v/>
      </c>
      <c r="GW90" s="66" t="n"/>
      <c r="GX90" s="78">
        <f>IF(OR(INDEX(Undirviðmið!$G$6:$G$105,ROW()-6)&lt;&gt;"Starfsbundinn",GW90="",$E90="",$D90=""),"",ROUND(GW90/$E90*$D90*KVARDI,2))</f>
        <v/>
      </c>
    </row>
    <row r="91" ht="15" customHeight="1" s="47">
      <c r="B91" s="67">
        <f>IF(INDEX(Undirviðmið!$G$6:$G$105,ROW()-6)="Starfsbundinn",INDEX(Undirviðmið!$B$6:$B$105,ROW()-6),"")</f>
        <v/>
      </c>
      <c r="C91" s="67">
        <f>IF(INDEX(Undirviðmið!$G$6:$G$105,ROW()-6)="Starfsbundinn",INDEX(Undirviðmið!$C$6:$C$105,ROW()-6),"")</f>
        <v/>
      </c>
      <c r="D91" s="77">
        <f>IF(INDEX(Undirviðmið!$G$6:$G$105,ROW()-6)="Starfsbundinn",INDEX(Undirviðmið!$E$6:$E$105,ROW()-6),"")</f>
        <v/>
      </c>
      <c r="E91" s="77">
        <f>IF(INDEX(Undirviðmið!$G$6:$G$105,ROW()-6)="Starfsbundinn",INDEX(Undirviðmið!$F$6:$F$105,ROW()-6),"")</f>
        <v/>
      </c>
      <c r="F91" s="77">
        <f>IF(INDEX(Undirviðmið!$G$6:$G$105,ROW()-6)="Starfsbundinn",IFERROR(INDEX(Undirviðmið!$E$6:$E$105,ROW()-6)*KVARDI,""),"")</f>
        <v/>
      </c>
      <c r="G91" s="66" t="n"/>
      <c r="H91" s="78">
        <f>IF(OR(INDEX(Undirviðmið!$G$6:$G$105,ROW()-6)&lt;&gt;"Starfsbundinn",G91="",$E91="",$D91=""),"",ROUND(G91/$E91*$D91*KVARDI,2))</f>
        <v/>
      </c>
      <c r="I91" s="66" t="n"/>
      <c r="J91" s="78">
        <f>IF(OR(INDEX(Undirviðmið!$G$6:$G$105,ROW()-6)&lt;&gt;"Starfsbundinn",I91="",$E91="",$D91=""),"",ROUND(I91/$E91*$D91*KVARDI,2))</f>
        <v/>
      </c>
      <c r="K91" s="66" t="n"/>
      <c r="L91" s="78">
        <f>IF(OR(INDEX(Undirviðmið!$G$6:$G$105,ROW()-6)&lt;&gt;"Starfsbundinn",K91="",$E91="",$D91=""),"",ROUND(K91/$E91*$D91*KVARDI,2))</f>
        <v/>
      </c>
      <c r="M91" s="66" t="n"/>
      <c r="N91" s="78">
        <f>IF(OR(INDEX(Undirviðmið!$G$6:$G$105,ROW()-6)&lt;&gt;"Starfsbundinn",M91="",$E91="",$D91=""),"",ROUND(M91/$E91*$D91*KVARDI,2))</f>
        <v/>
      </c>
      <c r="O91" s="66" t="n"/>
      <c r="P91" s="78">
        <f>IF(OR(INDEX(Undirviðmið!$G$6:$G$105,ROW()-6)&lt;&gt;"Starfsbundinn",O91="",$E91="",$D91=""),"",ROUND(O91/$E91*$D91*KVARDI,2))</f>
        <v/>
      </c>
      <c r="Q91" s="66" t="n"/>
      <c r="R91" s="78">
        <f>IF(OR(INDEX(Undirviðmið!$G$6:$G$105,ROW()-6)&lt;&gt;"Starfsbundinn",Q91="",$E91="",$D91=""),"",ROUND(Q91/$E91*$D91*KVARDI,2))</f>
        <v/>
      </c>
      <c r="S91" s="66" t="n"/>
      <c r="T91" s="78">
        <f>IF(OR(INDEX(Undirviðmið!$G$6:$G$105,ROW()-6)&lt;&gt;"Starfsbundinn",S91="",$E91="",$D91=""),"",ROUND(S91/$E91*$D91*KVARDI,2))</f>
        <v/>
      </c>
      <c r="U91" s="66" t="n"/>
      <c r="V91" s="78">
        <f>IF(OR(INDEX(Undirviðmið!$G$6:$G$105,ROW()-6)&lt;&gt;"Starfsbundinn",U91="",$E91="",$D91=""),"",ROUND(U91/$E91*$D91*KVARDI,2))</f>
        <v/>
      </c>
      <c r="W91" s="66" t="n"/>
      <c r="X91" s="78">
        <f>IF(OR(INDEX(Undirviðmið!$G$6:$G$105,ROW()-6)&lt;&gt;"Starfsbundinn",W91="",$E91="",$D91=""),"",ROUND(W91/$E91*$D91*KVARDI,2))</f>
        <v/>
      </c>
      <c r="Y91" s="66" t="n"/>
      <c r="Z91" s="78">
        <f>IF(OR(INDEX(Undirviðmið!$G$6:$G$105,ROW()-6)&lt;&gt;"Starfsbundinn",Y91="",$E91="",$D91=""),"",ROUND(Y91/$E91*$D91*KVARDI,2))</f>
        <v/>
      </c>
      <c r="AA91" s="66" t="n"/>
      <c r="AB91" s="78">
        <f>IF(OR(INDEX(Undirviðmið!$G$6:$G$105,ROW()-6)&lt;&gt;"Starfsbundinn",AA91="",$E91="",$D91=""),"",ROUND(AA91/$E91*$D91*KVARDI,2))</f>
        <v/>
      </c>
      <c r="AC91" s="66" t="n"/>
      <c r="AD91" s="78">
        <f>IF(OR(INDEX(Undirviðmið!$G$6:$G$105,ROW()-6)&lt;&gt;"Starfsbundinn",AC91="",$E91="",$D91=""),"",ROUND(AC91/$E91*$D91*KVARDI,2))</f>
        <v/>
      </c>
      <c r="AE91" s="66" t="n"/>
      <c r="AF91" s="78">
        <f>IF(OR(INDEX(Undirviðmið!$G$6:$G$105,ROW()-6)&lt;&gt;"Starfsbundinn",AE91="",$E91="",$D91=""),"",ROUND(AE91/$E91*$D91*KVARDI,2))</f>
        <v/>
      </c>
      <c r="AG91" s="66" t="n"/>
      <c r="AH91" s="78">
        <f>IF(OR(INDEX(Undirviðmið!$G$6:$G$105,ROW()-6)&lt;&gt;"Starfsbundinn",AG91="",$E91="",$D91=""),"",ROUND(AG91/$E91*$D91*KVARDI,2))</f>
        <v/>
      </c>
      <c r="AI91" s="66" t="n"/>
      <c r="AJ91" s="78">
        <f>IF(OR(INDEX(Undirviðmið!$G$6:$G$105,ROW()-6)&lt;&gt;"Starfsbundinn",AI91="",$E91="",$D91=""),"",ROUND(AI91/$E91*$D91*KVARDI,2))</f>
        <v/>
      </c>
      <c r="AK91" s="66" t="n"/>
      <c r="AL91" s="78">
        <f>IF(OR(INDEX(Undirviðmið!$G$6:$G$105,ROW()-6)&lt;&gt;"Starfsbundinn",AK91="",$E91="",$D91=""),"",ROUND(AK91/$E91*$D91*KVARDI,2))</f>
        <v/>
      </c>
      <c r="AM91" s="66" t="n"/>
      <c r="AN91" s="78">
        <f>IF(OR(INDEX(Undirviðmið!$G$6:$G$105,ROW()-6)&lt;&gt;"Starfsbundinn",AM91="",$E91="",$D91=""),"",ROUND(AM91/$E91*$D91*KVARDI,2))</f>
        <v/>
      </c>
      <c r="AO91" s="66" t="n"/>
      <c r="AP91" s="78">
        <f>IF(OR(INDEX(Undirviðmið!$G$6:$G$105,ROW()-6)&lt;&gt;"Starfsbundinn",AO91="",$E91="",$D91=""),"",ROUND(AO91/$E91*$D91*KVARDI,2))</f>
        <v/>
      </c>
      <c r="AQ91" s="66" t="n"/>
      <c r="AR91" s="78">
        <f>IF(OR(INDEX(Undirviðmið!$G$6:$G$105,ROW()-6)&lt;&gt;"Starfsbundinn",AQ91="",$E91="",$D91=""),"",ROUND(AQ91/$E91*$D91*KVARDI,2))</f>
        <v/>
      </c>
      <c r="AS91" s="66" t="n"/>
      <c r="AT91" s="78">
        <f>IF(OR(INDEX(Undirviðmið!$G$6:$G$105,ROW()-6)&lt;&gt;"Starfsbundinn",AS91="",$E91="",$D91=""),"",ROUND(AS91/$E91*$D91*KVARDI,2))</f>
        <v/>
      </c>
      <c r="AU91" s="66" t="n"/>
      <c r="AV91" s="78">
        <f>IF(OR(INDEX(Undirviðmið!$G$6:$G$105,ROW()-6)&lt;&gt;"Starfsbundinn",AU91="",$E91="",$D91=""),"",ROUND(AU91/$E91*$D91*KVARDI,2))</f>
        <v/>
      </c>
      <c r="AW91" s="66" t="n"/>
      <c r="AX91" s="78">
        <f>IF(OR(INDEX(Undirviðmið!$G$6:$G$105,ROW()-6)&lt;&gt;"Starfsbundinn",AW91="",$E91="",$D91=""),"",ROUND(AW91/$E91*$D91*KVARDI,2))</f>
        <v/>
      </c>
      <c r="AY91" s="66" t="n"/>
      <c r="AZ91" s="78">
        <f>IF(OR(INDEX(Undirviðmið!$G$6:$G$105,ROW()-6)&lt;&gt;"Starfsbundinn",AY91="",$E91="",$D91=""),"",ROUND(AY91/$E91*$D91*KVARDI,2))</f>
        <v/>
      </c>
      <c r="BA91" s="66" t="n"/>
      <c r="BB91" s="78">
        <f>IF(OR(INDEX(Undirviðmið!$G$6:$G$105,ROW()-6)&lt;&gt;"Starfsbundinn",BA91="",$E91="",$D91=""),"",ROUND(BA91/$E91*$D91*KVARDI,2))</f>
        <v/>
      </c>
      <c r="BC91" s="66" t="n"/>
      <c r="BD91" s="78">
        <f>IF(OR(INDEX(Undirviðmið!$G$6:$G$105,ROW()-6)&lt;&gt;"Starfsbundinn",BC91="",$E91="",$D91=""),"",ROUND(BC91/$E91*$D91*KVARDI,2))</f>
        <v/>
      </c>
      <c r="BE91" s="66" t="n"/>
      <c r="BF91" s="78">
        <f>IF(OR(INDEX(Undirviðmið!$G$6:$G$105,ROW()-6)&lt;&gt;"Starfsbundinn",BE91="",$E91="",$D91=""),"",ROUND(BE91/$E91*$D91*KVARDI,2))</f>
        <v/>
      </c>
      <c r="BG91" s="66" t="n"/>
      <c r="BH91" s="78">
        <f>IF(OR(INDEX(Undirviðmið!$G$6:$G$105,ROW()-6)&lt;&gt;"Starfsbundinn",BG91="",$E91="",$D91=""),"",ROUND(BG91/$E91*$D91*KVARDI,2))</f>
        <v/>
      </c>
      <c r="BI91" s="66" t="n"/>
      <c r="BJ91" s="78">
        <f>IF(OR(INDEX(Undirviðmið!$G$6:$G$105,ROW()-6)&lt;&gt;"Starfsbundinn",BI91="",$E91="",$D91=""),"",ROUND(BI91/$E91*$D91*KVARDI,2))</f>
        <v/>
      </c>
      <c r="BK91" s="66" t="n"/>
      <c r="BL91" s="78">
        <f>IF(OR(INDEX(Undirviðmið!$G$6:$G$105,ROW()-6)&lt;&gt;"Starfsbundinn",BK91="",$E91="",$D91=""),"",ROUND(BK91/$E91*$D91*KVARDI,2))</f>
        <v/>
      </c>
      <c r="BM91" s="66" t="n"/>
      <c r="BN91" s="78">
        <f>IF(OR(INDEX(Undirviðmið!$G$6:$G$105,ROW()-6)&lt;&gt;"Starfsbundinn",BM91="",$E91="",$D91=""),"",ROUND(BM91/$E91*$D91*KVARDI,2))</f>
        <v/>
      </c>
      <c r="BO91" s="66" t="n"/>
      <c r="BP91" s="78">
        <f>IF(OR(INDEX(Undirviðmið!$G$6:$G$105,ROW()-6)&lt;&gt;"Starfsbundinn",BO91="",$E91="",$D91=""),"",ROUND(BO91/$E91*$D91*KVARDI,2))</f>
        <v/>
      </c>
      <c r="BQ91" s="66" t="n"/>
      <c r="BR91" s="78">
        <f>IF(OR(INDEX(Undirviðmið!$G$6:$G$105,ROW()-6)&lt;&gt;"Starfsbundinn",BQ91="",$E91="",$D91=""),"",ROUND(BQ91/$E91*$D91*KVARDI,2))</f>
        <v/>
      </c>
      <c r="BS91" s="66" t="n"/>
      <c r="BT91" s="78">
        <f>IF(OR(INDEX(Undirviðmið!$G$6:$G$105,ROW()-6)&lt;&gt;"Starfsbundinn",BS91="",$E91="",$D91=""),"",ROUND(BS91/$E91*$D91*KVARDI,2))</f>
        <v/>
      </c>
      <c r="BU91" s="66" t="n"/>
      <c r="BV91" s="78">
        <f>IF(OR(INDEX(Undirviðmið!$G$6:$G$105,ROW()-6)&lt;&gt;"Starfsbundinn",BU91="",$E91="",$D91=""),"",ROUND(BU91/$E91*$D91*KVARDI,2))</f>
        <v/>
      </c>
      <c r="BW91" s="66" t="n"/>
      <c r="BX91" s="78">
        <f>IF(OR(INDEX(Undirviðmið!$G$6:$G$105,ROW()-6)&lt;&gt;"Starfsbundinn",BW91="",$E91="",$D91=""),"",ROUND(BW91/$E91*$D91*KVARDI,2))</f>
        <v/>
      </c>
      <c r="BY91" s="66" t="n"/>
      <c r="BZ91" s="78">
        <f>IF(OR(INDEX(Undirviðmið!$G$6:$G$105,ROW()-6)&lt;&gt;"Starfsbundinn",BY91="",$E91="",$D91=""),"",ROUND(BY91/$E91*$D91*KVARDI,2))</f>
        <v/>
      </c>
      <c r="CA91" s="66" t="n"/>
      <c r="CB91" s="78">
        <f>IF(OR(INDEX(Undirviðmið!$G$6:$G$105,ROW()-6)&lt;&gt;"Starfsbundinn",CA91="",$E91="",$D91=""),"",ROUND(CA91/$E91*$D91*KVARDI,2))</f>
        <v/>
      </c>
      <c r="CC91" s="66" t="n"/>
      <c r="CD91" s="78">
        <f>IF(OR(INDEX(Undirviðmið!$G$6:$G$105,ROW()-6)&lt;&gt;"Starfsbundinn",CC91="",$E91="",$D91=""),"",ROUND(CC91/$E91*$D91*KVARDI,2))</f>
        <v/>
      </c>
      <c r="CE91" s="66" t="n"/>
      <c r="CF91" s="78">
        <f>IF(OR(INDEX(Undirviðmið!$G$6:$G$105,ROW()-6)&lt;&gt;"Starfsbundinn",CE91="",$E91="",$D91=""),"",ROUND(CE91/$E91*$D91*KVARDI,2))</f>
        <v/>
      </c>
      <c r="CG91" s="66" t="n"/>
      <c r="CH91" s="78">
        <f>IF(OR(INDEX(Undirviðmið!$G$6:$G$105,ROW()-6)&lt;&gt;"Starfsbundinn",CG91="",$E91="",$D91=""),"",ROUND(CG91/$E91*$D91*KVARDI,2))</f>
        <v/>
      </c>
      <c r="CI91" s="66" t="n"/>
      <c r="CJ91" s="78">
        <f>IF(OR(INDEX(Undirviðmið!$G$6:$G$105,ROW()-6)&lt;&gt;"Starfsbundinn",CI91="",$E91="",$D91=""),"",ROUND(CI91/$E91*$D91*KVARDI,2))</f>
        <v/>
      </c>
      <c r="CK91" s="66" t="n"/>
      <c r="CL91" s="78">
        <f>IF(OR(INDEX(Undirviðmið!$G$6:$G$105,ROW()-6)&lt;&gt;"Starfsbundinn",CK91="",$E91="",$D91=""),"",ROUND(CK91/$E91*$D91*KVARDI,2))</f>
        <v/>
      </c>
      <c r="CM91" s="66" t="n"/>
      <c r="CN91" s="78">
        <f>IF(OR(INDEX(Undirviðmið!$G$6:$G$105,ROW()-6)&lt;&gt;"Starfsbundinn",CM91="",$E91="",$D91=""),"",ROUND(CM91/$E91*$D91*KVARDI,2))</f>
        <v/>
      </c>
      <c r="CO91" s="66" t="n"/>
      <c r="CP91" s="78">
        <f>IF(OR(INDEX(Undirviðmið!$G$6:$G$105,ROW()-6)&lt;&gt;"Starfsbundinn",CO91="",$E91="",$D91=""),"",ROUND(CO91/$E91*$D91*KVARDI,2))</f>
        <v/>
      </c>
      <c r="CQ91" s="66" t="n"/>
      <c r="CR91" s="78">
        <f>IF(OR(INDEX(Undirviðmið!$G$6:$G$105,ROW()-6)&lt;&gt;"Starfsbundinn",CQ91="",$E91="",$D91=""),"",ROUND(CQ91/$E91*$D91*KVARDI,2))</f>
        <v/>
      </c>
      <c r="CS91" s="66" t="n"/>
      <c r="CT91" s="78">
        <f>IF(OR(INDEX(Undirviðmið!$G$6:$G$105,ROW()-6)&lt;&gt;"Starfsbundinn",CS91="",$E91="",$D91=""),"",ROUND(CS91/$E91*$D91*KVARDI,2))</f>
        <v/>
      </c>
      <c r="CU91" s="66" t="n"/>
      <c r="CV91" s="78">
        <f>IF(OR(INDEX(Undirviðmið!$G$6:$G$105,ROW()-6)&lt;&gt;"Starfsbundinn",CU91="",$E91="",$D91=""),"",ROUND(CU91/$E91*$D91*KVARDI,2))</f>
        <v/>
      </c>
      <c r="CW91" s="66" t="n"/>
      <c r="CX91" s="78">
        <f>IF(OR(INDEX(Undirviðmið!$G$6:$G$105,ROW()-6)&lt;&gt;"Starfsbundinn",CW91="",$E91="",$D91=""),"",ROUND(CW91/$E91*$D91*KVARDI,2))</f>
        <v/>
      </c>
      <c r="CY91" s="66" t="n"/>
      <c r="CZ91" s="78">
        <f>IF(OR(INDEX(Undirviðmið!$G$6:$G$105,ROW()-6)&lt;&gt;"Starfsbundinn",CY91="",$E91="",$D91=""),"",ROUND(CY91/$E91*$D91*KVARDI,2))</f>
        <v/>
      </c>
      <c r="DA91" s="66" t="n"/>
      <c r="DB91" s="78">
        <f>IF(OR(INDEX(Undirviðmið!$G$6:$G$105,ROW()-6)&lt;&gt;"Starfsbundinn",DA91="",$E91="",$D91=""),"",ROUND(DA91/$E91*$D91*KVARDI,2))</f>
        <v/>
      </c>
      <c r="DC91" s="66" t="n"/>
      <c r="DD91" s="78">
        <f>IF(OR(INDEX(Undirviðmið!$G$6:$G$105,ROW()-6)&lt;&gt;"Starfsbundinn",DC91="",$E91="",$D91=""),"",ROUND(DC91/$E91*$D91*KVARDI,2))</f>
        <v/>
      </c>
      <c r="DE91" s="66" t="n"/>
      <c r="DF91" s="78">
        <f>IF(OR(INDEX(Undirviðmið!$G$6:$G$105,ROW()-6)&lt;&gt;"Starfsbundinn",DE91="",$E91="",$D91=""),"",ROUND(DE91/$E91*$D91*KVARDI,2))</f>
        <v/>
      </c>
      <c r="DG91" s="66" t="n"/>
      <c r="DH91" s="78">
        <f>IF(OR(INDEX(Undirviðmið!$G$6:$G$105,ROW()-6)&lt;&gt;"Starfsbundinn",DG91="",$E91="",$D91=""),"",ROUND(DG91/$E91*$D91*KVARDI,2))</f>
        <v/>
      </c>
      <c r="DI91" s="66" t="n"/>
      <c r="DJ91" s="78">
        <f>IF(OR(INDEX(Undirviðmið!$G$6:$G$105,ROW()-6)&lt;&gt;"Starfsbundinn",DI91="",$E91="",$D91=""),"",ROUND(DI91/$E91*$D91*KVARDI,2))</f>
        <v/>
      </c>
      <c r="DK91" s="66" t="n"/>
      <c r="DL91" s="78">
        <f>IF(OR(INDEX(Undirviðmið!$G$6:$G$105,ROW()-6)&lt;&gt;"Starfsbundinn",DK91="",$E91="",$D91=""),"",ROUND(DK91/$E91*$D91*KVARDI,2))</f>
        <v/>
      </c>
      <c r="DM91" s="66" t="n"/>
      <c r="DN91" s="78">
        <f>IF(OR(INDEX(Undirviðmið!$G$6:$G$105,ROW()-6)&lt;&gt;"Starfsbundinn",DM91="",$E91="",$D91=""),"",ROUND(DM91/$E91*$D91*KVARDI,2))</f>
        <v/>
      </c>
      <c r="DO91" s="66" t="n"/>
      <c r="DP91" s="78">
        <f>IF(OR(INDEX(Undirviðmið!$G$6:$G$105,ROW()-6)&lt;&gt;"Starfsbundinn",DO91="",$E91="",$D91=""),"",ROUND(DO91/$E91*$D91*KVARDI,2))</f>
        <v/>
      </c>
      <c r="DQ91" s="66" t="n"/>
      <c r="DR91" s="78">
        <f>IF(OR(INDEX(Undirviðmið!$G$6:$G$105,ROW()-6)&lt;&gt;"Starfsbundinn",DQ91="",$E91="",$D91=""),"",ROUND(DQ91/$E91*$D91*KVARDI,2))</f>
        <v/>
      </c>
      <c r="DS91" s="66" t="n"/>
      <c r="DT91" s="78">
        <f>IF(OR(INDEX(Undirviðmið!$G$6:$G$105,ROW()-6)&lt;&gt;"Starfsbundinn",DS91="",$E91="",$D91=""),"",ROUND(DS91/$E91*$D91*KVARDI,2))</f>
        <v/>
      </c>
      <c r="DU91" s="66" t="n"/>
      <c r="DV91" s="78">
        <f>IF(OR(INDEX(Undirviðmið!$G$6:$G$105,ROW()-6)&lt;&gt;"Starfsbundinn",DU91="",$E91="",$D91=""),"",ROUND(DU91/$E91*$D91*KVARDI,2))</f>
        <v/>
      </c>
      <c r="DW91" s="66" t="n"/>
      <c r="DX91" s="78">
        <f>IF(OR(INDEX(Undirviðmið!$G$6:$G$105,ROW()-6)&lt;&gt;"Starfsbundinn",DW91="",$E91="",$D91=""),"",ROUND(DW91/$E91*$D91*KVARDI,2))</f>
        <v/>
      </c>
      <c r="DY91" s="66" t="n"/>
      <c r="DZ91" s="78">
        <f>IF(OR(INDEX(Undirviðmið!$G$6:$G$105,ROW()-6)&lt;&gt;"Starfsbundinn",DY91="",$E91="",$D91=""),"",ROUND(DY91/$E91*$D91*KVARDI,2))</f>
        <v/>
      </c>
      <c r="EA91" s="66" t="n"/>
      <c r="EB91" s="78">
        <f>IF(OR(INDEX(Undirviðmið!$G$6:$G$105,ROW()-6)&lt;&gt;"Starfsbundinn",EA91="",$E91="",$D91=""),"",ROUND(EA91/$E91*$D91*KVARDI,2))</f>
        <v/>
      </c>
      <c r="EC91" s="66" t="n"/>
      <c r="ED91" s="78">
        <f>IF(OR(INDEX(Undirviðmið!$G$6:$G$105,ROW()-6)&lt;&gt;"Starfsbundinn",EC91="",$E91="",$D91=""),"",ROUND(EC91/$E91*$D91*KVARDI,2))</f>
        <v/>
      </c>
      <c r="EE91" s="66" t="n"/>
      <c r="EF91" s="78">
        <f>IF(OR(INDEX(Undirviðmið!$G$6:$G$105,ROW()-6)&lt;&gt;"Starfsbundinn",EE91="",$E91="",$D91=""),"",ROUND(EE91/$E91*$D91*KVARDI,2))</f>
        <v/>
      </c>
      <c r="EG91" s="66" t="n"/>
      <c r="EH91" s="78">
        <f>IF(OR(INDEX(Undirviðmið!$G$6:$G$105,ROW()-6)&lt;&gt;"Starfsbundinn",EG91="",$E91="",$D91=""),"",ROUND(EG91/$E91*$D91*KVARDI,2))</f>
        <v/>
      </c>
      <c r="EI91" s="66" t="n"/>
      <c r="EJ91" s="78">
        <f>IF(OR(INDEX(Undirviðmið!$G$6:$G$105,ROW()-6)&lt;&gt;"Starfsbundinn",EI91="",$E91="",$D91=""),"",ROUND(EI91/$E91*$D91*KVARDI,2))</f>
        <v/>
      </c>
      <c r="EK91" s="66" t="n"/>
      <c r="EL91" s="78">
        <f>IF(OR(INDEX(Undirviðmið!$G$6:$G$105,ROW()-6)&lt;&gt;"Starfsbundinn",EK91="",$E91="",$D91=""),"",ROUND(EK91/$E91*$D91*KVARDI,2))</f>
        <v/>
      </c>
      <c r="EM91" s="66" t="n"/>
      <c r="EN91" s="78">
        <f>IF(OR(INDEX(Undirviðmið!$G$6:$G$105,ROW()-6)&lt;&gt;"Starfsbundinn",EM91="",$E91="",$D91=""),"",ROUND(EM91/$E91*$D91*KVARDI,2))</f>
        <v/>
      </c>
      <c r="EO91" s="66" t="n"/>
      <c r="EP91" s="78">
        <f>IF(OR(INDEX(Undirviðmið!$G$6:$G$105,ROW()-6)&lt;&gt;"Starfsbundinn",EO91="",$E91="",$D91=""),"",ROUND(EO91/$E91*$D91*KVARDI,2))</f>
        <v/>
      </c>
      <c r="EQ91" s="66" t="n"/>
      <c r="ER91" s="78">
        <f>IF(OR(INDEX(Undirviðmið!$G$6:$G$105,ROW()-6)&lt;&gt;"Starfsbundinn",EQ91="",$E91="",$D91=""),"",ROUND(EQ91/$E91*$D91*KVARDI,2))</f>
        <v/>
      </c>
      <c r="ES91" s="66" t="n"/>
      <c r="ET91" s="78">
        <f>IF(OR(INDEX(Undirviðmið!$G$6:$G$105,ROW()-6)&lt;&gt;"Starfsbundinn",ES91="",$E91="",$D91=""),"",ROUND(ES91/$E91*$D91*KVARDI,2))</f>
        <v/>
      </c>
      <c r="EU91" s="66" t="n"/>
      <c r="EV91" s="78">
        <f>IF(OR(INDEX(Undirviðmið!$G$6:$G$105,ROW()-6)&lt;&gt;"Starfsbundinn",EU91="",$E91="",$D91=""),"",ROUND(EU91/$E91*$D91*KVARDI,2))</f>
        <v/>
      </c>
      <c r="EW91" s="66" t="n"/>
      <c r="EX91" s="78">
        <f>IF(OR(INDEX(Undirviðmið!$G$6:$G$105,ROW()-6)&lt;&gt;"Starfsbundinn",EW91="",$E91="",$D91=""),"",ROUND(EW91/$E91*$D91*KVARDI,2))</f>
        <v/>
      </c>
      <c r="EY91" s="66" t="n"/>
      <c r="EZ91" s="78">
        <f>IF(OR(INDEX(Undirviðmið!$G$6:$G$105,ROW()-6)&lt;&gt;"Starfsbundinn",EY91="",$E91="",$D91=""),"",ROUND(EY91/$E91*$D91*KVARDI,2))</f>
        <v/>
      </c>
      <c r="FA91" s="66" t="n"/>
      <c r="FB91" s="78">
        <f>IF(OR(INDEX(Undirviðmið!$G$6:$G$105,ROW()-6)&lt;&gt;"Starfsbundinn",FA91="",$E91="",$D91=""),"",ROUND(FA91/$E91*$D91*KVARDI,2))</f>
        <v/>
      </c>
      <c r="FC91" s="66" t="n"/>
      <c r="FD91" s="78">
        <f>IF(OR(INDEX(Undirviðmið!$G$6:$G$105,ROW()-6)&lt;&gt;"Starfsbundinn",FC91="",$E91="",$D91=""),"",ROUND(FC91/$E91*$D91*KVARDI,2))</f>
        <v/>
      </c>
      <c r="FE91" s="66" t="n"/>
      <c r="FF91" s="78">
        <f>IF(OR(INDEX(Undirviðmið!$G$6:$G$105,ROW()-6)&lt;&gt;"Starfsbundinn",FE91="",$E91="",$D91=""),"",ROUND(FE91/$E91*$D91*KVARDI,2))</f>
        <v/>
      </c>
      <c r="FG91" s="66" t="n"/>
      <c r="FH91" s="78">
        <f>IF(OR(INDEX(Undirviðmið!$G$6:$G$105,ROW()-6)&lt;&gt;"Starfsbundinn",FG91="",$E91="",$D91=""),"",ROUND(FG91/$E91*$D91*KVARDI,2))</f>
        <v/>
      </c>
      <c r="FI91" s="66" t="n"/>
      <c r="FJ91" s="78">
        <f>IF(OR(INDEX(Undirviðmið!$G$6:$G$105,ROW()-6)&lt;&gt;"Starfsbundinn",FI91="",$E91="",$D91=""),"",ROUND(FI91/$E91*$D91*KVARDI,2))</f>
        <v/>
      </c>
      <c r="FK91" s="66" t="n"/>
      <c r="FL91" s="78">
        <f>IF(OR(INDEX(Undirviðmið!$G$6:$G$105,ROW()-6)&lt;&gt;"Starfsbundinn",FK91="",$E91="",$D91=""),"",ROUND(FK91/$E91*$D91*KVARDI,2))</f>
        <v/>
      </c>
      <c r="FM91" s="66" t="n"/>
      <c r="FN91" s="78">
        <f>IF(OR(INDEX(Undirviðmið!$G$6:$G$105,ROW()-6)&lt;&gt;"Starfsbundinn",FM91="",$E91="",$D91=""),"",ROUND(FM91/$E91*$D91*KVARDI,2))</f>
        <v/>
      </c>
      <c r="FO91" s="66" t="n"/>
      <c r="FP91" s="78">
        <f>IF(OR(INDEX(Undirviðmið!$G$6:$G$105,ROW()-6)&lt;&gt;"Starfsbundinn",FO91="",$E91="",$D91=""),"",ROUND(FO91/$E91*$D91*KVARDI,2))</f>
        <v/>
      </c>
      <c r="FQ91" s="66" t="n"/>
      <c r="FR91" s="78">
        <f>IF(OR(INDEX(Undirviðmið!$G$6:$G$105,ROW()-6)&lt;&gt;"Starfsbundinn",FQ91="",$E91="",$D91=""),"",ROUND(FQ91/$E91*$D91*KVARDI,2))</f>
        <v/>
      </c>
      <c r="FS91" s="66" t="n"/>
      <c r="FT91" s="78">
        <f>IF(OR(INDEX(Undirviðmið!$G$6:$G$105,ROW()-6)&lt;&gt;"Starfsbundinn",FS91="",$E91="",$D91=""),"",ROUND(FS91/$E91*$D91*KVARDI,2))</f>
        <v/>
      </c>
      <c r="FU91" s="66" t="n"/>
      <c r="FV91" s="78">
        <f>IF(OR(INDEX(Undirviðmið!$G$6:$G$105,ROW()-6)&lt;&gt;"Starfsbundinn",FU91="",$E91="",$D91=""),"",ROUND(FU91/$E91*$D91*KVARDI,2))</f>
        <v/>
      </c>
      <c r="FW91" s="66" t="n"/>
      <c r="FX91" s="78">
        <f>IF(OR(INDEX(Undirviðmið!$G$6:$G$105,ROW()-6)&lt;&gt;"Starfsbundinn",FW91="",$E91="",$D91=""),"",ROUND(FW91/$E91*$D91*KVARDI,2))</f>
        <v/>
      </c>
      <c r="FY91" s="66" t="n"/>
      <c r="FZ91" s="78">
        <f>IF(OR(INDEX(Undirviðmið!$G$6:$G$105,ROW()-6)&lt;&gt;"Starfsbundinn",FY91="",$E91="",$D91=""),"",ROUND(FY91/$E91*$D91*KVARDI,2))</f>
        <v/>
      </c>
      <c r="GA91" s="66" t="n"/>
      <c r="GB91" s="78">
        <f>IF(OR(INDEX(Undirviðmið!$G$6:$G$105,ROW()-6)&lt;&gt;"Starfsbundinn",GA91="",$E91="",$D91=""),"",ROUND(GA91/$E91*$D91*KVARDI,2))</f>
        <v/>
      </c>
      <c r="GC91" s="66" t="n"/>
      <c r="GD91" s="78">
        <f>IF(OR(INDEX(Undirviðmið!$G$6:$G$105,ROW()-6)&lt;&gt;"Starfsbundinn",GC91="",$E91="",$D91=""),"",ROUND(GC91/$E91*$D91*KVARDI,2))</f>
        <v/>
      </c>
      <c r="GE91" s="66" t="n"/>
      <c r="GF91" s="78">
        <f>IF(OR(INDEX(Undirviðmið!$G$6:$G$105,ROW()-6)&lt;&gt;"Starfsbundinn",GE91="",$E91="",$D91=""),"",ROUND(GE91/$E91*$D91*KVARDI,2))</f>
        <v/>
      </c>
      <c r="GG91" s="66" t="n"/>
      <c r="GH91" s="78">
        <f>IF(OR(INDEX(Undirviðmið!$G$6:$G$105,ROW()-6)&lt;&gt;"Starfsbundinn",GG91="",$E91="",$D91=""),"",ROUND(GG91/$E91*$D91*KVARDI,2))</f>
        <v/>
      </c>
      <c r="GI91" s="66" t="n"/>
      <c r="GJ91" s="78">
        <f>IF(OR(INDEX(Undirviðmið!$G$6:$G$105,ROW()-6)&lt;&gt;"Starfsbundinn",GI91="",$E91="",$D91=""),"",ROUND(GI91/$E91*$D91*KVARDI,2))</f>
        <v/>
      </c>
      <c r="GK91" s="66" t="n"/>
      <c r="GL91" s="78">
        <f>IF(OR(INDEX(Undirviðmið!$G$6:$G$105,ROW()-6)&lt;&gt;"Starfsbundinn",GK91="",$E91="",$D91=""),"",ROUND(GK91/$E91*$D91*KVARDI,2))</f>
        <v/>
      </c>
      <c r="GM91" s="66" t="n"/>
      <c r="GN91" s="78">
        <f>IF(OR(INDEX(Undirviðmið!$G$6:$G$105,ROW()-6)&lt;&gt;"Starfsbundinn",GM91="",$E91="",$D91=""),"",ROUND(GM91/$E91*$D91*KVARDI,2))</f>
        <v/>
      </c>
      <c r="GO91" s="66" t="n"/>
      <c r="GP91" s="78">
        <f>IF(OR(INDEX(Undirviðmið!$G$6:$G$105,ROW()-6)&lt;&gt;"Starfsbundinn",GO91="",$E91="",$D91=""),"",ROUND(GO91/$E91*$D91*KVARDI,2))</f>
        <v/>
      </c>
      <c r="GQ91" s="66" t="n"/>
      <c r="GR91" s="78">
        <f>IF(OR(INDEX(Undirviðmið!$G$6:$G$105,ROW()-6)&lt;&gt;"Starfsbundinn",GQ91="",$E91="",$D91=""),"",ROUND(GQ91/$E91*$D91*KVARDI,2))</f>
        <v/>
      </c>
      <c r="GS91" s="66" t="n"/>
      <c r="GT91" s="78">
        <f>IF(OR(INDEX(Undirviðmið!$G$6:$G$105,ROW()-6)&lt;&gt;"Starfsbundinn",GS91="",$E91="",$D91=""),"",ROUND(GS91/$E91*$D91*KVARDI,2))</f>
        <v/>
      </c>
      <c r="GU91" s="66" t="n"/>
      <c r="GV91" s="78">
        <f>IF(OR(INDEX(Undirviðmið!$G$6:$G$105,ROW()-6)&lt;&gt;"Starfsbundinn",GU91="",$E91="",$D91=""),"",ROUND(GU91/$E91*$D91*KVARDI,2))</f>
        <v/>
      </c>
      <c r="GW91" s="66" t="n"/>
      <c r="GX91" s="78">
        <f>IF(OR(INDEX(Undirviðmið!$G$6:$G$105,ROW()-6)&lt;&gt;"Starfsbundinn",GW91="",$E91="",$D91=""),"",ROUND(GW91/$E91*$D91*KVARDI,2))</f>
        <v/>
      </c>
    </row>
    <row r="92" ht="15" customHeight="1" s="47">
      <c r="B92" s="67">
        <f>IF(INDEX(Undirviðmið!$G$6:$G$105,ROW()-6)="Starfsbundinn",INDEX(Undirviðmið!$B$6:$B$105,ROW()-6),"")</f>
        <v/>
      </c>
      <c r="C92" s="67">
        <f>IF(INDEX(Undirviðmið!$G$6:$G$105,ROW()-6)="Starfsbundinn",INDEX(Undirviðmið!$C$6:$C$105,ROW()-6),"")</f>
        <v/>
      </c>
      <c r="D92" s="77">
        <f>IF(INDEX(Undirviðmið!$G$6:$G$105,ROW()-6)="Starfsbundinn",INDEX(Undirviðmið!$E$6:$E$105,ROW()-6),"")</f>
        <v/>
      </c>
      <c r="E92" s="77">
        <f>IF(INDEX(Undirviðmið!$G$6:$G$105,ROW()-6)="Starfsbundinn",INDEX(Undirviðmið!$F$6:$F$105,ROW()-6),"")</f>
        <v/>
      </c>
      <c r="F92" s="77">
        <f>IF(INDEX(Undirviðmið!$G$6:$G$105,ROW()-6)="Starfsbundinn",IFERROR(INDEX(Undirviðmið!$E$6:$E$105,ROW()-6)*KVARDI,""),"")</f>
        <v/>
      </c>
      <c r="G92" s="66" t="n"/>
      <c r="H92" s="78">
        <f>IF(OR(INDEX(Undirviðmið!$G$6:$G$105,ROW()-6)&lt;&gt;"Starfsbundinn",G92="",$E92="",$D92=""),"",ROUND(G92/$E92*$D92*KVARDI,2))</f>
        <v/>
      </c>
      <c r="I92" s="66" t="n"/>
      <c r="J92" s="78">
        <f>IF(OR(INDEX(Undirviðmið!$G$6:$G$105,ROW()-6)&lt;&gt;"Starfsbundinn",I92="",$E92="",$D92=""),"",ROUND(I92/$E92*$D92*KVARDI,2))</f>
        <v/>
      </c>
      <c r="K92" s="66" t="n"/>
      <c r="L92" s="78">
        <f>IF(OR(INDEX(Undirviðmið!$G$6:$G$105,ROW()-6)&lt;&gt;"Starfsbundinn",K92="",$E92="",$D92=""),"",ROUND(K92/$E92*$D92*KVARDI,2))</f>
        <v/>
      </c>
      <c r="M92" s="66" t="n"/>
      <c r="N92" s="78">
        <f>IF(OR(INDEX(Undirviðmið!$G$6:$G$105,ROW()-6)&lt;&gt;"Starfsbundinn",M92="",$E92="",$D92=""),"",ROUND(M92/$E92*$D92*KVARDI,2))</f>
        <v/>
      </c>
      <c r="O92" s="66" t="n"/>
      <c r="P92" s="78">
        <f>IF(OR(INDEX(Undirviðmið!$G$6:$G$105,ROW()-6)&lt;&gt;"Starfsbundinn",O92="",$E92="",$D92=""),"",ROUND(O92/$E92*$D92*KVARDI,2))</f>
        <v/>
      </c>
      <c r="Q92" s="66" t="n"/>
      <c r="R92" s="78">
        <f>IF(OR(INDEX(Undirviðmið!$G$6:$G$105,ROW()-6)&lt;&gt;"Starfsbundinn",Q92="",$E92="",$D92=""),"",ROUND(Q92/$E92*$D92*KVARDI,2))</f>
        <v/>
      </c>
      <c r="S92" s="66" t="n"/>
      <c r="T92" s="78">
        <f>IF(OR(INDEX(Undirviðmið!$G$6:$G$105,ROW()-6)&lt;&gt;"Starfsbundinn",S92="",$E92="",$D92=""),"",ROUND(S92/$E92*$D92*KVARDI,2))</f>
        <v/>
      </c>
      <c r="U92" s="66" t="n"/>
      <c r="V92" s="78">
        <f>IF(OR(INDEX(Undirviðmið!$G$6:$G$105,ROW()-6)&lt;&gt;"Starfsbundinn",U92="",$E92="",$D92=""),"",ROUND(U92/$E92*$D92*KVARDI,2))</f>
        <v/>
      </c>
      <c r="W92" s="66" t="n"/>
      <c r="X92" s="78">
        <f>IF(OR(INDEX(Undirviðmið!$G$6:$G$105,ROW()-6)&lt;&gt;"Starfsbundinn",W92="",$E92="",$D92=""),"",ROUND(W92/$E92*$D92*KVARDI,2))</f>
        <v/>
      </c>
      <c r="Y92" s="66" t="n"/>
      <c r="Z92" s="78">
        <f>IF(OR(INDEX(Undirviðmið!$G$6:$G$105,ROW()-6)&lt;&gt;"Starfsbundinn",Y92="",$E92="",$D92=""),"",ROUND(Y92/$E92*$D92*KVARDI,2))</f>
        <v/>
      </c>
      <c r="AA92" s="66" t="n"/>
      <c r="AB92" s="78">
        <f>IF(OR(INDEX(Undirviðmið!$G$6:$G$105,ROW()-6)&lt;&gt;"Starfsbundinn",AA92="",$E92="",$D92=""),"",ROUND(AA92/$E92*$D92*KVARDI,2))</f>
        <v/>
      </c>
      <c r="AC92" s="66" t="n"/>
      <c r="AD92" s="78">
        <f>IF(OR(INDEX(Undirviðmið!$G$6:$G$105,ROW()-6)&lt;&gt;"Starfsbundinn",AC92="",$E92="",$D92=""),"",ROUND(AC92/$E92*$D92*KVARDI,2))</f>
        <v/>
      </c>
      <c r="AE92" s="66" t="n"/>
      <c r="AF92" s="78">
        <f>IF(OR(INDEX(Undirviðmið!$G$6:$G$105,ROW()-6)&lt;&gt;"Starfsbundinn",AE92="",$E92="",$D92=""),"",ROUND(AE92/$E92*$D92*KVARDI,2))</f>
        <v/>
      </c>
      <c r="AG92" s="66" t="n"/>
      <c r="AH92" s="78">
        <f>IF(OR(INDEX(Undirviðmið!$G$6:$G$105,ROW()-6)&lt;&gt;"Starfsbundinn",AG92="",$E92="",$D92=""),"",ROUND(AG92/$E92*$D92*KVARDI,2))</f>
        <v/>
      </c>
      <c r="AI92" s="66" t="n"/>
      <c r="AJ92" s="78">
        <f>IF(OR(INDEX(Undirviðmið!$G$6:$G$105,ROW()-6)&lt;&gt;"Starfsbundinn",AI92="",$E92="",$D92=""),"",ROUND(AI92/$E92*$D92*KVARDI,2))</f>
        <v/>
      </c>
      <c r="AK92" s="66" t="n"/>
      <c r="AL92" s="78">
        <f>IF(OR(INDEX(Undirviðmið!$G$6:$G$105,ROW()-6)&lt;&gt;"Starfsbundinn",AK92="",$E92="",$D92=""),"",ROUND(AK92/$E92*$D92*KVARDI,2))</f>
        <v/>
      </c>
      <c r="AM92" s="66" t="n"/>
      <c r="AN92" s="78">
        <f>IF(OR(INDEX(Undirviðmið!$G$6:$G$105,ROW()-6)&lt;&gt;"Starfsbundinn",AM92="",$E92="",$D92=""),"",ROUND(AM92/$E92*$D92*KVARDI,2))</f>
        <v/>
      </c>
      <c r="AO92" s="66" t="n"/>
      <c r="AP92" s="78">
        <f>IF(OR(INDEX(Undirviðmið!$G$6:$G$105,ROW()-6)&lt;&gt;"Starfsbundinn",AO92="",$E92="",$D92=""),"",ROUND(AO92/$E92*$D92*KVARDI,2))</f>
        <v/>
      </c>
      <c r="AQ92" s="66" t="n"/>
      <c r="AR92" s="78">
        <f>IF(OR(INDEX(Undirviðmið!$G$6:$G$105,ROW()-6)&lt;&gt;"Starfsbundinn",AQ92="",$E92="",$D92=""),"",ROUND(AQ92/$E92*$D92*KVARDI,2))</f>
        <v/>
      </c>
      <c r="AS92" s="66" t="n"/>
      <c r="AT92" s="78">
        <f>IF(OR(INDEX(Undirviðmið!$G$6:$G$105,ROW()-6)&lt;&gt;"Starfsbundinn",AS92="",$E92="",$D92=""),"",ROUND(AS92/$E92*$D92*KVARDI,2))</f>
        <v/>
      </c>
      <c r="AU92" s="66" t="n"/>
      <c r="AV92" s="78">
        <f>IF(OR(INDEX(Undirviðmið!$G$6:$G$105,ROW()-6)&lt;&gt;"Starfsbundinn",AU92="",$E92="",$D92=""),"",ROUND(AU92/$E92*$D92*KVARDI,2))</f>
        <v/>
      </c>
      <c r="AW92" s="66" t="n"/>
      <c r="AX92" s="78">
        <f>IF(OR(INDEX(Undirviðmið!$G$6:$G$105,ROW()-6)&lt;&gt;"Starfsbundinn",AW92="",$E92="",$D92=""),"",ROUND(AW92/$E92*$D92*KVARDI,2))</f>
        <v/>
      </c>
      <c r="AY92" s="66" t="n"/>
      <c r="AZ92" s="78">
        <f>IF(OR(INDEX(Undirviðmið!$G$6:$G$105,ROW()-6)&lt;&gt;"Starfsbundinn",AY92="",$E92="",$D92=""),"",ROUND(AY92/$E92*$D92*KVARDI,2))</f>
        <v/>
      </c>
      <c r="BA92" s="66" t="n"/>
      <c r="BB92" s="78">
        <f>IF(OR(INDEX(Undirviðmið!$G$6:$G$105,ROW()-6)&lt;&gt;"Starfsbundinn",BA92="",$E92="",$D92=""),"",ROUND(BA92/$E92*$D92*KVARDI,2))</f>
        <v/>
      </c>
      <c r="BC92" s="66" t="n"/>
      <c r="BD92" s="78">
        <f>IF(OR(INDEX(Undirviðmið!$G$6:$G$105,ROW()-6)&lt;&gt;"Starfsbundinn",BC92="",$E92="",$D92=""),"",ROUND(BC92/$E92*$D92*KVARDI,2))</f>
        <v/>
      </c>
      <c r="BE92" s="66" t="n"/>
      <c r="BF92" s="78">
        <f>IF(OR(INDEX(Undirviðmið!$G$6:$G$105,ROW()-6)&lt;&gt;"Starfsbundinn",BE92="",$E92="",$D92=""),"",ROUND(BE92/$E92*$D92*KVARDI,2))</f>
        <v/>
      </c>
      <c r="BG92" s="66" t="n"/>
      <c r="BH92" s="78">
        <f>IF(OR(INDEX(Undirviðmið!$G$6:$G$105,ROW()-6)&lt;&gt;"Starfsbundinn",BG92="",$E92="",$D92=""),"",ROUND(BG92/$E92*$D92*KVARDI,2))</f>
        <v/>
      </c>
      <c r="BI92" s="66" t="n"/>
      <c r="BJ92" s="78">
        <f>IF(OR(INDEX(Undirviðmið!$G$6:$G$105,ROW()-6)&lt;&gt;"Starfsbundinn",BI92="",$E92="",$D92=""),"",ROUND(BI92/$E92*$D92*KVARDI,2))</f>
        <v/>
      </c>
      <c r="BK92" s="66" t="n"/>
      <c r="BL92" s="78">
        <f>IF(OR(INDEX(Undirviðmið!$G$6:$G$105,ROW()-6)&lt;&gt;"Starfsbundinn",BK92="",$E92="",$D92=""),"",ROUND(BK92/$E92*$D92*KVARDI,2))</f>
        <v/>
      </c>
      <c r="BM92" s="66" t="n"/>
      <c r="BN92" s="78">
        <f>IF(OR(INDEX(Undirviðmið!$G$6:$G$105,ROW()-6)&lt;&gt;"Starfsbundinn",BM92="",$E92="",$D92=""),"",ROUND(BM92/$E92*$D92*KVARDI,2))</f>
        <v/>
      </c>
      <c r="BO92" s="66" t="n"/>
      <c r="BP92" s="78">
        <f>IF(OR(INDEX(Undirviðmið!$G$6:$G$105,ROW()-6)&lt;&gt;"Starfsbundinn",BO92="",$E92="",$D92=""),"",ROUND(BO92/$E92*$D92*KVARDI,2))</f>
        <v/>
      </c>
      <c r="BQ92" s="66" t="n"/>
      <c r="BR92" s="78">
        <f>IF(OR(INDEX(Undirviðmið!$G$6:$G$105,ROW()-6)&lt;&gt;"Starfsbundinn",BQ92="",$E92="",$D92=""),"",ROUND(BQ92/$E92*$D92*KVARDI,2))</f>
        <v/>
      </c>
      <c r="BS92" s="66" t="n"/>
      <c r="BT92" s="78">
        <f>IF(OR(INDEX(Undirviðmið!$G$6:$G$105,ROW()-6)&lt;&gt;"Starfsbundinn",BS92="",$E92="",$D92=""),"",ROUND(BS92/$E92*$D92*KVARDI,2))</f>
        <v/>
      </c>
      <c r="BU92" s="66" t="n"/>
      <c r="BV92" s="78">
        <f>IF(OR(INDEX(Undirviðmið!$G$6:$G$105,ROW()-6)&lt;&gt;"Starfsbundinn",BU92="",$E92="",$D92=""),"",ROUND(BU92/$E92*$D92*KVARDI,2))</f>
        <v/>
      </c>
      <c r="BW92" s="66" t="n"/>
      <c r="BX92" s="78">
        <f>IF(OR(INDEX(Undirviðmið!$G$6:$G$105,ROW()-6)&lt;&gt;"Starfsbundinn",BW92="",$E92="",$D92=""),"",ROUND(BW92/$E92*$D92*KVARDI,2))</f>
        <v/>
      </c>
      <c r="BY92" s="66" t="n"/>
      <c r="BZ92" s="78">
        <f>IF(OR(INDEX(Undirviðmið!$G$6:$G$105,ROW()-6)&lt;&gt;"Starfsbundinn",BY92="",$E92="",$D92=""),"",ROUND(BY92/$E92*$D92*KVARDI,2))</f>
        <v/>
      </c>
      <c r="CA92" s="66" t="n"/>
      <c r="CB92" s="78">
        <f>IF(OR(INDEX(Undirviðmið!$G$6:$G$105,ROW()-6)&lt;&gt;"Starfsbundinn",CA92="",$E92="",$D92=""),"",ROUND(CA92/$E92*$D92*KVARDI,2))</f>
        <v/>
      </c>
      <c r="CC92" s="66" t="n"/>
      <c r="CD92" s="78">
        <f>IF(OR(INDEX(Undirviðmið!$G$6:$G$105,ROW()-6)&lt;&gt;"Starfsbundinn",CC92="",$E92="",$D92=""),"",ROUND(CC92/$E92*$D92*KVARDI,2))</f>
        <v/>
      </c>
      <c r="CE92" s="66" t="n"/>
      <c r="CF92" s="78">
        <f>IF(OR(INDEX(Undirviðmið!$G$6:$G$105,ROW()-6)&lt;&gt;"Starfsbundinn",CE92="",$E92="",$D92=""),"",ROUND(CE92/$E92*$D92*KVARDI,2))</f>
        <v/>
      </c>
      <c r="CG92" s="66" t="n"/>
      <c r="CH92" s="78">
        <f>IF(OR(INDEX(Undirviðmið!$G$6:$G$105,ROW()-6)&lt;&gt;"Starfsbundinn",CG92="",$E92="",$D92=""),"",ROUND(CG92/$E92*$D92*KVARDI,2))</f>
        <v/>
      </c>
      <c r="CI92" s="66" t="n"/>
      <c r="CJ92" s="78">
        <f>IF(OR(INDEX(Undirviðmið!$G$6:$G$105,ROW()-6)&lt;&gt;"Starfsbundinn",CI92="",$E92="",$D92=""),"",ROUND(CI92/$E92*$D92*KVARDI,2))</f>
        <v/>
      </c>
      <c r="CK92" s="66" t="n"/>
      <c r="CL92" s="78">
        <f>IF(OR(INDEX(Undirviðmið!$G$6:$G$105,ROW()-6)&lt;&gt;"Starfsbundinn",CK92="",$E92="",$D92=""),"",ROUND(CK92/$E92*$D92*KVARDI,2))</f>
        <v/>
      </c>
      <c r="CM92" s="66" t="n"/>
      <c r="CN92" s="78">
        <f>IF(OR(INDEX(Undirviðmið!$G$6:$G$105,ROW()-6)&lt;&gt;"Starfsbundinn",CM92="",$E92="",$D92=""),"",ROUND(CM92/$E92*$D92*KVARDI,2))</f>
        <v/>
      </c>
      <c r="CO92" s="66" t="n"/>
      <c r="CP92" s="78">
        <f>IF(OR(INDEX(Undirviðmið!$G$6:$G$105,ROW()-6)&lt;&gt;"Starfsbundinn",CO92="",$E92="",$D92=""),"",ROUND(CO92/$E92*$D92*KVARDI,2))</f>
        <v/>
      </c>
      <c r="CQ92" s="66" t="n"/>
      <c r="CR92" s="78">
        <f>IF(OR(INDEX(Undirviðmið!$G$6:$G$105,ROW()-6)&lt;&gt;"Starfsbundinn",CQ92="",$E92="",$D92=""),"",ROUND(CQ92/$E92*$D92*KVARDI,2))</f>
        <v/>
      </c>
      <c r="CS92" s="66" t="n"/>
      <c r="CT92" s="78">
        <f>IF(OR(INDEX(Undirviðmið!$G$6:$G$105,ROW()-6)&lt;&gt;"Starfsbundinn",CS92="",$E92="",$D92=""),"",ROUND(CS92/$E92*$D92*KVARDI,2))</f>
        <v/>
      </c>
      <c r="CU92" s="66" t="n"/>
      <c r="CV92" s="78">
        <f>IF(OR(INDEX(Undirviðmið!$G$6:$G$105,ROW()-6)&lt;&gt;"Starfsbundinn",CU92="",$E92="",$D92=""),"",ROUND(CU92/$E92*$D92*KVARDI,2))</f>
        <v/>
      </c>
      <c r="CW92" s="66" t="n"/>
      <c r="CX92" s="78">
        <f>IF(OR(INDEX(Undirviðmið!$G$6:$G$105,ROW()-6)&lt;&gt;"Starfsbundinn",CW92="",$E92="",$D92=""),"",ROUND(CW92/$E92*$D92*KVARDI,2))</f>
        <v/>
      </c>
      <c r="CY92" s="66" t="n"/>
      <c r="CZ92" s="78">
        <f>IF(OR(INDEX(Undirviðmið!$G$6:$G$105,ROW()-6)&lt;&gt;"Starfsbundinn",CY92="",$E92="",$D92=""),"",ROUND(CY92/$E92*$D92*KVARDI,2))</f>
        <v/>
      </c>
      <c r="DA92" s="66" t="n"/>
      <c r="DB92" s="78">
        <f>IF(OR(INDEX(Undirviðmið!$G$6:$G$105,ROW()-6)&lt;&gt;"Starfsbundinn",DA92="",$E92="",$D92=""),"",ROUND(DA92/$E92*$D92*KVARDI,2))</f>
        <v/>
      </c>
      <c r="DC92" s="66" t="n"/>
      <c r="DD92" s="78">
        <f>IF(OR(INDEX(Undirviðmið!$G$6:$G$105,ROW()-6)&lt;&gt;"Starfsbundinn",DC92="",$E92="",$D92=""),"",ROUND(DC92/$E92*$D92*KVARDI,2))</f>
        <v/>
      </c>
      <c r="DE92" s="66" t="n"/>
      <c r="DF92" s="78">
        <f>IF(OR(INDEX(Undirviðmið!$G$6:$G$105,ROW()-6)&lt;&gt;"Starfsbundinn",DE92="",$E92="",$D92=""),"",ROUND(DE92/$E92*$D92*KVARDI,2))</f>
        <v/>
      </c>
      <c r="DG92" s="66" t="n"/>
      <c r="DH92" s="78">
        <f>IF(OR(INDEX(Undirviðmið!$G$6:$G$105,ROW()-6)&lt;&gt;"Starfsbundinn",DG92="",$E92="",$D92=""),"",ROUND(DG92/$E92*$D92*KVARDI,2))</f>
        <v/>
      </c>
      <c r="DI92" s="66" t="n"/>
      <c r="DJ92" s="78">
        <f>IF(OR(INDEX(Undirviðmið!$G$6:$G$105,ROW()-6)&lt;&gt;"Starfsbundinn",DI92="",$E92="",$D92=""),"",ROUND(DI92/$E92*$D92*KVARDI,2))</f>
        <v/>
      </c>
      <c r="DK92" s="66" t="n"/>
      <c r="DL92" s="78">
        <f>IF(OR(INDEX(Undirviðmið!$G$6:$G$105,ROW()-6)&lt;&gt;"Starfsbundinn",DK92="",$E92="",$D92=""),"",ROUND(DK92/$E92*$D92*KVARDI,2))</f>
        <v/>
      </c>
      <c r="DM92" s="66" t="n"/>
      <c r="DN92" s="78">
        <f>IF(OR(INDEX(Undirviðmið!$G$6:$G$105,ROW()-6)&lt;&gt;"Starfsbundinn",DM92="",$E92="",$D92=""),"",ROUND(DM92/$E92*$D92*KVARDI,2))</f>
        <v/>
      </c>
      <c r="DO92" s="66" t="n"/>
      <c r="DP92" s="78">
        <f>IF(OR(INDEX(Undirviðmið!$G$6:$G$105,ROW()-6)&lt;&gt;"Starfsbundinn",DO92="",$E92="",$D92=""),"",ROUND(DO92/$E92*$D92*KVARDI,2))</f>
        <v/>
      </c>
      <c r="DQ92" s="66" t="n"/>
      <c r="DR92" s="78">
        <f>IF(OR(INDEX(Undirviðmið!$G$6:$G$105,ROW()-6)&lt;&gt;"Starfsbundinn",DQ92="",$E92="",$D92=""),"",ROUND(DQ92/$E92*$D92*KVARDI,2))</f>
        <v/>
      </c>
      <c r="DS92" s="66" t="n"/>
      <c r="DT92" s="78">
        <f>IF(OR(INDEX(Undirviðmið!$G$6:$G$105,ROW()-6)&lt;&gt;"Starfsbundinn",DS92="",$E92="",$D92=""),"",ROUND(DS92/$E92*$D92*KVARDI,2))</f>
        <v/>
      </c>
      <c r="DU92" s="66" t="n"/>
      <c r="DV92" s="78">
        <f>IF(OR(INDEX(Undirviðmið!$G$6:$G$105,ROW()-6)&lt;&gt;"Starfsbundinn",DU92="",$E92="",$D92=""),"",ROUND(DU92/$E92*$D92*KVARDI,2))</f>
        <v/>
      </c>
      <c r="DW92" s="66" t="n"/>
      <c r="DX92" s="78">
        <f>IF(OR(INDEX(Undirviðmið!$G$6:$G$105,ROW()-6)&lt;&gt;"Starfsbundinn",DW92="",$E92="",$D92=""),"",ROUND(DW92/$E92*$D92*KVARDI,2))</f>
        <v/>
      </c>
      <c r="DY92" s="66" t="n"/>
      <c r="DZ92" s="78">
        <f>IF(OR(INDEX(Undirviðmið!$G$6:$G$105,ROW()-6)&lt;&gt;"Starfsbundinn",DY92="",$E92="",$D92=""),"",ROUND(DY92/$E92*$D92*KVARDI,2))</f>
        <v/>
      </c>
      <c r="EA92" s="66" t="n"/>
      <c r="EB92" s="78">
        <f>IF(OR(INDEX(Undirviðmið!$G$6:$G$105,ROW()-6)&lt;&gt;"Starfsbundinn",EA92="",$E92="",$D92=""),"",ROUND(EA92/$E92*$D92*KVARDI,2))</f>
        <v/>
      </c>
      <c r="EC92" s="66" t="n"/>
      <c r="ED92" s="78">
        <f>IF(OR(INDEX(Undirviðmið!$G$6:$G$105,ROW()-6)&lt;&gt;"Starfsbundinn",EC92="",$E92="",$D92=""),"",ROUND(EC92/$E92*$D92*KVARDI,2))</f>
        <v/>
      </c>
      <c r="EE92" s="66" t="n"/>
      <c r="EF92" s="78">
        <f>IF(OR(INDEX(Undirviðmið!$G$6:$G$105,ROW()-6)&lt;&gt;"Starfsbundinn",EE92="",$E92="",$D92=""),"",ROUND(EE92/$E92*$D92*KVARDI,2))</f>
        <v/>
      </c>
      <c r="EG92" s="66" t="n"/>
      <c r="EH92" s="78">
        <f>IF(OR(INDEX(Undirviðmið!$G$6:$G$105,ROW()-6)&lt;&gt;"Starfsbundinn",EG92="",$E92="",$D92=""),"",ROUND(EG92/$E92*$D92*KVARDI,2))</f>
        <v/>
      </c>
      <c r="EI92" s="66" t="n"/>
      <c r="EJ92" s="78">
        <f>IF(OR(INDEX(Undirviðmið!$G$6:$G$105,ROW()-6)&lt;&gt;"Starfsbundinn",EI92="",$E92="",$D92=""),"",ROUND(EI92/$E92*$D92*KVARDI,2))</f>
        <v/>
      </c>
      <c r="EK92" s="66" t="n"/>
      <c r="EL92" s="78">
        <f>IF(OR(INDEX(Undirviðmið!$G$6:$G$105,ROW()-6)&lt;&gt;"Starfsbundinn",EK92="",$E92="",$D92=""),"",ROUND(EK92/$E92*$D92*KVARDI,2))</f>
        <v/>
      </c>
      <c r="EM92" s="66" t="n"/>
      <c r="EN92" s="78">
        <f>IF(OR(INDEX(Undirviðmið!$G$6:$G$105,ROW()-6)&lt;&gt;"Starfsbundinn",EM92="",$E92="",$D92=""),"",ROUND(EM92/$E92*$D92*KVARDI,2))</f>
        <v/>
      </c>
      <c r="EO92" s="66" t="n"/>
      <c r="EP92" s="78">
        <f>IF(OR(INDEX(Undirviðmið!$G$6:$G$105,ROW()-6)&lt;&gt;"Starfsbundinn",EO92="",$E92="",$D92=""),"",ROUND(EO92/$E92*$D92*KVARDI,2))</f>
        <v/>
      </c>
      <c r="EQ92" s="66" t="n"/>
      <c r="ER92" s="78">
        <f>IF(OR(INDEX(Undirviðmið!$G$6:$G$105,ROW()-6)&lt;&gt;"Starfsbundinn",EQ92="",$E92="",$D92=""),"",ROUND(EQ92/$E92*$D92*KVARDI,2))</f>
        <v/>
      </c>
      <c r="ES92" s="66" t="n"/>
      <c r="ET92" s="78">
        <f>IF(OR(INDEX(Undirviðmið!$G$6:$G$105,ROW()-6)&lt;&gt;"Starfsbundinn",ES92="",$E92="",$D92=""),"",ROUND(ES92/$E92*$D92*KVARDI,2))</f>
        <v/>
      </c>
      <c r="EU92" s="66" t="n"/>
      <c r="EV92" s="78">
        <f>IF(OR(INDEX(Undirviðmið!$G$6:$G$105,ROW()-6)&lt;&gt;"Starfsbundinn",EU92="",$E92="",$D92=""),"",ROUND(EU92/$E92*$D92*KVARDI,2))</f>
        <v/>
      </c>
      <c r="EW92" s="66" t="n"/>
      <c r="EX92" s="78">
        <f>IF(OR(INDEX(Undirviðmið!$G$6:$G$105,ROW()-6)&lt;&gt;"Starfsbundinn",EW92="",$E92="",$D92=""),"",ROUND(EW92/$E92*$D92*KVARDI,2))</f>
        <v/>
      </c>
      <c r="EY92" s="66" t="n"/>
      <c r="EZ92" s="78">
        <f>IF(OR(INDEX(Undirviðmið!$G$6:$G$105,ROW()-6)&lt;&gt;"Starfsbundinn",EY92="",$E92="",$D92=""),"",ROUND(EY92/$E92*$D92*KVARDI,2))</f>
        <v/>
      </c>
      <c r="FA92" s="66" t="n"/>
      <c r="FB92" s="78">
        <f>IF(OR(INDEX(Undirviðmið!$G$6:$G$105,ROW()-6)&lt;&gt;"Starfsbundinn",FA92="",$E92="",$D92=""),"",ROUND(FA92/$E92*$D92*KVARDI,2))</f>
        <v/>
      </c>
      <c r="FC92" s="66" t="n"/>
      <c r="FD92" s="78">
        <f>IF(OR(INDEX(Undirviðmið!$G$6:$G$105,ROW()-6)&lt;&gt;"Starfsbundinn",FC92="",$E92="",$D92=""),"",ROUND(FC92/$E92*$D92*KVARDI,2))</f>
        <v/>
      </c>
      <c r="FE92" s="66" t="n"/>
      <c r="FF92" s="78">
        <f>IF(OR(INDEX(Undirviðmið!$G$6:$G$105,ROW()-6)&lt;&gt;"Starfsbundinn",FE92="",$E92="",$D92=""),"",ROUND(FE92/$E92*$D92*KVARDI,2))</f>
        <v/>
      </c>
      <c r="FG92" s="66" t="n"/>
      <c r="FH92" s="78">
        <f>IF(OR(INDEX(Undirviðmið!$G$6:$G$105,ROW()-6)&lt;&gt;"Starfsbundinn",FG92="",$E92="",$D92=""),"",ROUND(FG92/$E92*$D92*KVARDI,2))</f>
        <v/>
      </c>
      <c r="FI92" s="66" t="n"/>
      <c r="FJ92" s="78">
        <f>IF(OR(INDEX(Undirviðmið!$G$6:$G$105,ROW()-6)&lt;&gt;"Starfsbundinn",FI92="",$E92="",$D92=""),"",ROUND(FI92/$E92*$D92*KVARDI,2))</f>
        <v/>
      </c>
      <c r="FK92" s="66" t="n"/>
      <c r="FL92" s="78">
        <f>IF(OR(INDEX(Undirviðmið!$G$6:$G$105,ROW()-6)&lt;&gt;"Starfsbundinn",FK92="",$E92="",$D92=""),"",ROUND(FK92/$E92*$D92*KVARDI,2))</f>
        <v/>
      </c>
      <c r="FM92" s="66" t="n"/>
      <c r="FN92" s="78">
        <f>IF(OR(INDEX(Undirviðmið!$G$6:$G$105,ROW()-6)&lt;&gt;"Starfsbundinn",FM92="",$E92="",$D92=""),"",ROUND(FM92/$E92*$D92*KVARDI,2))</f>
        <v/>
      </c>
      <c r="FO92" s="66" t="n"/>
      <c r="FP92" s="78">
        <f>IF(OR(INDEX(Undirviðmið!$G$6:$G$105,ROW()-6)&lt;&gt;"Starfsbundinn",FO92="",$E92="",$D92=""),"",ROUND(FO92/$E92*$D92*KVARDI,2))</f>
        <v/>
      </c>
      <c r="FQ92" s="66" t="n"/>
      <c r="FR92" s="78">
        <f>IF(OR(INDEX(Undirviðmið!$G$6:$G$105,ROW()-6)&lt;&gt;"Starfsbundinn",FQ92="",$E92="",$D92=""),"",ROUND(FQ92/$E92*$D92*KVARDI,2))</f>
        <v/>
      </c>
      <c r="FS92" s="66" t="n"/>
      <c r="FT92" s="78">
        <f>IF(OR(INDEX(Undirviðmið!$G$6:$G$105,ROW()-6)&lt;&gt;"Starfsbundinn",FS92="",$E92="",$D92=""),"",ROUND(FS92/$E92*$D92*KVARDI,2))</f>
        <v/>
      </c>
      <c r="FU92" s="66" t="n"/>
      <c r="FV92" s="78">
        <f>IF(OR(INDEX(Undirviðmið!$G$6:$G$105,ROW()-6)&lt;&gt;"Starfsbundinn",FU92="",$E92="",$D92=""),"",ROUND(FU92/$E92*$D92*KVARDI,2))</f>
        <v/>
      </c>
      <c r="FW92" s="66" t="n"/>
      <c r="FX92" s="78">
        <f>IF(OR(INDEX(Undirviðmið!$G$6:$G$105,ROW()-6)&lt;&gt;"Starfsbundinn",FW92="",$E92="",$D92=""),"",ROUND(FW92/$E92*$D92*KVARDI,2))</f>
        <v/>
      </c>
      <c r="FY92" s="66" t="n"/>
      <c r="FZ92" s="78">
        <f>IF(OR(INDEX(Undirviðmið!$G$6:$G$105,ROW()-6)&lt;&gt;"Starfsbundinn",FY92="",$E92="",$D92=""),"",ROUND(FY92/$E92*$D92*KVARDI,2))</f>
        <v/>
      </c>
      <c r="GA92" s="66" t="n"/>
      <c r="GB92" s="78">
        <f>IF(OR(INDEX(Undirviðmið!$G$6:$G$105,ROW()-6)&lt;&gt;"Starfsbundinn",GA92="",$E92="",$D92=""),"",ROUND(GA92/$E92*$D92*KVARDI,2))</f>
        <v/>
      </c>
      <c r="GC92" s="66" t="n"/>
      <c r="GD92" s="78">
        <f>IF(OR(INDEX(Undirviðmið!$G$6:$G$105,ROW()-6)&lt;&gt;"Starfsbundinn",GC92="",$E92="",$D92=""),"",ROUND(GC92/$E92*$D92*KVARDI,2))</f>
        <v/>
      </c>
      <c r="GE92" s="66" t="n"/>
      <c r="GF92" s="78">
        <f>IF(OR(INDEX(Undirviðmið!$G$6:$G$105,ROW()-6)&lt;&gt;"Starfsbundinn",GE92="",$E92="",$D92=""),"",ROUND(GE92/$E92*$D92*KVARDI,2))</f>
        <v/>
      </c>
      <c r="GG92" s="66" t="n"/>
      <c r="GH92" s="78">
        <f>IF(OR(INDEX(Undirviðmið!$G$6:$G$105,ROW()-6)&lt;&gt;"Starfsbundinn",GG92="",$E92="",$D92=""),"",ROUND(GG92/$E92*$D92*KVARDI,2))</f>
        <v/>
      </c>
      <c r="GI92" s="66" t="n"/>
      <c r="GJ92" s="78">
        <f>IF(OR(INDEX(Undirviðmið!$G$6:$G$105,ROW()-6)&lt;&gt;"Starfsbundinn",GI92="",$E92="",$D92=""),"",ROUND(GI92/$E92*$D92*KVARDI,2))</f>
        <v/>
      </c>
      <c r="GK92" s="66" t="n"/>
      <c r="GL92" s="78">
        <f>IF(OR(INDEX(Undirviðmið!$G$6:$G$105,ROW()-6)&lt;&gt;"Starfsbundinn",GK92="",$E92="",$D92=""),"",ROUND(GK92/$E92*$D92*KVARDI,2))</f>
        <v/>
      </c>
      <c r="GM92" s="66" t="n"/>
      <c r="GN92" s="78">
        <f>IF(OR(INDEX(Undirviðmið!$G$6:$G$105,ROW()-6)&lt;&gt;"Starfsbundinn",GM92="",$E92="",$D92=""),"",ROUND(GM92/$E92*$D92*KVARDI,2))</f>
        <v/>
      </c>
      <c r="GO92" s="66" t="n"/>
      <c r="GP92" s="78">
        <f>IF(OR(INDEX(Undirviðmið!$G$6:$G$105,ROW()-6)&lt;&gt;"Starfsbundinn",GO92="",$E92="",$D92=""),"",ROUND(GO92/$E92*$D92*KVARDI,2))</f>
        <v/>
      </c>
      <c r="GQ92" s="66" t="n"/>
      <c r="GR92" s="78">
        <f>IF(OR(INDEX(Undirviðmið!$G$6:$G$105,ROW()-6)&lt;&gt;"Starfsbundinn",GQ92="",$E92="",$D92=""),"",ROUND(GQ92/$E92*$D92*KVARDI,2))</f>
        <v/>
      </c>
      <c r="GS92" s="66" t="n"/>
      <c r="GT92" s="78">
        <f>IF(OR(INDEX(Undirviðmið!$G$6:$G$105,ROW()-6)&lt;&gt;"Starfsbundinn",GS92="",$E92="",$D92=""),"",ROUND(GS92/$E92*$D92*KVARDI,2))</f>
        <v/>
      </c>
      <c r="GU92" s="66" t="n"/>
      <c r="GV92" s="78">
        <f>IF(OR(INDEX(Undirviðmið!$G$6:$G$105,ROW()-6)&lt;&gt;"Starfsbundinn",GU92="",$E92="",$D92=""),"",ROUND(GU92/$E92*$D92*KVARDI,2))</f>
        <v/>
      </c>
      <c r="GW92" s="66" t="n"/>
      <c r="GX92" s="78">
        <f>IF(OR(INDEX(Undirviðmið!$G$6:$G$105,ROW()-6)&lt;&gt;"Starfsbundinn",GW92="",$E92="",$D92=""),"",ROUND(GW92/$E92*$D92*KVARDI,2))</f>
        <v/>
      </c>
    </row>
    <row r="93" ht="15" customHeight="1" s="47">
      <c r="B93" s="67">
        <f>IF(INDEX(Undirviðmið!$G$6:$G$105,ROW()-6)="Starfsbundinn",INDEX(Undirviðmið!$B$6:$B$105,ROW()-6),"")</f>
        <v/>
      </c>
      <c r="C93" s="67">
        <f>IF(INDEX(Undirviðmið!$G$6:$G$105,ROW()-6)="Starfsbundinn",INDEX(Undirviðmið!$C$6:$C$105,ROW()-6),"")</f>
        <v/>
      </c>
      <c r="D93" s="77">
        <f>IF(INDEX(Undirviðmið!$G$6:$G$105,ROW()-6)="Starfsbundinn",INDEX(Undirviðmið!$E$6:$E$105,ROW()-6),"")</f>
        <v/>
      </c>
      <c r="E93" s="77">
        <f>IF(INDEX(Undirviðmið!$G$6:$G$105,ROW()-6)="Starfsbundinn",INDEX(Undirviðmið!$F$6:$F$105,ROW()-6),"")</f>
        <v/>
      </c>
      <c r="F93" s="77">
        <f>IF(INDEX(Undirviðmið!$G$6:$G$105,ROW()-6)="Starfsbundinn",IFERROR(INDEX(Undirviðmið!$E$6:$E$105,ROW()-6)*KVARDI,""),"")</f>
        <v/>
      </c>
      <c r="G93" s="66" t="n"/>
      <c r="H93" s="78">
        <f>IF(OR(INDEX(Undirviðmið!$G$6:$G$105,ROW()-6)&lt;&gt;"Starfsbundinn",G93="",$E93="",$D93=""),"",ROUND(G93/$E93*$D93*KVARDI,2))</f>
        <v/>
      </c>
      <c r="I93" s="66" t="n"/>
      <c r="J93" s="78">
        <f>IF(OR(INDEX(Undirviðmið!$G$6:$G$105,ROW()-6)&lt;&gt;"Starfsbundinn",I93="",$E93="",$D93=""),"",ROUND(I93/$E93*$D93*KVARDI,2))</f>
        <v/>
      </c>
      <c r="K93" s="66" t="n"/>
      <c r="L93" s="78">
        <f>IF(OR(INDEX(Undirviðmið!$G$6:$G$105,ROW()-6)&lt;&gt;"Starfsbundinn",K93="",$E93="",$D93=""),"",ROUND(K93/$E93*$D93*KVARDI,2))</f>
        <v/>
      </c>
      <c r="M93" s="66" t="n"/>
      <c r="N93" s="78">
        <f>IF(OR(INDEX(Undirviðmið!$G$6:$G$105,ROW()-6)&lt;&gt;"Starfsbundinn",M93="",$E93="",$D93=""),"",ROUND(M93/$E93*$D93*KVARDI,2))</f>
        <v/>
      </c>
      <c r="O93" s="66" t="n"/>
      <c r="P93" s="78">
        <f>IF(OR(INDEX(Undirviðmið!$G$6:$G$105,ROW()-6)&lt;&gt;"Starfsbundinn",O93="",$E93="",$D93=""),"",ROUND(O93/$E93*$D93*KVARDI,2))</f>
        <v/>
      </c>
      <c r="Q93" s="66" t="n"/>
      <c r="R93" s="78">
        <f>IF(OR(INDEX(Undirviðmið!$G$6:$G$105,ROW()-6)&lt;&gt;"Starfsbundinn",Q93="",$E93="",$D93=""),"",ROUND(Q93/$E93*$D93*KVARDI,2))</f>
        <v/>
      </c>
      <c r="S93" s="66" t="n"/>
      <c r="T93" s="78">
        <f>IF(OR(INDEX(Undirviðmið!$G$6:$G$105,ROW()-6)&lt;&gt;"Starfsbundinn",S93="",$E93="",$D93=""),"",ROUND(S93/$E93*$D93*KVARDI,2))</f>
        <v/>
      </c>
      <c r="U93" s="66" t="n"/>
      <c r="V93" s="78">
        <f>IF(OR(INDEX(Undirviðmið!$G$6:$G$105,ROW()-6)&lt;&gt;"Starfsbundinn",U93="",$E93="",$D93=""),"",ROUND(U93/$E93*$D93*KVARDI,2))</f>
        <v/>
      </c>
      <c r="W93" s="66" t="n"/>
      <c r="X93" s="78">
        <f>IF(OR(INDEX(Undirviðmið!$G$6:$G$105,ROW()-6)&lt;&gt;"Starfsbundinn",W93="",$E93="",$D93=""),"",ROUND(W93/$E93*$D93*KVARDI,2))</f>
        <v/>
      </c>
      <c r="Y93" s="66" t="n"/>
      <c r="Z93" s="78">
        <f>IF(OR(INDEX(Undirviðmið!$G$6:$G$105,ROW()-6)&lt;&gt;"Starfsbundinn",Y93="",$E93="",$D93=""),"",ROUND(Y93/$E93*$D93*KVARDI,2))</f>
        <v/>
      </c>
      <c r="AA93" s="66" t="n"/>
      <c r="AB93" s="78">
        <f>IF(OR(INDEX(Undirviðmið!$G$6:$G$105,ROW()-6)&lt;&gt;"Starfsbundinn",AA93="",$E93="",$D93=""),"",ROUND(AA93/$E93*$D93*KVARDI,2))</f>
        <v/>
      </c>
      <c r="AC93" s="66" t="n"/>
      <c r="AD93" s="78">
        <f>IF(OR(INDEX(Undirviðmið!$G$6:$G$105,ROW()-6)&lt;&gt;"Starfsbundinn",AC93="",$E93="",$D93=""),"",ROUND(AC93/$E93*$D93*KVARDI,2))</f>
        <v/>
      </c>
      <c r="AE93" s="66" t="n"/>
      <c r="AF93" s="78">
        <f>IF(OR(INDEX(Undirviðmið!$G$6:$G$105,ROW()-6)&lt;&gt;"Starfsbundinn",AE93="",$E93="",$D93=""),"",ROUND(AE93/$E93*$D93*KVARDI,2))</f>
        <v/>
      </c>
      <c r="AG93" s="66" t="n"/>
      <c r="AH93" s="78">
        <f>IF(OR(INDEX(Undirviðmið!$G$6:$G$105,ROW()-6)&lt;&gt;"Starfsbundinn",AG93="",$E93="",$D93=""),"",ROUND(AG93/$E93*$D93*KVARDI,2))</f>
        <v/>
      </c>
      <c r="AI93" s="66" t="n"/>
      <c r="AJ93" s="78">
        <f>IF(OR(INDEX(Undirviðmið!$G$6:$G$105,ROW()-6)&lt;&gt;"Starfsbundinn",AI93="",$E93="",$D93=""),"",ROUND(AI93/$E93*$D93*KVARDI,2))</f>
        <v/>
      </c>
      <c r="AK93" s="66" t="n"/>
      <c r="AL93" s="78">
        <f>IF(OR(INDEX(Undirviðmið!$G$6:$G$105,ROW()-6)&lt;&gt;"Starfsbundinn",AK93="",$E93="",$D93=""),"",ROUND(AK93/$E93*$D93*KVARDI,2))</f>
        <v/>
      </c>
      <c r="AM93" s="66" t="n"/>
      <c r="AN93" s="78">
        <f>IF(OR(INDEX(Undirviðmið!$G$6:$G$105,ROW()-6)&lt;&gt;"Starfsbundinn",AM93="",$E93="",$D93=""),"",ROUND(AM93/$E93*$D93*KVARDI,2))</f>
        <v/>
      </c>
      <c r="AO93" s="66" t="n"/>
      <c r="AP93" s="78">
        <f>IF(OR(INDEX(Undirviðmið!$G$6:$G$105,ROW()-6)&lt;&gt;"Starfsbundinn",AO93="",$E93="",$D93=""),"",ROUND(AO93/$E93*$D93*KVARDI,2))</f>
        <v/>
      </c>
      <c r="AQ93" s="66" t="n"/>
      <c r="AR93" s="78">
        <f>IF(OR(INDEX(Undirviðmið!$G$6:$G$105,ROW()-6)&lt;&gt;"Starfsbundinn",AQ93="",$E93="",$D93=""),"",ROUND(AQ93/$E93*$D93*KVARDI,2))</f>
        <v/>
      </c>
      <c r="AS93" s="66" t="n"/>
      <c r="AT93" s="78">
        <f>IF(OR(INDEX(Undirviðmið!$G$6:$G$105,ROW()-6)&lt;&gt;"Starfsbundinn",AS93="",$E93="",$D93=""),"",ROUND(AS93/$E93*$D93*KVARDI,2))</f>
        <v/>
      </c>
      <c r="AU93" s="66" t="n"/>
      <c r="AV93" s="78">
        <f>IF(OR(INDEX(Undirviðmið!$G$6:$G$105,ROW()-6)&lt;&gt;"Starfsbundinn",AU93="",$E93="",$D93=""),"",ROUND(AU93/$E93*$D93*KVARDI,2))</f>
        <v/>
      </c>
      <c r="AW93" s="66" t="n"/>
      <c r="AX93" s="78">
        <f>IF(OR(INDEX(Undirviðmið!$G$6:$G$105,ROW()-6)&lt;&gt;"Starfsbundinn",AW93="",$E93="",$D93=""),"",ROUND(AW93/$E93*$D93*KVARDI,2))</f>
        <v/>
      </c>
      <c r="AY93" s="66" t="n"/>
      <c r="AZ93" s="78">
        <f>IF(OR(INDEX(Undirviðmið!$G$6:$G$105,ROW()-6)&lt;&gt;"Starfsbundinn",AY93="",$E93="",$D93=""),"",ROUND(AY93/$E93*$D93*KVARDI,2))</f>
        <v/>
      </c>
      <c r="BA93" s="66" t="n"/>
      <c r="BB93" s="78">
        <f>IF(OR(INDEX(Undirviðmið!$G$6:$G$105,ROW()-6)&lt;&gt;"Starfsbundinn",BA93="",$E93="",$D93=""),"",ROUND(BA93/$E93*$D93*KVARDI,2))</f>
        <v/>
      </c>
      <c r="BC93" s="66" t="n"/>
      <c r="BD93" s="78">
        <f>IF(OR(INDEX(Undirviðmið!$G$6:$G$105,ROW()-6)&lt;&gt;"Starfsbundinn",BC93="",$E93="",$D93=""),"",ROUND(BC93/$E93*$D93*KVARDI,2))</f>
        <v/>
      </c>
      <c r="BE93" s="66" t="n"/>
      <c r="BF93" s="78">
        <f>IF(OR(INDEX(Undirviðmið!$G$6:$G$105,ROW()-6)&lt;&gt;"Starfsbundinn",BE93="",$E93="",$D93=""),"",ROUND(BE93/$E93*$D93*KVARDI,2))</f>
        <v/>
      </c>
      <c r="BG93" s="66" t="n"/>
      <c r="BH93" s="78">
        <f>IF(OR(INDEX(Undirviðmið!$G$6:$G$105,ROW()-6)&lt;&gt;"Starfsbundinn",BG93="",$E93="",$D93=""),"",ROUND(BG93/$E93*$D93*KVARDI,2))</f>
        <v/>
      </c>
      <c r="BI93" s="66" t="n"/>
      <c r="BJ93" s="78">
        <f>IF(OR(INDEX(Undirviðmið!$G$6:$G$105,ROW()-6)&lt;&gt;"Starfsbundinn",BI93="",$E93="",$D93=""),"",ROUND(BI93/$E93*$D93*KVARDI,2))</f>
        <v/>
      </c>
      <c r="BK93" s="66" t="n"/>
      <c r="BL93" s="78">
        <f>IF(OR(INDEX(Undirviðmið!$G$6:$G$105,ROW()-6)&lt;&gt;"Starfsbundinn",BK93="",$E93="",$D93=""),"",ROUND(BK93/$E93*$D93*KVARDI,2))</f>
        <v/>
      </c>
      <c r="BM93" s="66" t="n"/>
      <c r="BN93" s="78">
        <f>IF(OR(INDEX(Undirviðmið!$G$6:$G$105,ROW()-6)&lt;&gt;"Starfsbundinn",BM93="",$E93="",$D93=""),"",ROUND(BM93/$E93*$D93*KVARDI,2))</f>
        <v/>
      </c>
      <c r="BO93" s="66" t="n"/>
      <c r="BP93" s="78">
        <f>IF(OR(INDEX(Undirviðmið!$G$6:$G$105,ROW()-6)&lt;&gt;"Starfsbundinn",BO93="",$E93="",$D93=""),"",ROUND(BO93/$E93*$D93*KVARDI,2))</f>
        <v/>
      </c>
      <c r="BQ93" s="66" t="n"/>
      <c r="BR93" s="78">
        <f>IF(OR(INDEX(Undirviðmið!$G$6:$G$105,ROW()-6)&lt;&gt;"Starfsbundinn",BQ93="",$E93="",$D93=""),"",ROUND(BQ93/$E93*$D93*KVARDI,2))</f>
        <v/>
      </c>
      <c r="BS93" s="66" t="n"/>
      <c r="BT93" s="78">
        <f>IF(OR(INDEX(Undirviðmið!$G$6:$G$105,ROW()-6)&lt;&gt;"Starfsbundinn",BS93="",$E93="",$D93=""),"",ROUND(BS93/$E93*$D93*KVARDI,2))</f>
        <v/>
      </c>
      <c r="BU93" s="66" t="n"/>
      <c r="BV93" s="78">
        <f>IF(OR(INDEX(Undirviðmið!$G$6:$G$105,ROW()-6)&lt;&gt;"Starfsbundinn",BU93="",$E93="",$D93=""),"",ROUND(BU93/$E93*$D93*KVARDI,2))</f>
        <v/>
      </c>
      <c r="BW93" s="66" t="n"/>
      <c r="BX93" s="78">
        <f>IF(OR(INDEX(Undirviðmið!$G$6:$G$105,ROW()-6)&lt;&gt;"Starfsbundinn",BW93="",$E93="",$D93=""),"",ROUND(BW93/$E93*$D93*KVARDI,2))</f>
        <v/>
      </c>
      <c r="BY93" s="66" t="n"/>
      <c r="BZ93" s="78">
        <f>IF(OR(INDEX(Undirviðmið!$G$6:$G$105,ROW()-6)&lt;&gt;"Starfsbundinn",BY93="",$E93="",$D93=""),"",ROUND(BY93/$E93*$D93*KVARDI,2))</f>
        <v/>
      </c>
      <c r="CA93" s="66" t="n"/>
      <c r="CB93" s="78">
        <f>IF(OR(INDEX(Undirviðmið!$G$6:$G$105,ROW()-6)&lt;&gt;"Starfsbundinn",CA93="",$E93="",$D93=""),"",ROUND(CA93/$E93*$D93*KVARDI,2))</f>
        <v/>
      </c>
      <c r="CC93" s="66" t="n"/>
      <c r="CD93" s="78">
        <f>IF(OR(INDEX(Undirviðmið!$G$6:$G$105,ROW()-6)&lt;&gt;"Starfsbundinn",CC93="",$E93="",$D93=""),"",ROUND(CC93/$E93*$D93*KVARDI,2))</f>
        <v/>
      </c>
      <c r="CE93" s="66" t="n"/>
      <c r="CF93" s="78">
        <f>IF(OR(INDEX(Undirviðmið!$G$6:$G$105,ROW()-6)&lt;&gt;"Starfsbundinn",CE93="",$E93="",$D93=""),"",ROUND(CE93/$E93*$D93*KVARDI,2))</f>
        <v/>
      </c>
      <c r="CG93" s="66" t="n"/>
      <c r="CH93" s="78">
        <f>IF(OR(INDEX(Undirviðmið!$G$6:$G$105,ROW()-6)&lt;&gt;"Starfsbundinn",CG93="",$E93="",$D93=""),"",ROUND(CG93/$E93*$D93*KVARDI,2))</f>
        <v/>
      </c>
      <c r="CI93" s="66" t="n"/>
      <c r="CJ93" s="78">
        <f>IF(OR(INDEX(Undirviðmið!$G$6:$G$105,ROW()-6)&lt;&gt;"Starfsbundinn",CI93="",$E93="",$D93=""),"",ROUND(CI93/$E93*$D93*KVARDI,2))</f>
        <v/>
      </c>
      <c r="CK93" s="66" t="n"/>
      <c r="CL93" s="78">
        <f>IF(OR(INDEX(Undirviðmið!$G$6:$G$105,ROW()-6)&lt;&gt;"Starfsbundinn",CK93="",$E93="",$D93=""),"",ROUND(CK93/$E93*$D93*KVARDI,2))</f>
        <v/>
      </c>
      <c r="CM93" s="66" t="n"/>
      <c r="CN93" s="78">
        <f>IF(OR(INDEX(Undirviðmið!$G$6:$G$105,ROW()-6)&lt;&gt;"Starfsbundinn",CM93="",$E93="",$D93=""),"",ROUND(CM93/$E93*$D93*KVARDI,2))</f>
        <v/>
      </c>
      <c r="CO93" s="66" t="n"/>
      <c r="CP93" s="78">
        <f>IF(OR(INDEX(Undirviðmið!$G$6:$G$105,ROW()-6)&lt;&gt;"Starfsbundinn",CO93="",$E93="",$D93=""),"",ROUND(CO93/$E93*$D93*KVARDI,2))</f>
        <v/>
      </c>
      <c r="CQ93" s="66" t="n"/>
      <c r="CR93" s="78">
        <f>IF(OR(INDEX(Undirviðmið!$G$6:$G$105,ROW()-6)&lt;&gt;"Starfsbundinn",CQ93="",$E93="",$D93=""),"",ROUND(CQ93/$E93*$D93*KVARDI,2))</f>
        <v/>
      </c>
      <c r="CS93" s="66" t="n"/>
      <c r="CT93" s="78">
        <f>IF(OR(INDEX(Undirviðmið!$G$6:$G$105,ROW()-6)&lt;&gt;"Starfsbundinn",CS93="",$E93="",$D93=""),"",ROUND(CS93/$E93*$D93*KVARDI,2))</f>
        <v/>
      </c>
      <c r="CU93" s="66" t="n"/>
      <c r="CV93" s="78">
        <f>IF(OR(INDEX(Undirviðmið!$G$6:$G$105,ROW()-6)&lt;&gt;"Starfsbundinn",CU93="",$E93="",$D93=""),"",ROUND(CU93/$E93*$D93*KVARDI,2))</f>
        <v/>
      </c>
      <c r="CW93" s="66" t="n"/>
      <c r="CX93" s="78">
        <f>IF(OR(INDEX(Undirviðmið!$G$6:$G$105,ROW()-6)&lt;&gt;"Starfsbundinn",CW93="",$E93="",$D93=""),"",ROUND(CW93/$E93*$D93*KVARDI,2))</f>
        <v/>
      </c>
      <c r="CY93" s="66" t="n"/>
      <c r="CZ93" s="78">
        <f>IF(OR(INDEX(Undirviðmið!$G$6:$G$105,ROW()-6)&lt;&gt;"Starfsbundinn",CY93="",$E93="",$D93=""),"",ROUND(CY93/$E93*$D93*KVARDI,2))</f>
        <v/>
      </c>
      <c r="DA93" s="66" t="n"/>
      <c r="DB93" s="78">
        <f>IF(OR(INDEX(Undirviðmið!$G$6:$G$105,ROW()-6)&lt;&gt;"Starfsbundinn",DA93="",$E93="",$D93=""),"",ROUND(DA93/$E93*$D93*KVARDI,2))</f>
        <v/>
      </c>
      <c r="DC93" s="66" t="n"/>
      <c r="DD93" s="78">
        <f>IF(OR(INDEX(Undirviðmið!$G$6:$G$105,ROW()-6)&lt;&gt;"Starfsbundinn",DC93="",$E93="",$D93=""),"",ROUND(DC93/$E93*$D93*KVARDI,2))</f>
        <v/>
      </c>
      <c r="DE93" s="66" t="n"/>
      <c r="DF93" s="78">
        <f>IF(OR(INDEX(Undirviðmið!$G$6:$G$105,ROW()-6)&lt;&gt;"Starfsbundinn",DE93="",$E93="",$D93=""),"",ROUND(DE93/$E93*$D93*KVARDI,2))</f>
        <v/>
      </c>
      <c r="DG93" s="66" t="n"/>
      <c r="DH93" s="78">
        <f>IF(OR(INDEX(Undirviðmið!$G$6:$G$105,ROW()-6)&lt;&gt;"Starfsbundinn",DG93="",$E93="",$D93=""),"",ROUND(DG93/$E93*$D93*KVARDI,2))</f>
        <v/>
      </c>
      <c r="DI93" s="66" t="n"/>
      <c r="DJ93" s="78">
        <f>IF(OR(INDEX(Undirviðmið!$G$6:$G$105,ROW()-6)&lt;&gt;"Starfsbundinn",DI93="",$E93="",$D93=""),"",ROUND(DI93/$E93*$D93*KVARDI,2))</f>
        <v/>
      </c>
      <c r="DK93" s="66" t="n"/>
      <c r="DL93" s="78">
        <f>IF(OR(INDEX(Undirviðmið!$G$6:$G$105,ROW()-6)&lt;&gt;"Starfsbundinn",DK93="",$E93="",$D93=""),"",ROUND(DK93/$E93*$D93*KVARDI,2))</f>
        <v/>
      </c>
      <c r="DM93" s="66" t="n"/>
      <c r="DN93" s="78">
        <f>IF(OR(INDEX(Undirviðmið!$G$6:$G$105,ROW()-6)&lt;&gt;"Starfsbundinn",DM93="",$E93="",$D93=""),"",ROUND(DM93/$E93*$D93*KVARDI,2))</f>
        <v/>
      </c>
      <c r="DO93" s="66" t="n"/>
      <c r="DP93" s="78">
        <f>IF(OR(INDEX(Undirviðmið!$G$6:$G$105,ROW()-6)&lt;&gt;"Starfsbundinn",DO93="",$E93="",$D93=""),"",ROUND(DO93/$E93*$D93*KVARDI,2))</f>
        <v/>
      </c>
      <c r="DQ93" s="66" t="n"/>
      <c r="DR93" s="78">
        <f>IF(OR(INDEX(Undirviðmið!$G$6:$G$105,ROW()-6)&lt;&gt;"Starfsbundinn",DQ93="",$E93="",$D93=""),"",ROUND(DQ93/$E93*$D93*KVARDI,2))</f>
        <v/>
      </c>
      <c r="DS93" s="66" t="n"/>
      <c r="DT93" s="78">
        <f>IF(OR(INDEX(Undirviðmið!$G$6:$G$105,ROW()-6)&lt;&gt;"Starfsbundinn",DS93="",$E93="",$D93=""),"",ROUND(DS93/$E93*$D93*KVARDI,2))</f>
        <v/>
      </c>
      <c r="DU93" s="66" t="n"/>
      <c r="DV93" s="78">
        <f>IF(OR(INDEX(Undirviðmið!$G$6:$G$105,ROW()-6)&lt;&gt;"Starfsbundinn",DU93="",$E93="",$D93=""),"",ROUND(DU93/$E93*$D93*KVARDI,2))</f>
        <v/>
      </c>
      <c r="DW93" s="66" t="n"/>
      <c r="DX93" s="78">
        <f>IF(OR(INDEX(Undirviðmið!$G$6:$G$105,ROW()-6)&lt;&gt;"Starfsbundinn",DW93="",$E93="",$D93=""),"",ROUND(DW93/$E93*$D93*KVARDI,2))</f>
        <v/>
      </c>
      <c r="DY93" s="66" t="n"/>
      <c r="DZ93" s="78">
        <f>IF(OR(INDEX(Undirviðmið!$G$6:$G$105,ROW()-6)&lt;&gt;"Starfsbundinn",DY93="",$E93="",$D93=""),"",ROUND(DY93/$E93*$D93*KVARDI,2))</f>
        <v/>
      </c>
      <c r="EA93" s="66" t="n"/>
      <c r="EB93" s="78">
        <f>IF(OR(INDEX(Undirviðmið!$G$6:$G$105,ROW()-6)&lt;&gt;"Starfsbundinn",EA93="",$E93="",$D93=""),"",ROUND(EA93/$E93*$D93*KVARDI,2))</f>
        <v/>
      </c>
      <c r="EC93" s="66" t="n"/>
      <c r="ED93" s="78">
        <f>IF(OR(INDEX(Undirviðmið!$G$6:$G$105,ROW()-6)&lt;&gt;"Starfsbundinn",EC93="",$E93="",$D93=""),"",ROUND(EC93/$E93*$D93*KVARDI,2))</f>
        <v/>
      </c>
      <c r="EE93" s="66" t="n"/>
      <c r="EF93" s="78">
        <f>IF(OR(INDEX(Undirviðmið!$G$6:$G$105,ROW()-6)&lt;&gt;"Starfsbundinn",EE93="",$E93="",$D93=""),"",ROUND(EE93/$E93*$D93*KVARDI,2))</f>
        <v/>
      </c>
      <c r="EG93" s="66" t="n"/>
      <c r="EH93" s="78">
        <f>IF(OR(INDEX(Undirviðmið!$G$6:$G$105,ROW()-6)&lt;&gt;"Starfsbundinn",EG93="",$E93="",$D93=""),"",ROUND(EG93/$E93*$D93*KVARDI,2))</f>
        <v/>
      </c>
      <c r="EI93" s="66" t="n"/>
      <c r="EJ93" s="78">
        <f>IF(OR(INDEX(Undirviðmið!$G$6:$G$105,ROW()-6)&lt;&gt;"Starfsbundinn",EI93="",$E93="",$D93=""),"",ROUND(EI93/$E93*$D93*KVARDI,2))</f>
        <v/>
      </c>
      <c r="EK93" s="66" t="n"/>
      <c r="EL93" s="78">
        <f>IF(OR(INDEX(Undirviðmið!$G$6:$G$105,ROW()-6)&lt;&gt;"Starfsbundinn",EK93="",$E93="",$D93=""),"",ROUND(EK93/$E93*$D93*KVARDI,2))</f>
        <v/>
      </c>
      <c r="EM93" s="66" t="n"/>
      <c r="EN93" s="78">
        <f>IF(OR(INDEX(Undirviðmið!$G$6:$G$105,ROW()-6)&lt;&gt;"Starfsbundinn",EM93="",$E93="",$D93=""),"",ROUND(EM93/$E93*$D93*KVARDI,2))</f>
        <v/>
      </c>
      <c r="EO93" s="66" t="n"/>
      <c r="EP93" s="78">
        <f>IF(OR(INDEX(Undirviðmið!$G$6:$G$105,ROW()-6)&lt;&gt;"Starfsbundinn",EO93="",$E93="",$D93=""),"",ROUND(EO93/$E93*$D93*KVARDI,2))</f>
        <v/>
      </c>
      <c r="EQ93" s="66" t="n"/>
      <c r="ER93" s="78">
        <f>IF(OR(INDEX(Undirviðmið!$G$6:$G$105,ROW()-6)&lt;&gt;"Starfsbundinn",EQ93="",$E93="",$D93=""),"",ROUND(EQ93/$E93*$D93*KVARDI,2))</f>
        <v/>
      </c>
      <c r="ES93" s="66" t="n"/>
      <c r="ET93" s="78">
        <f>IF(OR(INDEX(Undirviðmið!$G$6:$G$105,ROW()-6)&lt;&gt;"Starfsbundinn",ES93="",$E93="",$D93=""),"",ROUND(ES93/$E93*$D93*KVARDI,2))</f>
        <v/>
      </c>
      <c r="EU93" s="66" t="n"/>
      <c r="EV93" s="78">
        <f>IF(OR(INDEX(Undirviðmið!$G$6:$G$105,ROW()-6)&lt;&gt;"Starfsbundinn",EU93="",$E93="",$D93=""),"",ROUND(EU93/$E93*$D93*KVARDI,2))</f>
        <v/>
      </c>
      <c r="EW93" s="66" t="n"/>
      <c r="EX93" s="78">
        <f>IF(OR(INDEX(Undirviðmið!$G$6:$G$105,ROW()-6)&lt;&gt;"Starfsbundinn",EW93="",$E93="",$D93=""),"",ROUND(EW93/$E93*$D93*KVARDI,2))</f>
        <v/>
      </c>
      <c r="EY93" s="66" t="n"/>
      <c r="EZ93" s="78">
        <f>IF(OR(INDEX(Undirviðmið!$G$6:$G$105,ROW()-6)&lt;&gt;"Starfsbundinn",EY93="",$E93="",$D93=""),"",ROUND(EY93/$E93*$D93*KVARDI,2))</f>
        <v/>
      </c>
      <c r="FA93" s="66" t="n"/>
      <c r="FB93" s="78">
        <f>IF(OR(INDEX(Undirviðmið!$G$6:$G$105,ROW()-6)&lt;&gt;"Starfsbundinn",FA93="",$E93="",$D93=""),"",ROUND(FA93/$E93*$D93*KVARDI,2))</f>
        <v/>
      </c>
      <c r="FC93" s="66" t="n"/>
      <c r="FD93" s="78">
        <f>IF(OR(INDEX(Undirviðmið!$G$6:$G$105,ROW()-6)&lt;&gt;"Starfsbundinn",FC93="",$E93="",$D93=""),"",ROUND(FC93/$E93*$D93*KVARDI,2))</f>
        <v/>
      </c>
      <c r="FE93" s="66" t="n"/>
      <c r="FF93" s="78">
        <f>IF(OR(INDEX(Undirviðmið!$G$6:$G$105,ROW()-6)&lt;&gt;"Starfsbundinn",FE93="",$E93="",$D93=""),"",ROUND(FE93/$E93*$D93*KVARDI,2))</f>
        <v/>
      </c>
      <c r="FG93" s="66" t="n"/>
      <c r="FH93" s="78">
        <f>IF(OR(INDEX(Undirviðmið!$G$6:$G$105,ROW()-6)&lt;&gt;"Starfsbundinn",FG93="",$E93="",$D93=""),"",ROUND(FG93/$E93*$D93*KVARDI,2))</f>
        <v/>
      </c>
      <c r="FI93" s="66" t="n"/>
      <c r="FJ93" s="78">
        <f>IF(OR(INDEX(Undirviðmið!$G$6:$G$105,ROW()-6)&lt;&gt;"Starfsbundinn",FI93="",$E93="",$D93=""),"",ROUND(FI93/$E93*$D93*KVARDI,2))</f>
        <v/>
      </c>
      <c r="FK93" s="66" t="n"/>
      <c r="FL93" s="78">
        <f>IF(OR(INDEX(Undirviðmið!$G$6:$G$105,ROW()-6)&lt;&gt;"Starfsbundinn",FK93="",$E93="",$D93=""),"",ROUND(FK93/$E93*$D93*KVARDI,2))</f>
        <v/>
      </c>
      <c r="FM93" s="66" t="n"/>
      <c r="FN93" s="78">
        <f>IF(OR(INDEX(Undirviðmið!$G$6:$G$105,ROW()-6)&lt;&gt;"Starfsbundinn",FM93="",$E93="",$D93=""),"",ROUND(FM93/$E93*$D93*KVARDI,2))</f>
        <v/>
      </c>
      <c r="FO93" s="66" t="n"/>
      <c r="FP93" s="78">
        <f>IF(OR(INDEX(Undirviðmið!$G$6:$G$105,ROW()-6)&lt;&gt;"Starfsbundinn",FO93="",$E93="",$D93=""),"",ROUND(FO93/$E93*$D93*KVARDI,2))</f>
        <v/>
      </c>
      <c r="FQ93" s="66" t="n"/>
      <c r="FR93" s="78">
        <f>IF(OR(INDEX(Undirviðmið!$G$6:$G$105,ROW()-6)&lt;&gt;"Starfsbundinn",FQ93="",$E93="",$D93=""),"",ROUND(FQ93/$E93*$D93*KVARDI,2))</f>
        <v/>
      </c>
      <c r="FS93" s="66" t="n"/>
      <c r="FT93" s="78">
        <f>IF(OR(INDEX(Undirviðmið!$G$6:$G$105,ROW()-6)&lt;&gt;"Starfsbundinn",FS93="",$E93="",$D93=""),"",ROUND(FS93/$E93*$D93*KVARDI,2))</f>
        <v/>
      </c>
      <c r="FU93" s="66" t="n"/>
      <c r="FV93" s="78">
        <f>IF(OR(INDEX(Undirviðmið!$G$6:$G$105,ROW()-6)&lt;&gt;"Starfsbundinn",FU93="",$E93="",$D93=""),"",ROUND(FU93/$E93*$D93*KVARDI,2))</f>
        <v/>
      </c>
      <c r="FW93" s="66" t="n"/>
      <c r="FX93" s="78">
        <f>IF(OR(INDEX(Undirviðmið!$G$6:$G$105,ROW()-6)&lt;&gt;"Starfsbundinn",FW93="",$E93="",$D93=""),"",ROUND(FW93/$E93*$D93*KVARDI,2))</f>
        <v/>
      </c>
      <c r="FY93" s="66" t="n"/>
      <c r="FZ93" s="78">
        <f>IF(OR(INDEX(Undirviðmið!$G$6:$G$105,ROW()-6)&lt;&gt;"Starfsbundinn",FY93="",$E93="",$D93=""),"",ROUND(FY93/$E93*$D93*KVARDI,2))</f>
        <v/>
      </c>
      <c r="GA93" s="66" t="n"/>
      <c r="GB93" s="78">
        <f>IF(OR(INDEX(Undirviðmið!$G$6:$G$105,ROW()-6)&lt;&gt;"Starfsbundinn",GA93="",$E93="",$D93=""),"",ROUND(GA93/$E93*$D93*KVARDI,2))</f>
        <v/>
      </c>
      <c r="GC93" s="66" t="n"/>
      <c r="GD93" s="78">
        <f>IF(OR(INDEX(Undirviðmið!$G$6:$G$105,ROW()-6)&lt;&gt;"Starfsbundinn",GC93="",$E93="",$D93=""),"",ROUND(GC93/$E93*$D93*KVARDI,2))</f>
        <v/>
      </c>
      <c r="GE93" s="66" t="n"/>
      <c r="GF93" s="78">
        <f>IF(OR(INDEX(Undirviðmið!$G$6:$G$105,ROW()-6)&lt;&gt;"Starfsbundinn",GE93="",$E93="",$D93=""),"",ROUND(GE93/$E93*$D93*KVARDI,2))</f>
        <v/>
      </c>
      <c r="GG93" s="66" t="n"/>
      <c r="GH93" s="78">
        <f>IF(OR(INDEX(Undirviðmið!$G$6:$G$105,ROW()-6)&lt;&gt;"Starfsbundinn",GG93="",$E93="",$D93=""),"",ROUND(GG93/$E93*$D93*KVARDI,2))</f>
        <v/>
      </c>
      <c r="GI93" s="66" t="n"/>
      <c r="GJ93" s="78">
        <f>IF(OR(INDEX(Undirviðmið!$G$6:$G$105,ROW()-6)&lt;&gt;"Starfsbundinn",GI93="",$E93="",$D93=""),"",ROUND(GI93/$E93*$D93*KVARDI,2))</f>
        <v/>
      </c>
      <c r="GK93" s="66" t="n"/>
      <c r="GL93" s="78">
        <f>IF(OR(INDEX(Undirviðmið!$G$6:$G$105,ROW()-6)&lt;&gt;"Starfsbundinn",GK93="",$E93="",$D93=""),"",ROUND(GK93/$E93*$D93*KVARDI,2))</f>
        <v/>
      </c>
      <c r="GM93" s="66" t="n"/>
      <c r="GN93" s="78">
        <f>IF(OR(INDEX(Undirviðmið!$G$6:$G$105,ROW()-6)&lt;&gt;"Starfsbundinn",GM93="",$E93="",$D93=""),"",ROUND(GM93/$E93*$D93*KVARDI,2))</f>
        <v/>
      </c>
      <c r="GO93" s="66" t="n"/>
      <c r="GP93" s="78">
        <f>IF(OR(INDEX(Undirviðmið!$G$6:$G$105,ROW()-6)&lt;&gt;"Starfsbundinn",GO93="",$E93="",$D93=""),"",ROUND(GO93/$E93*$D93*KVARDI,2))</f>
        <v/>
      </c>
      <c r="GQ93" s="66" t="n"/>
      <c r="GR93" s="78">
        <f>IF(OR(INDEX(Undirviðmið!$G$6:$G$105,ROW()-6)&lt;&gt;"Starfsbundinn",GQ93="",$E93="",$D93=""),"",ROUND(GQ93/$E93*$D93*KVARDI,2))</f>
        <v/>
      </c>
      <c r="GS93" s="66" t="n"/>
      <c r="GT93" s="78">
        <f>IF(OR(INDEX(Undirviðmið!$G$6:$G$105,ROW()-6)&lt;&gt;"Starfsbundinn",GS93="",$E93="",$D93=""),"",ROUND(GS93/$E93*$D93*KVARDI,2))</f>
        <v/>
      </c>
      <c r="GU93" s="66" t="n"/>
      <c r="GV93" s="78">
        <f>IF(OR(INDEX(Undirviðmið!$G$6:$G$105,ROW()-6)&lt;&gt;"Starfsbundinn",GU93="",$E93="",$D93=""),"",ROUND(GU93/$E93*$D93*KVARDI,2))</f>
        <v/>
      </c>
      <c r="GW93" s="66" t="n"/>
      <c r="GX93" s="78">
        <f>IF(OR(INDEX(Undirviðmið!$G$6:$G$105,ROW()-6)&lt;&gt;"Starfsbundinn",GW93="",$E93="",$D93=""),"",ROUND(GW93/$E93*$D93*KVARDI,2))</f>
        <v/>
      </c>
    </row>
    <row r="94" ht="15" customHeight="1" s="47">
      <c r="B94" s="67">
        <f>IF(INDEX(Undirviðmið!$G$6:$G$105,ROW()-6)="Starfsbundinn",INDEX(Undirviðmið!$B$6:$B$105,ROW()-6),"")</f>
        <v/>
      </c>
      <c r="C94" s="67">
        <f>IF(INDEX(Undirviðmið!$G$6:$G$105,ROW()-6)="Starfsbundinn",INDEX(Undirviðmið!$C$6:$C$105,ROW()-6),"")</f>
        <v/>
      </c>
      <c r="D94" s="77">
        <f>IF(INDEX(Undirviðmið!$G$6:$G$105,ROW()-6)="Starfsbundinn",INDEX(Undirviðmið!$E$6:$E$105,ROW()-6),"")</f>
        <v/>
      </c>
      <c r="E94" s="77">
        <f>IF(INDEX(Undirviðmið!$G$6:$G$105,ROW()-6)="Starfsbundinn",INDEX(Undirviðmið!$F$6:$F$105,ROW()-6),"")</f>
        <v/>
      </c>
      <c r="F94" s="77">
        <f>IF(INDEX(Undirviðmið!$G$6:$G$105,ROW()-6)="Starfsbundinn",IFERROR(INDEX(Undirviðmið!$E$6:$E$105,ROW()-6)*KVARDI,""),"")</f>
        <v/>
      </c>
      <c r="G94" s="66" t="n"/>
      <c r="H94" s="78">
        <f>IF(OR(INDEX(Undirviðmið!$G$6:$G$105,ROW()-6)&lt;&gt;"Starfsbundinn",G94="",$E94="",$D94=""),"",ROUND(G94/$E94*$D94*KVARDI,2))</f>
        <v/>
      </c>
      <c r="I94" s="66" t="n"/>
      <c r="J94" s="78">
        <f>IF(OR(INDEX(Undirviðmið!$G$6:$G$105,ROW()-6)&lt;&gt;"Starfsbundinn",I94="",$E94="",$D94=""),"",ROUND(I94/$E94*$D94*KVARDI,2))</f>
        <v/>
      </c>
      <c r="K94" s="66" t="n"/>
      <c r="L94" s="78">
        <f>IF(OR(INDEX(Undirviðmið!$G$6:$G$105,ROW()-6)&lt;&gt;"Starfsbundinn",K94="",$E94="",$D94=""),"",ROUND(K94/$E94*$D94*KVARDI,2))</f>
        <v/>
      </c>
      <c r="M94" s="66" t="n"/>
      <c r="N94" s="78">
        <f>IF(OR(INDEX(Undirviðmið!$G$6:$G$105,ROW()-6)&lt;&gt;"Starfsbundinn",M94="",$E94="",$D94=""),"",ROUND(M94/$E94*$D94*KVARDI,2))</f>
        <v/>
      </c>
      <c r="O94" s="66" t="n"/>
      <c r="P94" s="78">
        <f>IF(OR(INDEX(Undirviðmið!$G$6:$G$105,ROW()-6)&lt;&gt;"Starfsbundinn",O94="",$E94="",$D94=""),"",ROUND(O94/$E94*$D94*KVARDI,2))</f>
        <v/>
      </c>
      <c r="Q94" s="66" t="n"/>
      <c r="R94" s="78">
        <f>IF(OR(INDEX(Undirviðmið!$G$6:$G$105,ROW()-6)&lt;&gt;"Starfsbundinn",Q94="",$E94="",$D94=""),"",ROUND(Q94/$E94*$D94*KVARDI,2))</f>
        <v/>
      </c>
      <c r="S94" s="66" t="n"/>
      <c r="T94" s="78">
        <f>IF(OR(INDEX(Undirviðmið!$G$6:$G$105,ROW()-6)&lt;&gt;"Starfsbundinn",S94="",$E94="",$D94=""),"",ROUND(S94/$E94*$D94*KVARDI,2))</f>
        <v/>
      </c>
      <c r="U94" s="66" t="n"/>
      <c r="V94" s="78">
        <f>IF(OR(INDEX(Undirviðmið!$G$6:$G$105,ROW()-6)&lt;&gt;"Starfsbundinn",U94="",$E94="",$D94=""),"",ROUND(U94/$E94*$D94*KVARDI,2))</f>
        <v/>
      </c>
      <c r="W94" s="66" t="n"/>
      <c r="X94" s="78">
        <f>IF(OR(INDEX(Undirviðmið!$G$6:$G$105,ROW()-6)&lt;&gt;"Starfsbundinn",W94="",$E94="",$D94=""),"",ROUND(W94/$E94*$D94*KVARDI,2))</f>
        <v/>
      </c>
      <c r="Y94" s="66" t="n"/>
      <c r="Z94" s="78">
        <f>IF(OR(INDEX(Undirviðmið!$G$6:$G$105,ROW()-6)&lt;&gt;"Starfsbundinn",Y94="",$E94="",$D94=""),"",ROUND(Y94/$E94*$D94*KVARDI,2))</f>
        <v/>
      </c>
      <c r="AA94" s="66" t="n"/>
      <c r="AB94" s="78">
        <f>IF(OR(INDEX(Undirviðmið!$G$6:$G$105,ROW()-6)&lt;&gt;"Starfsbundinn",AA94="",$E94="",$D94=""),"",ROUND(AA94/$E94*$D94*KVARDI,2))</f>
        <v/>
      </c>
      <c r="AC94" s="66" t="n"/>
      <c r="AD94" s="78">
        <f>IF(OR(INDEX(Undirviðmið!$G$6:$G$105,ROW()-6)&lt;&gt;"Starfsbundinn",AC94="",$E94="",$D94=""),"",ROUND(AC94/$E94*$D94*KVARDI,2))</f>
        <v/>
      </c>
      <c r="AE94" s="66" t="n"/>
      <c r="AF94" s="78">
        <f>IF(OR(INDEX(Undirviðmið!$G$6:$G$105,ROW()-6)&lt;&gt;"Starfsbundinn",AE94="",$E94="",$D94=""),"",ROUND(AE94/$E94*$D94*KVARDI,2))</f>
        <v/>
      </c>
      <c r="AG94" s="66" t="n"/>
      <c r="AH94" s="78">
        <f>IF(OR(INDEX(Undirviðmið!$G$6:$G$105,ROW()-6)&lt;&gt;"Starfsbundinn",AG94="",$E94="",$D94=""),"",ROUND(AG94/$E94*$D94*KVARDI,2))</f>
        <v/>
      </c>
      <c r="AI94" s="66" t="n"/>
      <c r="AJ94" s="78">
        <f>IF(OR(INDEX(Undirviðmið!$G$6:$G$105,ROW()-6)&lt;&gt;"Starfsbundinn",AI94="",$E94="",$D94=""),"",ROUND(AI94/$E94*$D94*KVARDI,2))</f>
        <v/>
      </c>
      <c r="AK94" s="66" t="n"/>
      <c r="AL94" s="78">
        <f>IF(OR(INDEX(Undirviðmið!$G$6:$G$105,ROW()-6)&lt;&gt;"Starfsbundinn",AK94="",$E94="",$D94=""),"",ROUND(AK94/$E94*$D94*KVARDI,2))</f>
        <v/>
      </c>
      <c r="AM94" s="66" t="n"/>
      <c r="AN94" s="78">
        <f>IF(OR(INDEX(Undirviðmið!$G$6:$G$105,ROW()-6)&lt;&gt;"Starfsbundinn",AM94="",$E94="",$D94=""),"",ROUND(AM94/$E94*$D94*KVARDI,2))</f>
        <v/>
      </c>
      <c r="AO94" s="66" t="n"/>
      <c r="AP94" s="78">
        <f>IF(OR(INDEX(Undirviðmið!$G$6:$G$105,ROW()-6)&lt;&gt;"Starfsbundinn",AO94="",$E94="",$D94=""),"",ROUND(AO94/$E94*$D94*KVARDI,2))</f>
        <v/>
      </c>
      <c r="AQ94" s="66" t="n"/>
      <c r="AR94" s="78">
        <f>IF(OR(INDEX(Undirviðmið!$G$6:$G$105,ROW()-6)&lt;&gt;"Starfsbundinn",AQ94="",$E94="",$D94=""),"",ROUND(AQ94/$E94*$D94*KVARDI,2))</f>
        <v/>
      </c>
      <c r="AS94" s="66" t="n"/>
      <c r="AT94" s="78">
        <f>IF(OR(INDEX(Undirviðmið!$G$6:$G$105,ROW()-6)&lt;&gt;"Starfsbundinn",AS94="",$E94="",$D94=""),"",ROUND(AS94/$E94*$D94*KVARDI,2))</f>
        <v/>
      </c>
      <c r="AU94" s="66" t="n"/>
      <c r="AV94" s="78">
        <f>IF(OR(INDEX(Undirviðmið!$G$6:$G$105,ROW()-6)&lt;&gt;"Starfsbundinn",AU94="",$E94="",$D94=""),"",ROUND(AU94/$E94*$D94*KVARDI,2))</f>
        <v/>
      </c>
      <c r="AW94" s="66" t="n"/>
      <c r="AX94" s="78">
        <f>IF(OR(INDEX(Undirviðmið!$G$6:$G$105,ROW()-6)&lt;&gt;"Starfsbundinn",AW94="",$E94="",$D94=""),"",ROUND(AW94/$E94*$D94*KVARDI,2))</f>
        <v/>
      </c>
      <c r="AY94" s="66" t="n"/>
      <c r="AZ94" s="78">
        <f>IF(OR(INDEX(Undirviðmið!$G$6:$G$105,ROW()-6)&lt;&gt;"Starfsbundinn",AY94="",$E94="",$D94=""),"",ROUND(AY94/$E94*$D94*KVARDI,2))</f>
        <v/>
      </c>
      <c r="BA94" s="66" t="n"/>
      <c r="BB94" s="78">
        <f>IF(OR(INDEX(Undirviðmið!$G$6:$G$105,ROW()-6)&lt;&gt;"Starfsbundinn",BA94="",$E94="",$D94=""),"",ROUND(BA94/$E94*$D94*KVARDI,2))</f>
        <v/>
      </c>
      <c r="BC94" s="66" t="n"/>
      <c r="BD94" s="78">
        <f>IF(OR(INDEX(Undirviðmið!$G$6:$G$105,ROW()-6)&lt;&gt;"Starfsbundinn",BC94="",$E94="",$D94=""),"",ROUND(BC94/$E94*$D94*KVARDI,2))</f>
        <v/>
      </c>
      <c r="BE94" s="66" t="n"/>
      <c r="BF94" s="78">
        <f>IF(OR(INDEX(Undirviðmið!$G$6:$G$105,ROW()-6)&lt;&gt;"Starfsbundinn",BE94="",$E94="",$D94=""),"",ROUND(BE94/$E94*$D94*KVARDI,2))</f>
        <v/>
      </c>
      <c r="BG94" s="66" t="n"/>
      <c r="BH94" s="78">
        <f>IF(OR(INDEX(Undirviðmið!$G$6:$G$105,ROW()-6)&lt;&gt;"Starfsbundinn",BG94="",$E94="",$D94=""),"",ROUND(BG94/$E94*$D94*KVARDI,2))</f>
        <v/>
      </c>
      <c r="BI94" s="66" t="n"/>
      <c r="BJ94" s="78">
        <f>IF(OR(INDEX(Undirviðmið!$G$6:$G$105,ROW()-6)&lt;&gt;"Starfsbundinn",BI94="",$E94="",$D94=""),"",ROUND(BI94/$E94*$D94*KVARDI,2))</f>
        <v/>
      </c>
      <c r="BK94" s="66" t="n"/>
      <c r="BL94" s="78">
        <f>IF(OR(INDEX(Undirviðmið!$G$6:$G$105,ROW()-6)&lt;&gt;"Starfsbundinn",BK94="",$E94="",$D94=""),"",ROUND(BK94/$E94*$D94*KVARDI,2))</f>
        <v/>
      </c>
      <c r="BM94" s="66" t="n"/>
      <c r="BN94" s="78">
        <f>IF(OR(INDEX(Undirviðmið!$G$6:$G$105,ROW()-6)&lt;&gt;"Starfsbundinn",BM94="",$E94="",$D94=""),"",ROUND(BM94/$E94*$D94*KVARDI,2))</f>
        <v/>
      </c>
      <c r="BO94" s="66" t="n"/>
      <c r="BP94" s="78">
        <f>IF(OR(INDEX(Undirviðmið!$G$6:$G$105,ROW()-6)&lt;&gt;"Starfsbundinn",BO94="",$E94="",$D94=""),"",ROUND(BO94/$E94*$D94*KVARDI,2))</f>
        <v/>
      </c>
      <c r="BQ94" s="66" t="n"/>
      <c r="BR94" s="78">
        <f>IF(OR(INDEX(Undirviðmið!$G$6:$G$105,ROW()-6)&lt;&gt;"Starfsbundinn",BQ94="",$E94="",$D94=""),"",ROUND(BQ94/$E94*$D94*KVARDI,2))</f>
        <v/>
      </c>
      <c r="BS94" s="66" t="n"/>
      <c r="BT94" s="78">
        <f>IF(OR(INDEX(Undirviðmið!$G$6:$G$105,ROW()-6)&lt;&gt;"Starfsbundinn",BS94="",$E94="",$D94=""),"",ROUND(BS94/$E94*$D94*KVARDI,2))</f>
        <v/>
      </c>
      <c r="BU94" s="66" t="n"/>
      <c r="BV94" s="78">
        <f>IF(OR(INDEX(Undirviðmið!$G$6:$G$105,ROW()-6)&lt;&gt;"Starfsbundinn",BU94="",$E94="",$D94=""),"",ROUND(BU94/$E94*$D94*KVARDI,2))</f>
        <v/>
      </c>
      <c r="BW94" s="66" t="n"/>
      <c r="BX94" s="78">
        <f>IF(OR(INDEX(Undirviðmið!$G$6:$G$105,ROW()-6)&lt;&gt;"Starfsbundinn",BW94="",$E94="",$D94=""),"",ROUND(BW94/$E94*$D94*KVARDI,2))</f>
        <v/>
      </c>
      <c r="BY94" s="66" t="n"/>
      <c r="BZ94" s="78">
        <f>IF(OR(INDEX(Undirviðmið!$G$6:$G$105,ROW()-6)&lt;&gt;"Starfsbundinn",BY94="",$E94="",$D94=""),"",ROUND(BY94/$E94*$D94*KVARDI,2))</f>
        <v/>
      </c>
      <c r="CA94" s="66" t="n"/>
      <c r="CB94" s="78">
        <f>IF(OR(INDEX(Undirviðmið!$G$6:$G$105,ROW()-6)&lt;&gt;"Starfsbundinn",CA94="",$E94="",$D94=""),"",ROUND(CA94/$E94*$D94*KVARDI,2))</f>
        <v/>
      </c>
      <c r="CC94" s="66" t="n"/>
      <c r="CD94" s="78">
        <f>IF(OR(INDEX(Undirviðmið!$G$6:$G$105,ROW()-6)&lt;&gt;"Starfsbundinn",CC94="",$E94="",$D94=""),"",ROUND(CC94/$E94*$D94*KVARDI,2))</f>
        <v/>
      </c>
      <c r="CE94" s="66" t="n"/>
      <c r="CF94" s="78">
        <f>IF(OR(INDEX(Undirviðmið!$G$6:$G$105,ROW()-6)&lt;&gt;"Starfsbundinn",CE94="",$E94="",$D94=""),"",ROUND(CE94/$E94*$D94*KVARDI,2))</f>
        <v/>
      </c>
      <c r="CG94" s="66" t="n"/>
      <c r="CH94" s="78">
        <f>IF(OR(INDEX(Undirviðmið!$G$6:$G$105,ROW()-6)&lt;&gt;"Starfsbundinn",CG94="",$E94="",$D94=""),"",ROUND(CG94/$E94*$D94*KVARDI,2))</f>
        <v/>
      </c>
      <c r="CI94" s="66" t="n"/>
      <c r="CJ94" s="78">
        <f>IF(OR(INDEX(Undirviðmið!$G$6:$G$105,ROW()-6)&lt;&gt;"Starfsbundinn",CI94="",$E94="",$D94=""),"",ROUND(CI94/$E94*$D94*KVARDI,2))</f>
        <v/>
      </c>
      <c r="CK94" s="66" t="n"/>
      <c r="CL94" s="78">
        <f>IF(OR(INDEX(Undirviðmið!$G$6:$G$105,ROW()-6)&lt;&gt;"Starfsbundinn",CK94="",$E94="",$D94=""),"",ROUND(CK94/$E94*$D94*KVARDI,2))</f>
        <v/>
      </c>
      <c r="CM94" s="66" t="n"/>
      <c r="CN94" s="78">
        <f>IF(OR(INDEX(Undirviðmið!$G$6:$G$105,ROW()-6)&lt;&gt;"Starfsbundinn",CM94="",$E94="",$D94=""),"",ROUND(CM94/$E94*$D94*KVARDI,2))</f>
        <v/>
      </c>
      <c r="CO94" s="66" t="n"/>
      <c r="CP94" s="78">
        <f>IF(OR(INDEX(Undirviðmið!$G$6:$G$105,ROW()-6)&lt;&gt;"Starfsbundinn",CO94="",$E94="",$D94=""),"",ROUND(CO94/$E94*$D94*KVARDI,2))</f>
        <v/>
      </c>
      <c r="CQ94" s="66" t="n"/>
      <c r="CR94" s="78">
        <f>IF(OR(INDEX(Undirviðmið!$G$6:$G$105,ROW()-6)&lt;&gt;"Starfsbundinn",CQ94="",$E94="",$D94=""),"",ROUND(CQ94/$E94*$D94*KVARDI,2))</f>
        <v/>
      </c>
      <c r="CS94" s="66" t="n"/>
      <c r="CT94" s="78">
        <f>IF(OR(INDEX(Undirviðmið!$G$6:$G$105,ROW()-6)&lt;&gt;"Starfsbundinn",CS94="",$E94="",$D94=""),"",ROUND(CS94/$E94*$D94*KVARDI,2))</f>
        <v/>
      </c>
      <c r="CU94" s="66" t="n"/>
      <c r="CV94" s="78">
        <f>IF(OR(INDEX(Undirviðmið!$G$6:$G$105,ROW()-6)&lt;&gt;"Starfsbundinn",CU94="",$E94="",$D94=""),"",ROUND(CU94/$E94*$D94*KVARDI,2))</f>
        <v/>
      </c>
      <c r="CW94" s="66" t="n"/>
      <c r="CX94" s="78">
        <f>IF(OR(INDEX(Undirviðmið!$G$6:$G$105,ROW()-6)&lt;&gt;"Starfsbundinn",CW94="",$E94="",$D94=""),"",ROUND(CW94/$E94*$D94*KVARDI,2))</f>
        <v/>
      </c>
      <c r="CY94" s="66" t="n"/>
      <c r="CZ94" s="78">
        <f>IF(OR(INDEX(Undirviðmið!$G$6:$G$105,ROW()-6)&lt;&gt;"Starfsbundinn",CY94="",$E94="",$D94=""),"",ROUND(CY94/$E94*$D94*KVARDI,2))</f>
        <v/>
      </c>
      <c r="DA94" s="66" t="n"/>
      <c r="DB94" s="78">
        <f>IF(OR(INDEX(Undirviðmið!$G$6:$G$105,ROW()-6)&lt;&gt;"Starfsbundinn",DA94="",$E94="",$D94=""),"",ROUND(DA94/$E94*$D94*KVARDI,2))</f>
        <v/>
      </c>
      <c r="DC94" s="66" t="n"/>
      <c r="DD94" s="78">
        <f>IF(OR(INDEX(Undirviðmið!$G$6:$G$105,ROW()-6)&lt;&gt;"Starfsbundinn",DC94="",$E94="",$D94=""),"",ROUND(DC94/$E94*$D94*KVARDI,2))</f>
        <v/>
      </c>
      <c r="DE94" s="66" t="n"/>
      <c r="DF94" s="78">
        <f>IF(OR(INDEX(Undirviðmið!$G$6:$G$105,ROW()-6)&lt;&gt;"Starfsbundinn",DE94="",$E94="",$D94=""),"",ROUND(DE94/$E94*$D94*KVARDI,2))</f>
        <v/>
      </c>
      <c r="DG94" s="66" t="n"/>
      <c r="DH94" s="78">
        <f>IF(OR(INDEX(Undirviðmið!$G$6:$G$105,ROW()-6)&lt;&gt;"Starfsbundinn",DG94="",$E94="",$D94=""),"",ROUND(DG94/$E94*$D94*KVARDI,2))</f>
        <v/>
      </c>
      <c r="DI94" s="66" t="n"/>
      <c r="DJ94" s="78">
        <f>IF(OR(INDEX(Undirviðmið!$G$6:$G$105,ROW()-6)&lt;&gt;"Starfsbundinn",DI94="",$E94="",$D94=""),"",ROUND(DI94/$E94*$D94*KVARDI,2))</f>
        <v/>
      </c>
      <c r="DK94" s="66" t="n"/>
      <c r="DL94" s="78">
        <f>IF(OR(INDEX(Undirviðmið!$G$6:$G$105,ROW()-6)&lt;&gt;"Starfsbundinn",DK94="",$E94="",$D94=""),"",ROUND(DK94/$E94*$D94*KVARDI,2))</f>
        <v/>
      </c>
      <c r="DM94" s="66" t="n"/>
      <c r="DN94" s="78">
        <f>IF(OR(INDEX(Undirviðmið!$G$6:$G$105,ROW()-6)&lt;&gt;"Starfsbundinn",DM94="",$E94="",$D94=""),"",ROUND(DM94/$E94*$D94*KVARDI,2))</f>
        <v/>
      </c>
      <c r="DO94" s="66" t="n"/>
      <c r="DP94" s="78">
        <f>IF(OR(INDEX(Undirviðmið!$G$6:$G$105,ROW()-6)&lt;&gt;"Starfsbundinn",DO94="",$E94="",$D94=""),"",ROUND(DO94/$E94*$D94*KVARDI,2))</f>
        <v/>
      </c>
      <c r="DQ94" s="66" t="n"/>
      <c r="DR94" s="78">
        <f>IF(OR(INDEX(Undirviðmið!$G$6:$G$105,ROW()-6)&lt;&gt;"Starfsbundinn",DQ94="",$E94="",$D94=""),"",ROUND(DQ94/$E94*$D94*KVARDI,2))</f>
        <v/>
      </c>
      <c r="DS94" s="66" t="n"/>
      <c r="DT94" s="78">
        <f>IF(OR(INDEX(Undirviðmið!$G$6:$G$105,ROW()-6)&lt;&gt;"Starfsbundinn",DS94="",$E94="",$D94=""),"",ROUND(DS94/$E94*$D94*KVARDI,2))</f>
        <v/>
      </c>
      <c r="DU94" s="66" t="n"/>
      <c r="DV94" s="78">
        <f>IF(OR(INDEX(Undirviðmið!$G$6:$G$105,ROW()-6)&lt;&gt;"Starfsbundinn",DU94="",$E94="",$D94=""),"",ROUND(DU94/$E94*$D94*KVARDI,2))</f>
        <v/>
      </c>
      <c r="DW94" s="66" t="n"/>
      <c r="DX94" s="78">
        <f>IF(OR(INDEX(Undirviðmið!$G$6:$G$105,ROW()-6)&lt;&gt;"Starfsbundinn",DW94="",$E94="",$D94=""),"",ROUND(DW94/$E94*$D94*KVARDI,2))</f>
        <v/>
      </c>
      <c r="DY94" s="66" t="n"/>
      <c r="DZ94" s="78">
        <f>IF(OR(INDEX(Undirviðmið!$G$6:$G$105,ROW()-6)&lt;&gt;"Starfsbundinn",DY94="",$E94="",$D94=""),"",ROUND(DY94/$E94*$D94*KVARDI,2))</f>
        <v/>
      </c>
      <c r="EA94" s="66" t="n"/>
      <c r="EB94" s="78">
        <f>IF(OR(INDEX(Undirviðmið!$G$6:$G$105,ROW()-6)&lt;&gt;"Starfsbundinn",EA94="",$E94="",$D94=""),"",ROUND(EA94/$E94*$D94*KVARDI,2))</f>
        <v/>
      </c>
      <c r="EC94" s="66" t="n"/>
      <c r="ED94" s="78">
        <f>IF(OR(INDEX(Undirviðmið!$G$6:$G$105,ROW()-6)&lt;&gt;"Starfsbundinn",EC94="",$E94="",$D94=""),"",ROUND(EC94/$E94*$D94*KVARDI,2))</f>
        <v/>
      </c>
      <c r="EE94" s="66" t="n"/>
      <c r="EF94" s="78">
        <f>IF(OR(INDEX(Undirviðmið!$G$6:$G$105,ROW()-6)&lt;&gt;"Starfsbundinn",EE94="",$E94="",$D94=""),"",ROUND(EE94/$E94*$D94*KVARDI,2))</f>
        <v/>
      </c>
      <c r="EG94" s="66" t="n"/>
      <c r="EH94" s="78">
        <f>IF(OR(INDEX(Undirviðmið!$G$6:$G$105,ROW()-6)&lt;&gt;"Starfsbundinn",EG94="",$E94="",$D94=""),"",ROUND(EG94/$E94*$D94*KVARDI,2))</f>
        <v/>
      </c>
      <c r="EI94" s="66" t="n"/>
      <c r="EJ94" s="78">
        <f>IF(OR(INDEX(Undirviðmið!$G$6:$G$105,ROW()-6)&lt;&gt;"Starfsbundinn",EI94="",$E94="",$D94=""),"",ROUND(EI94/$E94*$D94*KVARDI,2))</f>
        <v/>
      </c>
      <c r="EK94" s="66" t="n"/>
      <c r="EL94" s="78">
        <f>IF(OR(INDEX(Undirviðmið!$G$6:$G$105,ROW()-6)&lt;&gt;"Starfsbundinn",EK94="",$E94="",$D94=""),"",ROUND(EK94/$E94*$D94*KVARDI,2))</f>
        <v/>
      </c>
      <c r="EM94" s="66" t="n"/>
      <c r="EN94" s="78">
        <f>IF(OR(INDEX(Undirviðmið!$G$6:$G$105,ROW()-6)&lt;&gt;"Starfsbundinn",EM94="",$E94="",$D94=""),"",ROUND(EM94/$E94*$D94*KVARDI,2))</f>
        <v/>
      </c>
      <c r="EO94" s="66" t="n"/>
      <c r="EP94" s="78">
        <f>IF(OR(INDEX(Undirviðmið!$G$6:$G$105,ROW()-6)&lt;&gt;"Starfsbundinn",EO94="",$E94="",$D94=""),"",ROUND(EO94/$E94*$D94*KVARDI,2))</f>
        <v/>
      </c>
      <c r="EQ94" s="66" t="n"/>
      <c r="ER94" s="78">
        <f>IF(OR(INDEX(Undirviðmið!$G$6:$G$105,ROW()-6)&lt;&gt;"Starfsbundinn",EQ94="",$E94="",$D94=""),"",ROUND(EQ94/$E94*$D94*KVARDI,2))</f>
        <v/>
      </c>
      <c r="ES94" s="66" t="n"/>
      <c r="ET94" s="78">
        <f>IF(OR(INDEX(Undirviðmið!$G$6:$G$105,ROW()-6)&lt;&gt;"Starfsbundinn",ES94="",$E94="",$D94=""),"",ROUND(ES94/$E94*$D94*KVARDI,2))</f>
        <v/>
      </c>
      <c r="EU94" s="66" t="n"/>
      <c r="EV94" s="78">
        <f>IF(OR(INDEX(Undirviðmið!$G$6:$G$105,ROW()-6)&lt;&gt;"Starfsbundinn",EU94="",$E94="",$D94=""),"",ROUND(EU94/$E94*$D94*KVARDI,2))</f>
        <v/>
      </c>
      <c r="EW94" s="66" t="n"/>
      <c r="EX94" s="78">
        <f>IF(OR(INDEX(Undirviðmið!$G$6:$G$105,ROW()-6)&lt;&gt;"Starfsbundinn",EW94="",$E94="",$D94=""),"",ROUND(EW94/$E94*$D94*KVARDI,2))</f>
        <v/>
      </c>
      <c r="EY94" s="66" t="n"/>
      <c r="EZ94" s="78">
        <f>IF(OR(INDEX(Undirviðmið!$G$6:$G$105,ROW()-6)&lt;&gt;"Starfsbundinn",EY94="",$E94="",$D94=""),"",ROUND(EY94/$E94*$D94*KVARDI,2))</f>
        <v/>
      </c>
      <c r="FA94" s="66" t="n"/>
      <c r="FB94" s="78">
        <f>IF(OR(INDEX(Undirviðmið!$G$6:$G$105,ROW()-6)&lt;&gt;"Starfsbundinn",FA94="",$E94="",$D94=""),"",ROUND(FA94/$E94*$D94*KVARDI,2))</f>
        <v/>
      </c>
      <c r="FC94" s="66" t="n"/>
      <c r="FD94" s="78">
        <f>IF(OR(INDEX(Undirviðmið!$G$6:$G$105,ROW()-6)&lt;&gt;"Starfsbundinn",FC94="",$E94="",$D94=""),"",ROUND(FC94/$E94*$D94*KVARDI,2))</f>
        <v/>
      </c>
      <c r="FE94" s="66" t="n"/>
      <c r="FF94" s="78">
        <f>IF(OR(INDEX(Undirviðmið!$G$6:$G$105,ROW()-6)&lt;&gt;"Starfsbundinn",FE94="",$E94="",$D94=""),"",ROUND(FE94/$E94*$D94*KVARDI,2))</f>
        <v/>
      </c>
      <c r="FG94" s="66" t="n"/>
      <c r="FH94" s="78">
        <f>IF(OR(INDEX(Undirviðmið!$G$6:$G$105,ROW()-6)&lt;&gt;"Starfsbundinn",FG94="",$E94="",$D94=""),"",ROUND(FG94/$E94*$D94*KVARDI,2))</f>
        <v/>
      </c>
      <c r="FI94" s="66" t="n"/>
      <c r="FJ94" s="78">
        <f>IF(OR(INDEX(Undirviðmið!$G$6:$G$105,ROW()-6)&lt;&gt;"Starfsbundinn",FI94="",$E94="",$D94=""),"",ROUND(FI94/$E94*$D94*KVARDI,2))</f>
        <v/>
      </c>
      <c r="FK94" s="66" t="n"/>
      <c r="FL94" s="78">
        <f>IF(OR(INDEX(Undirviðmið!$G$6:$G$105,ROW()-6)&lt;&gt;"Starfsbundinn",FK94="",$E94="",$D94=""),"",ROUND(FK94/$E94*$D94*KVARDI,2))</f>
        <v/>
      </c>
      <c r="FM94" s="66" t="n"/>
      <c r="FN94" s="78">
        <f>IF(OR(INDEX(Undirviðmið!$G$6:$G$105,ROW()-6)&lt;&gt;"Starfsbundinn",FM94="",$E94="",$D94=""),"",ROUND(FM94/$E94*$D94*KVARDI,2))</f>
        <v/>
      </c>
      <c r="FO94" s="66" t="n"/>
      <c r="FP94" s="78">
        <f>IF(OR(INDEX(Undirviðmið!$G$6:$G$105,ROW()-6)&lt;&gt;"Starfsbundinn",FO94="",$E94="",$D94=""),"",ROUND(FO94/$E94*$D94*KVARDI,2))</f>
        <v/>
      </c>
      <c r="FQ94" s="66" t="n"/>
      <c r="FR94" s="78">
        <f>IF(OR(INDEX(Undirviðmið!$G$6:$G$105,ROW()-6)&lt;&gt;"Starfsbundinn",FQ94="",$E94="",$D94=""),"",ROUND(FQ94/$E94*$D94*KVARDI,2))</f>
        <v/>
      </c>
      <c r="FS94" s="66" t="n"/>
      <c r="FT94" s="78">
        <f>IF(OR(INDEX(Undirviðmið!$G$6:$G$105,ROW()-6)&lt;&gt;"Starfsbundinn",FS94="",$E94="",$D94=""),"",ROUND(FS94/$E94*$D94*KVARDI,2))</f>
        <v/>
      </c>
      <c r="FU94" s="66" t="n"/>
      <c r="FV94" s="78">
        <f>IF(OR(INDEX(Undirviðmið!$G$6:$G$105,ROW()-6)&lt;&gt;"Starfsbundinn",FU94="",$E94="",$D94=""),"",ROUND(FU94/$E94*$D94*KVARDI,2))</f>
        <v/>
      </c>
      <c r="FW94" s="66" t="n"/>
      <c r="FX94" s="78">
        <f>IF(OR(INDEX(Undirviðmið!$G$6:$G$105,ROW()-6)&lt;&gt;"Starfsbundinn",FW94="",$E94="",$D94=""),"",ROUND(FW94/$E94*$D94*KVARDI,2))</f>
        <v/>
      </c>
      <c r="FY94" s="66" t="n"/>
      <c r="FZ94" s="78">
        <f>IF(OR(INDEX(Undirviðmið!$G$6:$G$105,ROW()-6)&lt;&gt;"Starfsbundinn",FY94="",$E94="",$D94=""),"",ROUND(FY94/$E94*$D94*KVARDI,2))</f>
        <v/>
      </c>
      <c r="GA94" s="66" t="n"/>
      <c r="GB94" s="78">
        <f>IF(OR(INDEX(Undirviðmið!$G$6:$G$105,ROW()-6)&lt;&gt;"Starfsbundinn",GA94="",$E94="",$D94=""),"",ROUND(GA94/$E94*$D94*KVARDI,2))</f>
        <v/>
      </c>
      <c r="GC94" s="66" t="n"/>
      <c r="GD94" s="78">
        <f>IF(OR(INDEX(Undirviðmið!$G$6:$G$105,ROW()-6)&lt;&gt;"Starfsbundinn",GC94="",$E94="",$D94=""),"",ROUND(GC94/$E94*$D94*KVARDI,2))</f>
        <v/>
      </c>
      <c r="GE94" s="66" t="n"/>
      <c r="GF94" s="78">
        <f>IF(OR(INDEX(Undirviðmið!$G$6:$G$105,ROW()-6)&lt;&gt;"Starfsbundinn",GE94="",$E94="",$D94=""),"",ROUND(GE94/$E94*$D94*KVARDI,2))</f>
        <v/>
      </c>
      <c r="GG94" s="66" t="n"/>
      <c r="GH94" s="78">
        <f>IF(OR(INDEX(Undirviðmið!$G$6:$G$105,ROW()-6)&lt;&gt;"Starfsbundinn",GG94="",$E94="",$D94=""),"",ROUND(GG94/$E94*$D94*KVARDI,2))</f>
        <v/>
      </c>
      <c r="GI94" s="66" t="n"/>
      <c r="GJ94" s="78">
        <f>IF(OR(INDEX(Undirviðmið!$G$6:$G$105,ROW()-6)&lt;&gt;"Starfsbundinn",GI94="",$E94="",$D94=""),"",ROUND(GI94/$E94*$D94*KVARDI,2))</f>
        <v/>
      </c>
      <c r="GK94" s="66" t="n"/>
      <c r="GL94" s="78">
        <f>IF(OR(INDEX(Undirviðmið!$G$6:$G$105,ROW()-6)&lt;&gt;"Starfsbundinn",GK94="",$E94="",$D94=""),"",ROUND(GK94/$E94*$D94*KVARDI,2))</f>
        <v/>
      </c>
      <c r="GM94" s="66" t="n"/>
      <c r="GN94" s="78">
        <f>IF(OR(INDEX(Undirviðmið!$G$6:$G$105,ROW()-6)&lt;&gt;"Starfsbundinn",GM94="",$E94="",$D94=""),"",ROUND(GM94/$E94*$D94*KVARDI,2))</f>
        <v/>
      </c>
      <c r="GO94" s="66" t="n"/>
      <c r="GP94" s="78">
        <f>IF(OR(INDEX(Undirviðmið!$G$6:$G$105,ROW()-6)&lt;&gt;"Starfsbundinn",GO94="",$E94="",$D94=""),"",ROUND(GO94/$E94*$D94*KVARDI,2))</f>
        <v/>
      </c>
      <c r="GQ94" s="66" t="n"/>
      <c r="GR94" s="78">
        <f>IF(OR(INDEX(Undirviðmið!$G$6:$G$105,ROW()-6)&lt;&gt;"Starfsbundinn",GQ94="",$E94="",$D94=""),"",ROUND(GQ94/$E94*$D94*KVARDI,2))</f>
        <v/>
      </c>
      <c r="GS94" s="66" t="n"/>
      <c r="GT94" s="78">
        <f>IF(OR(INDEX(Undirviðmið!$G$6:$G$105,ROW()-6)&lt;&gt;"Starfsbundinn",GS94="",$E94="",$D94=""),"",ROUND(GS94/$E94*$D94*KVARDI,2))</f>
        <v/>
      </c>
      <c r="GU94" s="66" t="n"/>
      <c r="GV94" s="78">
        <f>IF(OR(INDEX(Undirviðmið!$G$6:$G$105,ROW()-6)&lt;&gt;"Starfsbundinn",GU94="",$E94="",$D94=""),"",ROUND(GU94/$E94*$D94*KVARDI,2))</f>
        <v/>
      </c>
      <c r="GW94" s="66" t="n"/>
      <c r="GX94" s="78">
        <f>IF(OR(INDEX(Undirviðmið!$G$6:$G$105,ROW()-6)&lt;&gt;"Starfsbundinn",GW94="",$E94="",$D94=""),"",ROUND(GW94/$E94*$D94*KVARDI,2))</f>
        <v/>
      </c>
    </row>
    <row r="95" ht="15" customHeight="1" s="47">
      <c r="B95" s="67">
        <f>IF(INDEX(Undirviðmið!$G$6:$G$105,ROW()-6)="Starfsbundinn",INDEX(Undirviðmið!$B$6:$B$105,ROW()-6),"")</f>
        <v/>
      </c>
      <c r="C95" s="67">
        <f>IF(INDEX(Undirviðmið!$G$6:$G$105,ROW()-6)="Starfsbundinn",INDEX(Undirviðmið!$C$6:$C$105,ROW()-6),"")</f>
        <v/>
      </c>
      <c r="D95" s="77">
        <f>IF(INDEX(Undirviðmið!$G$6:$G$105,ROW()-6)="Starfsbundinn",INDEX(Undirviðmið!$E$6:$E$105,ROW()-6),"")</f>
        <v/>
      </c>
      <c r="E95" s="77">
        <f>IF(INDEX(Undirviðmið!$G$6:$G$105,ROW()-6)="Starfsbundinn",INDEX(Undirviðmið!$F$6:$F$105,ROW()-6),"")</f>
        <v/>
      </c>
      <c r="F95" s="77">
        <f>IF(INDEX(Undirviðmið!$G$6:$G$105,ROW()-6)="Starfsbundinn",IFERROR(INDEX(Undirviðmið!$E$6:$E$105,ROW()-6)*KVARDI,""),"")</f>
        <v/>
      </c>
      <c r="G95" s="66" t="n"/>
      <c r="H95" s="78">
        <f>IF(OR(INDEX(Undirviðmið!$G$6:$G$105,ROW()-6)&lt;&gt;"Starfsbundinn",G95="",$E95="",$D95=""),"",ROUND(G95/$E95*$D95*KVARDI,2))</f>
        <v/>
      </c>
      <c r="I95" s="66" t="n"/>
      <c r="J95" s="78">
        <f>IF(OR(INDEX(Undirviðmið!$G$6:$G$105,ROW()-6)&lt;&gt;"Starfsbundinn",I95="",$E95="",$D95=""),"",ROUND(I95/$E95*$D95*KVARDI,2))</f>
        <v/>
      </c>
      <c r="K95" s="66" t="n"/>
      <c r="L95" s="78">
        <f>IF(OR(INDEX(Undirviðmið!$G$6:$G$105,ROW()-6)&lt;&gt;"Starfsbundinn",K95="",$E95="",$D95=""),"",ROUND(K95/$E95*$D95*KVARDI,2))</f>
        <v/>
      </c>
      <c r="M95" s="66" t="n"/>
      <c r="N95" s="78">
        <f>IF(OR(INDEX(Undirviðmið!$G$6:$G$105,ROW()-6)&lt;&gt;"Starfsbundinn",M95="",$E95="",$D95=""),"",ROUND(M95/$E95*$D95*KVARDI,2))</f>
        <v/>
      </c>
      <c r="O95" s="66" t="n"/>
      <c r="P95" s="78">
        <f>IF(OR(INDEX(Undirviðmið!$G$6:$G$105,ROW()-6)&lt;&gt;"Starfsbundinn",O95="",$E95="",$D95=""),"",ROUND(O95/$E95*$D95*KVARDI,2))</f>
        <v/>
      </c>
      <c r="Q95" s="66" t="n"/>
      <c r="R95" s="78">
        <f>IF(OR(INDEX(Undirviðmið!$G$6:$G$105,ROW()-6)&lt;&gt;"Starfsbundinn",Q95="",$E95="",$D95=""),"",ROUND(Q95/$E95*$D95*KVARDI,2))</f>
        <v/>
      </c>
      <c r="S95" s="66" t="n"/>
      <c r="T95" s="78">
        <f>IF(OR(INDEX(Undirviðmið!$G$6:$G$105,ROW()-6)&lt;&gt;"Starfsbundinn",S95="",$E95="",$D95=""),"",ROUND(S95/$E95*$D95*KVARDI,2))</f>
        <v/>
      </c>
      <c r="U95" s="66" t="n"/>
      <c r="V95" s="78">
        <f>IF(OR(INDEX(Undirviðmið!$G$6:$G$105,ROW()-6)&lt;&gt;"Starfsbundinn",U95="",$E95="",$D95=""),"",ROUND(U95/$E95*$D95*KVARDI,2))</f>
        <v/>
      </c>
      <c r="W95" s="66" t="n"/>
      <c r="X95" s="78">
        <f>IF(OR(INDEX(Undirviðmið!$G$6:$G$105,ROW()-6)&lt;&gt;"Starfsbundinn",W95="",$E95="",$D95=""),"",ROUND(W95/$E95*$D95*KVARDI,2))</f>
        <v/>
      </c>
      <c r="Y95" s="66" t="n"/>
      <c r="Z95" s="78">
        <f>IF(OR(INDEX(Undirviðmið!$G$6:$G$105,ROW()-6)&lt;&gt;"Starfsbundinn",Y95="",$E95="",$D95=""),"",ROUND(Y95/$E95*$D95*KVARDI,2))</f>
        <v/>
      </c>
      <c r="AA95" s="66" t="n"/>
      <c r="AB95" s="78">
        <f>IF(OR(INDEX(Undirviðmið!$G$6:$G$105,ROW()-6)&lt;&gt;"Starfsbundinn",AA95="",$E95="",$D95=""),"",ROUND(AA95/$E95*$D95*KVARDI,2))</f>
        <v/>
      </c>
      <c r="AC95" s="66" t="n"/>
      <c r="AD95" s="78">
        <f>IF(OR(INDEX(Undirviðmið!$G$6:$G$105,ROW()-6)&lt;&gt;"Starfsbundinn",AC95="",$E95="",$D95=""),"",ROUND(AC95/$E95*$D95*KVARDI,2))</f>
        <v/>
      </c>
      <c r="AE95" s="66" t="n"/>
      <c r="AF95" s="78">
        <f>IF(OR(INDEX(Undirviðmið!$G$6:$G$105,ROW()-6)&lt;&gt;"Starfsbundinn",AE95="",$E95="",$D95=""),"",ROUND(AE95/$E95*$D95*KVARDI,2))</f>
        <v/>
      </c>
      <c r="AG95" s="66" t="n"/>
      <c r="AH95" s="78">
        <f>IF(OR(INDEX(Undirviðmið!$G$6:$G$105,ROW()-6)&lt;&gt;"Starfsbundinn",AG95="",$E95="",$D95=""),"",ROUND(AG95/$E95*$D95*KVARDI,2))</f>
        <v/>
      </c>
      <c r="AI95" s="66" t="n"/>
      <c r="AJ95" s="78">
        <f>IF(OR(INDEX(Undirviðmið!$G$6:$G$105,ROW()-6)&lt;&gt;"Starfsbundinn",AI95="",$E95="",$D95=""),"",ROUND(AI95/$E95*$D95*KVARDI,2))</f>
        <v/>
      </c>
      <c r="AK95" s="66" t="n"/>
      <c r="AL95" s="78">
        <f>IF(OR(INDEX(Undirviðmið!$G$6:$G$105,ROW()-6)&lt;&gt;"Starfsbundinn",AK95="",$E95="",$D95=""),"",ROUND(AK95/$E95*$D95*KVARDI,2))</f>
        <v/>
      </c>
      <c r="AM95" s="66" t="n"/>
      <c r="AN95" s="78">
        <f>IF(OR(INDEX(Undirviðmið!$G$6:$G$105,ROW()-6)&lt;&gt;"Starfsbundinn",AM95="",$E95="",$D95=""),"",ROUND(AM95/$E95*$D95*KVARDI,2))</f>
        <v/>
      </c>
      <c r="AO95" s="66" t="n"/>
      <c r="AP95" s="78">
        <f>IF(OR(INDEX(Undirviðmið!$G$6:$G$105,ROW()-6)&lt;&gt;"Starfsbundinn",AO95="",$E95="",$D95=""),"",ROUND(AO95/$E95*$D95*KVARDI,2))</f>
        <v/>
      </c>
      <c r="AQ95" s="66" t="n"/>
      <c r="AR95" s="78">
        <f>IF(OR(INDEX(Undirviðmið!$G$6:$G$105,ROW()-6)&lt;&gt;"Starfsbundinn",AQ95="",$E95="",$D95=""),"",ROUND(AQ95/$E95*$D95*KVARDI,2))</f>
        <v/>
      </c>
      <c r="AS95" s="66" t="n"/>
      <c r="AT95" s="78">
        <f>IF(OR(INDEX(Undirviðmið!$G$6:$G$105,ROW()-6)&lt;&gt;"Starfsbundinn",AS95="",$E95="",$D95=""),"",ROUND(AS95/$E95*$D95*KVARDI,2))</f>
        <v/>
      </c>
      <c r="AU95" s="66" t="n"/>
      <c r="AV95" s="78">
        <f>IF(OR(INDEX(Undirviðmið!$G$6:$G$105,ROW()-6)&lt;&gt;"Starfsbundinn",AU95="",$E95="",$D95=""),"",ROUND(AU95/$E95*$D95*KVARDI,2))</f>
        <v/>
      </c>
      <c r="AW95" s="66" t="n"/>
      <c r="AX95" s="78">
        <f>IF(OR(INDEX(Undirviðmið!$G$6:$G$105,ROW()-6)&lt;&gt;"Starfsbundinn",AW95="",$E95="",$D95=""),"",ROUND(AW95/$E95*$D95*KVARDI,2))</f>
        <v/>
      </c>
      <c r="AY95" s="66" t="n"/>
      <c r="AZ95" s="78">
        <f>IF(OR(INDEX(Undirviðmið!$G$6:$G$105,ROW()-6)&lt;&gt;"Starfsbundinn",AY95="",$E95="",$D95=""),"",ROUND(AY95/$E95*$D95*KVARDI,2))</f>
        <v/>
      </c>
      <c r="BA95" s="66" t="n"/>
      <c r="BB95" s="78">
        <f>IF(OR(INDEX(Undirviðmið!$G$6:$G$105,ROW()-6)&lt;&gt;"Starfsbundinn",BA95="",$E95="",$D95=""),"",ROUND(BA95/$E95*$D95*KVARDI,2))</f>
        <v/>
      </c>
      <c r="BC95" s="66" t="n"/>
      <c r="BD95" s="78">
        <f>IF(OR(INDEX(Undirviðmið!$G$6:$G$105,ROW()-6)&lt;&gt;"Starfsbundinn",BC95="",$E95="",$D95=""),"",ROUND(BC95/$E95*$D95*KVARDI,2))</f>
        <v/>
      </c>
      <c r="BE95" s="66" t="n"/>
      <c r="BF95" s="78">
        <f>IF(OR(INDEX(Undirviðmið!$G$6:$G$105,ROW()-6)&lt;&gt;"Starfsbundinn",BE95="",$E95="",$D95=""),"",ROUND(BE95/$E95*$D95*KVARDI,2))</f>
        <v/>
      </c>
      <c r="BG95" s="66" t="n"/>
      <c r="BH95" s="78">
        <f>IF(OR(INDEX(Undirviðmið!$G$6:$G$105,ROW()-6)&lt;&gt;"Starfsbundinn",BG95="",$E95="",$D95=""),"",ROUND(BG95/$E95*$D95*KVARDI,2))</f>
        <v/>
      </c>
      <c r="BI95" s="66" t="n"/>
      <c r="BJ95" s="78">
        <f>IF(OR(INDEX(Undirviðmið!$G$6:$G$105,ROW()-6)&lt;&gt;"Starfsbundinn",BI95="",$E95="",$D95=""),"",ROUND(BI95/$E95*$D95*KVARDI,2))</f>
        <v/>
      </c>
      <c r="BK95" s="66" t="n"/>
      <c r="BL95" s="78">
        <f>IF(OR(INDEX(Undirviðmið!$G$6:$G$105,ROW()-6)&lt;&gt;"Starfsbundinn",BK95="",$E95="",$D95=""),"",ROUND(BK95/$E95*$D95*KVARDI,2))</f>
        <v/>
      </c>
      <c r="BM95" s="66" t="n"/>
      <c r="BN95" s="78">
        <f>IF(OR(INDEX(Undirviðmið!$G$6:$G$105,ROW()-6)&lt;&gt;"Starfsbundinn",BM95="",$E95="",$D95=""),"",ROUND(BM95/$E95*$D95*KVARDI,2))</f>
        <v/>
      </c>
      <c r="BO95" s="66" t="n"/>
      <c r="BP95" s="78">
        <f>IF(OR(INDEX(Undirviðmið!$G$6:$G$105,ROW()-6)&lt;&gt;"Starfsbundinn",BO95="",$E95="",$D95=""),"",ROUND(BO95/$E95*$D95*KVARDI,2))</f>
        <v/>
      </c>
      <c r="BQ95" s="66" t="n"/>
      <c r="BR95" s="78">
        <f>IF(OR(INDEX(Undirviðmið!$G$6:$G$105,ROW()-6)&lt;&gt;"Starfsbundinn",BQ95="",$E95="",$D95=""),"",ROUND(BQ95/$E95*$D95*KVARDI,2))</f>
        <v/>
      </c>
      <c r="BS95" s="66" t="n"/>
      <c r="BT95" s="78">
        <f>IF(OR(INDEX(Undirviðmið!$G$6:$G$105,ROW()-6)&lt;&gt;"Starfsbundinn",BS95="",$E95="",$D95=""),"",ROUND(BS95/$E95*$D95*KVARDI,2))</f>
        <v/>
      </c>
      <c r="BU95" s="66" t="n"/>
      <c r="BV95" s="78">
        <f>IF(OR(INDEX(Undirviðmið!$G$6:$G$105,ROW()-6)&lt;&gt;"Starfsbundinn",BU95="",$E95="",$D95=""),"",ROUND(BU95/$E95*$D95*KVARDI,2))</f>
        <v/>
      </c>
      <c r="BW95" s="66" t="n"/>
      <c r="BX95" s="78">
        <f>IF(OR(INDEX(Undirviðmið!$G$6:$G$105,ROW()-6)&lt;&gt;"Starfsbundinn",BW95="",$E95="",$D95=""),"",ROUND(BW95/$E95*$D95*KVARDI,2))</f>
        <v/>
      </c>
      <c r="BY95" s="66" t="n"/>
      <c r="BZ95" s="78">
        <f>IF(OR(INDEX(Undirviðmið!$G$6:$G$105,ROW()-6)&lt;&gt;"Starfsbundinn",BY95="",$E95="",$D95=""),"",ROUND(BY95/$E95*$D95*KVARDI,2))</f>
        <v/>
      </c>
      <c r="CA95" s="66" t="n"/>
      <c r="CB95" s="78">
        <f>IF(OR(INDEX(Undirviðmið!$G$6:$G$105,ROW()-6)&lt;&gt;"Starfsbundinn",CA95="",$E95="",$D95=""),"",ROUND(CA95/$E95*$D95*KVARDI,2))</f>
        <v/>
      </c>
      <c r="CC95" s="66" t="n"/>
      <c r="CD95" s="78">
        <f>IF(OR(INDEX(Undirviðmið!$G$6:$G$105,ROW()-6)&lt;&gt;"Starfsbundinn",CC95="",$E95="",$D95=""),"",ROUND(CC95/$E95*$D95*KVARDI,2))</f>
        <v/>
      </c>
      <c r="CE95" s="66" t="n"/>
      <c r="CF95" s="78">
        <f>IF(OR(INDEX(Undirviðmið!$G$6:$G$105,ROW()-6)&lt;&gt;"Starfsbundinn",CE95="",$E95="",$D95=""),"",ROUND(CE95/$E95*$D95*KVARDI,2))</f>
        <v/>
      </c>
      <c r="CG95" s="66" t="n"/>
      <c r="CH95" s="78">
        <f>IF(OR(INDEX(Undirviðmið!$G$6:$G$105,ROW()-6)&lt;&gt;"Starfsbundinn",CG95="",$E95="",$D95=""),"",ROUND(CG95/$E95*$D95*KVARDI,2))</f>
        <v/>
      </c>
      <c r="CI95" s="66" t="n"/>
      <c r="CJ95" s="78">
        <f>IF(OR(INDEX(Undirviðmið!$G$6:$G$105,ROW()-6)&lt;&gt;"Starfsbundinn",CI95="",$E95="",$D95=""),"",ROUND(CI95/$E95*$D95*KVARDI,2))</f>
        <v/>
      </c>
      <c r="CK95" s="66" t="n"/>
      <c r="CL95" s="78">
        <f>IF(OR(INDEX(Undirviðmið!$G$6:$G$105,ROW()-6)&lt;&gt;"Starfsbundinn",CK95="",$E95="",$D95=""),"",ROUND(CK95/$E95*$D95*KVARDI,2))</f>
        <v/>
      </c>
      <c r="CM95" s="66" t="n"/>
      <c r="CN95" s="78">
        <f>IF(OR(INDEX(Undirviðmið!$G$6:$G$105,ROW()-6)&lt;&gt;"Starfsbundinn",CM95="",$E95="",$D95=""),"",ROUND(CM95/$E95*$D95*KVARDI,2))</f>
        <v/>
      </c>
      <c r="CO95" s="66" t="n"/>
      <c r="CP95" s="78">
        <f>IF(OR(INDEX(Undirviðmið!$G$6:$G$105,ROW()-6)&lt;&gt;"Starfsbundinn",CO95="",$E95="",$D95=""),"",ROUND(CO95/$E95*$D95*KVARDI,2))</f>
        <v/>
      </c>
      <c r="CQ95" s="66" t="n"/>
      <c r="CR95" s="78">
        <f>IF(OR(INDEX(Undirviðmið!$G$6:$G$105,ROW()-6)&lt;&gt;"Starfsbundinn",CQ95="",$E95="",$D95=""),"",ROUND(CQ95/$E95*$D95*KVARDI,2))</f>
        <v/>
      </c>
      <c r="CS95" s="66" t="n"/>
      <c r="CT95" s="78">
        <f>IF(OR(INDEX(Undirviðmið!$G$6:$G$105,ROW()-6)&lt;&gt;"Starfsbundinn",CS95="",$E95="",$D95=""),"",ROUND(CS95/$E95*$D95*KVARDI,2))</f>
        <v/>
      </c>
      <c r="CU95" s="66" t="n"/>
      <c r="CV95" s="78">
        <f>IF(OR(INDEX(Undirviðmið!$G$6:$G$105,ROW()-6)&lt;&gt;"Starfsbundinn",CU95="",$E95="",$D95=""),"",ROUND(CU95/$E95*$D95*KVARDI,2))</f>
        <v/>
      </c>
      <c r="CW95" s="66" t="n"/>
      <c r="CX95" s="78">
        <f>IF(OR(INDEX(Undirviðmið!$G$6:$G$105,ROW()-6)&lt;&gt;"Starfsbundinn",CW95="",$E95="",$D95=""),"",ROUND(CW95/$E95*$D95*KVARDI,2))</f>
        <v/>
      </c>
      <c r="CY95" s="66" t="n"/>
      <c r="CZ95" s="78">
        <f>IF(OR(INDEX(Undirviðmið!$G$6:$G$105,ROW()-6)&lt;&gt;"Starfsbundinn",CY95="",$E95="",$D95=""),"",ROUND(CY95/$E95*$D95*KVARDI,2))</f>
        <v/>
      </c>
      <c r="DA95" s="66" t="n"/>
      <c r="DB95" s="78">
        <f>IF(OR(INDEX(Undirviðmið!$G$6:$G$105,ROW()-6)&lt;&gt;"Starfsbundinn",DA95="",$E95="",$D95=""),"",ROUND(DA95/$E95*$D95*KVARDI,2))</f>
        <v/>
      </c>
      <c r="DC95" s="66" t="n"/>
      <c r="DD95" s="78">
        <f>IF(OR(INDEX(Undirviðmið!$G$6:$G$105,ROW()-6)&lt;&gt;"Starfsbundinn",DC95="",$E95="",$D95=""),"",ROUND(DC95/$E95*$D95*KVARDI,2))</f>
        <v/>
      </c>
      <c r="DE95" s="66" t="n"/>
      <c r="DF95" s="78">
        <f>IF(OR(INDEX(Undirviðmið!$G$6:$G$105,ROW()-6)&lt;&gt;"Starfsbundinn",DE95="",$E95="",$D95=""),"",ROUND(DE95/$E95*$D95*KVARDI,2))</f>
        <v/>
      </c>
      <c r="DG95" s="66" t="n"/>
      <c r="DH95" s="78">
        <f>IF(OR(INDEX(Undirviðmið!$G$6:$G$105,ROW()-6)&lt;&gt;"Starfsbundinn",DG95="",$E95="",$D95=""),"",ROUND(DG95/$E95*$D95*KVARDI,2))</f>
        <v/>
      </c>
      <c r="DI95" s="66" t="n"/>
      <c r="DJ95" s="78">
        <f>IF(OR(INDEX(Undirviðmið!$G$6:$G$105,ROW()-6)&lt;&gt;"Starfsbundinn",DI95="",$E95="",$D95=""),"",ROUND(DI95/$E95*$D95*KVARDI,2))</f>
        <v/>
      </c>
      <c r="DK95" s="66" t="n"/>
      <c r="DL95" s="78">
        <f>IF(OR(INDEX(Undirviðmið!$G$6:$G$105,ROW()-6)&lt;&gt;"Starfsbundinn",DK95="",$E95="",$D95=""),"",ROUND(DK95/$E95*$D95*KVARDI,2))</f>
        <v/>
      </c>
      <c r="DM95" s="66" t="n"/>
      <c r="DN95" s="78">
        <f>IF(OR(INDEX(Undirviðmið!$G$6:$G$105,ROW()-6)&lt;&gt;"Starfsbundinn",DM95="",$E95="",$D95=""),"",ROUND(DM95/$E95*$D95*KVARDI,2))</f>
        <v/>
      </c>
      <c r="DO95" s="66" t="n"/>
      <c r="DP95" s="78">
        <f>IF(OR(INDEX(Undirviðmið!$G$6:$G$105,ROW()-6)&lt;&gt;"Starfsbundinn",DO95="",$E95="",$D95=""),"",ROUND(DO95/$E95*$D95*KVARDI,2))</f>
        <v/>
      </c>
      <c r="DQ95" s="66" t="n"/>
      <c r="DR95" s="78">
        <f>IF(OR(INDEX(Undirviðmið!$G$6:$G$105,ROW()-6)&lt;&gt;"Starfsbundinn",DQ95="",$E95="",$D95=""),"",ROUND(DQ95/$E95*$D95*KVARDI,2))</f>
        <v/>
      </c>
      <c r="DS95" s="66" t="n"/>
      <c r="DT95" s="78">
        <f>IF(OR(INDEX(Undirviðmið!$G$6:$G$105,ROW()-6)&lt;&gt;"Starfsbundinn",DS95="",$E95="",$D95=""),"",ROUND(DS95/$E95*$D95*KVARDI,2))</f>
        <v/>
      </c>
      <c r="DU95" s="66" t="n"/>
      <c r="DV95" s="78">
        <f>IF(OR(INDEX(Undirviðmið!$G$6:$G$105,ROW()-6)&lt;&gt;"Starfsbundinn",DU95="",$E95="",$D95=""),"",ROUND(DU95/$E95*$D95*KVARDI,2))</f>
        <v/>
      </c>
      <c r="DW95" s="66" t="n"/>
      <c r="DX95" s="78">
        <f>IF(OR(INDEX(Undirviðmið!$G$6:$G$105,ROW()-6)&lt;&gt;"Starfsbundinn",DW95="",$E95="",$D95=""),"",ROUND(DW95/$E95*$D95*KVARDI,2))</f>
        <v/>
      </c>
      <c r="DY95" s="66" t="n"/>
      <c r="DZ95" s="78">
        <f>IF(OR(INDEX(Undirviðmið!$G$6:$G$105,ROW()-6)&lt;&gt;"Starfsbundinn",DY95="",$E95="",$D95=""),"",ROUND(DY95/$E95*$D95*KVARDI,2))</f>
        <v/>
      </c>
      <c r="EA95" s="66" t="n"/>
      <c r="EB95" s="78">
        <f>IF(OR(INDEX(Undirviðmið!$G$6:$G$105,ROW()-6)&lt;&gt;"Starfsbundinn",EA95="",$E95="",$D95=""),"",ROUND(EA95/$E95*$D95*KVARDI,2))</f>
        <v/>
      </c>
      <c r="EC95" s="66" t="n"/>
      <c r="ED95" s="78">
        <f>IF(OR(INDEX(Undirviðmið!$G$6:$G$105,ROW()-6)&lt;&gt;"Starfsbundinn",EC95="",$E95="",$D95=""),"",ROUND(EC95/$E95*$D95*KVARDI,2))</f>
        <v/>
      </c>
      <c r="EE95" s="66" t="n"/>
      <c r="EF95" s="78">
        <f>IF(OR(INDEX(Undirviðmið!$G$6:$G$105,ROW()-6)&lt;&gt;"Starfsbundinn",EE95="",$E95="",$D95=""),"",ROUND(EE95/$E95*$D95*KVARDI,2))</f>
        <v/>
      </c>
      <c r="EG95" s="66" t="n"/>
      <c r="EH95" s="78">
        <f>IF(OR(INDEX(Undirviðmið!$G$6:$G$105,ROW()-6)&lt;&gt;"Starfsbundinn",EG95="",$E95="",$D95=""),"",ROUND(EG95/$E95*$D95*KVARDI,2))</f>
        <v/>
      </c>
      <c r="EI95" s="66" t="n"/>
      <c r="EJ95" s="78">
        <f>IF(OR(INDEX(Undirviðmið!$G$6:$G$105,ROW()-6)&lt;&gt;"Starfsbundinn",EI95="",$E95="",$D95=""),"",ROUND(EI95/$E95*$D95*KVARDI,2))</f>
        <v/>
      </c>
      <c r="EK95" s="66" t="n"/>
      <c r="EL95" s="78">
        <f>IF(OR(INDEX(Undirviðmið!$G$6:$G$105,ROW()-6)&lt;&gt;"Starfsbundinn",EK95="",$E95="",$D95=""),"",ROUND(EK95/$E95*$D95*KVARDI,2))</f>
        <v/>
      </c>
      <c r="EM95" s="66" t="n"/>
      <c r="EN95" s="78">
        <f>IF(OR(INDEX(Undirviðmið!$G$6:$G$105,ROW()-6)&lt;&gt;"Starfsbundinn",EM95="",$E95="",$D95=""),"",ROUND(EM95/$E95*$D95*KVARDI,2))</f>
        <v/>
      </c>
      <c r="EO95" s="66" t="n"/>
      <c r="EP95" s="78">
        <f>IF(OR(INDEX(Undirviðmið!$G$6:$G$105,ROW()-6)&lt;&gt;"Starfsbundinn",EO95="",$E95="",$D95=""),"",ROUND(EO95/$E95*$D95*KVARDI,2))</f>
        <v/>
      </c>
      <c r="EQ95" s="66" t="n"/>
      <c r="ER95" s="78">
        <f>IF(OR(INDEX(Undirviðmið!$G$6:$G$105,ROW()-6)&lt;&gt;"Starfsbundinn",EQ95="",$E95="",$D95=""),"",ROUND(EQ95/$E95*$D95*KVARDI,2))</f>
        <v/>
      </c>
      <c r="ES95" s="66" t="n"/>
      <c r="ET95" s="78">
        <f>IF(OR(INDEX(Undirviðmið!$G$6:$G$105,ROW()-6)&lt;&gt;"Starfsbundinn",ES95="",$E95="",$D95=""),"",ROUND(ES95/$E95*$D95*KVARDI,2))</f>
        <v/>
      </c>
      <c r="EU95" s="66" t="n"/>
      <c r="EV95" s="78">
        <f>IF(OR(INDEX(Undirviðmið!$G$6:$G$105,ROW()-6)&lt;&gt;"Starfsbundinn",EU95="",$E95="",$D95=""),"",ROUND(EU95/$E95*$D95*KVARDI,2))</f>
        <v/>
      </c>
      <c r="EW95" s="66" t="n"/>
      <c r="EX95" s="78">
        <f>IF(OR(INDEX(Undirviðmið!$G$6:$G$105,ROW()-6)&lt;&gt;"Starfsbundinn",EW95="",$E95="",$D95=""),"",ROUND(EW95/$E95*$D95*KVARDI,2))</f>
        <v/>
      </c>
      <c r="EY95" s="66" t="n"/>
      <c r="EZ95" s="78">
        <f>IF(OR(INDEX(Undirviðmið!$G$6:$G$105,ROW()-6)&lt;&gt;"Starfsbundinn",EY95="",$E95="",$D95=""),"",ROUND(EY95/$E95*$D95*KVARDI,2))</f>
        <v/>
      </c>
      <c r="FA95" s="66" t="n"/>
      <c r="FB95" s="78">
        <f>IF(OR(INDEX(Undirviðmið!$G$6:$G$105,ROW()-6)&lt;&gt;"Starfsbundinn",FA95="",$E95="",$D95=""),"",ROUND(FA95/$E95*$D95*KVARDI,2))</f>
        <v/>
      </c>
      <c r="FC95" s="66" t="n"/>
      <c r="FD95" s="78">
        <f>IF(OR(INDEX(Undirviðmið!$G$6:$G$105,ROW()-6)&lt;&gt;"Starfsbundinn",FC95="",$E95="",$D95=""),"",ROUND(FC95/$E95*$D95*KVARDI,2))</f>
        <v/>
      </c>
      <c r="FE95" s="66" t="n"/>
      <c r="FF95" s="78">
        <f>IF(OR(INDEX(Undirviðmið!$G$6:$G$105,ROW()-6)&lt;&gt;"Starfsbundinn",FE95="",$E95="",$D95=""),"",ROUND(FE95/$E95*$D95*KVARDI,2))</f>
        <v/>
      </c>
      <c r="FG95" s="66" t="n"/>
      <c r="FH95" s="78">
        <f>IF(OR(INDEX(Undirviðmið!$G$6:$G$105,ROW()-6)&lt;&gt;"Starfsbundinn",FG95="",$E95="",$D95=""),"",ROUND(FG95/$E95*$D95*KVARDI,2))</f>
        <v/>
      </c>
      <c r="FI95" s="66" t="n"/>
      <c r="FJ95" s="78">
        <f>IF(OR(INDEX(Undirviðmið!$G$6:$G$105,ROW()-6)&lt;&gt;"Starfsbundinn",FI95="",$E95="",$D95=""),"",ROUND(FI95/$E95*$D95*KVARDI,2))</f>
        <v/>
      </c>
      <c r="FK95" s="66" t="n"/>
      <c r="FL95" s="78">
        <f>IF(OR(INDEX(Undirviðmið!$G$6:$G$105,ROW()-6)&lt;&gt;"Starfsbundinn",FK95="",$E95="",$D95=""),"",ROUND(FK95/$E95*$D95*KVARDI,2))</f>
        <v/>
      </c>
      <c r="FM95" s="66" t="n"/>
      <c r="FN95" s="78">
        <f>IF(OR(INDEX(Undirviðmið!$G$6:$G$105,ROW()-6)&lt;&gt;"Starfsbundinn",FM95="",$E95="",$D95=""),"",ROUND(FM95/$E95*$D95*KVARDI,2))</f>
        <v/>
      </c>
      <c r="FO95" s="66" t="n"/>
      <c r="FP95" s="78">
        <f>IF(OR(INDEX(Undirviðmið!$G$6:$G$105,ROW()-6)&lt;&gt;"Starfsbundinn",FO95="",$E95="",$D95=""),"",ROUND(FO95/$E95*$D95*KVARDI,2))</f>
        <v/>
      </c>
      <c r="FQ95" s="66" t="n"/>
      <c r="FR95" s="78">
        <f>IF(OR(INDEX(Undirviðmið!$G$6:$G$105,ROW()-6)&lt;&gt;"Starfsbundinn",FQ95="",$E95="",$D95=""),"",ROUND(FQ95/$E95*$D95*KVARDI,2))</f>
        <v/>
      </c>
      <c r="FS95" s="66" t="n"/>
      <c r="FT95" s="78">
        <f>IF(OR(INDEX(Undirviðmið!$G$6:$G$105,ROW()-6)&lt;&gt;"Starfsbundinn",FS95="",$E95="",$D95=""),"",ROUND(FS95/$E95*$D95*KVARDI,2))</f>
        <v/>
      </c>
      <c r="FU95" s="66" t="n"/>
      <c r="FV95" s="78">
        <f>IF(OR(INDEX(Undirviðmið!$G$6:$G$105,ROW()-6)&lt;&gt;"Starfsbundinn",FU95="",$E95="",$D95=""),"",ROUND(FU95/$E95*$D95*KVARDI,2))</f>
        <v/>
      </c>
      <c r="FW95" s="66" t="n"/>
      <c r="FX95" s="78">
        <f>IF(OR(INDEX(Undirviðmið!$G$6:$G$105,ROW()-6)&lt;&gt;"Starfsbundinn",FW95="",$E95="",$D95=""),"",ROUND(FW95/$E95*$D95*KVARDI,2))</f>
        <v/>
      </c>
      <c r="FY95" s="66" t="n"/>
      <c r="FZ95" s="78">
        <f>IF(OR(INDEX(Undirviðmið!$G$6:$G$105,ROW()-6)&lt;&gt;"Starfsbundinn",FY95="",$E95="",$D95=""),"",ROUND(FY95/$E95*$D95*KVARDI,2))</f>
        <v/>
      </c>
      <c r="GA95" s="66" t="n"/>
      <c r="GB95" s="78">
        <f>IF(OR(INDEX(Undirviðmið!$G$6:$G$105,ROW()-6)&lt;&gt;"Starfsbundinn",GA95="",$E95="",$D95=""),"",ROUND(GA95/$E95*$D95*KVARDI,2))</f>
        <v/>
      </c>
      <c r="GC95" s="66" t="n"/>
      <c r="GD95" s="78">
        <f>IF(OR(INDEX(Undirviðmið!$G$6:$G$105,ROW()-6)&lt;&gt;"Starfsbundinn",GC95="",$E95="",$D95=""),"",ROUND(GC95/$E95*$D95*KVARDI,2))</f>
        <v/>
      </c>
      <c r="GE95" s="66" t="n"/>
      <c r="GF95" s="78">
        <f>IF(OR(INDEX(Undirviðmið!$G$6:$G$105,ROW()-6)&lt;&gt;"Starfsbundinn",GE95="",$E95="",$D95=""),"",ROUND(GE95/$E95*$D95*KVARDI,2))</f>
        <v/>
      </c>
      <c r="GG95" s="66" t="n"/>
      <c r="GH95" s="78">
        <f>IF(OR(INDEX(Undirviðmið!$G$6:$G$105,ROW()-6)&lt;&gt;"Starfsbundinn",GG95="",$E95="",$D95=""),"",ROUND(GG95/$E95*$D95*KVARDI,2))</f>
        <v/>
      </c>
      <c r="GI95" s="66" t="n"/>
      <c r="GJ95" s="78">
        <f>IF(OR(INDEX(Undirviðmið!$G$6:$G$105,ROW()-6)&lt;&gt;"Starfsbundinn",GI95="",$E95="",$D95=""),"",ROUND(GI95/$E95*$D95*KVARDI,2))</f>
        <v/>
      </c>
      <c r="GK95" s="66" t="n"/>
      <c r="GL95" s="78">
        <f>IF(OR(INDEX(Undirviðmið!$G$6:$G$105,ROW()-6)&lt;&gt;"Starfsbundinn",GK95="",$E95="",$D95=""),"",ROUND(GK95/$E95*$D95*KVARDI,2))</f>
        <v/>
      </c>
      <c r="GM95" s="66" t="n"/>
      <c r="GN95" s="78">
        <f>IF(OR(INDEX(Undirviðmið!$G$6:$G$105,ROW()-6)&lt;&gt;"Starfsbundinn",GM95="",$E95="",$D95=""),"",ROUND(GM95/$E95*$D95*KVARDI,2))</f>
        <v/>
      </c>
      <c r="GO95" s="66" t="n"/>
      <c r="GP95" s="78">
        <f>IF(OR(INDEX(Undirviðmið!$G$6:$G$105,ROW()-6)&lt;&gt;"Starfsbundinn",GO95="",$E95="",$D95=""),"",ROUND(GO95/$E95*$D95*KVARDI,2))</f>
        <v/>
      </c>
      <c r="GQ95" s="66" t="n"/>
      <c r="GR95" s="78">
        <f>IF(OR(INDEX(Undirviðmið!$G$6:$G$105,ROW()-6)&lt;&gt;"Starfsbundinn",GQ95="",$E95="",$D95=""),"",ROUND(GQ95/$E95*$D95*KVARDI,2))</f>
        <v/>
      </c>
      <c r="GS95" s="66" t="n"/>
      <c r="GT95" s="78">
        <f>IF(OR(INDEX(Undirviðmið!$G$6:$G$105,ROW()-6)&lt;&gt;"Starfsbundinn",GS95="",$E95="",$D95=""),"",ROUND(GS95/$E95*$D95*KVARDI,2))</f>
        <v/>
      </c>
      <c r="GU95" s="66" t="n"/>
      <c r="GV95" s="78">
        <f>IF(OR(INDEX(Undirviðmið!$G$6:$G$105,ROW()-6)&lt;&gt;"Starfsbundinn",GU95="",$E95="",$D95=""),"",ROUND(GU95/$E95*$D95*KVARDI,2))</f>
        <v/>
      </c>
      <c r="GW95" s="66" t="n"/>
      <c r="GX95" s="78">
        <f>IF(OR(INDEX(Undirviðmið!$G$6:$G$105,ROW()-6)&lt;&gt;"Starfsbundinn",GW95="",$E95="",$D95=""),"",ROUND(GW95/$E95*$D95*KVARDI,2))</f>
        <v/>
      </c>
    </row>
    <row r="96" ht="15" customHeight="1" s="47">
      <c r="B96" s="67">
        <f>IF(INDEX(Undirviðmið!$G$6:$G$105,ROW()-6)="Starfsbundinn",INDEX(Undirviðmið!$B$6:$B$105,ROW()-6),"")</f>
        <v/>
      </c>
      <c r="C96" s="67">
        <f>IF(INDEX(Undirviðmið!$G$6:$G$105,ROW()-6)="Starfsbundinn",INDEX(Undirviðmið!$C$6:$C$105,ROW()-6),"")</f>
        <v/>
      </c>
      <c r="D96" s="77">
        <f>IF(INDEX(Undirviðmið!$G$6:$G$105,ROW()-6)="Starfsbundinn",INDEX(Undirviðmið!$E$6:$E$105,ROW()-6),"")</f>
        <v/>
      </c>
      <c r="E96" s="77">
        <f>IF(INDEX(Undirviðmið!$G$6:$G$105,ROW()-6)="Starfsbundinn",INDEX(Undirviðmið!$F$6:$F$105,ROW()-6),"")</f>
        <v/>
      </c>
      <c r="F96" s="77">
        <f>IF(INDEX(Undirviðmið!$G$6:$G$105,ROW()-6)="Starfsbundinn",IFERROR(INDEX(Undirviðmið!$E$6:$E$105,ROW()-6)*KVARDI,""),"")</f>
        <v/>
      </c>
      <c r="G96" s="66" t="n"/>
      <c r="H96" s="78">
        <f>IF(OR(INDEX(Undirviðmið!$G$6:$G$105,ROW()-6)&lt;&gt;"Starfsbundinn",G96="",$E96="",$D96=""),"",ROUND(G96/$E96*$D96*KVARDI,2))</f>
        <v/>
      </c>
      <c r="I96" s="66" t="n"/>
      <c r="J96" s="78">
        <f>IF(OR(INDEX(Undirviðmið!$G$6:$G$105,ROW()-6)&lt;&gt;"Starfsbundinn",I96="",$E96="",$D96=""),"",ROUND(I96/$E96*$D96*KVARDI,2))</f>
        <v/>
      </c>
      <c r="K96" s="66" t="n"/>
      <c r="L96" s="78">
        <f>IF(OR(INDEX(Undirviðmið!$G$6:$G$105,ROW()-6)&lt;&gt;"Starfsbundinn",K96="",$E96="",$D96=""),"",ROUND(K96/$E96*$D96*KVARDI,2))</f>
        <v/>
      </c>
      <c r="M96" s="66" t="n"/>
      <c r="N96" s="78">
        <f>IF(OR(INDEX(Undirviðmið!$G$6:$G$105,ROW()-6)&lt;&gt;"Starfsbundinn",M96="",$E96="",$D96=""),"",ROUND(M96/$E96*$D96*KVARDI,2))</f>
        <v/>
      </c>
      <c r="O96" s="66" t="n"/>
      <c r="P96" s="78">
        <f>IF(OR(INDEX(Undirviðmið!$G$6:$G$105,ROW()-6)&lt;&gt;"Starfsbundinn",O96="",$E96="",$D96=""),"",ROUND(O96/$E96*$D96*KVARDI,2))</f>
        <v/>
      </c>
      <c r="Q96" s="66" t="n"/>
      <c r="R96" s="78">
        <f>IF(OR(INDEX(Undirviðmið!$G$6:$G$105,ROW()-6)&lt;&gt;"Starfsbundinn",Q96="",$E96="",$D96=""),"",ROUND(Q96/$E96*$D96*KVARDI,2))</f>
        <v/>
      </c>
      <c r="S96" s="66" t="n"/>
      <c r="T96" s="78">
        <f>IF(OR(INDEX(Undirviðmið!$G$6:$G$105,ROW()-6)&lt;&gt;"Starfsbundinn",S96="",$E96="",$D96=""),"",ROUND(S96/$E96*$D96*KVARDI,2))</f>
        <v/>
      </c>
      <c r="U96" s="66" t="n"/>
      <c r="V96" s="78">
        <f>IF(OR(INDEX(Undirviðmið!$G$6:$G$105,ROW()-6)&lt;&gt;"Starfsbundinn",U96="",$E96="",$D96=""),"",ROUND(U96/$E96*$D96*KVARDI,2))</f>
        <v/>
      </c>
      <c r="W96" s="66" t="n"/>
      <c r="X96" s="78">
        <f>IF(OR(INDEX(Undirviðmið!$G$6:$G$105,ROW()-6)&lt;&gt;"Starfsbundinn",W96="",$E96="",$D96=""),"",ROUND(W96/$E96*$D96*KVARDI,2))</f>
        <v/>
      </c>
      <c r="Y96" s="66" t="n"/>
      <c r="Z96" s="78">
        <f>IF(OR(INDEX(Undirviðmið!$G$6:$G$105,ROW()-6)&lt;&gt;"Starfsbundinn",Y96="",$E96="",$D96=""),"",ROUND(Y96/$E96*$D96*KVARDI,2))</f>
        <v/>
      </c>
      <c r="AA96" s="66" t="n"/>
      <c r="AB96" s="78">
        <f>IF(OR(INDEX(Undirviðmið!$G$6:$G$105,ROW()-6)&lt;&gt;"Starfsbundinn",AA96="",$E96="",$D96=""),"",ROUND(AA96/$E96*$D96*KVARDI,2))</f>
        <v/>
      </c>
      <c r="AC96" s="66" t="n"/>
      <c r="AD96" s="78">
        <f>IF(OR(INDEX(Undirviðmið!$G$6:$G$105,ROW()-6)&lt;&gt;"Starfsbundinn",AC96="",$E96="",$D96=""),"",ROUND(AC96/$E96*$D96*KVARDI,2))</f>
        <v/>
      </c>
      <c r="AE96" s="66" t="n"/>
      <c r="AF96" s="78">
        <f>IF(OR(INDEX(Undirviðmið!$G$6:$G$105,ROW()-6)&lt;&gt;"Starfsbundinn",AE96="",$E96="",$D96=""),"",ROUND(AE96/$E96*$D96*KVARDI,2))</f>
        <v/>
      </c>
      <c r="AG96" s="66" t="n"/>
      <c r="AH96" s="78">
        <f>IF(OR(INDEX(Undirviðmið!$G$6:$G$105,ROW()-6)&lt;&gt;"Starfsbundinn",AG96="",$E96="",$D96=""),"",ROUND(AG96/$E96*$D96*KVARDI,2))</f>
        <v/>
      </c>
      <c r="AI96" s="66" t="n"/>
      <c r="AJ96" s="78">
        <f>IF(OR(INDEX(Undirviðmið!$G$6:$G$105,ROW()-6)&lt;&gt;"Starfsbundinn",AI96="",$E96="",$D96=""),"",ROUND(AI96/$E96*$D96*KVARDI,2))</f>
        <v/>
      </c>
      <c r="AK96" s="66" t="n"/>
      <c r="AL96" s="78">
        <f>IF(OR(INDEX(Undirviðmið!$G$6:$G$105,ROW()-6)&lt;&gt;"Starfsbundinn",AK96="",$E96="",$D96=""),"",ROUND(AK96/$E96*$D96*KVARDI,2))</f>
        <v/>
      </c>
      <c r="AM96" s="66" t="n"/>
      <c r="AN96" s="78">
        <f>IF(OR(INDEX(Undirviðmið!$G$6:$G$105,ROW()-6)&lt;&gt;"Starfsbundinn",AM96="",$E96="",$D96=""),"",ROUND(AM96/$E96*$D96*KVARDI,2))</f>
        <v/>
      </c>
      <c r="AO96" s="66" t="n"/>
      <c r="AP96" s="78">
        <f>IF(OR(INDEX(Undirviðmið!$G$6:$G$105,ROW()-6)&lt;&gt;"Starfsbundinn",AO96="",$E96="",$D96=""),"",ROUND(AO96/$E96*$D96*KVARDI,2))</f>
        <v/>
      </c>
      <c r="AQ96" s="66" t="n"/>
      <c r="AR96" s="78">
        <f>IF(OR(INDEX(Undirviðmið!$G$6:$G$105,ROW()-6)&lt;&gt;"Starfsbundinn",AQ96="",$E96="",$D96=""),"",ROUND(AQ96/$E96*$D96*KVARDI,2))</f>
        <v/>
      </c>
      <c r="AS96" s="66" t="n"/>
      <c r="AT96" s="78">
        <f>IF(OR(INDEX(Undirviðmið!$G$6:$G$105,ROW()-6)&lt;&gt;"Starfsbundinn",AS96="",$E96="",$D96=""),"",ROUND(AS96/$E96*$D96*KVARDI,2))</f>
        <v/>
      </c>
      <c r="AU96" s="66" t="n"/>
      <c r="AV96" s="78">
        <f>IF(OR(INDEX(Undirviðmið!$G$6:$G$105,ROW()-6)&lt;&gt;"Starfsbundinn",AU96="",$E96="",$D96=""),"",ROUND(AU96/$E96*$D96*KVARDI,2))</f>
        <v/>
      </c>
      <c r="AW96" s="66" t="n"/>
      <c r="AX96" s="78">
        <f>IF(OR(INDEX(Undirviðmið!$G$6:$G$105,ROW()-6)&lt;&gt;"Starfsbundinn",AW96="",$E96="",$D96=""),"",ROUND(AW96/$E96*$D96*KVARDI,2))</f>
        <v/>
      </c>
      <c r="AY96" s="66" t="n"/>
      <c r="AZ96" s="78">
        <f>IF(OR(INDEX(Undirviðmið!$G$6:$G$105,ROW()-6)&lt;&gt;"Starfsbundinn",AY96="",$E96="",$D96=""),"",ROUND(AY96/$E96*$D96*KVARDI,2))</f>
        <v/>
      </c>
      <c r="BA96" s="66" t="n"/>
      <c r="BB96" s="78">
        <f>IF(OR(INDEX(Undirviðmið!$G$6:$G$105,ROW()-6)&lt;&gt;"Starfsbundinn",BA96="",$E96="",$D96=""),"",ROUND(BA96/$E96*$D96*KVARDI,2))</f>
        <v/>
      </c>
      <c r="BC96" s="66" t="n"/>
      <c r="BD96" s="78">
        <f>IF(OR(INDEX(Undirviðmið!$G$6:$G$105,ROW()-6)&lt;&gt;"Starfsbundinn",BC96="",$E96="",$D96=""),"",ROUND(BC96/$E96*$D96*KVARDI,2))</f>
        <v/>
      </c>
      <c r="BE96" s="66" t="n"/>
      <c r="BF96" s="78">
        <f>IF(OR(INDEX(Undirviðmið!$G$6:$G$105,ROW()-6)&lt;&gt;"Starfsbundinn",BE96="",$E96="",$D96=""),"",ROUND(BE96/$E96*$D96*KVARDI,2))</f>
        <v/>
      </c>
      <c r="BG96" s="66" t="n"/>
      <c r="BH96" s="78">
        <f>IF(OR(INDEX(Undirviðmið!$G$6:$G$105,ROW()-6)&lt;&gt;"Starfsbundinn",BG96="",$E96="",$D96=""),"",ROUND(BG96/$E96*$D96*KVARDI,2))</f>
        <v/>
      </c>
      <c r="BI96" s="66" t="n"/>
      <c r="BJ96" s="78">
        <f>IF(OR(INDEX(Undirviðmið!$G$6:$G$105,ROW()-6)&lt;&gt;"Starfsbundinn",BI96="",$E96="",$D96=""),"",ROUND(BI96/$E96*$D96*KVARDI,2))</f>
        <v/>
      </c>
      <c r="BK96" s="66" t="n"/>
      <c r="BL96" s="78">
        <f>IF(OR(INDEX(Undirviðmið!$G$6:$G$105,ROW()-6)&lt;&gt;"Starfsbundinn",BK96="",$E96="",$D96=""),"",ROUND(BK96/$E96*$D96*KVARDI,2))</f>
        <v/>
      </c>
      <c r="BM96" s="66" t="n"/>
      <c r="BN96" s="78">
        <f>IF(OR(INDEX(Undirviðmið!$G$6:$G$105,ROW()-6)&lt;&gt;"Starfsbundinn",BM96="",$E96="",$D96=""),"",ROUND(BM96/$E96*$D96*KVARDI,2))</f>
        <v/>
      </c>
      <c r="BO96" s="66" t="n"/>
      <c r="BP96" s="78">
        <f>IF(OR(INDEX(Undirviðmið!$G$6:$G$105,ROW()-6)&lt;&gt;"Starfsbundinn",BO96="",$E96="",$D96=""),"",ROUND(BO96/$E96*$D96*KVARDI,2))</f>
        <v/>
      </c>
      <c r="BQ96" s="66" t="n"/>
      <c r="BR96" s="78">
        <f>IF(OR(INDEX(Undirviðmið!$G$6:$G$105,ROW()-6)&lt;&gt;"Starfsbundinn",BQ96="",$E96="",$D96=""),"",ROUND(BQ96/$E96*$D96*KVARDI,2))</f>
        <v/>
      </c>
      <c r="BS96" s="66" t="n"/>
      <c r="BT96" s="78">
        <f>IF(OR(INDEX(Undirviðmið!$G$6:$G$105,ROW()-6)&lt;&gt;"Starfsbundinn",BS96="",$E96="",$D96=""),"",ROUND(BS96/$E96*$D96*KVARDI,2))</f>
        <v/>
      </c>
      <c r="BU96" s="66" t="n"/>
      <c r="BV96" s="78">
        <f>IF(OR(INDEX(Undirviðmið!$G$6:$G$105,ROW()-6)&lt;&gt;"Starfsbundinn",BU96="",$E96="",$D96=""),"",ROUND(BU96/$E96*$D96*KVARDI,2))</f>
        <v/>
      </c>
      <c r="BW96" s="66" t="n"/>
      <c r="BX96" s="78">
        <f>IF(OR(INDEX(Undirviðmið!$G$6:$G$105,ROW()-6)&lt;&gt;"Starfsbundinn",BW96="",$E96="",$D96=""),"",ROUND(BW96/$E96*$D96*KVARDI,2))</f>
        <v/>
      </c>
      <c r="BY96" s="66" t="n"/>
      <c r="BZ96" s="78">
        <f>IF(OR(INDEX(Undirviðmið!$G$6:$G$105,ROW()-6)&lt;&gt;"Starfsbundinn",BY96="",$E96="",$D96=""),"",ROUND(BY96/$E96*$D96*KVARDI,2))</f>
        <v/>
      </c>
      <c r="CA96" s="66" t="n"/>
      <c r="CB96" s="78">
        <f>IF(OR(INDEX(Undirviðmið!$G$6:$G$105,ROW()-6)&lt;&gt;"Starfsbundinn",CA96="",$E96="",$D96=""),"",ROUND(CA96/$E96*$D96*KVARDI,2))</f>
        <v/>
      </c>
      <c r="CC96" s="66" t="n"/>
      <c r="CD96" s="78">
        <f>IF(OR(INDEX(Undirviðmið!$G$6:$G$105,ROW()-6)&lt;&gt;"Starfsbundinn",CC96="",$E96="",$D96=""),"",ROUND(CC96/$E96*$D96*KVARDI,2))</f>
        <v/>
      </c>
      <c r="CE96" s="66" t="n"/>
      <c r="CF96" s="78">
        <f>IF(OR(INDEX(Undirviðmið!$G$6:$G$105,ROW()-6)&lt;&gt;"Starfsbundinn",CE96="",$E96="",$D96=""),"",ROUND(CE96/$E96*$D96*KVARDI,2))</f>
        <v/>
      </c>
      <c r="CG96" s="66" t="n"/>
      <c r="CH96" s="78">
        <f>IF(OR(INDEX(Undirviðmið!$G$6:$G$105,ROW()-6)&lt;&gt;"Starfsbundinn",CG96="",$E96="",$D96=""),"",ROUND(CG96/$E96*$D96*KVARDI,2))</f>
        <v/>
      </c>
      <c r="CI96" s="66" t="n"/>
      <c r="CJ96" s="78">
        <f>IF(OR(INDEX(Undirviðmið!$G$6:$G$105,ROW()-6)&lt;&gt;"Starfsbundinn",CI96="",$E96="",$D96=""),"",ROUND(CI96/$E96*$D96*KVARDI,2))</f>
        <v/>
      </c>
      <c r="CK96" s="66" t="n"/>
      <c r="CL96" s="78">
        <f>IF(OR(INDEX(Undirviðmið!$G$6:$G$105,ROW()-6)&lt;&gt;"Starfsbundinn",CK96="",$E96="",$D96=""),"",ROUND(CK96/$E96*$D96*KVARDI,2))</f>
        <v/>
      </c>
      <c r="CM96" s="66" t="n"/>
      <c r="CN96" s="78">
        <f>IF(OR(INDEX(Undirviðmið!$G$6:$G$105,ROW()-6)&lt;&gt;"Starfsbundinn",CM96="",$E96="",$D96=""),"",ROUND(CM96/$E96*$D96*KVARDI,2))</f>
        <v/>
      </c>
      <c r="CO96" s="66" t="n"/>
      <c r="CP96" s="78">
        <f>IF(OR(INDEX(Undirviðmið!$G$6:$G$105,ROW()-6)&lt;&gt;"Starfsbundinn",CO96="",$E96="",$D96=""),"",ROUND(CO96/$E96*$D96*KVARDI,2))</f>
        <v/>
      </c>
      <c r="CQ96" s="66" t="n"/>
      <c r="CR96" s="78">
        <f>IF(OR(INDEX(Undirviðmið!$G$6:$G$105,ROW()-6)&lt;&gt;"Starfsbundinn",CQ96="",$E96="",$D96=""),"",ROUND(CQ96/$E96*$D96*KVARDI,2))</f>
        <v/>
      </c>
      <c r="CS96" s="66" t="n"/>
      <c r="CT96" s="78">
        <f>IF(OR(INDEX(Undirviðmið!$G$6:$G$105,ROW()-6)&lt;&gt;"Starfsbundinn",CS96="",$E96="",$D96=""),"",ROUND(CS96/$E96*$D96*KVARDI,2))</f>
        <v/>
      </c>
      <c r="CU96" s="66" t="n"/>
      <c r="CV96" s="78">
        <f>IF(OR(INDEX(Undirviðmið!$G$6:$G$105,ROW()-6)&lt;&gt;"Starfsbundinn",CU96="",$E96="",$D96=""),"",ROUND(CU96/$E96*$D96*KVARDI,2))</f>
        <v/>
      </c>
      <c r="CW96" s="66" t="n"/>
      <c r="CX96" s="78">
        <f>IF(OR(INDEX(Undirviðmið!$G$6:$G$105,ROW()-6)&lt;&gt;"Starfsbundinn",CW96="",$E96="",$D96=""),"",ROUND(CW96/$E96*$D96*KVARDI,2))</f>
        <v/>
      </c>
      <c r="CY96" s="66" t="n"/>
      <c r="CZ96" s="78">
        <f>IF(OR(INDEX(Undirviðmið!$G$6:$G$105,ROW()-6)&lt;&gt;"Starfsbundinn",CY96="",$E96="",$D96=""),"",ROUND(CY96/$E96*$D96*KVARDI,2))</f>
        <v/>
      </c>
      <c r="DA96" s="66" t="n"/>
      <c r="DB96" s="78">
        <f>IF(OR(INDEX(Undirviðmið!$G$6:$G$105,ROW()-6)&lt;&gt;"Starfsbundinn",DA96="",$E96="",$D96=""),"",ROUND(DA96/$E96*$D96*KVARDI,2))</f>
        <v/>
      </c>
      <c r="DC96" s="66" t="n"/>
      <c r="DD96" s="78">
        <f>IF(OR(INDEX(Undirviðmið!$G$6:$G$105,ROW()-6)&lt;&gt;"Starfsbundinn",DC96="",$E96="",$D96=""),"",ROUND(DC96/$E96*$D96*KVARDI,2))</f>
        <v/>
      </c>
      <c r="DE96" s="66" t="n"/>
      <c r="DF96" s="78">
        <f>IF(OR(INDEX(Undirviðmið!$G$6:$G$105,ROW()-6)&lt;&gt;"Starfsbundinn",DE96="",$E96="",$D96=""),"",ROUND(DE96/$E96*$D96*KVARDI,2))</f>
        <v/>
      </c>
      <c r="DG96" s="66" t="n"/>
      <c r="DH96" s="78">
        <f>IF(OR(INDEX(Undirviðmið!$G$6:$G$105,ROW()-6)&lt;&gt;"Starfsbundinn",DG96="",$E96="",$D96=""),"",ROUND(DG96/$E96*$D96*KVARDI,2))</f>
        <v/>
      </c>
      <c r="DI96" s="66" t="n"/>
      <c r="DJ96" s="78">
        <f>IF(OR(INDEX(Undirviðmið!$G$6:$G$105,ROW()-6)&lt;&gt;"Starfsbundinn",DI96="",$E96="",$D96=""),"",ROUND(DI96/$E96*$D96*KVARDI,2))</f>
        <v/>
      </c>
      <c r="DK96" s="66" t="n"/>
      <c r="DL96" s="78">
        <f>IF(OR(INDEX(Undirviðmið!$G$6:$G$105,ROW()-6)&lt;&gt;"Starfsbundinn",DK96="",$E96="",$D96=""),"",ROUND(DK96/$E96*$D96*KVARDI,2))</f>
        <v/>
      </c>
      <c r="DM96" s="66" t="n"/>
      <c r="DN96" s="78">
        <f>IF(OR(INDEX(Undirviðmið!$G$6:$G$105,ROW()-6)&lt;&gt;"Starfsbundinn",DM96="",$E96="",$D96=""),"",ROUND(DM96/$E96*$D96*KVARDI,2))</f>
        <v/>
      </c>
      <c r="DO96" s="66" t="n"/>
      <c r="DP96" s="78">
        <f>IF(OR(INDEX(Undirviðmið!$G$6:$G$105,ROW()-6)&lt;&gt;"Starfsbundinn",DO96="",$E96="",$D96=""),"",ROUND(DO96/$E96*$D96*KVARDI,2))</f>
        <v/>
      </c>
      <c r="DQ96" s="66" t="n"/>
      <c r="DR96" s="78">
        <f>IF(OR(INDEX(Undirviðmið!$G$6:$G$105,ROW()-6)&lt;&gt;"Starfsbundinn",DQ96="",$E96="",$D96=""),"",ROUND(DQ96/$E96*$D96*KVARDI,2))</f>
        <v/>
      </c>
      <c r="DS96" s="66" t="n"/>
      <c r="DT96" s="78">
        <f>IF(OR(INDEX(Undirviðmið!$G$6:$G$105,ROW()-6)&lt;&gt;"Starfsbundinn",DS96="",$E96="",$D96=""),"",ROUND(DS96/$E96*$D96*KVARDI,2))</f>
        <v/>
      </c>
      <c r="DU96" s="66" t="n"/>
      <c r="DV96" s="78">
        <f>IF(OR(INDEX(Undirviðmið!$G$6:$G$105,ROW()-6)&lt;&gt;"Starfsbundinn",DU96="",$E96="",$D96=""),"",ROUND(DU96/$E96*$D96*KVARDI,2))</f>
        <v/>
      </c>
      <c r="DW96" s="66" t="n"/>
      <c r="DX96" s="78">
        <f>IF(OR(INDEX(Undirviðmið!$G$6:$G$105,ROW()-6)&lt;&gt;"Starfsbundinn",DW96="",$E96="",$D96=""),"",ROUND(DW96/$E96*$D96*KVARDI,2))</f>
        <v/>
      </c>
      <c r="DY96" s="66" t="n"/>
      <c r="DZ96" s="78">
        <f>IF(OR(INDEX(Undirviðmið!$G$6:$G$105,ROW()-6)&lt;&gt;"Starfsbundinn",DY96="",$E96="",$D96=""),"",ROUND(DY96/$E96*$D96*KVARDI,2))</f>
        <v/>
      </c>
      <c r="EA96" s="66" t="n"/>
      <c r="EB96" s="78">
        <f>IF(OR(INDEX(Undirviðmið!$G$6:$G$105,ROW()-6)&lt;&gt;"Starfsbundinn",EA96="",$E96="",$D96=""),"",ROUND(EA96/$E96*$D96*KVARDI,2))</f>
        <v/>
      </c>
      <c r="EC96" s="66" t="n"/>
      <c r="ED96" s="78">
        <f>IF(OR(INDEX(Undirviðmið!$G$6:$G$105,ROW()-6)&lt;&gt;"Starfsbundinn",EC96="",$E96="",$D96=""),"",ROUND(EC96/$E96*$D96*KVARDI,2))</f>
        <v/>
      </c>
      <c r="EE96" s="66" t="n"/>
      <c r="EF96" s="78">
        <f>IF(OR(INDEX(Undirviðmið!$G$6:$G$105,ROW()-6)&lt;&gt;"Starfsbundinn",EE96="",$E96="",$D96=""),"",ROUND(EE96/$E96*$D96*KVARDI,2))</f>
        <v/>
      </c>
      <c r="EG96" s="66" t="n"/>
      <c r="EH96" s="78">
        <f>IF(OR(INDEX(Undirviðmið!$G$6:$G$105,ROW()-6)&lt;&gt;"Starfsbundinn",EG96="",$E96="",$D96=""),"",ROUND(EG96/$E96*$D96*KVARDI,2))</f>
        <v/>
      </c>
      <c r="EI96" s="66" t="n"/>
      <c r="EJ96" s="78">
        <f>IF(OR(INDEX(Undirviðmið!$G$6:$G$105,ROW()-6)&lt;&gt;"Starfsbundinn",EI96="",$E96="",$D96=""),"",ROUND(EI96/$E96*$D96*KVARDI,2))</f>
        <v/>
      </c>
      <c r="EK96" s="66" t="n"/>
      <c r="EL96" s="78">
        <f>IF(OR(INDEX(Undirviðmið!$G$6:$G$105,ROW()-6)&lt;&gt;"Starfsbundinn",EK96="",$E96="",$D96=""),"",ROUND(EK96/$E96*$D96*KVARDI,2))</f>
        <v/>
      </c>
      <c r="EM96" s="66" t="n"/>
      <c r="EN96" s="78">
        <f>IF(OR(INDEX(Undirviðmið!$G$6:$G$105,ROW()-6)&lt;&gt;"Starfsbundinn",EM96="",$E96="",$D96=""),"",ROUND(EM96/$E96*$D96*KVARDI,2))</f>
        <v/>
      </c>
      <c r="EO96" s="66" t="n"/>
      <c r="EP96" s="78">
        <f>IF(OR(INDEX(Undirviðmið!$G$6:$G$105,ROW()-6)&lt;&gt;"Starfsbundinn",EO96="",$E96="",$D96=""),"",ROUND(EO96/$E96*$D96*KVARDI,2))</f>
        <v/>
      </c>
      <c r="EQ96" s="66" t="n"/>
      <c r="ER96" s="78">
        <f>IF(OR(INDEX(Undirviðmið!$G$6:$G$105,ROW()-6)&lt;&gt;"Starfsbundinn",EQ96="",$E96="",$D96=""),"",ROUND(EQ96/$E96*$D96*KVARDI,2))</f>
        <v/>
      </c>
      <c r="ES96" s="66" t="n"/>
      <c r="ET96" s="78">
        <f>IF(OR(INDEX(Undirviðmið!$G$6:$G$105,ROW()-6)&lt;&gt;"Starfsbundinn",ES96="",$E96="",$D96=""),"",ROUND(ES96/$E96*$D96*KVARDI,2))</f>
        <v/>
      </c>
      <c r="EU96" s="66" t="n"/>
      <c r="EV96" s="78">
        <f>IF(OR(INDEX(Undirviðmið!$G$6:$G$105,ROW()-6)&lt;&gt;"Starfsbundinn",EU96="",$E96="",$D96=""),"",ROUND(EU96/$E96*$D96*KVARDI,2))</f>
        <v/>
      </c>
      <c r="EW96" s="66" t="n"/>
      <c r="EX96" s="78">
        <f>IF(OR(INDEX(Undirviðmið!$G$6:$G$105,ROW()-6)&lt;&gt;"Starfsbundinn",EW96="",$E96="",$D96=""),"",ROUND(EW96/$E96*$D96*KVARDI,2))</f>
        <v/>
      </c>
      <c r="EY96" s="66" t="n"/>
      <c r="EZ96" s="78">
        <f>IF(OR(INDEX(Undirviðmið!$G$6:$G$105,ROW()-6)&lt;&gt;"Starfsbundinn",EY96="",$E96="",$D96=""),"",ROUND(EY96/$E96*$D96*KVARDI,2))</f>
        <v/>
      </c>
      <c r="FA96" s="66" t="n"/>
      <c r="FB96" s="78">
        <f>IF(OR(INDEX(Undirviðmið!$G$6:$G$105,ROW()-6)&lt;&gt;"Starfsbundinn",FA96="",$E96="",$D96=""),"",ROUND(FA96/$E96*$D96*KVARDI,2))</f>
        <v/>
      </c>
      <c r="FC96" s="66" t="n"/>
      <c r="FD96" s="78">
        <f>IF(OR(INDEX(Undirviðmið!$G$6:$G$105,ROW()-6)&lt;&gt;"Starfsbundinn",FC96="",$E96="",$D96=""),"",ROUND(FC96/$E96*$D96*KVARDI,2))</f>
        <v/>
      </c>
      <c r="FE96" s="66" t="n"/>
      <c r="FF96" s="78">
        <f>IF(OR(INDEX(Undirviðmið!$G$6:$G$105,ROW()-6)&lt;&gt;"Starfsbundinn",FE96="",$E96="",$D96=""),"",ROUND(FE96/$E96*$D96*KVARDI,2))</f>
        <v/>
      </c>
      <c r="FG96" s="66" t="n"/>
      <c r="FH96" s="78">
        <f>IF(OR(INDEX(Undirviðmið!$G$6:$G$105,ROW()-6)&lt;&gt;"Starfsbundinn",FG96="",$E96="",$D96=""),"",ROUND(FG96/$E96*$D96*KVARDI,2))</f>
        <v/>
      </c>
      <c r="FI96" s="66" t="n"/>
      <c r="FJ96" s="78">
        <f>IF(OR(INDEX(Undirviðmið!$G$6:$G$105,ROW()-6)&lt;&gt;"Starfsbundinn",FI96="",$E96="",$D96=""),"",ROUND(FI96/$E96*$D96*KVARDI,2))</f>
        <v/>
      </c>
      <c r="FK96" s="66" t="n"/>
      <c r="FL96" s="78">
        <f>IF(OR(INDEX(Undirviðmið!$G$6:$G$105,ROW()-6)&lt;&gt;"Starfsbundinn",FK96="",$E96="",$D96=""),"",ROUND(FK96/$E96*$D96*KVARDI,2))</f>
        <v/>
      </c>
      <c r="FM96" s="66" t="n"/>
      <c r="FN96" s="78">
        <f>IF(OR(INDEX(Undirviðmið!$G$6:$G$105,ROW()-6)&lt;&gt;"Starfsbundinn",FM96="",$E96="",$D96=""),"",ROUND(FM96/$E96*$D96*KVARDI,2))</f>
        <v/>
      </c>
      <c r="FO96" s="66" t="n"/>
      <c r="FP96" s="78">
        <f>IF(OR(INDEX(Undirviðmið!$G$6:$G$105,ROW()-6)&lt;&gt;"Starfsbundinn",FO96="",$E96="",$D96=""),"",ROUND(FO96/$E96*$D96*KVARDI,2))</f>
        <v/>
      </c>
      <c r="FQ96" s="66" t="n"/>
      <c r="FR96" s="78">
        <f>IF(OR(INDEX(Undirviðmið!$G$6:$G$105,ROW()-6)&lt;&gt;"Starfsbundinn",FQ96="",$E96="",$D96=""),"",ROUND(FQ96/$E96*$D96*KVARDI,2))</f>
        <v/>
      </c>
      <c r="FS96" s="66" t="n"/>
      <c r="FT96" s="78">
        <f>IF(OR(INDEX(Undirviðmið!$G$6:$G$105,ROW()-6)&lt;&gt;"Starfsbundinn",FS96="",$E96="",$D96=""),"",ROUND(FS96/$E96*$D96*KVARDI,2))</f>
        <v/>
      </c>
      <c r="FU96" s="66" t="n"/>
      <c r="FV96" s="78">
        <f>IF(OR(INDEX(Undirviðmið!$G$6:$G$105,ROW()-6)&lt;&gt;"Starfsbundinn",FU96="",$E96="",$D96=""),"",ROUND(FU96/$E96*$D96*KVARDI,2))</f>
        <v/>
      </c>
      <c r="FW96" s="66" t="n"/>
      <c r="FX96" s="78">
        <f>IF(OR(INDEX(Undirviðmið!$G$6:$G$105,ROW()-6)&lt;&gt;"Starfsbundinn",FW96="",$E96="",$D96=""),"",ROUND(FW96/$E96*$D96*KVARDI,2))</f>
        <v/>
      </c>
      <c r="FY96" s="66" t="n"/>
      <c r="FZ96" s="78">
        <f>IF(OR(INDEX(Undirviðmið!$G$6:$G$105,ROW()-6)&lt;&gt;"Starfsbundinn",FY96="",$E96="",$D96=""),"",ROUND(FY96/$E96*$D96*KVARDI,2))</f>
        <v/>
      </c>
      <c r="GA96" s="66" t="n"/>
      <c r="GB96" s="78">
        <f>IF(OR(INDEX(Undirviðmið!$G$6:$G$105,ROW()-6)&lt;&gt;"Starfsbundinn",GA96="",$E96="",$D96=""),"",ROUND(GA96/$E96*$D96*KVARDI,2))</f>
        <v/>
      </c>
      <c r="GC96" s="66" t="n"/>
      <c r="GD96" s="78">
        <f>IF(OR(INDEX(Undirviðmið!$G$6:$G$105,ROW()-6)&lt;&gt;"Starfsbundinn",GC96="",$E96="",$D96=""),"",ROUND(GC96/$E96*$D96*KVARDI,2))</f>
        <v/>
      </c>
      <c r="GE96" s="66" t="n"/>
      <c r="GF96" s="78">
        <f>IF(OR(INDEX(Undirviðmið!$G$6:$G$105,ROW()-6)&lt;&gt;"Starfsbundinn",GE96="",$E96="",$D96=""),"",ROUND(GE96/$E96*$D96*KVARDI,2))</f>
        <v/>
      </c>
      <c r="GG96" s="66" t="n"/>
      <c r="GH96" s="78">
        <f>IF(OR(INDEX(Undirviðmið!$G$6:$G$105,ROW()-6)&lt;&gt;"Starfsbundinn",GG96="",$E96="",$D96=""),"",ROUND(GG96/$E96*$D96*KVARDI,2))</f>
        <v/>
      </c>
      <c r="GI96" s="66" t="n"/>
      <c r="GJ96" s="78">
        <f>IF(OR(INDEX(Undirviðmið!$G$6:$G$105,ROW()-6)&lt;&gt;"Starfsbundinn",GI96="",$E96="",$D96=""),"",ROUND(GI96/$E96*$D96*KVARDI,2))</f>
        <v/>
      </c>
      <c r="GK96" s="66" t="n"/>
      <c r="GL96" s="78">
        <f>IF(OR(INDEX(Undirviðmið!$G$6:$G$105,ROW()-6)&lt;&gt;"Starfsbundinn",GK96="",$E96="",$D96=""),"",ROUND(GK96/$E96*$D96*KVARDI,2))</f>
        <v/>
      </c>
      <c r="GM96" s="66" t="n"/>
      <c r="GN96" s="78">
        <f>IF(OR(INDEX(Undirviðmið!$G$6:$G$105,ROW()-6)&lt;&gt;"Starfsbundinn",GM96="",$E96="",$D96=""),"",ROUND(GM96/$E96*$D96*KVARDI,2))</f>
        <v/>
      </c>
      <c r="GO96" s="66" t="n"/>
      <c r="GP96" s="78">
        <f>IF(OR(INDEX(Undirviðmið!$G$6:$G$105,ROW()-6)&lt;&gt;"Starfsbundinn",GO96="",$E96="",$D96=""),"",ROUND(GO96/$E96*$D96*KVARDI,2))</f>
        <v/>
      </c>
      <c r="GQ96" s="66" t="n"/>
      <c r="GR96" s="78">
        <f>IF(OR(INDEX(Undirviðmið!$G$6:$G$105,ROW()-6)&lt;&gt;"Starfsbundinn",GQ96="",$E96="",$D96=""),"",ROUND(GQ96/$E96*$D96*KVARDI,2))</f>
        <v/>
      </c>
      <c r="GS96" s="66" t="n"/>
      <c r="GT96" s="78">
        <f>IF(OR(INDEX(Undirviðmið!$G$6:$G$105,ROW()-6)&lt;&gt;"Starfsbundinn",GS96="",$E96="",$D96=""),"",ROUND(GS96/$E96*$D96*KVARDI,2))</f>
        <v/>
      </c>
      <c r="GU96" s="66" t="n"/>
      <c r="GV96" s="78">
        <f>IF(OR(INDEX(Undirviðmið!$G$6:$G$105,ROW()-6)&lt;&gt;"Starfsbundinn",GU96="",$E96="",$D96=""),"",ROUND(GU96/$E96*$D96*KVARDI,2))</f>
        <v/>
      </c>
      <c r="GW96" s="66" t="n"/>
      <c r="GX96" s="78">
        <f>IF(OR(INDEX(Undirviðmið!$G$6:$G$105,ROW()-6)&lt;&gt;"Starfsbundinn",GW96="",$E96="",$D96=""),"",ROUND(GW96/$E96*$D96*KVARDI,2))</f>
        <v/>
      </c>
    </row>
    <row r="97" ht="15" customHeight="1" s="47">
      <c r="B97" s="67">
        <f>IF(INDEX(Undirviðmið!$G$6:$G$105,ROW()-6)="Starfsbundinn",INDEX(Undirviðmið!$B$6:$B$105,ROW()-6),"")</f>
        <v/>
      </c>
      <c r="C97" s="67">
        <f>IF(INDEX(Undirviðmið!$G$6:$G$105,ROW()-6)="Starfsbundinn",INDEX(Undirviðmið!$C$6:$C$105,ROW()-6),"")</f>
        <v/>
      </c>
      <c r="D97" s="77">
        <f>IF(INDEX(Undirviðmið!$G$6:$G$105,ROW()-6)="Starfsbundinn",INDEX(Undirviðmið!$E$6:$E$105,ROW()-6),"")</f>
        <v/>
      </c>
      <c r="E97" s="77">
        <f>IF(INDEX(Undirviðmið!$G$6:$G$105,ROW()-6)="Starfsbundinn",INDEX(Undirviðmið!$F$6:$F$105,ROW()-6),"")</f>
        <v/>
      </c>
      <c r="F97" s="77">
        <f>IF(INDEX(Undirviðmið!$G$6:$G$105,ROW()-6)="Starfsbundinn",IFERROR(INDEX(Undirviðmið!$E$6:$E$105,ROW()-6)*KVARDI,""),"")</f>
        <v/>
      </c>
      <c r="G97" s="66" t="n"/>
      <c r="H97" s="78">
        <f>IF(OR(INDEX(Undirviðmið!$G$6:$G$105,ROW()-6)&lt;&gt;"Starfsbundinn",G97="",$E97="",$D97=""),"",ROUND(G97/$E97*$D97*KVARDI,2))</f>
        <v/>
      </c>
      <c r="I97" s="66" t="n"/>
      <c r="J97" s="78">
        <f>IF(OR(INDEX(Undirviðmið!$G$6:$G$105,ROW()-6)&lt;&gt;"Starfsbundinn",I97="",$E97="",$D97=""),"",ROUND(I97/$E97*$D97*KVARDI,2))</f>
        <v/>
      </c>
      <c r="K97" s="66" t="n"/>
      <c r="L97" s="78">
        <f>IF(OR(INDEX(Undirviðmið!$G$6:$G$105,ROW()-6)&lt;&gt;"Starfsbundinn",K97="",$E97="",$D97=""),"",ROUND(K97/$E97*$D97*KVARDI,2))</f>
        <v/>
      </c>
      <c r="M97" s="66" t="n"/>
      <c r="N97" s="78">
        <f>IF(OR(INDEX(Undirviðmið!$G$6:$G$105,ROW()-6)&lt;&gt;"Starfsbundinn",M97="",$E97="",$D97=""),"",ROUND(M97/$E97*$D97*KVARDI,2))</f>
        <v/>
      </c>
      <c r="O97" s="66" t="n"/>
      <c r="P97" s="78">
        <f>IF(OR(INDEX(Undirviðmið!$G$6:$G$105,ROW()-6)&lt;&gt;"Starfsbundinn",O97="",$E97="",$D97=""),"",ROUND(O97/$E97*$D97*KVARDI,2))</f>
        <v/>
      </c>
      <c r="Q97" s="66" t="n"/>
      <c r="R97" s="78">
        <f>IF(OR(INDEX(Undirviðmið!$G$6:$G$105,ROW()-6)&lt;&gt;"Starfsbundinn",Q97="",$E97="",$D97=""),"",ROUND(Q97/$E97*$D97*KVARDI,2))</f>
        <v/>
      </c>
      <c r="S97" s="66" t="n"/>
      <c r="T97" s="78">
        <f>IF(OR(INDEX(Undirviðmið!$G$6:$G$105,ROW()-6)&lt;&gt;"Starfsbundinn",S97="",$E97="",$D97=""),"",ROUND(S97/$E97*$D97*KVARDI,2))</f>
        <v/>
      </c>
      <c r="U97" s="66" t="n"/>
      <c r="V97" s="78">
        <f>IF(OR(INDEX(Undirviðmið!$G$6:$G$105,ROW()-6)&lt;&gt;"Starfsbundinn",U97="",$E97="",$D97=""),"",ROUND(U97/$E97*$D97*KVARDI,2))</f>
        <v/>
      </c>
      <c r="W97" s="66" t="n"/>
      <c r="X97" s="78">
        <f>IF(OR(INDEX(Undirviðmið!$G$6:$G$105,ROW()-6)&lt;&gt;"Starfsbundinn",W97="",$E97="",$D97=""),"",ROUND(W97/$E97*$D97*KVARDI,2))</f>
        <v/>
      </c>
      <c r="Y97" s="66" t="n"/>
      <c r="Z97" s="78">
        <f>IF(OR(INDEX(Undirviðmið!$G$6:$G$105,ROW()-6)&lt;&gt;"Starfsbundinn",Y97="",$E97="",$D97=""),"",ROUND(Y97/$E97*$D97*KVARDI,2))</f>
        <v/>
      </c>
      <c r="AA97" s="66" t="n"/>
      <c r="AB97" s="78">
        <f>IF(OR(INDEX(Undirviðmið!$G$6:$G$105,ROW()-6)&lt;&gt;"Starfsbundinn",AA97="",$E97="",$D97=""),"",ROUND(AA97/$E97*$D97*KVARDI,2))</f>
        <v/>
      </c>
      <c r="AC97" s="66" t="n"/>
      <c r="AD97" s="78">
        <f>IF(OR(INDEX(Undirviðmið!$G$6:$G$105,ROW()-6)&lt;&gt;"Starfsbundinn",AC97="",$E97="",$D97=""),"",ROUND(AC97/$E97*$D97*KVARDI,2))</f>
        <v/>
      </c>
      <c r="AE97" s="66" t="n"/>
      <c r="AF97" s="78">
        <f>IF(OR(INDEX(Undirviðmið!$G$6:$G$105,ROW()-6)&lt;&gt;"Starfsbundinn",AE97="",$E97="",$D97=""),"",ROUND(AE97/$E97*$D97*KVARDI,2))</f>
        <v/>
      </c>
      <c r="AG97" s="66" t="n"/>
      <c r="AH97" s="78">
        <f>IF(OR(INDEX(Undirviðmið!$G$6:$G$105,ROW()-6)&lt;&gt;"Starfsbundinn",AG97="",$E97="",$D97=""),"",ROUND(AG97/$E97*$D97*KVARDI,2))</f>
        <v/>
      </c>
      <c r="AI97" s="66" t="n"/>
      <c r="AJ97" s="78">
        <f>IF(OR(INDEX(Undirviðmið!$G$6:$G$105,ROW()-6)&lt;&gt;"Starfsbundinn",AI97="",$E97="",$D97=""),"",ROUND(AI97/$E97*$D97*KVARDI,2))</f>
        <v/>
      </c>
      <c r="AK97" s="66" t="n"/>
      <c r="AL97" s="78">
        <f>IF(OR(INDEX(Undirviðmið!$G$6:$G$105,ROW()-6)&lt;&gt;"Starfsbundinn",AK97="",$E97="",$D97=""),"",ROUND(AK97/$E97*$D97*KVARDI,2))</f>
        <v/>
      </c>
      <c r="AM97" s="66" t="n"/>
      <c r="AN97" s="78">
        <f>IF(OR(INDEX(Undirviðmið!$G$6:$G$105,ROW()-6)&lt;&gt;"Starfsbundinn",AM97="",$E97="",$D97=""),"",ROUND(AM97/$E97*$D97*KVARDI,2))</f>
        <v/>
      </c>
      <c r="AO97" s="66" t="n"/>
      <c r="AP97" s="78">
        <f>IF(OR(INDEX(Undirviðmið!$G$6:$G$105,ROW()-6)&lt;&gt;"Starfsbundinn",AO97="",$E97="",$D97=""),"",ROUND(AO97/$E97*$D97*KVARDI,2))</f>
        <v/>
      </c>
      <c r="AQ97" s="66" t="n"/>
      <c r="AR97" s="78">
        <f>IF(OR(INDEX(Undirviðmið!$G$6:$G$105,ROW()-6)&lt;&gt;"Starfsbundinn",AQ97="",$E97="",$D97=""),"",ROUND(AQ97/$E97*$D97*KVARDI,2))</f>
        <v/>
      </c>
      <c r="AS97" s="66" t="n"/>
      <c r="AT97" s="78">
        <f>IF(OR(INDEX(Undirviðmið!$G$6:$G$105,ROW()-6)&lt;&gt;"Starfsbundinn",AS97="",$E97="",$D97=""),"",ROUND(AS97/$E97*$D97*KVARDI,2))</f>
        <v/>
      </c>
      <c r="AU97" s="66" t="n"/>
      <c r="AV97" s="78">
        <f>IF(OR(INDEX(Undirviðmið!$G$6:$G$105,ROW()-6)&lt;&gt;"Starfsbundinn",AU97="",$E97="",$D97=""),"",ROUND(AU97/$E97*$D97*KVARDI,2))</f>
        <v/>
      </c>
      <c r="AW97" s="66" t="n"/>
      <c r="AX97" s="78">
        <f>IF(OR(INDEX(Undirviðmið!$G$6:$G$105,ROW()-6)&lt;&gt;"Starfsbundinn",AW97="",$E97="",$D97=""),"",ROUND(AW97/$E97*$D97*KVARDI,2))</f>
        <v/>
      </c>
      <c r="AY97" s="66" t="n"/>
      <c r="AZ97" s="78">
        <f>IF(OR(INDEX(Undirviðmið!$G$6:$G$105,ROW()-6)&lt;&gt;"Starfsbundinn",AY97="",$E97="",$D97=""),"",ROUND(AY97/$E97*$D97*KVARDI,2))</f>
        <v/>
      </c>
      <c r="BA97" s="66" t="n"/>
      <c r="BB97" s="78">
        <f>IF(OR(INDEX(Undirviðmið!$G$6:$G$105,ROW()-6)&lt;&gt;"Starfsbundinn",BA97="",$E97="",$D97=""),"",ROUND(BA97/$E97*$D97*KVARDI,2))</f>
        <v/>
      </c>
      <c r="BC97" s="66" t="n"/>
      <c r="BD97" s="78">
        <f>IF(OR(INDEX(Undirviðmið!$G$6:$G$105,ROW()-6)&lt;&gt;"Starfsbundinn",BC97="",$E97="",$D97=""),"",ROUND(BC97/$E97*$D97*KVARDI,2))</f>
        <v/>
      </c>
      <c r="BE97" s="66" t="n"/>
      <c r="BF97" s="78">
        <f>IF(OR(INDEX(Undirviðmið!$G$6:$G$105,ROW()-6)&lt;&gt;"Starfsbundinn",BE97="",$E97="",$D97=""),"",ROUND(BE97/$E97*$D97*KVARDI,2))</f>
        <v/>
      </c>
      <c r="BG97" s="66" t="n"/>
      <c r="BH97" s="78">
        <f>IF(OR(INDEX(Undirviðmið!$G$6:$G$105,ROW()-6)&lt;&gt;"Starfsbundinn",BG97="",$E97="",$D97=""),"",ROUND(BG97/$E97*$D97*KVARDI,2))</f>
        <v/>
      </c>
      <c r="BI97" s="66" t="n"/>
      <c r="BJ97" s="78">
        <f>IF(OR(INDEX(Undirviðmið!$G$6:$G$105,ROW()-6)&lt;&gt;"Starfsbundinn",BI97="",$E97="",$D97=""),"",ROUND(BI97/$E97*$D97*KVARDI,2))</f>
        <v/>
      </c>
      <c r="BK97" s="66" t="n"/>
      <c r="BL97" s="78">
        <f>IF(OR(INDEX(Undirviðmið!$G$6:$G$105,ROW()-6)&lt;&gt;"Starfsbundinn",BK97="",$E97="",$D97=""),"",ROUND(BK97/$E97*$D97*KVARDI,2))</f>
        <v/>
      </c>
      <c r="BM97" s="66" t="n"/>
      <c r="BN97" s="78">
        <f>IF(OR(INDEX(Undirviðmið!$G$6:$G$105,ROW()-6)&lt;&gt;"Starfsbundinn",BM97="",$E97="",$D97=""),"",ROUND(BM97/$E97*$D97*KVARDI,2))</f>
        <v/>
      </c>
      <c r="BO97" s="66" t="n"/>
      <c r="BP97" s="78">
        <f>IF(OR(INDEX(Undirviðmið!$G$6:$G$105,ROW()-6)&lt;&gt;"Starfsbundinn",BO97="",$E97="",$D97=""),"",ROUND(BO97/$E97*$D97*KVARDI,2))</f>
        <v/>
      </c>
      <c r="BQ97" s="66" t="n"/>
      <c r="BR97" s="78">
        <f>IF(OR(INDEX(Undirviðmið!$G$6:$G$105,ROW()-6)&lt;&gt;"Starfsbundinn",BQ97="",$E97="",$D97=""),"",ROUND(BQ97/$E97*$D97*KVARDI,2))</f>
        <v/>
      </c>
      <c r="BS97" s="66" t="n"/>
      <c r="BT97" s="78">
        <f>IF(OR(INDEX(Undirviðmið!$G$6:$G$105,ROW()-6)&lt;&gt;"Starfsbundinn",BS97="",$E97="",$D97=""),"",ROUND(BS97/$E97*$D97*KVARDI,2))</f>
        <v/>
      </c>
      <c r="BU97" s="66" t="n"/>
      <c r="BV97" s="78">
        <f>IF(OR(INDEX(Undirviðmið!$G$6:$G$105,ROW()-6)&lt;&gt;"Starfsbundinn",BU97="",$E97="",$D97=""),"",ROUND(BU97/$E97*$D97*KVARDI,2))</f>
        <v/>
      </c>
      <c r="BW97" s="66" t="n"/>
      <c r="BX97" s="78">
        <f>IF(OR(INDEX(Undirviðmið!$G$6:$G$105,ROW()-6)&lt;&gt;"Starfsbundinn",BW97="",$E97="",$D97=""),"",ROUND(BW97/$E97*$D97*KVARDI,2))</f>
        <v/>
      </c>
      <c r="BY97" s="66" t="n"/>
      <c r="BZ97" s="78">
        <f>IF(OR(INDEX(Undirviðmið!$G$6:$G$105,ROW()-6)&lt;&gt;"Starfsbundinn",BY97="",$E97="",$D97=""),"",ROUND(BY97/$E97*$D97*KVARDI,2))</f>
        <v/>
      </c>
      <c r="CA97" s="66" t="n"/>
      <c r="CB97" s="78">
        <f>IF(OR(INDEX(Undirviðmið!$G$6:$G$105,ROW()-6)&lt;&gt;"Starfsbundinn",CA97="",$E97="",$D97=""),"",ROUND(CA97/$E97*$D97*KVARDI,2))</f>
        <v/>
      </c>
      <c r="CC97" s="66" t="n"/>
      <c r="CD97" s="78">
        <f>IF(OR(INDEX(Undirviðmið!$G$6:$G$105,ROW()-6)&lt;&gt;"Starfsbundinn",CC97="",$E97="",$D97=""),"",ROUND(CC97/$E97*$D97*KVARDI,2))</f>
        <v/>
      </c>
      <c r="CE97" s="66" t="n"/>
      <c r="CF97" s="78">
        <f>IF(OR(INDEX(Undirviðmið!$G$6:$G$105,ROW()-6)&lt;&gt;"Starfsbundinn",CE97="",$E97="",$D97=""),"",ROUND(CE97/$E97*$D97*KVARDI,2))</f>
        <v/>
      </c>
      <c r="CG97" s="66" t="n"/>
      <c r="CH97" s="78">
        <f>IF(OR(INDEX(Undirviðmið!$G$6:$G$105,ROW()-6)&lt;&gt;"Starfsbundinn",CG97="",$E97="",$D97=""),"",ROUND(CG97/$E97*$D97*KVARDI,2))</f>
        <v/>
      </c>
      <c r="CI97" s="66" t="n"/>
      <c r="CJ97" s="78">
        <f>IF(OR(INDEX(Undirviðmið!$G$6:$G$105,ROW()-6)&lt;&gt;"Starfsbundinn",CI97="",$E97="",$D97=""),"",ROUND(CI97/$E97*$D97*KVARDI,2))</f>
        <v/>
      </c>
      <c r="CK97" s="66" t="n"/>
      <c r="CL97" s="78">
        <f>IF(OR(INDEX(Undirviðmið!$G$6:$G$105,ROW()-6)&lt;&gt;"Starfsbundinn",CK97="",$E97="",$D97=""),"",ROUND(CK97/$E97*$D97*KVARDI,2))</f>
        <v/>
      </c>
      <c r="CM97" s="66" t="n"/>
      <c r="CN97" s="78">
        <f>IF(OR(INDEX(Undirviðmið!$G$6:$G$105,ROW()-6)&lt;&gt;"Starfsbundinn",CM97="",$E97="",$D97=""),"",ROUND(CM97/$E97*$D97*KVARDI,2))</f>
        <v/>
      </c>
      <c r="CO97" s="66" t="n"/>
      <c r="CP97" s="78">
        <f>IF(OR(INDEX(Undirviðmið!$G$6:$G$105,ROW()-6)&lt;&gt;"Starfsbundinn",CO97="",$E97="",$D97=""),"",ROUND(CO97/$E97*$D97*KVARDI,2))</f>
        <v/>
      </c>
      <c r="CQ97" s="66" t="n"/>
      <c r="CR97" s="78">
        <f>IF(OR(INDEX(Undirviðmið!$G$6:$G$105,ROW()-6)&lt;&gt;"Starfsbundinn",CQ97="",$E97="",$D97=""),"",ROUND(CQ97/$E97*$D97*KVARDI,2))</f>
        <v/>
      </c>
      <c r="CS97" s="66" t="n"/>
      <c r="CT97" s="78">
        <f>IF(OR(INDEX(Undirviðmið!$G$6:$G$105,ROW()-6)&lt;&gt;"Starfsbundinn",CS97="",$E97="",$D97=""),"",ROUND(CS97/$E97*$D97*KVARDI,2))</f>
        <v/>
      </c>
      <c r="CU97" s="66" t="n"/>
      <c r="CV97" s="78">
        <f>IF(OR(INDEX(Undirviðmið!$G$6:$G$105,ROW()-6)&lt;&gt;"Starfsbundinn",CU97="",$E97="",$D97=""),"",ROUND(CU97/$E97*$D97*KVARDI,2))</f>
        <v/>
      </c>
      <c r="CW97" s="66" t="n"/>
      <c r="CX97" s="78">
        <f>IF(OR(INDEX(Undirviðmið!$G$6:$G$105,ROW()-6)&lt;&gt;"Starfsbundinn",CW97="",$E97="",$D97=""),"",ROUND(CW97/$E97*$D97*KVARDI,2))</f>
        <v/>
      </c>
      <c r="CY97" s="66" t="n"/>
      <c r="CZ97" s="78">
        <f>IF(OR(INDEX(Undirviðmið!$G$6:$G$105,ROW()-6)&lt;&gt;"Starfsbundinn",CY97="",$E97="",$D97=""),"",ROUND(CY97/$E97*$D97*KVARDI,2))</f>
        <v/>
      </c>
      <c r="DA97" s="66" t="n"/>
      <c r="DB97" s="78">
        <f>IF(OR(INDEX(Undirviðmið!$G$6:$G$105,ROW()-6)&lt;&gt;"Starfsbundinn",DA97="",$E97="",$D97=""),"",ROUND(DA97/$E97*$D97*KVARDI,2))</f>
        <v/>
      </c>
      <c r="DC97" s="66" t="n"/>
      <c r="DD97" s="78">
        <f>IF(OR(INDEX(Undirviðmið!$G$6:$G$105,ROW()-6)&lt;&gt;"Starfsbundinn",DC97="",$E97="",$D97=""),"",ROUND(DC97/$E97*$D97*KVARDI,2))</f>
        <v/>
      </c>
      <c r="DE97" s="66" t="n"/>
      <c r="DF97" s="78">
        <f>IF(OR(INDEX(Undirviðmið!$G$6:$G$105,ROW()-6)&lt;&gt;"Starfsbundinn",DE97="",$E97="",$D97=""),"",ROUND(DE97/$E97*$D97*KVARDI,2))</f>
        <v/>
      </c>
      <c r="DG97" s="66" t="n"/>
      <c r="DH97" s="78">
        <f>IF(OR(INDEX(Undirviðmið!$G$6:$G$105,ROW()-6)&lt;&gt;"Starfsbundinn",DG97="",$E97="",$D97=""),"",ROUND(DG97/$E97*$D97*KVARDI,2))</f>
        <v/>
      </c>
      <c r="DI97" s="66" t="n"/>
      <c r="DJ97" s="78">
        <f>IF(OR(INDEX(Undirviðmið!$G$6:$G$105,ROW()-6)&lt;&gt;"Starfsbundinn",DI97="",$E97="",$D97=""),"",ROUND(DI97/$E97*$D97*KVARDI,2))</f>
        <v/>
      </c>
      <c r="DK97" s="66" t="n"/>
      <c r="DL97" s="78">
        <f>IF(OR(INDEX(Undirviðmið!$G$6:$G$105,ROW()-6)&lt;&gt;"Starfsbundinn",DK97="",$E97="",$D97=""),"",ROUND(DK97/$E97*$D97*KVARDI,2))</f>
        <v/>
      </c>
      <c r="DM97" s="66" t="n"/>
      <c r="DN97" s="78">
        <f>IF(OR(INDEX(Undirviðmið!$G$6:$G$105,ROW()-6)&lt;&gt;"Starfsbundinn",DM97="",$E97="",$D97=""),"",ROUND(DM97/$E97*$D97*KVARDI,2))</f>
        <v/>
      </c>
      <c r="DO97" s="66" t="n"/>
      <c r="DP97" s="78">
        <f>IF(OR(INDEX(Undirviðmið!$G$6:$G$105,ROW()-6)&lt;&gt;"Starfsbundinn",DO97="",$E97="",$D97=""),"",ROUND(DO97/$E97*$D97*KVARDI,2))</f>
        <v/>
      </c>
      <c r="DQ97" s="66" t="n"/>
      <c r="DR97" s="78">
        <f>IF(OR(INDEX(Undirviðmið!$G$6:$G$105,ROW()-6)&lt;&gt;"Starfsbundinn",DQ97="",$E97="",$D97=""),"",ROUND(DQ97/$E97*$D97*KVARDI,2))</f>
        <v/>
      </c>
      <c r="DS97" s="66" t="n"/>
      <c r="DT97" s="78">
        <f>IF(OR(INDEX(Undirviðmið!$G$6:$G$105,ROW()-6)&lt;&gt;"Starfsbundinn",DS97="",$E97="",$D97=""),"",ROUND(DS97/$E97*$D97*KVARDI,2))</f>
        <v/>
      </c>
      <c r="DU97" s="66" t="n"/>
      <c r="DV97" s="78">
        <f>IF(OR(INDEX(Undirviðmið!$G$6:$G$105,ROW()-6)&lt;&gt;"Starfsbundinn",DU97="",$E97="",$D97=""),"",ROUND(DU97/$E97*$D97*KVARDI,2))</f>
        <v/>
      </c>
      <c r="DW97" s="66" t="n"/>
      <c r="DX97" s="78">
        <f>IF(OR(INDEX(Undirviðmið!$G$6:$G$105,ROW()-6)&lt;&gt;"Starfsbundinn",DW97="",$E97="",$D97=""),"",ROUND(DW97/$E97*$D97*KVARDI,2))</f>
        <v/>
      </c>
      <c r="DY97" s="66" t="n"/>
      <c r="DZ97" s="78">
        <f>IF(OR(INDEX(Undirviðmið!$G$6:$G$105,ROW()-6)&lt;&gt;"Starfsbundinn",DY97="",$E97="",$D97=""),"",ROUND(DY97/$E97*$D97*KVARDI,2))</f>
        <v/>
      </c>
      <c r="EA97" s="66" t="n"/>
      <c r="EB97" s="78">
        <f>IF(OR(INDEX(Undirviðmið!$G$6:$G$105,ROW()-6)&lt;&gt;"Starfsbundinn",EA97="",$E97="",$D97=""),"",ROUND(EA97/$E97*$D97*KVARDI,2))</f>
        <v/>
      </c>
      <c r="EC97" s="66" t="n"/>
      <c r="ED97" s="78">
        <f>IF(OR(INDEX(Undirviðmið!$G$6:$G$105,ROW()-6)&lt;&gt;"Starfsbundinn",EC97="",$E97="",$D97=""),"",ROUND(EC97/$E97*$D97*KVARDI,2))</f>
        <v/>
      </c>
      <c r="EE97" s="66" t="n"/>
      <c r="EF97" s="78">
        <f>IF(OR(INDEX(Undirviðmið!$G$6:$G$105,ROW()-6)&lt;&gt;"Starfsbundinn",EE97="",$E97="",$D97=""),"",ROUND(EE97/$E97*$D97*KVARDI,2))</f>
        <v/>
      </c>
      <c r="EG97" s="66" t="n"/>
      <c r="EH97" s="78">
        <f>IF(OR(INDEX(Undirviðmið!$G$6:$G$105,ROW()-6)&lt;&gt;"Starfsbundinn",EG97="",$E97="",$D97=""),"",ROUND(EG97/$E97*$D97*KVARDI,2))</f>
        <v/>
      </c>
      <c r="EI97" s="66" t="n"/>
      <c r="EJ97" s="78">
        <f>IF(OR(INDEX(Undirviðmið!$G$6:$G$105,ROW()-6)&lt;&gt;"Starfsbundinn",EI97="",$E97="",$D97=""),"",ROUND(EI97/$E97*$D97*KVARDI,2))</f>
        <v/>
      </c>
      <c r="EK97" s="66" t="n"/>
      <c r="EL97" s="78">
        <f>IF(OR(INDEX(Undirviðmið!$G$6:$G$105,ROW()-6)&lt;&gt;"Starfsbundinn",EK97="",$E97="",$D97=""),"",ROUND(EK97/$E97*$D97*KVARDI,2))</f>
        <v/>
      </c>
      <c r="EM97" s="66" t="n"/>
      <c r="EN97" s="78">
        <f>IF(OR(INDEX(Undirviðmið!$G$6:$G$105,ROW()-6)&lt;&gt;"Starfsbundinn",EM97="",$E97="",$D97=""),"",ROUND(EM97/$E97*$D97*KVARDI,2))</f>
        <v/>
      </c>
      <c r="EO97" s="66" t="n"/>
      <c r="EP97" s="78">
        <f>IF(OR(INDEX(Undirviðmið!$G$6:$G$105,ROW()-6)&lt;&gt;"Starfsbundinn",EO97="",$E97="",$D97=""),"",ROUND(EO97/$E97*$D97*KVARDI,2))</f>
        <v/>
      </c>
      <c r="EQ97" s="66" t="n"/>
      <c r="ER97" s="78">
        <f>IF(OR(INDEX(Undirviðmið!$G$6:$G$105,ROW()-6)&lt;&gt;"Starfsbundinn",EQ97="",$E97="",$D97=""),"",ROUND(EQ97/$E97*$D97*KVARDI,2))</f>
        <v/>
      </c>
      <c r="ES97" s="66" t="n"/>
      <c r="ET97" s="78">
        <f>IF(OR(INDEX(Undirviðmið!$G$6:$G$105,ROW()-6)&lt;&gt;"Starfsbundinn",ES97="",$E97="",$D97=""),"",ROUND(ES97/$E97*$D97*KVARDI,2))</f>
        <v/>
      </c>
      <c r="EU97" s="66" t="n"/>
      <c r="EV97" s="78">
        <f>IF(OR(INDEX(Undirviðmið!$G$6:$G$105,ROW()-6)&lt;&gt;"Starfsbundinn",EU97="",$E97="",$D97=""),"",ROUND(EU97/$E97*$D97*KVARDI,2))</f>
        <v/>
      </c>
      <c r="EW97" s="66" t="n"/>
      <c r="EX97" s="78">
        <f>IF(OR(INDEX(Undirviðmið!$G$6:$G$105,ROW()-6)&lt;&gt;"Starfsbundinn",EW97="",$E97="",$D97=""),"",ROUND(EW97/$E97*$D97*KVARDI,2))</f>
        <v/>
      </c>
      <c r="EY97" s="66" t="n"/>
      <c r="EZ97" s="78">
        <f>IF(OR(INDEX(Undirviðmið!$G$6:$G$105,ROW()-6)&lt;&gt;"Starfsbundinn",EY97="",$E97="",$D97=""),"",ROUND(EY97/$E97*$D97*KVARDI,2))</f>
        <v/>
      </c>
      <c r="FA97" s="66" t="n"/>
      <c r="FB97" s="78">
        <f>IF(OR(INDEX(Undirviðmið!$G$6:$G$105,ROW()-6)&lt;&gt;"Starfsbundinn",FA97="",$E97="",$D97=""),"",ROUND(FA97/$E97*$D97*KVARDI,2))</f>
        <v/>
      </c>
      <c r="FC97" s="66" t="n"/>
      <c r="FD97" s="78">
        <f>IF(OR(INDEX(Undirviðmið!$G$6:$G$105,ROW()-6)&lt;&gt;"Starfsbundinn",FC97="",$E97="",$D97=""),"",ROUND(FC97/$E97*$D97*KVARDI,2))</f>
        <v/>
      </c>
      <c r="FE97" s="66" t="n"/>
      <c r="FF97" s="78">
        <f>IF(OR(INDEX(Undirviðmið!$G$6:$G$105,ROW()-6)&lt;&gt;"Starfsbundinn",FE97="",$E97="",$D97=""),"",ROUND(FE97/$E97*$D97*KVARDI,2))</f>
        <v/>
      </c>
      <c r="FG97" s="66" t="n"/>
      <c r="FH97" s="78">
        <f>IF(OR(INDEX(Undirviðmið!$G$6:$G$105,ROW()-6)&lt;&gt;"Starfsbundinn",FG97="",$E97="",$D97=""),"",ROUND(FG97/$E97*$D97*KVARDI,2))</f>
        <v/>
      </c>
      <c r="FI97" s="66" t="n"/>
      <c r="FJ97" s="78">
        <f>IF(OR(INDEX(Undirviðmið!$G$6:$G$105,ROW()-6)&lt;&gt;"Starfsbundinn",FI97="",$E97="",$D97=""),"",ROUND(FI97/$E97*$D97*KVARDI,2))</f>
        <v/>
      </c>
      <c r="FK97" s="66" t="n"/>
      <c r="FL97" s="78">
        <f>IF(OR(INDEX(Undirviðmið!$G$6:$G$105,ROW()-6)&lt;&gt;"Starfsbundinn",FK97="",$E97="",$D97=""),"",ROUND(FK97/$E97*$D97*KVARDI,2))</f>
        <v/>
      </c>
      <c r="FM97" s="66" t="n"/>
      <c r="FN97" s="78">
        <f>IF(OR(INDEX(Undirviðmið!$G$6:$G$105,ROW()-6)&lt;&gt;"Starfsbundinn",FM97="",$E97="",$D97=""),"",ROUND(FM97/$E97*$D97*KVARDI,2))</f>
        <v/>
      </c>
      <c r="FO97" s="66" t="n"/>
      <c r="FP97" s="78">
        <f>IF(OR(INDEX(Undirviðmið!$G$6:$G$105,ROW()-6)&lt;&gt;"Starfsbundinn",FO97="",$E97="",$D97=""),"",ROUND(FO97/$E97*$D97*KVARDI,2))</f>
        <v/>
      </c>
      <c r="FQ97" s="66" t="n"/>
      <c r="FR97" s="78">
        <f>IF(OR(INDEX(Undirviðmið!$G$6:$G$105,ROW()-6)&lt;&gt;"Starfsbundinn",FQ97="",$E97="",$D97=""),"",ROUND(FQ97/$E97*$D97*KVARDI,2))</f>
        <v/>
      </c>
      <c r="FS97" s="66" t="n"/>
      <c r="FT97" s="78">
        <f>IF(OR(INDEX(Undirviðmið!$G$6:$G$105,ROW()-6)&lt;&gt;"Starfsbundinn",FS97="",$E97="",$D97=""),"",ROUND(FS97/$E97*$D97*KVARDI,2))</f>
        <v/>
      </c>
      <c r="FU97" s="66" t="n"/>
      <c r="FV97" s="78">
        <f>IF(OR(INDEX(Undirviðmið!$G$6:$G$105,ROW()-6)&lt;&gt;"Starfsbundinn",FU97="",$E97="",$D97=""),"",ROUND(FU97/$E97*$D97*KVARDI,2))</f>
        <v/>
      </c>
      <c r="FW97" s="66" t="n"/>
      <c r="FX97" s="78">
        <f>IF(OR(INDEX(Undirviðmið!$G$6:$G$105,ROW()-6)&lt;&gt;"Starfsbundinn",FW97="",$E97="",$D97=""),"",ROUND(FW97/$E97*$D97*KVARDI,2))</f>
        <v/>
      </c>
      <c r="FY97" s="66" t="n"/>
      <c r="FZ97" s="78">
        <f>IF(OR(INDEX(Undirviðmið!$G$6:$G$105,ROW()-6)&lt;&gt;"Starfsbundinn",FY97="",$E97="",$D97=""),"",ROUND(FY97/$E97*$D97*KVARDI,2))</f>
        <v/>
      </c>
      <c r="GA97" s="66" t="n"/>
      <c r="GB97" s="78">
        <f>IF(OR(INDEX(Undirviðmið!$G$6:$G$105,ROW()-6)&lt;&gt;"Starfsbundinn",GA97="",$E97="",$D97=""),"",ROUND(GA97/$E97*$D97*KVARDI,2))</f>
        <v/>
      </c>
      <c r="GC97" s="66" t="n"/>
      <c r="GD97" s="78">
        <f>IF(OR(INDEX(Undirviðmið!$G$6:$G$105,ROW()-6)&lt;&gt;"Starfsbundinn",GC97="",$E97="",$D97=""),"",ROUND(GC97/$E97*$D97*KVARDI,2))</f>
        <v/>
      </c>
      <c r="GE97" s="66" t="n"/>
      <c r="GF97" s="78">
        <f>IF(OR(INDEX(Undirviðmið!$G$6:$G$105,ROW()-6)&lt;&gt;"Starfsbundinn",GE97="",$E97="",$D97=""),"",ROUND(GE97/$E97*$D97*KVARDI,2))</f>
        <v/>
      </c>
      <c r="GG97" s="66" t="n"/>
      <c r="GH97" s="78">
        <f>IF(OR(INDEX(Undirviðmið!$G$6:$G$105,ROW()-6)&lt;&gt;"Starfsbundinn",GG97="",$E97="",$D97=""),"",ROUND(GG97/$E97*$D97*KVARDI,2))</f>
        <v/>
      </c>
      <c r="GI97" s="66" t="n"/>
      <c r="GJ97" s="78">
        <f>IF(OR(INDEX(Undirviðmið!$G$6:$G$105,ROW()-6)&lt;&gt;"Starfsbundinn",GI97="",$E97="",$D97=""),"",ROUND(GI97/$E97*$D97*KVARDI,2))</f>
        <v/>
      </c>
      <c r="GK97" s="66" t="n"/>
      <c r="GL97" s="78">
        <f>IF(OR(INDEX(Undirviðmið!$G$6:$G$105,ROW()-6)&lt;&gt;"Starfsbundinn",GK97="",$E97="",$D97=""),"",ROUND(GK97/$E97*$D97*KVARDI,2))</f>
        <v/>
      </c>
      <c r="GM97" s="66" t="n"/>
      <c r="GN97" s="78">
        <f>IF(OR(INDEX(Undirviðmið!$G$6:$G$105,ROW()-6)&lt;&gt;"Starfsbundinn",GM97="",$E97="",$D97=""),"",ROUND(GM97/$E97*$D97*KVARDI,2))</f>
        <v/>
      </c>
      <c r="GO97" s="66" t="n"/>
      <c r="GP97" s="78">
        <f>IF(OR(INDEX(Undirviðmið!$G$6:$G$105,ROW()-6)&lt;&gt;"Starfsbundinn",GO97="",$E97="",$D97=""),"",ROUND(GO97/$E97*$D97*KVARDI,2))</f>
        <v/>
      </c>
      <c r="GQ97" s="66" t="n"/>
      <c r="GR97" s="78">
        <f>IF(OR(INDEX(Undirviðmið!$G$6:$G$105,ROW()-6)&lt;&gt;"Starfsbundinn",GQ97="",$E97="",$D97=""),"",ROUND(GQ97/$E97*$D97*KVARDI,2))</f>
        <v/>
      </c>
      <c r="GS97" s="66" t="n"/>
      <c r="GT97" s="78">
        <f>IF(OR(INDEX(Undirviðmið!$G$6:$G$105,ROW()-6)&lt;&gt;"Starfsbundinn",GS97="",$E97="",$D97=""),"",ROUND(GS97/$E97*$D97*KVARDI,2))</f>
        <v/>
      </c>
      <c r="GU97" s="66" t="n"/>
      <c r="GV97" s="78">
        <f>IF(OR(INDEX(Undirviðmið!$G$6:$G$105,ROW()-6)&lt;&gt;"Starfsbundinn",GU97="",$E97="",$D97=""),"",ROUND(GU97/$E97*$D97*KVARDI,2))</f>
        <v/>
      </c>
      <c r="GW97" s="66" t="n"/>
      <c r="GX97" s="78">
        <f>IF(OR(INDEX(Undirviðmið!$G$6:$G$105,ROW()-6)&lt;&gt;"Starfsbundinn",GW97="",$E97="",$D97=""),"",ROUND(GW97/$E97*$D97*KVARDI,2))</f>
        <v/>
      </c>
    </row>
    <row r="98" ht="15" customHeight="1" s="47">
      <c r="B98" s="67">
        <f>IF(INDEX(Undirviðmið!$G$6:$G$105,ROW()-6)="Starfsbundinn",INDEX(Undirviðmið!$B$6:$B$105,ROW()-6),"")</f>
        <v/>
      </c>
      <c r="C98" s="67">
        <f>IF(INDEX(Undirviðmið!$G$6:$G$105,ROW()-6)="Starfsbundinn",INDEX(Undirviðmið!$C$6:$C$105,ROW()-6),"")</f>
        <v/>
      </c>
      <c r="D98" s="77">
        <f>IF(INDEX(Undirviðmið!$G$6:$G$105,ROW()-6)="Starfsbundinn",INDEX(Undirviðmið!$E$6:$E$105,ROW()-6),"")</f>
        <v/>
      </c>
      <c r="E98" s="77">
        <f>IF(INDEX(Undirviðmið!$G$6:$G$105,ROW()-6)="Starfsbundinn",INDEX(Undirviðmið!$F$6:$F$105,ROW()-6),"")</f>
        <v/>
      </c>
      <c r="F98" s="77">
        <f>IF(INDEX(Undirviðmið!$G$6:$G$105,ROW()-6)="Starfsbundinn",IFERROR(INDEX(Undirviðmið!$E$6:$E$105,ROW()-6)*KVARDI,""),"")</f>
        <v/>
      </c>
      <c r="G98" s="66" t="n"/>
      <c r="H98" s="78">
        <f>IF(OR(INDEX(Undirviðmið!$G$6:$G$105,ROW()-6)&lt;&gt;"Starfsbundinn",G98="",$E98="",$D98=""),"",ROUND(G98/$E98*$D98*KVARDI,2))</f>
        <v/>
      </c>
      <c r="I98" s="66" t="n"/>
      <c r="J98" s="78">
        <f>IF(OR(INDEX(Undirviðmið!$G$6:$G$105,ROW()-6)&lt;&gt;"Starfsbundinn",I98="",$E98="",$D98=""),"",ROUND(I98/$E98*$D98*KVARDI,2))</f>
        <v/>
      </c>
      <c r="K98" s="66" t="n"/>
      <c r="L98" s="78">
        <f>IF(OR(INDEX(Undirviðmið!$G$6:$G$105,ROW()-6)&lt;&gt;"Starfsbundinn",K98="",$E98="",$D98=""),"",ROUND(K98/$E98*$D98*KVARDI,2))</f>
        <v/>
      </c>
      <c r="M98" s="66" t="n"/>
      <c r="N98" s="78">
        <f>IF(OR(INDEX(Undirviðmið!$G$6:$G$105,ROW()-6)&lt;&gt;"Starfsbundinn",M98="",$E98="",$D98=""),"",ROUND(M98/$E98*$D98*KVARDI,2))</f>
        <v/>
      </c>
      <c r="O98" s="66" t="n"/>
      <c r="P98" s="78">
        <f>IF(OR(INDEX(Undirviðmið!$G$6:$G$105,ROW()-6)&lt;&gt;"Starfsbundinn",O98="",$E98="",$D98=""),"",ROUND(O98/$E98*$D98*KVARDI,2))</f>
        <v/>
      </c>
      <c r="Q98" s="66" t="n"/>
      <c r="R98" s="78">
        <f>IF(OR(INDEX(Undirviðmið!$G$6:$G$105,ROW()-6)&lt;&gt;"Starfsbundinn",Q98="",$E98="",$D98=""),"",ROUND(Q98/$E98*$D98*KVARDI,2))</f>
        <v/>
      </c>
      <c r="S98" s="66" t="n"/>
      <c r="T98" s="78">
        <f>IF(OR(INDEX(Undirviðmið!$G$6:$G$105,ROW()-6)&lt;&gt;"Starfsbundinn",S98="",$E98="",$D98=""),"",ROUND(S98/$E98*$D98*KVARDI,2))</f>
        <v/>
      </c>
      <c r="U98" s="66" t="n"/>
      <c r="V98" s="78">
        <f>IF(OR(INDEX(Undirviðmið!$G$6:$G$105,ROW()-6)&lt;&gt;"Starfsbundinn",U98="",$E98="",$D98=""),"",ROUND(U98/$E98*$D98*KVARDI,2))</f>
        <v/>
      </c>
      <c r="W98" s="66" t="n"/>
      <c r="X98" s="78">
        <f>IF(OR(INDEX(Undirviðmið!$G$6:$G$105,ROW()-6)&lt;&gt;"Starfsbundinn",W98="",$E98="",$D98=""),"",ROUND(W98/$E98*$D98*KVARDI,2))</f>
        <v/>
      </c>
      <c r="Y98" s="66" t="n"/>
      <c r="Z98" s="78">
        <f>IF(OR(INDEX(Undirviðmið!$G$6:$G$105,ROW()-6)&lt;&gt;"Starfsbundinn",Y98="",$E98="",$D98=""),"",ROUND(Y98/$E98*$D98*KVARDI,2))</f>
        <v/>
      </c>
      <c r="AA98" s="66" t="n"/>
      <c r="AB98" s="78">
        <f>IF(OR(INDEX(Undirviðmið!$G$6:$G$105,ROW()-6)&lt;&gt;"Starfsbundinn",AA98="",$E98="",$D98=""),"",ROUND(AA98/$E98*$D98*KVARDI,2))</f>
        <v/>
      </c>
      <c r="AC98" s="66" t="n"/>
      <c r="AD98" s="78">
        <f>IF(OR(INDEX(Undirviðmið!$G$6:$G$105,ROW()-6)&lt;&gt;"Starfsbundinn",AC98="",$E98="",$D98=""),"",ROUND(AC98/$E98*$D98*KVARDI,2))</f>
        <v/>
      </c>
      <c r="AE98" s="66" t="n"/>
      <c r="AF98" s="78">
        <f>IF(OR(INDEX(Undirviðmið!$G$6:$G$105,ROW()-6)&lt;&gt;"Starfsbundinn",AE98="",$E98="",$D98=""),"",ROUND(AE98/$E98*$D98*KVARDI,2))</f>
        <v/>
      </c>
      <c r="AG98" s="66" t="n"/>
      <c r="AH98" s="78">
        <f>IF(OR(INDEX(Undirviðmið!$G$6:$G$105,ROW()-6)&lt;&gt;"Starfsbundinn",AG98="",$E98="",$D98=""),"",ROUND(AG98/$E98*$D98*KVARDI,2))</f>
        <v/>
      </c>
      <c r="AI98" s="66" t="n"/>
      <c r="AJ98" s="78">
        <f>IF(OR(INDEX(Undirviðmið!$G$6:$G$105,ROW()-6)&lt;&gt;"Starfsbundinn",AI98="",$E98="",$D98=""),"",ROUND(AI98/$E98*$D98*KVARDI,2))</f>
        <v/>
      </c>
      <c r="AK98" s="66" t="n"/>
      <c r="AL98" s="78">
        <f>IF(OR(INDEX(Undirviðmið!$G$6:$G$105,ROW()-6)&lt;&gt;"Starfsbundinn",AK98="",$E98="",$D98=""),"",ROUND(AK98/$E98*$D98*KVARDI,2))</f>
        <v/>
      </c>
      <c r="AM98" s="66" t="n"/>
      <c r="AN98" s="78">
        <f>IF(OR(INDEX(Undirviðmið!$G$6:$G$105,ROW()-6)&lt;&gt;"Starfsbundinn",AM98="",$E98="",$D98=""),"",ROUND(AM98/$E98*$D98*KVARDI,2))</f>
        <v/>
      </c>
      <c r="AO98" s="66" t="n"/>
      <c r="AP98" s="78">
        <f>IF(OR(INDEX(Undirviðmið!$G$6:$G$105,ROW()-6)&lt;&gt;"Starfsbundinn",AO98="",$E98="",$D98=""),"",ROUND(AO98/$E98*$D98*KVARDI,2))</f>
        <v/>
      </c>
      <c r="AQ98" s="66" t="n"/>
      <c r="AR98" s="78">
        <f>IF(OR(INDEX(Undirviðmið!$G$6:$G$105,ROW()-6)&lt;&gt;"Starfsbundinn",AQ98="",$E98="",$D98=""),"",ROUND(AQ98/$E98*$D98*KVARDI,2))</f>
        <v/>
      </c>
      <c r="AS98" s="66" t="n"/>
      <c r="AT98" s="78">
        <f>IF(OR(INDEX(Undirviðmið!$G$6:$G$105,ROW()-6)&lt;&gt;"Starfsbundinn",AS98="",$E98="",$D98=""),"",ROUND(AS98/$E98*$D98*KVARDI,2))</f>
        <v/>
      </c>
      <c r="AU98" s="66" t="n"/>
      <c r="AV98" s="78">
        <f>IF(OR(INDEX(Undirviðmið!$G$6:$G$105,ROW()-6)&lt;&gt;"Starfsbundinn",AU98="",$E98="",$D98=""),"",ROUND(AU98/$E98*$D98*KVARDI,2))</f>
        <v/>
      </c>
      <c r="AW98" s="66" t="n"/>
      <c r="AX98" s="78">
        <f>IF(OR(INDEX(Undirviðmið!$G$6:$G$105,ROW()-6)&lt;&gt;"Starfsbundinn",AW98="",$E98="",$D98=""),"",ROUND(AW98/$E98*$D98*KVARDI,2))</f>
        <v/>
      </c>
      <c r="AY98" s="66" t="n"/>
      <c r="AZ98" s="78">
        <f>IF(OR(INDEX(Undirviðmið!$G$6:$G$105,ROW()-6)&lt;&gt;"Starfsbundinn",AY98="",$E98="",$D98=""),"",ROUND(AY98/$E98*$D98*KVARDI,2))</f>
        <v/>
      </c>
      <c r="BA98" s="66" t="n"/>
      <c r="BB98" s="78">
        <f>IF(OR(INDEX(Undirviðmið!$G$6:$G$105,ROW()-6)&lt;&gt;"Starfsbundinn",BA98="",$E98="",$D98=""),"",ROUND(BA98/$E98*$D98*KVARDI,2))</f>
        <v/>
      </c>
      <c r="BC98" s="66" t="n"/>
      <c r="BD98" s="78">
        <f>IF(OR(INDEX(Undirviðmið!$G$6:$G$105,ROW()-6)&lt;&gt;"Starfsbundinn",BC98="",$E98="",$D98=""),"",ROUND(BC98/$E98*$D98*KVARDI,2))</f>
        <v/>
      </c>
      <c r="BE98" s="66" t="n"/>
      <c r="BF98" s="78">
        <f>IF(OR(INDEX(Undirviðmið!$G$6:$G$105,ROW()-6)&lt;&gt;"Starfsbundinn",BE98="",$E98="",$D98=""),"",ROUND(BE98/$E98*$D98*KVARDI,2))</f>
        <v/>
      </c>
      <c r="BG98" s="66" t="n"/>
      <c r="BH98" s="78">
        <f>IF(OR(INDEX(Undirviðmið!$G$6:$G$105,ROW()-6)&lt;&gt;"Starfsbundinn",BG98="",$E98="",$D98=""),"",ROUND(BG98/$E98*$D98*KVARDI,2))</f>
        <v/>
      </c>
      <c r="BI98" s="66" t="n"/>
      <c r="BJ98" s="78">
        <f>IF(OR(INDEX(Undirviðmið!$G$6:$G$105,ROW()-6)&lt;&gt;"Starfsbundinn",BI98="",$E98="",$D98=""),"",ROUND(BI98/$E98*$D98*KVARDI,2))</f>
        <v/>
      </c>
      <c r="BK98" s="66" t="n"/>
      <c r="BL98" s="78">
        <f>IF(OR(INDEX(Undirviðmið!$G$6:$G$105,ROW()-6)&lt;&gt;"Starfsbundinn",BK98="",$E98="",$D98=""),"",ROUND(BK98/$E98*$D98*KVARDI,2))</f>
        <v/>
      </c>
      <c r="BM98" s="66" t="n"/>
      <c r="BN98" s="78">
        <f>IF(OR(INDEX(Undirviðmið!$G$6:$G$105,ROW()-6)&lt;&gt;"Starfsbundinn",BM98="",$E98="",$D98=""),"",ROUND(BM98/$E98*$D98*KVARDI,2))</f>
        <v/>
      </c>
      <c r="BO98" s="66" t="n"/>
      <c r="BP98" s="78">
        <f>IF(OR(INDEX(Undirviðmið!$G$6:$G$105,ROW()-6)&lt;&gt;"Starfsbundinn",BO98="",$E98="",$D98=""),"",ROUND(BO98/$E98*$D98*KVARDI,2))</f>
        <v/>
      </c>
      <c r="BQ98" s="66" t="n"/>
      <c r="BR98" s="78">
        <f>IF(OR(INDEX(Undirviðmið!$G$6:$G$105,ROW()-6)&lt;&gt;"Starfsbundinn",BQ98="",$E98="",$D98=""),"",ROUND(BQ98/$E98*$D98*KVARDI,2))</f>
        <v/>
      </c>
      <c r="BS98" s="66" t="n"/>
      <c r="BT98" s="78">
        <f>IF(OR(INDEX(Undirviðmið!$G$6:$G$105,ROW()-6)&lt;&gt;"Starfsbundinn",BS98="",$E98="",$D98=""),"",ROUND(BS98/$E98*$D98*KVARDI,2))</f>
        <v/>
      </c>
      <c r="BU98" s="66" t="n"/>
      <c r="BV98" s="78">
        <f>IF(OR(INDEX(Undirviðmið!$G$6:$G$105,ROW()-6)&lt;&gt;"Starfsbundinn",BU98="",$E98="",$D98=""),"",ROUND(BU98/$E98*$D98*KVARDI,2))</f>
        <v/>
      </c>
      <c r="BW98" s="66" t="n"/>
      <c r="BX98" s="78">
        <f>IF(OR(INDEX(Undirviðmið!$G$6:$G$105,ROW()-6)&lt;&gt;"Starfsbundinn",BW98="",$E98="",$D98=""),"",ROUND(BW98/$E98*$D98*KVARDI,2))</f>
        <v/>
      </c>
      <c r="BY98" s="66" t="n"/>
      <c r="BZ98" s="78">
        <f>IF(OR(INDEX(Undirviðmið!$G$6:$G$105,ROW()-6)&lt;&gt;"Starfsbundinn",BY98="",$E98="",$D98=""),"",ROUND(BY98/$E98*$D98*KVARDI,2))</f>
        <v/>
      </c>
      <c r="CA98" s="66" t="n"/>
      <c r="CB98" s="78">
        <f>IF(OR(INDEX(Undirviðmið!$G$6:$G$105,ROW()-6)&lt;&gt;"Starfsbundinn",CA98="",$E98="",$D98=""),"",ROUND(CA98/$E98*$D98*KVARDI,2))</f>
        <v/>
      </c>
      <c r="CC98" s="66" t="n"/>
      <c r="CD98" s="78">
        <f>IF(OR(INDEX(Undirviðmið!$G$6:$G$105,ROW()-6)&lt;&gt;"Starfsbundinn",CC98="",$E98="",$D98=""),"",ROUND(CC98/$E98*$D98*KVARDI,2))</f>
        <v/>
      </c>
      <c r="CE98" s="66" t="n"/>
      <c r="CF98" s="78">
        <f>IF(OR(INDEX(Undirviðmið!$G$6:$G$105,ROW()-6)&lt;&gt;"Starfsbundinn",CE98="",$E98="",$D98=""),"",ROUND(CE98/$E98*$D98*KVARDI,2))</f>
        <v/>
      </c>
      <c r="CG98" s="66" t="n"/>
      <c r="CH98" s="78">
        <f>IF(OR(INDEX(Undirviðmið!$G$6:$G$105,ROW()-6)&lt;&gt;"Starfsbundinn",CG98="",$E98="",$D98=""),"",ROUND(CG98/$E98*$D98*KVARDI,2))</f>
        <v/>
      </c>
      <c r="CI98" s="66" t="n"/>
      <c r="CJ98" s="78">
        <f>IF(OR(INDEX(Undirviðmið!$G$6:$G$105,ROW()-6)&lt;&gt;"Starfsbundinn",CI98="",$E98="",$D98=""),"",ROUND(CI98/$E98*$D98*KVARDI,2))</f>
        <v/>
      </c>
      <c r="CK98" s="66" t="n"/>
      <c r="CL98" s="78">
        <f>IF(OR(INDEX(Undirviðmið!$G$6:$G$105,ROW()-6)&lt;&gt;"Starfsbundinn",CK98="",$E98="",$D98=""),"",ROUND(CK98/$E98*$D98*KVARDI,2))</f>
        <v/>
      </c>
      <c r="CM98" s="66" t="n"/>
      <c r="CN98" s="78">
        <f>IF(OR(INDEX(Undirviðmið!$G$6:$G$105,ROW()-6)&lt;&gt;"Starfsbundinn",CM98="",$E98="",$D98=""),"",ROUND(CM98/$E98*$D98*KVARDI,2))</f>
        <v/>
      </c>
      <c r="CO98" s="66" t="n"/>
      <c r="CP98" s="78">
        <f>IF(OR(INDEX(Undirviðmið!$G$6:$G$105,ROW()-6)&lt;&gt;"Starfsbundinn",CO98="",$E98="",$D98=""),"",ROUND(CO98/$E98*$D98*KVARDI,2))</f>
        <v/>
      </c>
      <c r="CQ98" s="66" t="n"/>
      <c r="CR98" s="78">
        <f>IF(OR(INDEX(Undirviðmið!$G$6:$G$105,ROW()-6)&lt;&gt;"Starfsbundinn",CQ98="",$E98="",$D98=""),"",ROUND(CQ98/$E98*$D98*KVARDI,2))</f>
        <v/>
      </c>
      <c r="CS98" s="66" t="n"/>
      <c r="CT98" s="78">
        <f>IF(OR(INDEX(Undirviðmið!$G$6:$G$105,ROW()-6)&lt;&gt;"Starfsbundinn",CS98="",$E98="",$D98=""),"",ROUND(CS98/$E98*$D98*KVARDI,2))</f>
        <v/>
      </c>
      <c r="CU98" s="66" t="n"/>
      <c r="CV98" s="78">
        <f>IF(OR(INDEX(Undirviðmið!$G$6:$G$105,ROW()-6)&lt;&gt;"Starfsbundinn",CU98="",$E98="",$D98=""),"",ROUND(CU98/$E98*$D98*KVARDI,2))</f>
        <v/>
      </c>
      <c r="CW98" s="66" t="n"/>
      <c r="CX98" s="78">
        <f>IF(OR(INDEX(Undirviðmið!$G$6:$G$105,ROW()-6)&lt;&gt;"Starfsbundinn",CW98="",$E98="",$D98=""),"",ROUND(CW98/$E98*$D98*KVARDI,2))</f>
        <v/>
      </c>
      <c r="CY98" s="66" t="n"/>
      <c r="CZ98" s="78">
        <f>IF(OR(INDEX(Undirviðmið!$G$6:$G$105,ROW()-6)&lt;&gt;"Starfsbundinn",CY98="",$E98="",$D98=""),"",ROUND(CY98/$E98*$D98*KVARDI,2))</f>
        <v/>
      </c>
      <c r="DA98" s="66" t="n"/>
      <c r="DB98" s="78">
        <f>IF(OR(INDEX(Undirviðmið!$G$6:$G$105,ROW()-6)&lt;&gt;"Starfsbundinn",DA98="",$E98="",$D98=""),"",ROUND(DA98/$E98*$D98*KVARDI,2))</f>
        <v/>
      </c>
      <c r="DC98" s="66" t="n"/>
      <c r="DD98" s="78">
        <f>IF(OR(INDEX(Undirviðmið!$G$6:$G$105,ROW()-6)&lt;&gt;"Starfsbundinn",DC98="",$E98="",$D98=""),"",ROUND(DC98/$E98*$D98*KVARDI,2))</f>
        <v/>
      </c>
      <c r="DE98" s="66" t="n"/>
      <c r="DF98" s="78">
        <f>IF(OR(INDEX(Undirviðmið!$G$6:$G$105,ROW()-6)&lt;&gt;"Starfsbundinn",DE98="",$E98="",$D98=""),"",ROUND(DE98/$E98*$D98*KVARDI,2))</f>
        <v/>
      </c>
      <c r="DG98" s="66" t="n"/>
      <c r="DH98" s="78">
        <f>IF(OR(INDEX(Undirviðmið!$G$6:$G$105,ROW()-6)&lt;&gt;"Starfsbundinn",DG98="",$E98="",$D98=""),"",ROUND(DG98/$E98*$D98*KVARDI,2))</f>
        <v/>
      </c>
      <c r="DI98" s="66" t="n"/>
      <c r="DJ98" s="78">
        <f>IF(OR(INDEX(Undirviðmið!$G$6:$G$105,ROW()-6)&lt;&gt;"Starfsbundinn",DI98="",$E98="",$D98=""),"",ROUND(DI98/$E98*$D98*KVARDI,2))</f>
        <v/>
      </c>
      <c r="DK98" s="66" t="n"/>
      <c r="DL98" s="78">
        <f>IF(OR(INDEX(Undirviðmið!$G$6:$G$105,ROW()-6)&lt;&gt;"Starfsbundinn",DK98="",$E98="",$D98=""),"",ROUND(DK98/$E98*$D98*KVARDI,2))</f>
        <v/>
      </c>
      <c r="DM98" s="66" t="n"/>
      <c r="DN98" s="78">
        <f>IF(OR(INDEX(Undirviðmið!$G$6:$G$105,ROW()-6)&lt;&gt;"Starfsbundinn",DM98="",$E98="",$D98=""),"",ROUND(DM98/$E98*$D98*KVARDI,2))</f>
        <v/>
      </c>
      <c r="DO98" s="66" t="n"/>
      <c r="DP98" s="78">
        <f>IF(OR(INDEX(Undirviðmið!$G$6:$G$105,ROW()-6)&lt;&gt;"Starfsbundinn",DO98="",$E98="",$D98=""),"",ROUND(DO98/$E98*$D98*KVARDI,2))</f>
        <v/>
      </c>
      <c r="DQ98" s="66" t="n"/>
      <c r="DR98" s="78">
        <f>IF(OR(INDEX(Undirviðmið!$G$6:$G$105,ROW()-6)&lt;&gt;"Starfsbundinn",DQ98="",$E98="",$D98=""),"",ROUND(DQ98/$E98*$D98*KVARDI,2))</f>
        <v/>
      </c>
      <c r="DS98" s="66" t="n"/>
      <c r="DT98" s="78">
        <f>IF(OR(INDEX(Undirviðmið!$G$6:$G$105,ROW()-6)&lt;&gt;"Starfsbundinn",DS98="",$E98="",$D98=""),"",ROUND(DS98/$E98*$D98*KVARDI,2))</f>
        <v/>
      </c>
      <c r="DU98" s="66" t="n"/>
      <c r="DV98" s="78">
        <f>IF(OR(INDEX(Undirviðmið!$G$6:$G$105,ROW()-6)&lt;&gt;"Starfsbundinn",DU98="",$E98="",$D98=""),"",ROUND(DU98/$E98*$D98*KVARDI,2))</f>
        <v/>
      </c>
      <c r="DW98" s="66" t="n"/>
      <c r="DX98" s="78">
        <f>IF(OR(INDEX(Undirviðmið!$G$6:$G$105,ROW()-6)&lt;&gt;"Starfsbundinn",DW98="",$E98="",$D98=""),"",ROUND(DW98/$E98*$D98*KVARDI,2))</f>
        <v/>
      </c>
      <c r="DY98" s="66" t="n"/>
      <c r="DZ98" s="78">
        <f>IF(OR(INDEX(Undirviðmið!$G$6:$G$105,ROW()-6)&lt;&gt;"Starfsbundinn",DY98="",$E98="",$D98=""),"",ROUND(DY98/$E98*$D98*KVARDI,2))</f>
        <v/>
      </c>
      <c r="EA98" s="66" t="n"/>
      <c r="EB98" s="78">
        <f>IF(OR(INDEX(Undirviðmið!$G$6:$G$105,ROW()-6)&lt;&gt;"Starfsbundinn",EA98="",$E98="",$D98=""),"",ROUND(EA98/$E98*$D98*KVARDI,2))</f>
        <v/>
      </c>
      <c r="EC98" s="66" t="n"/>
      <c r="ED98" s="78">
        <f>IF(OR(INDEX(Undirviðmið!$G$6:$G$105,ROW()-6)&lt;&gt;"Starfsbundinn",EC98="",$E98="",$D98=""),"",ROUND(EC98/$E98*$D98*KVARDI,2))</f>
        <v/>
      </c>
      <c r="EE98" s="66" t="n"/>
      <c r="EF98" s="78">
        <f>IF(OR(INDEX(Undirviðmið!$G$6:$G$105,ROW()-6)&lt;&gt;"Starfsbundinn",EE98="",$E98="",$D98=""),"",ROUND(EE98/$E98*$D98*KVARDI,2))</f>
        <v/>
      </c>
      <c r="EG98" s="66" t="n"/>
      <c r="EH98" s="78">
        <f>IF(OR(INDEX(Undirviðmið!$G$6:$G$105,ROW()-6)&lt;&gt;"Starfsbundinn",EG98="",$E98="",$D98=""),"",ROUND(EG98/$E98*$D98*KVARDI,2))</f>
        <v/>
      </c>
      <c r="EI98" s="66" t="n"/>
      <c r="EJ98" s="78">
        <f>IF(OR(INDEX(Undirviðmið!$G$6:$G$105,ROW()-6)&lt;&gt;"Starfsbundinn",EI98="",$E98="",$D98=""),"",ROUND(EI98/$E98*$D98*KVARDI,2))</f>
        <v/>
      </c>
      <c r="EK98" s="66" t="n"/>
      <c r="EL98" s="78">
        <f>IF(OR(INDEX(Undirviðmið!$G$6:$G$105,ROW()-6)&lt;&gt;"Starfsbundinn",EK98="",$E98="",$D98=""),"",ROUND(EK98/$E98*$D98*KVARDI,2))</f>
        <v/>
      </c>
      <c r="EM98" s="66" t="n"/>
      <c r="EN98" s="78">
        <f>IF(OR(INDEX(Undirviðmið!$G$6:$G$105,ROW()-6)&lt;&gt;"Starfsbundinn",EM98="",$E98="",$D98=""),"",ROUND(EM98/$E98*$D98*KVARDI,2))</f>
        <v/>
      </c>
      <c r="EO98" s="66" t="n"/>
      <c r="EP98" s="78">
        <f>IF(OR(INDEX(Undirviðmið!$G$6:$G$105,ROW()-6)&lt;&gt;"Starfsbundinn",EO98="",$E98="",$D98=""),"",ROUND(EO98/$E98*$D98*KVARDI,2))</f>
        <v/>
      </c>
      <c r="EQ98" s="66" t="n"/>
      <c r="ER98" s="78">
        <f>IF(OR(INDEX(Undirviðmið!$G$6:$G$105,ROW()-6)&lt;&gt;"Starfsbundinn",EQ98="",$E98="",$D98=""),"",ROUND(EQ98/$E98*$D98*KVARDI,2))</f>
        <v/>
      </c>
      <c r="ES98" s="66" t="n"/>
      <c r="ET98" s="78">
        <f>IF(OR(INDEX(Undirviðmið!$G$6:$G$105,ROW()-6)&lt;&gt;"Starfsbundinn",ES98="",$E98="",$D98=""),"",ROUND(ES98/$E98*$D98*KVARDI,2))</f>
        <v/>
      </c>
      <c r="EU98" s="66" t="n"/>
      <c r="EV98" s="78">
        <f>IF(OR(INDEX(Undirviðmið!$G$6:$G$105,ROW()-6)&lt;&gt;"Starfsbundinn",EU98="",$E98="",$D98=""),"",ROUND(EU98/$E98*$D98*KVARDI,2))</f>
        <v/>
      </c>
      <c r="EW98" s="66" t="n"/>
      <c r="EX98" s="78">
        <f>IF(OR(INDEX(Undirviðmið!$G$6:$G$105,ROW()-6)&lt;&gt;"Starfsbundinn",EW98="",$E98="",$D98=""),"",ROUND(EW98/$E98*$D98*KVARDI,2))</f>
        <v/>
      </c>
      <c r="EY98" s="66" t="n"/>
      <c r="EZ98" s="78">
        <f>IF(OR(INDEX(Undirviðmið!$G$6:$G$105,ROW()-6)&lt;&gt;"Starfsbundinn",EY98="",$E98="",$D98=""),"",ROUND(EY98/$E98*$D98*KVARDI,2))</f>
        <v/>
      </c>
      <c r="FA98" s="66" t="n"/>
      <c r="FB98" s="78">
        <f>IF(OR(INDEX(Undirviðmið!$G$6:$G$105,ROW()-6)&lt;&gt;"Starfsbundinn",FA98="",$E98="",$D98=""),"",ROUND(FA98/$E98*$D98*KVARDI,2))</f>
        <v/>
      </c>
      <c r="FC98" s="66" t="n"/>
      <c r="FD98" s="78">
        <f>IF(OR(INDEX(Undirviðmið!$G$6:$G$105,ROW()-6)&lt;&gt;"Starfsbundinn",FC98="",$E98="",$D98=""),"",ROUND(FC98/$E98*$D98*KVARDI,2))</f>
        <v/>
      </c>
      <c r="FE98" s="66" t="n"/>
      <c r="FF98" s="78">
        <f>IF(OR(INDEX(Undirviðmið!$G$6:$G$105,ROW()-6)&lt;&gt;"Starfsbundinn",FE98="",$E98="",$D98=""),"",ROUND(FE98/$E98*$D98*KVARDI,2))</f>
        <v/>
      </c>
      <c r="FG98" s="66" t="n"/>
      <c r="FH98" s="78">
        <f>IF(OR(INDEX(Undirviðmið!$G$6:$G$105,ROW()-6)&lt;&gt;"Starfsbundinn",FG98="",$E98="",$D98=""),"",ROUND(FG98/$E98*$D98*KVARDI,2))</f>
        <v/>
      </c>
      <c r="FI98" s="66" t="n"/>
      <c r="FJ98" s="78">
        <f>IF(OR(INDEX(Undirviðmið!$G$6:$G$105,ROW()-6)&lt;&gt;"Starfsbundinn",FI98="",$E98="",$D98=""),"",ROUND(FI98/$E98*$D98*KVARDI,2))</f>
        <v/>
      </c>
      <c r="FK98" s="66" t="n"/>
      <c r="FL98" s="78">
        <f>IF(OR(INDEX(Undirviðmið!$G$6:$G$105,ROW()-6)&lt;&gt;"Starfsbundinn",FK98="",$E98="",$D98=""),"",ROUND(FK98/$E98*$D98*KVARDI,2))</f>
        <v/>
      </c>
      <c r="FM98" s="66" t="n"/>
      <c r="FN98" s="78">
        <f>IF(OR(INDEX(Undirviðmið!$G$6:$G$105,ROW()-6)&lt;&gt;"Starfsbundinn",FM98="",$E98="",$D98=""),"",ROUND(FM98/$E98*$D98*KVARDI,2))</f>
        <v/>
      </c>
      <c r="FO98" s="66" t="n"/>
      <c r="FP98" s="78">
        <f>IF(OR(INDEX(Undirviðmið!$G$6:$G$105,ROW()-6)&lt;&gt;"Starfsbundinn",FO98="",$E98="",$D98=""),"",ROUND(FO98/$E98*$D98*KVARDI,2))</f>
        <v/>
      </c>
      <c r="FQ98" s="66" t="n"/>
      <c r="FR98" s="78">
        <f>IF(OR(INDEX(Undirviðmið!$G$6:$G$105,ROW()-6)&lt;&gt;"Starfsbundinn",FQ98="",$E98="",$D98=""),"",ROUND(FQ98/$E98*$D98*KVARDI,2))</f>
        <v/>
      </c>
      <c r="FS98" s="66" t="n"/>
      <c r="FT98" s="78">
        <f>IF(OR(INDEX(Undirviðmið!$G$6:$G$105,ROW()-6)&lt;&gt;"Starfsbundinn",FS98="",$E98="",$D98=""),"",ROUND(FS98/$E98*$D98*KVARDI,2))</f>
        <v/>
      </c>
      <c r="FU98" s="66" t="n"/>
      <c r="FV98" s="78">
        <f>IF(OR(INDEX(Undirviðmið!$G$6:$G$105,ROW()-6)&lt;&gt;"Starfsbundinn",FU98="",$E98="",$D98=""),"",ROUND(FU98/$E98*$D98*KVARDI,2))</f>
        <v/>
      </c>
      <c r="FW98" s="66" t="n"/>
      <c r="FX98" s="78">
        <f>IF(OR(INDEX(Undirviðmið!$G$6:$G$105,ROW()-6)&lt;&gt;"Starfsbundinn",FW98="",$E98="",$D98=""),"",ROUND(FW98/$E98*$D98*KVARDI,2))</f>
        <v/>
      </c>
      <c r="FY98" s="66" t="n"/>
      <c r="FZ98" s="78">
        <f>IF(OR(INDEX(Undirviðmið!$G$6:$G$105,ROW()-6)&lt;&gt;"Starfsbundinn",FY98="",$E98="",$D98=""),"",ROUND(FY98/$E98*$D98*KVARDI,2))</f>
        <v/>
      </c>
      <c r="GA98" s="66" t="n"/>
      <c r="GB98" s="78">
        <f>IF(OR(INDEX(Undirviðmið!$G$6:$G$105,ROW()-6)&lt;&gt;"Starfsbundinn",GA98="",$E98="",$D98=""),"",ROUND(GA98/$E98*$D98*KVARDI,2))</f>
        <v/>
      </c>
      <c r="GC98" s="66" t="n"/>
      <c r="GD98" s="78">
        <f>IF(OR(INDEX(Undirviðmið!$G$6:$G$105,ROW()-6)&lt;&gt;"Starfsbundinn",GC98="",$E98="",$D98=""),"",ROUND(GC98/$E98*$D98*KVARDI,2))</f>
        <v/>
      </c>
      <c r="GE98" s="66" t="n"/>
      <c r="GF98" s="78">
        <f>IF(OR(INDEX(Undirviðmið!$G$6:$G$105,ROW()-6)&lt;&gt;"Starfsbundinn",GE98="",$E98="",$D98=""),"",ROUND(GE98/$E98*$D98*KVARDI,2))</f>
        <v/>
      </c>
      <c r="GG98" s="66" t="n"/>
      <c r="GH98" s="78">
        <f>IF(OR(INDEX(Undirviðmið!$G$6:$G$105,ROW()-6)&lt;&gt;"Starfsbundinn",GG98="",$E98="",$D98=""),"",ROUND(GG98/$E98*$D98*KVARDI,2))</f>
        <v/>
      </c>
      <c r="GI98" s="66" t="n"/>
      <c r="GJ98" s="78">
        <f>IF(OR(INDEX(Undirviðmið!$G$6:$G$105,ROW()-6)&lt;&gt;"Starfsbundinn",GI98="",$E98="",$D98=""),"",ROUND(GI98/$E98*$D98*KVARDI,2))</f>
        <v/>
      </c>
      <c r="GK98" s="66" t="n"/>
      <c r="GL98" s="78">
        <f>IF(OR(INDEX(Undirviðmið!$G$6:$G$105,ROW()-6)&lt;&gt;"Starfsbundinn",GK98="",$E98="",$D98=""),"",ROUND(GK98/$E98*$D98*KVARDI,2))</f>
        <v/>
      </c>
      <c r="GM98" s="66" t="n"/>
      <c r="GN98" s="78">
        <f>IF(OR(INDEX(Undirviðmið!$G$6:$G$105,ROW()-6)&lt;&gt;"Starfsbundinn",GM98="",$E98="",$D98=""),"",ROUND(GM98/$E98*$D98*KVARDI,2))</f>
        <v/>
      </c>
      <c r="GO98" s="66" t="n"/>
      <c r="GP98" s="78">
        <f>IF(OR(INDEX(Undirviðmið!$G$6:$G$105,ROW()-6)&lt;&gt;"Starfsbundinn",GO98="",$E98="",$D98=""),"",ROUND(GO98/$E98*$D98*KVARDI,2))</f>
        <v/>
      </c>
      <c r="GQ98" s="66" t="n"/>
      <c r="GR98" s="78">
        <f>IF(OR(INDEX(Undirviðmið!$G$6:$G$105,ROW()-6)&lt;&gt;"Starfsbundinn",GQ98="",$E98="",$D98=""),"",ROUND(GQ98/$E98*$D98*KVARDI,2))</f>
        <v/>
      </c>
      <c r="GS98" s="66" t="n"/>
      <c r="GT98" s="78">
        <f>IF(OR(INDEX(Undirviðmið!$G$6:$G$105,ROW()-6)&lt;&gt;"Starfsbundinn",GS98="",$E98="",$D98=""),"",ROUND(GS98/$E98*$D98*KVARDI,2))</f>
        <v/>
      </c>
      <c r="GU98" s="66" t="n"/>
      <c r="GV98" s="78">
        <f>IF(OR(INDEX(Undirviðmið!$G$6:$G$105,ROW()-6)&lt;&gt;"Starfsbundinn",GU98="",$E98="",$D98=""),"",ROUND(GU98/$E98*$D98*KVARDI,2))</f>
        <v/>
      </c>
      <c r="GW98" s="66" t="n"/>
      <c r="GX98" s="78">
        <f>IF(OR(INDEX(Undirviðmið!$G$6:$G$105,ROW()-6)&lt;&gt;"Starfsbundinn",GW98="",$E98="",$D98=""),"",ROUND(GW98/$E98*$D98*KVARDI,2))</f>
        <v/>
      </c>
    </row>
    <row r="99" ht="15" customHeight="1" s="47">
      <c r="B99" s="67">
        <f>IF(INDEX(Undirviðmið!$G$6:$G$105,ROW()-6)="Starfsbundinn",INDEX(Undirviðmið!$B$6:$B$105,ROW()-6),"")</f>
        <v/>
      </c>
      <c r="C99" s="67">
        <f>IF(INDEX(Undirviðmið!$G$6:$G$105,ROW()-6)="Starfsbundinn",INDEX(Undirviðmið!$C$6:$C$105,ROW()-6),"")</f>
        <v/>
      </c>
      <c r="D99" s="77">
        <f>IF(INDEX(Undirviðmið!$G$6:$G$105,ROW()-6)="Starfsbundinn",INDEX(Undirviðmið!$E$6:$E$105,ROW()-6),"")</f>
        <v/>
      </c>
      <c r="E99" s="77">
        <f>IF(INDEX(Undirviðmið!$G$6:$G$105,ROW()-6)="Starfsbundinn",INDEX(Undirviðmið!$F$6:$F$105,ROW()-6),"")</f>
        <v/>
      </c>
      <c r="F99" s="77">
        <f>IF(INDEX(Undirviðmið!$G$6:$G$105,ROW()-6)="Starfsbundinn",IFERROR(INDEX(Undirviðmið!$E$6:$E$105,ROW()-6)*KVARDI,""),"")</f>
        <v/>
      </c>
      <c r="G99" s="66" t="n"/>
      <c r="H99" s="78">
        <f>IF(OR(INDEX(Undirviðmið!$G$6:$G$105,ROW()-6)&lt;&gt;"Starfsbundinn",G99="",$E99="",$D99=""),"",ROUND(G99/$E99*$D99*KVARDI,2))</f>
        <v/>
      </c>
      <c r="I99" s="66" t="n"/>
      <c r="J99" s="78">
        <f>IF(OR(INDEX(Undirviðmið!$G$6:$G$105,ROW()-6)&lt;&gt;"Starfsbundinn",I99="",$E99="",$D99=""),"",ROUND(I99/$E99*$D99*KVARDI,2))</f>
        <v/>
      </c>
      <c r="K99" s="66" t="n"/>
      <c r="L99" s="78">
        <f>IF(OR(INDEX(Undirviðmið!$G$6:$G$105,ROW()-6)&lt;&gt;"Starfsbundinn",K99="",$E99="",$D99=""),"",ROUND(K99/$E99*$D99*KVARDI,2))</f>
        <v/>
      </c>
      <c r="M99" s="66" t="n"/>
      <c r="N99" s="78">
        <f>IF(OR(INDEX(Undirviðmið!$G$6:$G$105,ROW()-6)&lt;&gt;"Starfsbundinn",M99="",$E99="",$D99=""),"",ROUND(M99/$E99*$D99*KVARDI,2))</f>
        <v/>
      </c>
      <c r="O99" s="66" t="n"/>
      <c r="P99" s="78">
        <f>IF(OR(INDEX(Undirviðmið!$G$6:$G$105,ROW()-6)&lt;&gt;"Starfsbundinn",O99="",$E99="",$D99=""),"",ROUND(O99/$E99*$D99*KVARDI,2))</f>
        <v/>
      </c>
      <c r="Q99" s="66" t="n"/>
      <c r="R99" s="78">
        <f>IF(OR(INDEX(Undirviðmið!$G$6:$G$105,ROW()-6)&lt;&gt;"Starfsbundinn",Q99="",$E99="",$D99=""),"",ROUND(Q99/$E99*$D99*KVARDI,2))</f>
        <v/>
      </c>
      <c r="S99" s="66" t="n"/>
      <c r="T99" s="78">
        <f>IF(OR(INDEX(Undirviðmið!$G$6:$G$105,ROW()-6)&lt;&gt;"Starfsbundinn",S99="",$E99="",$D99=""),"",ROUND(S99/$E99*$D99*KVARDI,2))</f>
        <v/>
      </c>
      <c r="U99" s="66" t="n"/>
      <c r="V99" s="78">
        <f>IF(OR(INDEX(Undirviðmið!$G$6:$G$105,ROW()-6)&lt;&gt;"Starfsbundinn",U99="",$E99="",$D99=""),"",ROUND(U99/$E99*$D99*KVARDI,2))</f>
        <v/>
      </c>
      <c r="W99" s="66" t="n"/>
      <c r="X99" s="78">
        <f>IF(OR(INDEX(Undirviðmið!$G$6:$G$105,ROW()-6)&lt;&gt;"Starfsbundinn",W99="",$E99="",$D99=""),"",ROUND(W99/$E99*$D99*KVARDI,2))</f>
        <v/>
      </c>
      <c r="Y99" s="66" t="n"/>
      <c r="Z99" s="78">
        <f>IF(OR(INDEX(Undirviðmið!$G$6:$G$105,ROW()-6)&lt;&gt;"Starfsbundinn",Y99="",$E99="",$D99=""),"",ROUND(Y99/$E99*$D99*KVARDI,2))</f>
        <v/>
      </c>
      <c r="AA99" s="66" t="n"/>
      <c r="AB99" s="78">
        <f>IF(OR(INDEX(Undirviðmið!$G$6:$G$105,ROW()-6)&lt;&gt;"Starfsbundinn",AA99="",$E99="",$D99=""),"",ROUND(AA99/$E99*$D99*KVARDI,2))</f>
        <v/>
      </c>
      <c r="AC99" s="66" t="n"/>
      <c r="AD99" s="78">
        <f>IF(OR(INDEX(Undirviðmið!$G$6:$G$105,ROW()-6)&lt;&gt;"Starfsbundinn",AC99="",$E99="",$D99=""),"",ROUND(AC99/$E99*$D99*KVARDI,2))</f>
        <v/>
      </c>
      <c r="AE99" s="66" t="n"/>
      <c r="AF99" s="78">
        <f>IF(OR(INDEX(Undirviðmið!$G$6:$G$105,ROW()-6)&lt;&gt;"Starfsbundinn",AE99="",$E99="",$D99=""),"",ROUND(AE99/$E99*$D99*KVARDI,2))</f>
        <v/>
      </c>
      <c r="AG99" s="66" t="n"/>
      <c r="AH99" s="78">
        <f>IF(OR(INDEX(Undirviðmið!$G$6:$G$105,ROW()-6)&lt;&gt;"Starfsbundinn",AG99="",$E99="",$D99=""),"",ROUND(AG99/$E99*$D99*KVARDI,2))</f>
        <v/>
      </c>
      <c r="AI99" s="66" t="n"/>
      <c r="AJ99" s="78">
        <f>IF(OR(INDEX(Undirviðmið!$G$6:$G$105,ROW()-6)&lt;&gt;"Starfsbundinn",AI99="",$E99="",$D99=""),"",ROUND(AI99/$E99*$D99*KVARDI,2))</f>
        <v/>
      </c>
      <c r="AK99" s="66" t="n"/>
      <c r="AL99" s="78">
        <f>IF(OR(INDEX(Undirviðmið!$G$6:$G$105,ROW()-6)&lt;&gt;"Starfsbundinn",AK99="",$E99="",$D99=""),"",ROUND(AK99/$E99*$D99*KVARDI,2))</f>
        <v/>
      </c>
      <c r="AM99" s="66" t="n"/>
      <c r="AN99" s="78">
        <f>IF(OR(INDEX(Undirviðmið!$G$6:$G$105,ROW()-6)&lt;&gt;"Starfsbundinn",AM99="",$E99="",$D99=""),"",ROUND(AM99/$E99*$D99*KVARDI,2))</f>
        <v/>
      </c>
      <c r="AO99" s="66" t="n"/>
      <c r="AP99" s="78">
        <f>IF(OR(INDEX(Undirviðmið!$G$6:$G$105,ROW()-6)&lt;&gt;"Starfsbundinn",AO99="",$E99="",$D99=""),"",ROUND(AO99/$E99*$D99*KVARDI,2))</f>
        <v/>
      </c>
      <c r="AQ99" s="66" t="n"/>
      <c r="AR99" s="78">
        <f>IF(OR(INDEX(Undirviðmið!$G$6:$G$105,ROW()-6)&lt;&gt;"Starfsbundinn",AQ99="",$E99="",$D99=""),"",ROUND(AQ99/$E99*$D99*KVARDI,2))</f>
        <v/>
      </c>
      <c r="AS99" s="66" t="n"/>
      <c r="AT99" s="78">
        <f>IF(OR(INDEX(Undirviðmið!$G$6:$G$105,ROW()-6)&lt;&gt;"Starfsbundinn",AS99="",$E99="",$D99=""),"",ROUND(AS99/$E99*$D99*KVARDI,2))</f>
        <v/>
      </c>
      <c r="AU99" s="66" t="n"/>
      <c r="AV99" s="78">
        <f>IF(OR(INDEX(Undirviðmið!$G$6:$G$105,ROW()-6)&lt;&gt;"Starfsbundinn",AU99="",$E99="",$D99=""),"",ROUND(AU99/$E99*$D99*KVARDI,2))</f>
        <v/>
      </c>
      <c r="AW99" s="66" t="n"/>
      <c r="AX99" s="78">
        <f>IF(OR(INDEX(Undirviðmið!$G$6:$G$105,ROW()-6)&lt;&gt;"Starfsbundinn",AW99="",$E99="",$D99=""),"",ROUND(AW99/$E99*$D99*KVARDI,2))</f>
        <v/>
      </c>
      <c r="AY99" s="66" t="n"/>
      <c r="AZ99" s="78">
        <f>IF(OR(INDEX(Undirviðmið!$G$6:$G$105,ROW()-6)&lt;&gt;"Starfsbundinn",AY99="",$E99="",$D99=""),"",ROUND(AY99/$E99*$D99*KVARDI,2))</f>
        <v/>
      </c>
      <c r="BA99" s="66" t="n"/>
      <c r="BB99" s="78">
        <f>IF(OR(INDEX(Undirviðmið!$G$6:$G$105,ROW()-6)&lt;&gt;"Starfsbundinn",BA99="",$E99="",$D99=""),"",ROUND(BA99/$E99*$D99*KVARDI,2))</f>
        <v/>
      </c>
      <c r="BC99" s="66" t="n"/>
      <c r="BD99" s="78">
        <f>IF(OR(INDEX(Undirviðmið!$G$6:$G$105,ROW()-6)&lt;&gt;"Starfsbundinn",BC99="",$E99="",$D99=""),"",ROUND(BC99/$E99*$D99*KVARDI,2))</f>
        <v/>
      </c>
      <c r="BE99" s="66" t="n"/>
      <c r="BF99" s="78">
        <f>IF(OR(INDEX(Undirviðmið!$G$6:$G$105,ROW()-6)&lt;&gt;"Starfsbundinn",BE99="",$E99="",$D99=""),"",ROUND(BE99/$E99*$D99*KVARDI,2))</f>
        <v/>
      </c>
      <c r="BG99" s="66" t="n"/>
      <c r="BH99" s="78">
        <f>IF(OR(INDEX(Undirviðmið!$G$6:$G$105,ROW()-6)&lt;&gt;"Starfsbundinn",BG99="",$E99="",$D99=""),"",ROUND(BG99/$E99*$D99*KVARDI,2))</f>
        <v/>
      </c>
      <c r="BI99" s="66" t="n"/>
      <c r="BJ99" s="78">
        <f>IF(OR(INDEX(Undirviðmið!$G$6:$G$105,ROW()-6)&lt;&gt;"Starfsbundinn",BI99="",$E99="",$D99=""),"",ROUND(BI99/$E99*$D99*KVARDI,2))</f>
        <v/>
      </c>
      <c r="BK99" s="66" t="n"/>
      <c r="BL99" s="78">
        <f>IF(OR(INDEX(Undirviðmið!$G$6:$G$105,ROW()-6)&lt;&gt;"Starfsbundinn",BK99="",$E99="",$D99=""),"",ROUND(BK99/$E99*$D99*KVARDI,2))</f>
        <v/>
      </c>
      <c r="BM99" s="66" t="n"/>
      <c r="BN99" s="78">
        <f>IF(OR(INDEX(Undirviðmið!$G$6:$G$105,ROW()-6)&lt;&gt;"Starfsbundinn",BM99="",$E99="",$D99=""),"",ROUND(BM99/$E99*$D99*KVARDI,2))</f>
        <v/>
      </c>
      <c r="BO99" s="66" t="n"/>
      <c r="BP99" s="78">
        <f>IF(OR(INDEX(Undirviðmið!$G$6:$G$105,ROW()-6)&lt;&gt;"Starfsbundinn",BO99="",$E99="",$D99=""),"",ROUND(BO99/$E99*$D99*KVARDI,2))</f>
        <v/>
      </c>
      <c r="BQ99" s="66" t="n"/>
      <c r="BR99" s="78">
        <f>IF(OR(INDEX(Undirviðmið!$G$6:$G$105,ROW()-6)&lt;&gt;"Starfsbundinn",BQ99="",$E99="",$D99=""),"",ROUND(BQ99/$E99*$D99*KVARDI,2))</f>
        <v/>
      </c>
      <c r="BS99" s="66" t="n"/>
      <c r="BT99" s="78">
        <f>IF(OR(INDEX(Undirviðmið!$G$6:$G$105,ROW()-6)&lt;&gt;"Starfsbundinn",BS99="",$E99="",$D99=""),"",ROUND(BS99/$E99*$D99*KVARDI,2))</f>
        <v/>
      </c>
      <c r="BU99" s="66" t="n"/>
      <c r="BV99" s="78">
        <f>IF(OR(INDEX(Undirviðmið!$G$6:$G$105,ROW()-6)&lt;&gt;"Starfsbundinn",BU99="",$E99="",$D99=""),"",ROUND(BU99/$E99*$D99*KVARDI,2))</f>
        <v/>
      </c>
      <c r="BW99" s="66" t="n"/>
      <c r="BX99" s="78">
        <f>IF(OR(INDEX(Undirviðmið!$G$6:$G$105,ROW()-6)&lt;&gt;"Starfsbundinn",BW99="",$E99="",$D99=""),"",ROUND(BW99/$E99*$D99*KVARDI,2))</f>
        <v/>
      </c>
      <c r="BY99" s="66" t="n"/>
      <c r="BZ99" s="78">
        <f>IF(OR(INDEX(Undirviðmið!$G$6:$G$105,ROW()-6)&lt;&gt;"Starfsbundinn",BY99="",$E99="",$D99=""),"",ROUND(BY99/$E99*$D99*KVARDI,2))</f>
        <v/>
      </c>
      <c r="CA99" s="66" t="n"/>
      <c r="CB99" s="78">
        <f>IF(OR(INDEX(Undirviðmið!$G$6:$G$105,ROW()-6)&lt;&gt;"Starfsbundinn",CA99="",$E99="",$D99=""),"",ROUND(CA99/$E99*$D99*KVARDI,2))</f>
        <v/>
      </c>
      <c r="CC99" s="66" t="n"/>
      <c r="CD99" s="78">
        <f>IF(OR(INDEX(Undirviðmið!$G$6:$G$105,ROW()-6)&lt;&gt;"Starfsbundinn",CC99="",$E99="",$D99=""),"",ROUND(CC99/$E99*$D99*KVARDI,2))</f>
        <v/>
      </c>
      <c r="CE99" s="66" t="n"/>
      <c r="CF99" s="78">
        <f>IF(OR(INDEX(Undirviðmið!$G$6:$G$105,ROW()-6)&lt;&gt;"Starfsbundinn",CE99="",$E99="",$D99=""),"",ROUND(CE99/$E99*$D99*KVARDI,2))</f>
        <v/>
      </c>
      <c r="CG99" s="66" t="n"/>
      <c r="CH99" s="78">
        <f>IF(OR(INDEX(Undirviðmið!$G$6:$G$105,ROW()-6)&lt;&gt;"Starfsbundinn",CG99="",$E99="",$D99=""),"",ROUND(CG99/$E99*$D99*KVARDI,2))</f>
        <v/>
      </c>
      <c r="CI99" s="66" t="n"/>
      <c r="CJ99" s="78">
        <f>IF(OR(INDEX(Undirviðmið!$G$6:$G$105,ROW()-6)&lt;&gt;"Starfsbundinn",CI99="",$E99="",$D99=""),"",ROUND(CI99/$E99*$D99*KVARDI,2))</f>
        <v/>
      </c>
      <c r="CK99" s="66" t="n"/>
      <c r="CL99" s="78">
        <f>IF(OR(INDEX(Undirviðmið!$G$6:$G$105,ROW()-6)&lt;&gt;"Starfsbundinn",CK99="",$E99="",$D99=""),"",ROUND(CK99/$E99*$D99*KVARDI,2))</f>
        <v/>
      </c>
      <c r="CM99" s="66" t="n"/>
      <c r="CN99" s="78">
        <f>IF(OR(INDEX(Undirviðmið!$G$6:$G$105,ROW()-6)&lt;&gt;"Starfsbundinn",CM99="",$E99="",$D99=""),"",ROUND(CM99/$E99*$D99*KVARDI,2))</f>
        <v/>
      </c>
      <c r="CO99" s="66" t="n"/>
      <c r="CP99" s="78">
        <f>IF(OR(INDEX(Undirviðmið!$G$6:$G$105,ROW()-6)&lt;&gt;"Starfsbundinn",CO99="",$E99="",$D99=""),"",ROUND(CO99/$E99*$D99*KVARDI,2))</f>
        <v/>
      </c>
      <c r="CQ99" s="66" t="n"/>
      <c r="CR99" s="78">
        <f>IF(OR(INDEX(Undirviðmið!$G$6:$G$105,ROW()-6)&lt;&gt;"Starfsbundinn",CQ99="",$E99="",$D99=""),"",ROUND(CQ99/$E99*$D99*KVARDI,2))</f>
        <v/>
      </c>
      <c r="CS99" s="66" t="n"/>
      <c r="CT99" s="78">
        <f>IF(OR(INDEX(Undirviðmið!$G$6:$G$105,ROW()-6)&lt;&gt;"Starfsbundinn",CS99="",$E99="",$D99=""),"",ROUND(CS99/$E99*$D99*KVARDI,2))</f>
        <v/>
      </c>
      <c r="CU99" s="66" t="n"/>
      <c r="CV99" s="78">
        <f>IF(OR(INDEX(Undirviðmið!$G$6:$G$105,ROW()-6)&lt;&gt;"Starfsbundinn",CU99="",$E99="",$D99=""),"",ROUND(CU99/$E99*$D99*KVARDI,2))</f>
        <v/>
      </c>
      <c r="CW99" s="66" t="n"/>
      <c r="CX99" s="78">
        <f>IF(OR(INDEX(Undirviðmið!$G$6:$G$105,ROW()-6)&lt;&gt;"Starfsbundinn",CW99="",$E99="",$D99=""),"",ROUND(CW99/$E99*$D99*KVARDI,2))</f>
        <v/>
      </c>
      <c r="CY99" s="66" t="n"/>
      <c r="CZ99" s="78">
        <f>IF(OR(INDEX(Undirviðmið!$G$6:$G$105,ROW()-6)&lt;&gt;"Starfsbundinn",CY99="",$E99="",$D99=""),"",ROUND(CY99/$E99*$D99*KVARDI,2))</f>
        <v/>
      </c>
      <c r="DA99" s="66" t="n"/>
      <c r="DB99" s="78">
        <f>IF(OR(INDEX(Undirviðmið!$G$6:$G$105,ROW()-6)&lt;&gt;"Starfsbundinn",DA99="",$E99="",$D99=""),"",ROUND(DA99/$E99*$D99*KVARDI,2))</f>
        <v/>
      </c>
      <c r="DC99" s="66" t="n"/>
      <c r="DD99" s="78">
        <f>IF(OR(INDEX(Undirviðmið!$G$6:$G$105,ROW()-6)&lt;&gt;"Starfsbundinn",DC99="",$E99="",$D99=""),"",ROUND(DC99/$E99*$D99*KVARDI,2))</f>
        <v/>
      </c>
      <c r="DE99" s="66" t="n"/>
      <c r="DF99" s="78">
        <f>IF(OR(INDEX(Undirviðmið!$G$6:$G$105,ROW()-6)&lt;&gt;"Starfsbundinn",DE99="",$E99="",$D99=""),"",ROUND(DE99/$E99*$D99*KVARDI,2))</f>
        <v/>
      </c>
      <c r="DG99" s="66" t="n"/>
      <c r="DH99" s="78">
        <f>IF(OR(INDEX(Undirviðmið!$G$6:$G$105,ROW()-6)&lt;&gt;"Starfsbundinn",DG99="",$E99="",$D99=""),"",ROUND(DG99/$E99*$D99*KVARDI,2))</f>
        <v/>
      </c>
      <c r="DI99" s="66" t="n"/>
      <c r="DJ99" s="78">
        <f>IF(OR(INDEX(Undirviðmið!$G$6:$G$105,ROW()-6)&lt;&gt;"Starfsbundinn",DI99="",$E99="",$D99=""),"",ROUND(DI99/$E99*$D99*KVARDI,2))</f>
        <v/>
      </c>
      <c r="DK99" s="66" t="n"/>
      <c r="DL99" s="78">
        <f>IF(OR(INDEX(Undirviðmið!$G$6:$G$105,ROW()-6)&lt;&gt;"Starfsbundinn",DK99="",$E99="",$D99=""),"",ROUND(DK99/$E99*$D99*KVARDI,2))</f>
        <v/>
      </c>
      <c r="DM99" s="66" t="n"/>
      <c r="DN99" s="78">
        <f>IF(OR(INDEX(Undirviðmið!$G$6:$G$105,ROW()-6)&lt;&gt;"Starfsbundinn",DM99="",$E99="",$D99=""),"",ROUND(DM99/$E99*$D99*KVARDI,2))</f>
        <v/>
      </c>
      <c r="DO99" s="66" t="n"/>
      <c r="DP99" s="78">
        <f>IF(OR(INDEX(Undirviðmið!$G$6:$G$105,ROW()-6)&lt;&gt;"Starfsbundinn",DO99="",$E99="",$D99=""),"",ROUND(DO99/$E99*$D99*KVARDI,2))</f>
        <v/>
      </c>
      <c r="DQ99" s="66" t="n"/>
      <c r="DR99" s="78">
        <f>IF(OR(INDEX(Undirviðmið!$G$6:$G$105,ROW()-6)&lt;&gt;"Starfsbundinn",DQ99="",$E99="",$D99=""),"",ROUND(DQ99/$E99*$D99*KVARDI,2))</f>
        <v/>
      </c>
      <c r="DS99" s="66" t="n"/>
      <c r="DT99" s="78">
        <f>IF(OR(INDEX(Undirviðmið!$G$6:$G$105,ROW()-6)&lt;&gt;"Starfsbundinn",DS99="",$E99="",$D99=""),"",ROUND(DS99/$E99*$D99*KVARDI,2))</f>
        <v/>
      </c>
      <c r="DU99" s="66" t="n"/>
      <c r="DV99" s="78">
        <f>IF(OR(INDEX(Undirviðmið!$G$6:$G$105,ROW()-6)&lt;&gt;"Starfsbundinn",DU99="",$E99="",$D99=""),"",ROUND(DU99/$E99*$D99*KVARDI,2))</f>
        <v/>
      </c>
      <c r="DW99" s="66" t="n"/>
      <c r="DX99" s="78">
        <f>IF(OR(INDEX(Undirviðmið!$G$6:$G$105,ROW()-6)&lt;&gt;"Starfsbundinn",DW99="",$E99="",$D99=""),"",ROUND(DW99/$E99*$D99*KVARDI,2))</f>
        <v/>
      </c>
      <c r="DY99" s="66" t="n"/>
      <c r="DZ99" s="78">
        <f>IF(OR(INDEX(Undirviðmið!$G$6:$G$105,ROW()-6)&lt;&gt;"Starfsbundinn",DY99="",$E99="",$D99=""),"",ROUND(DY99/$E99*$D99*KVARDI,2))</f>
        <v/>
      </c>
      <c r="EA99" s="66" t="n"/>
      <c r="EB99" s="78">
        <f>IF(OR(INDEX(Undirviðmið!$G$6:$G$105,ROW()-6)&lt;&gt;"Starfsbundinn",EA99="",$E99="",$D99=""),"",ROUND(EA99/$E99*$D99*KVARDI,2))</f>
        <v/>
      </c>
      <c r="EC99" s="66" t="n"/>
      <c r="ED99" s="78">
        <f>IF(OR(INDEX(Undirviðmið!$G$6:$G$105,ROW()-6)&lt;&gt;"Starfsbundinn",EC99="",$E99="",$D99=""),"",ROUND(EC99/$E99*$D99*KVARDI,2))</f>
        <v/>
      </c>
      <c r="EE99" s="66" t="n"/>
      <c r="EF99" s="78">
        <f>IF(OR(INDEX(Undirviðmið!$G$6:$G$105,ROW()-6)&lt;&gt;"Starfsbundinn",EE99="",$E99="",$D99=""),"",ROUND(EE99/$E99*$D99*KVARDI,2))</f>
        <v/>
      </c>
      <c r="EG99" s="66" t="n"/>
      <c r="EH99" s="78">
        <f>IF(OR(INDEX(Undirviðmið!$G$6:$G$105,ROW()-6)&lt;&gt;"Starfsbundinn",EG99="",$E99="",$D99=""),"",ROUND(EG99/$E99*$D99*KVARDI,2))</f>
        <v/>
      </c>
      <c r="EI99" s="66" t="n"/>
      <c r="EJ99" s="78">
        <f>IF(OR(INDEX(Undirviðmið!$G$6:$G$105,ROW()-6)&lt;&gt;"Starfsbundinn",EI99="",$E99="",$D99=""),"",ROUND(EI99/$E99*$D99*KVARDI,2))</f>
        <v/>
      </c>
      <c r="EK99" s="66" t="n"/>
      <c r="EL99" s="78">
        <f>IF(OR(INDEX(Undirviðmið!$G$6:$G$105,ROW()-6)&lt;&gt;"Starfsbundinn",EK99="",$E99="",$D99=""),"",ROUND(EK99/$E99*$D99*KVARDI,2))</f>
        <v/>
      </c>
      <c r="EM99" s="66" t="n"/>
      <c r="EN99" s="78">
        <f>IF(OR(INDEX(Undirviðmið!$G$6:$G$105,ROW()-6)&lt;&gt;"Starfsbundinn",EM99="",$E99="",$D99=""),"",ROUND(EM99/$E99*$D99*KVARDI,2))</f>
        <v/>
      </c>
      <c r="EO99" s="66" t="n"/>
      <c r="EP99" s="78">
        <f>IF(OR(INDEX(Undirviðmið!$G$6:$G$105,ROW()-6)&lt;&gt;"Starfsbundinn",EO99="",$E99="",$D99=""),"",ROUND(EO99/$E99*$D99*KVARDI,2))</f>
        <v/>
      </c>
      <c r="EQ99" s="66" t="n"/>
      <c r="ER99" s="78">
        <f>IF(OR(INDEX(Undirviðmið!$G$6:$G$105,ROW()-6)&lt;&gt;"Starfsbundinn",EQ99="",$E99="",$D99=""),"",ROUND(EQ99/$E99*$D99*KVARDI,2))</f>
        <v/>
      </c>
      <c r="ES99" s="66" t="n"/>
      <c r="ET99" s="78">
        <f>IF(OR(INDEX(Undirviðmið!$G$6:$G$105,ROW()-6)&lt;&gt;"Starfsbundinn",ES99="",$E99="",$D99=""),"",ROUND(ES99/$E99*$D99*KVARDI,2))</f>
        <v/>
      </c>
      <c r="EU99" s="66" t="n"/>
      <c r="EV99" s="78">
        <f>IF(OR(INDEX(Undirviðmið!$G$6:$G$105,ROW()-6)&lt;&gt;"Starfsbundinn",EU99="",$E99="",$D99=""),"",ROUND(EU99/$E99*$D99*KVARDI,2))</f>
        <v/>
      </c>
      <c r="EW99" s="66" t="n"/>
      <c r="EX99" s="78">
        <f>IF(OR(INDEX(Undirviðmið!$G$6:$G$105,ROW()-6)&lt;&gt;"Starfsbundinn",EW99="",$E99="",$D99=""),"",ROUND(EW99/$E99*$D99*KVARDI,2))</f>
        <v/>
      </c>
      <c r="EY99" s="66" t="n"/>
      <c r="EZ99" s="78">
        <f>IF(OR(INDEX(Undirviðmið!$G$6:$G$105,ROW()-6)&lt;&gt;"Starfsbundinn",EY99="",$E99="",$D99=""),"",ROUND(EY99/$E99*$D99*KVARDI,2))</f>
        <v/>
      </c>
      <c r="FA99" s="66" t="n"/>
      <c r="FB99" s="78">
        <f>IF(OR(INDEX(Undirviðmið!$G$6:$G$105,ROW()-6)&lt;&gt;"Starfsbundinn",FA99="",$E99="",$D99=""),"",ROUND(FA99/$E99*$D99*KVARDI,2))</f>
        <v/>
      </c>
      <c r="FC99" s="66" t="n"/>
      <c r="FD99" s="78">
        <f>IF(OR(INDEX(Undirviðmið!$G$6:$G$105,ROW()-6)&lt;&gt;"Starfsbundinn",FC99="",$E99="",$D99=""),"",ROUND(FC99/$E99*$D99*KVARDI,2))</f>
        <v/>
      </c>
      <c r="FE99" s="66" t="n"/>
      <c r="FF99" s="78">
        <f>IF(OR(INDEX(Undirviðmið!$G$6:$G$105,ROW()-6)&lt;&gt;"Starfsbundinn",FE99="",$E99="",$D99=""),"",ROUND(FE99/$E99*$D99*KVARDI,2))</f>
        <v/>
      </c>
      <c r="FG99" s="66" t="n"/>
      <c r="FH99" s="78">
        <f>IF(OR(INDEX(Undirviðmið!$G$6:$G$105,ROW()-6)&lt;&gt;"Starfsbundinn",FG99="",$E99="",$D99=""),"",ROUND(FG99/$E99*$D99*KVARDI,2))</f>
        <v/>
      </c>
      <c r="FI99" s="66" t="n"/>
      <c r="FJ99" s="78">
        <f>IF(OR(INDEX(Undirviðmið!$G$6:$G$105,ROW()-6)&lt;&gt;"Starfsbundinn",FI99="",$E99="",$D99=""),"",ROUND(FI99/$E99*$D99*KVARDI,2))</f>
        <v/>
      </c>
      <c r="FK99" s="66" t="n"/>
      <c r="FL99" s="78">
        <f>IF(OR(INDEX(Undirviðmið!$G$6:$G$105,ROW()-6)&lt;&gt;"Starfsbundinn",FK99="",$E99="",$D99=""),"",ROUND(FK99/$E99*$D99*KVARDI,2))</f>
        <v/>
      </c>
      <c r="FM99" s="66" t="n"/>
      <c r="FN99" s="78">
        <f>IF(OR(INDEX(Undirviðmið!$G$6:$G$105,ROW()-6)&lt;&gt;"Starfsbundinn",FM99="",$E99="",$D99=""),"",ROUND(FM99/$E99*$D99*KVARDI,2))</f>
        <v/>
      </c>
      <c r="FO99" s="66" t="n"/>
      <c r="FP99" s="78">
        <f>IF(OR(INDEX(Undirviðmið!$G$6:$G$105,ROW()-6)&lt;&gt;"Starfsbundinn",FO99="",$E99="",$D99=""),"",ROUND(FO99/$E99*$D99*KVARDI,2))</f>
        <v/>
      </c>
      <c r="FQ99" s="66" t="n"/>
      <c r="FR99" s="78">
        <f>IF(OR(INDEX(Undirviðmið!$G$6:$G$105,ROW()-6)&lt;&gt;"Starfsbundinn",FQ99="",$E99="",$D99=""),"",ROUND(FQ99/$E99*$D99*KVARDI,2))</f>
        <v/>
      </c>
      <c r="FS99" s="66" t="n"/>
      <c r="FT99" s="78">
        <f>IF(OR(INDEX(Undirviðmið!$G$6:$G$105,ROW()-6)&lt;&gt;"Starfsbundinn",FS99="",$E99="",$D99=""),"",ROUND(FS99/$E99*$D99*KVARDI,2))</f>
        <v/>
      </c>
      <c r="FU99" s="66" t="n"/>
      <c r="FV99" s="78">
        <f>IF(OR(INDEX(Undirviðmið!$G$6:$G$105,ROW()-6)&lt;&gt;"Starfsbundinn",FU99="",$E99="",$D99=""),"",ROUND(FU99/$E99*$D99*KVARDI,2))</f>
        <v/>
      </c>
      <c r="FW99" s="66" t="n"/>
      <c r="FX99" s="78">
        <f>IF(OR(INDEX(Undirviðmið!$G$6:$G$105,ROW()-6)&lt;&gt;"Starfsbundinn",FW99="",$E99="",$D99=""),"",ROUND(FW99/$E99*$D99*KVARDI,2))</f>
        <v/>
      </c>
      <c r="FY99" s="66" t="n"/>
      <c r="FZ99" s="78">
        <f>IF(OR(INDEX(Undirviðmið!$G$6:$G$105,ROW()-6)&lt;&gt;"Starfsbundinn",FY99="",$E99="",$D99=""),"",ROUND(FY99/$E99*$D99*KVARDI,2))</f>
        <v/>
      </c>
      <c r="GA99" s="66" t="n"/>
      <c r="GB99" s="78">
        <f>IF(OR(INDEX(Undirviðmið!$G$6:$G$105,ROW()-6)&lt;&gt;"Starfsbundinn",GA99="",$E99="",$D99=""),"",ROUND(GA99/$E99*$D99*KVARDI,2))</f>
        <v/>
      </c>
      <c r="GC99" s="66" t="n"/>
      <c r="GD99" s="78">
        <f>IF(OR(INDEX(Undirviðmið!$G$6:$G$105,ROW()-6)&lt;&gt;"Starfsbundinn",GC99="",$E99="",$D99=""),"",ROUND(GC99/$E99*$D99*KVARDI,2))</f>
        <v/>
      </c>
      <c r="GE99" s="66" t="n"/>
      <c r="GF99" s="78">
        <f>IF(OR(INDEX(Undirviðmið!$G$6:$G$105,ROW()-6)&lt;&gt;"Starfsbundinn",GE99="",$E99="",$D99=""),"",ROUND(GE99/$E99*$D99*KVARDI,2))</f>
        <v/>
      </c>
      <c r="GG99" s="66" t="n"/>
      <c r="GH99" s="78">
        <f>IF(OR(INDEX(Undirviðmið!$G$6:$G$105,ROW()-6)&lt;&gt;"Starfsbundinn",GG99="",$E99="",$D99=""),"",ROUND(GG99/$E99*$D99*KVARDI,2))</f>
        <v/>
      </c>
      <c r="GI99" s="66" t="n"/>
      <c r="GJ99" s="78">
        <f>IF(OR(INDEX(Undirviðmið!$G$6:$G$105,ROW()-6)&lt;&gt;"Starfsbundinn",GI99="",$E99="",$D99=""),"",ROUND(GI99/$E99*$D99*KVARDI,2))</f>
        <v/>
      </c>
      <c r="GK99" s="66" t="n"/>
      <c r="GL99" s="78">
        <f>IF(OR(INDEX(Undirviðmið!$G$6:$G$105,ROW()-6)&lt;&gt;"Starfsbundinn",GK99="",$E99="",$D99=""),"",ROUND(GK99/$E99*$D99*KVARDI,2))</f>
        <v/>
      </c>
      <c r="GM99" s="66" t="n"/>
      <c r="GN99" s="78">
        <f>IF(OR(INDEX(Undirviðmið!$G$6:$G$105,ROW()-6)&lt;&gt;"Starfsbundinn",GM99="",$E99="",$D99=""),"",ROUND(GM99/$E99*$D99*KVARDI,2))</f>
        <v/>
      </c>
      <c r="GO99" s="66" t="n"/>
      <c r="GP99" s="78">
        <f>IF(OR(INDEX(Undirviðmið!$G$6:$G$105,ROW()-6)&lt;&gt;"Starfsbundinn",GO99="",$E99="",$D99=""),"",ROUND(GO99/$E99*$D99*KVARDI,2))</f>
        <v/>
      </c>
      <c r="GQ99" s="66" t="n"/>
      <c r="GR99" s="78">
        <f>IF(OR(INDEX(Undirviðmið!$G$6:$G$105,ROW()-6)&lt;&gt;"Starfsbundinn",GQ99="",$E99="",$D99=""),"",ROUND(GQ99/$E99*$D99*KVARDI,2))</f>
        <v/>
      </c>
      <c r="GS99" s="66" t="n"/>
      <c r="GT99" s="78">
        <f>IF(OR(INDEX(Undirviðmið!$G$6:$G$105,ROW()-6)&lt;&gt;"Starfsbundinn",GS99="",$E99="",$D99=""),"",ROUND(GS99/$E99*$D99*KVARDI,2))</f>
        <v/>
      </c>
      <c r="GU99" s="66" t="n"/>
      <c r="GV99" s="78">
        <f>IF(OR(INDEX(Undirviðmið!$G$6:$G$105,ROW()-6)&lt;&gt;"Starfsbundinn",GU99="",$E99="",$D99=""),"",ROUND(GU99/$E99*$D99*KVARDI,2))</f>
        <v/>
      </c>
      <c r="GW99" s="66" t="n"/>
      <c r="GX99" s="78">
        <f>IF(OR(INDEX(Undirviðmið!$G$6:$G$105,ROW()-6)&lt;&gt;"Starfsbundinn",GW99="",$E99="",$D99=""),"",ROUND(GW99/$E99*$D99*KVARDI,2))</f>
        <v/>
      </c>
    </row>
    <row r="100" ht="15" customHeight="1" s="47">
      <c r="B100" s="67">
        <f>IF(INDEX(Undirviðmið!$G$6:$G$105,ROW()-6)="Starfsbundinn",INDEX(Undirviðmið!$B$6:$B$105,ROW()-6),"")</f>
        <v/>
      </c>
      <c r="C100" s="67">
        <f>IF(INDEX(Undirviðmið!$G$6:$G$105,ROW()-6)="Starfsbundinn",INDEX(Undirviðmið!$C$6:$C$105,ROW()-6),"")</f>
        <v/>
      </c>
      <c r="D100" s="77">
        <f>IF(INDEX(Undirviðmið!$G$6:$G$105,ROW()-6)="Starfsbundinn",INDEX(Undirviðmið!$E$6:$E$105,ROW()-6),"")</f>
        <v/>
      </c>
      <c r="E100" s="77">
        <f>IF(INDEX(Undirviðmið!$G$6:$G$105,ROW()-6)="Starfsbundinn",INDEX(Undirviðmið!$F$6:$F$105,ROW()-6),"")</f>
        <v/>
      </c>
      <c r="F100" s="77">
        <f>IF(INDEX(Undirviðmið!$G$6:$G$105,ROW()-6)="Starfsbundinn",IFERROR(INDEX(Undirviðmið!$E$6:$E$105,ROW()-6)*KVARDI,""),"")</f>
        <v/>
      </c>
      <c r="G100" s="66" t="n"/>
      <c r="H100" s="78">
        <f>IF(OR(INDEX(Undirviðmið!$G$6:$G$105,ROW()-6)&lt;&gt;"Starfsbundinn",G100="",$E100="",$D100=""),"",ROUND(G100/$E100*$D100*KVARDI,2))</f>
        <v/>
      </c>
      <c r="I100" s="66" t="n"/>
      <c r="J100" s="78">
        <f>IF(OR(INDEX(Undirviðmið!$G$6:$G$105,ROW()-6)&lt;&gt;"Starfsbundinn",I100="",$E100="",$D100=""),"",ROUND(I100/$E100*$D100*KVARDI,2))</f>
        <v/>
      </c>
      <c r="K100" s="66" t="n"/>
      <c r="L100" s="78">
        <f>IF(OR(INDEX(Undirviðmið!$G$6:$G$105,ROW()-6)&lt;&gt;"Starfsbundinn",K100="",$E100="",$D100=""),"",ROUND(K100/$E100*$D100*KVARDI,2))</f>
        <v/>
      </c>
      <c r="M100" s="66" t="n"/>
      <c r="N100" s="78">
        <f>IF(OR(INDEX(Undirviðmið!$G$6:$G$105,ROW()-6)&lt;&gt;"Starfsbundinn",M100="",$E100="",$D100=""),"",ROUND(M100/$E100*$D100*KVARDI,2))</f>
        <v/>
      </c>
      <c r="O100" s="66" t="n"/>
      <c r="P100" s="78">
        <f>IF(OR(INDEX(Undirviðmið!$G$6:$G$105,ROW()-6)&lt;&gt;"Starfsbundinn",O100="",$E100="",$D100=""),"",ROUND(O100/$E100*$D100*KVARDI,2))</f>
        <v/>
      </c>
      <c r="Q100" s="66" t="n"/>
      <c r="R100" s="78">
        <f>IF(OR(INDEX(Undirviðmið!$G$6:$G$105,ROW()-6)&lt;&gt;"Starfsbundinn",Q100="",$E100="",$D100=""),"",ROUND(Q100/$E100*$D100*KVARDI,2))</f>
        <v/>
      </c>
      <c r="S100" s="66" t="n"/>
      <c r="T100" s="78">
        <f>IF(OR(INDEX(Undirviðmið!$G$6:$G$105,ROW()-6)&lt;&gt;"Starfsbundinn",S100="",$E100="",$D100=""),"",ROUND(S100/$E100*$D100*KVARDI,2))</f>
        <v/>
      </c>
      <c r="U100" s="66" t="n"/>
      <c r="V100" s="78">
        <f>IF(OR(INDEX(Undirviðmið!$G$6:$G$105,ROW()-6)&lt;&gt;"Starfsbundinn",U100="",$E100="",$D100=""),"",ROUND(U100/$E100*$D100*KVARDI,2))</f>
        <v/>
      </c>
      <c r="W100" s="66" t="n"/>
      <c r="X100" s="78">
        <f>IF(OR(INDEX(Undirviðmið!$G$6:$G$105,ROW()-6)&lt;&gt;"Starfsbundinn",W100="",$E100="",$D100=""),"",ROUND(W100/$E100*$D100*KVARDI,2))</f>
        <v/>
      </c>
      <c r="Y100" s="66" t="n"/>
      <c r="Z100" s="78">
        <f>IF(OR(INDEX(Undirviðmið!$G$6:$G$105,ROW()-6)&lt;&gt;"Starfsbundinn",Y100="",$E100="",$D100=""),"",ROUND(Y100/$E100*$D100*KVARDI,2))</f>
        <v/>
      </c>
      <c r="AA100" s="66" t="n"/>
      <c r="AB100" s="78">
        <f>IF(OR(INDEX(Undirviðmið!$G$6:$G$105,ROW()-6)&lt;&gt;"Starfsbundinn",AA100="",$E100="",$D100=""),"",ROUND(AA100/$E100*$D100*KVARDI,2))</f>
        <v/>
      </c>
      <c r="AC100" s="66" t="n"/>
      <c r="AD100" s="78">
        <f>IF(OR(INDEX(Undirviðmið!$G$6:$G$105,ROW()-6)&lt;&gt;"Starfsbundinn",AC100="",$E100="",$D100=""),"",ROUND(AC100/$E100*$D100*KVARDI,2))</f>
        <v/>
      </c>
      <c r="AE100" s="66" t="n"/>
      <c r="AF100" s="78">
        <f>IF(OR(INDEX(Undirviðmið!$G$6:$G$105,ROW()-6)&lt;&gt;"Starfsbundinn",AE100="",$E100="",$D100=""),"",ROUND(AE100/$E100*$D100*KVARDI,2))</f>
        <v/>
      </c>
      <c r="AG100" s="66" t="n"/>
      <c r="AH100" s="78">
        <f>IF(OR(INDEX(Undirviðmið!$G$6:$G$105,ROW()-6)&lt;&gt;"Starfsbundinn",AG100="",$E100="",$D100=""),"",ROUND(AG100/$E100*$D100*KVARDI,2))</f>
        <v/>
      </c>
      <c r="AI100" s="66" t="n"/>
      <c r="AJ100" s="78">
        <f>IF(OR(INDEX(Undirviðmið!$G$6:$G$105,ROW()-6)&lt;&gt;"Starfsbundinn",AI100="",$E100="",$D100=""),"",ROUND(AI100/$E100*$D100*KVARDI,2))</f>
        <v/>
      </c>
      <c r="AK100" s="66" t="n"/>
      <c r="AL100" s="78">
        <f>IF(OR(INDEX(Undirviðmið!$G$6:$G$105,ROW()-6)&lt;&gt;"Starfsbundinn",AK100="",$E100="",$D100=""),"",ROUND(AK100/$E100*$D100*KVARDI,2))</f>
        <v/>
      </c>
      <c r="AM100" s="66" t="n"/>
      <c r="AN100" s="78">
        <f>IF(OR(INDEX(Undirviðmið!$G$6:$G$105,ROW()-6)&lt;&gt;"Starfsbundinn",AM100="",$E100="",$D100=""),"",ROUND(AM100/$E100*$D100*KVARDI,2))</f>
        <v/>
      </c>
      <c r="AO100" s="66" t="n"/>
      <c r="AP100" s="78">
        <f>IF(OR(INDEX(Undirviðmið!$G$6:$G$105,ROW()-6)&lt;&gt;"Starfsbundinn",AO100="",$E100="",$D100=""),"",ROUND(AO100/$E100*$D100*KVARDI,2))</f>
        <v/>
      </c>
      <c r="AQ100" s="66" t="n"/>
      <c r="AR100" s="78">
        <f>IF(OR(INDEX(Undirviðmið!$G$6:$G$105,ROW()-6)&lt;&gt;"Starfsbundinn",AQ100="",$E100="",$D100=""),"",ROUND(AQ100/$E100*$D100*KVARDI,2))</f>
        <v/>
      </c>
      <c r="AS100" s="66" t="n"/>
      <c r="AT100" s="78">
        <f>IF(OR(INDEX(Undirviðmið!$G$6:$G$105,ROW()-6)&lt;&gt;"Starfsbundinn",AS100="",$E100="",$D100=""),"",ROUND(AS100/$E100*$D100*KVARDI,2))</f>
        <v/>
      </c>
      <c r="AU100" s="66" t="n"/>
      <c r="AV100" s="78">
        <f>IF(OR(INDEX(Undirviðmið!$G$6:$G$105,ROW()-6)&lt;&gt;"Starfsbundinn",AU100="",$E100="",$D100=""),"",ROUND(AU100/$E100*$D100*KVARDI,2))</f>
        <v/>
      </c>
      <c r="AW100" s="66" t="n"/>
      <c r="AX100" s="78">
        <f>IF(OR(INDEX(Undirviðmið!$G$6:$G$105,ROW()-6)&lt;&gt;"Starfsbundinn",AW100="",$E100="",$D100=""),"",ROUND(AW100/$E100*$D100*KVARDI,2))</f>
        <v/>
      </c>
      <c r="AY100" s="66" t="n"/>
      <c r="AZ100" s="78">
        <f>IF(OR(INDEX(Undirviðmið!$G$6:$G$105,ROW()-6)&lt;&gt;"Starfsbundinn",AY100="",$E100="",$D100=""),"",ROUND(AY100/$E100*$D100*KVARDI,2))</f>
        <v/>
      </c>
      <c r="BA100" s="66" t="n"/>
      <c r="BB100" s="78">
        <f>IF(OR(INDEX(Undirviðmið!$G$6:$G$105,ROW()-6)&lt;&gt;"Starfsbundinn",BA100="",$E100="",$D100=""),"",ROUND(BA100/$E100*$D100*KVARDI,2))</f>
        <v/>
      </c>
      <c r="BC100" s="66" t="n"/>
      <c r="BD100" s="78">
        <f>IF(OR(INDEX(Undirviðmið!$G$6:$G$105,ROW()-6)&lt;&gt;"Starfsbundinn",BC100="",$E100="",$D100=""),"",ROUND(BC100/$E100*$D100*KVARDI,2))</f>
        <v/>
      </c>
      <c r="BE100" s="66" t="n"/>
      <c r="BF100" s="78">
        <f>IF(OR(INDEX(Undirviðmið!$G$6:$G$105,ROW()-6)&lt;&gt;"Starfsbundinn",BE100="",$E100="",$D100=""),"",ROUND(BE100/$E100*$D100*KVARDI,2))</f>
        <v/>
      </c>
      <c r="BG100" s="66" t="n"/>
      <c r="BH100" s="78">
        <f>IF(OR(INDEX(Undirviðmið!$G$6:$G$105,ROW()-6)&lt;&gt;"Starfsbundinn",BG100="",$E100="",$D100=""),"",ROUND(BG100/$E100*$D100*KVARDI,2))</f>
        <v/>
      </c>
      <c r="BI100" s="66" t="n"/>
      <c r="BJ100" s="78">
        <f>IF(OR(INDEX(Undirviðmið!$G$6:$G$105,ROW()-6)&lt;&gt;"Starfsbundinn",BI100="",$E100="",$D100=""),"",ROUND(BI100/$E100*$D100*KVARDI,2))</f>
        <v/>
      </c>
      <c r="BK100" s="66" t="n"/>
      <c r="BL100" s="78">
        <f>IF(OR(INDEX(Undirviðmið!$G$6:$G$105,ROW()-6)&lt;&gt;"Starfsbundinn",BK100="",$E100="",$D100=""),"",ROUND(BK100/$E100*$D100*KVARDI,2))</f>
        <v/>
      </c>
      <c r="BM100" s="66" t="n"/>
      <c r="BN100" s="78">
        <f>IF(OR(INDEX(Undirviðmið!$G$6:$G$105,ROW()-6)&lt;&gt;"Starfsbundinn",BM100="",$E100="",$D100=""),"",ROUND(BM100/$E100*$D100*KVARDI,2))</f>
        <v/>
      </c>
      <c r="BO100" s="66" t="n"/>
      <c r="BP100" s="78">
        <f>IF(OR(INDEX(Undirviðmið!$G$6:$G$105,ROW()-6)&lt;&gt;"Starfsbundinn",BO100="",$E100="",$D100=""),"",ROUND(BO100/$E100*$D100*KVARDI,2))</f>
        <v/>
      </c>
      <c r="BQ100" s="66" t="n"/>
      <c r="BR100" s="78">
        <f>IF(OR(INDEX(Undirviðmið!$G$6:$G$105,ROW()-6)&lt;&gt;"Starfsbundinn",BQ100="",$E100="",$D100=""),"",ROUND(BQ100/$E100*$D100*KVARDI,2))</f>
        <v/>
      </c>
      <c r="BS100" s="66" t="n"/>
      <c r="BT100" s="78">
        <f>IF(OR(INDEX(Undirviðmið!$G$6:$G$105,ROW()-6)&lt;&gt;"Starfsbundinn",BS100="",$E100="",$D100=""),"",ROUND(BS100/$E100*$D100*KVARDI,2))</f>
        <v/>
      </c>
      <c r="BU100" s="66" t="n"/>
      <c r="BV100" s="78">
        <f>IF(OR(INDEX(Undirviðmið!$G$6:$G$105,ROW()-6)&lt;&gt;"Starfsbundinn",BU100="",$E100="",$D100=""),"",ROUND(BU100/$E100*$D100*KVARDI,2))</f>
        <v/>
      </c>
      <c r="BW100" s="66" t="n"/>
      <c r="BX100" s="78">
        <f>IF(OR(INDEX(Undirviðmið!$G$6:$G$105,ROW()-6)&lt;&gt;"Starfsbundinn",BW100="",$E100="",$D100=""),"",ROUND(BW100/$E100*$D100*KVARDI,2))</f>
        <v/>
      </c>
      <c r="BY100" s="66" t="n"/>
      <c r="BZ100" s="78">
        <f>IF(OR(INDEX(Undirviðmið!$G$6:$G$105,ROW()-6)&lt;&gt;"Starfsbundinn",BY100="",$E100="",$D100=""),"",ROUND(BY100/$E100*$D100*KVARDI,2))</f>
        <v/>
      </c>
      <c r="CA100" s="66" t="n"/>
      <c r="CB100" s="78">
        <f>IF(OR(INDEX(Undirviðmið!$G$6:$G$105,ROW()-6)&lt;&gt;"Starfsbundinn",CA100="",$E100="",$D100=""),"",ROUND(CA100/$E100*$D100*KVARDI,2))</f>
        <v/>
      </c>
      <c r="CC100" s="66" t="n"/>
      <c r="CD100" s="78">
        <f>IF(OR(INDEX(Undirviðmið!$G$6:$G$105,ROW()-6)&lt;&gt;"Starfsbundinn",CC100="",$E100="",$D100=""),"",ROUND(CC100/$E100*$D100*KVARDI,2))</f>
        <v/>
      </c>
      <c r="CE100" s="66" t="n"/>
      <c r="CF100" s="78">
        <f>IF(OR(INDEX(Undirviðmið!$G$6:$G$105,ROW()-6)&lt;&gt;"Starfsbundinn",CE100="",$E100="",$D100=""),"",ROUND(CE100/$E100*$D100*KVARDI,2))</f>
        <v/>
      </c>
      <c r="CG100" s="66" t="n"/>
      <c r="CH100" s="78">
        <f>IF(OR(INDEX(Undirviðmið!$G$6:$G$105,ROW()-6)&lt;&gt;"Starfsbundinn",CG100="",$E100="",$D100=""),"",ROUND(CG100/$E100*$D100*KVARDI,2))</f>
        <v/>
      </c>
      <c r="CI100" s="66" t="n"/>
      <c r="CJ100" s="78">
        <f>IF(OR(INDEX(Undirviðmið!$G$6:$G$105,ROW()-6)&lt;&gt;"Starfsbundinn",CI100="",$E100="",$D100=""),"",ROUND(CI100/$E100*$D100*KVARDI,2))</f>
        <v/>
      </c>
      <c r="CK100" s="66" t="n"/>
      <c r="CL100" s="78">
        <f>IF(OR(INDEX(Undirviðmið!$G$6:$G$105,ROW()-6)&lt;&gt;"Starfsbundinn",CK100="",$E100="",$D100=""),"",ROUND(CK100/$E100*$D100*KVARDI,2))</f>
        <v/>
      </c>
      <c r="CM100" s="66" t="n"/>
      <c r="CN100" s="78">
        <f>IF(OR(INDEX(Undirviðmið!$G$6:$G$105,ROW()-6)&lt;&gt;"Starfsbundinn",CM100="",$E100="",$D100=""),"",ROUND(CM100/$E100*$D100*KVARDI,2))</f>
        <v/>
      </c>
      <c r="CO100" s="66" t="n"/>
      <c r="CP100" s="78">
        <f>IF(OR(INDEX(Undirviðmið!$G$6:$G$105,ROW()-6)&lt;&gt;"Starfsbundinn",CO100="",$E100="",$D100=""),"",ROUND(CO100/$E100*$D100*KVARDI,2))</f>
        <v/>
      </c>
      <c r="CQ100" s="66" t="n"/>
      <c r="CR100" s="78">
        <f>IF(OR(INDEX(Undirviðmið!$G$6:$G$105,ROW()-6)&lt;&gt;"Starfsbundinn",CQ100="",$E100="",$D100=""),"",ROUND(CQ100/$E100*$D100*KVARDI,2))</f>
        <v/>
      </c>
      <c r="CS100" s="66" t="n"/>
      <c r="CT100" s="78">
        <f>IF(OR(INDEX(Undirviðmið!$G$6:$G$105,ROW()-6)&lt;&gt;"Starfsbundinn",CS100="",$E100="",$D100=""),"",ROUND(CS100/$E100*$D100*KVARDI,2))</f>
        <v/>
      </c>
      <c r="CU100" s="66" t="n"/>
      <c r="CV100" s="78">
        <f>IF(OR(INDEX(Undirviðmið!$G$6:$G$105,ROW()-6)&lt;&gt;"Starfsbundinn",CU100="",$E100="",$D100=""),"",ROUND(CU100/$E100*$D100*KVARDI,2))</f>
        <v/>
      </c>
      <c r="CW100" s="66" t="n"/>
      <c r="CX100" s="78">
        <f>IF(OR(INDEX(Undirviðmið!$G$6:$G$105,ROW()-6)&lt;&gt;"Starfsbundinn",CW100="",$E100="",$D100=""),"",ROUND(CW100/$E100*$D100*KVARDI,2))</f>
        <v/>
      </c>
      <c r="CY100" s="66" t="n"/>
      <c r="CZ100" s="78">
        <f>IF(OR(INDEX(Undirviðmið!$G$6:$G$105,ROW()-6)&lt;&gt;"Starfsbundinn",CY100="",$E100="",$D100=""),"",ROUND(CY100/$E100*$D100*KVARDI,2))</f>
        <v/>
      </c>
      <c r="DA100" s="66" t="n"/>
      <c r="DB100" s="78">
        <f>IF(OR(INDEX(Undirviðmið!$G$6:$G$105,ROW()-6)&lt;&gt;"Starfsbundinn",DA100="",$E100="",$D100=""),"",ROUND(DA100/$E100*$D100*KVARDI,2))</f>
        <v/>
      </c>
      <c r="DC100" s="66" t="n"/>
      <c r="DD100" s="78">
        <f>IF(OR(INDEX(Undirviðmið!$G$6:$G$105,ROW()-6)&lt;&gt;"Starfsbundinn",DC100="",$E100="",$D100=""),"",ROUND(DC100/$E100*$D100*KVARDI,2))</f>
        <v/>
      </c>
      <c r="DE100" s="66" t="n"/>
      <c r="DF100" s="78">
        <f>IF(OR(INDEX(Undirviðmið!$G$6:$G$105,ROW()-6)&lt;&gt;"Starfsbundinn",DE100="",$E100="",$D100=""),"",ROUND(DE100/$E100*$D100*KVARDI,2))</f>
        <v/>
      </c>
      <c r="DG100" s="66" t="n"/>
      <c r="DH100" s="78">
        <f>IF(OR(INDEX(Undirviðmið!$G$6:$G$105,ROW()-6)&lt;&gt;"Starfsbundinn",DG100="",$E100="",$D100=""),"",ROUND(DG100/$E100*$D100*KVARDI,2))</f>
        <v/>
      </c>
      <c r="DI100" s="66" t="n"/>
      <c r="DJ100" s="78">
        <f>IF(OR(INDEX(Undirviðmið!$G$6:$G$105,ROW()-6)&lt;&gt;"Starfsbundinn",DI100="",$E100="",$D100=""),"",ROUND(DI100/$E100*$D100*KVARDI,2))</f>
        <v/>
      </c>
      <c r="DK100" s="66" t="n"/>
      <c r="DL100" s="78">
        <f>IF(OR(INDEX(Undirviðmið!$G$6:$G$105,ROW()-6)&lt;&gt;"Starfsbundinn",DK100="",$E100="",$D100=""),"",ROUND(DK100/$E100*$D100*KVARDI,2))</f>
        <v/>
      </c>
      <c r="DM100" s="66" t="n"/>
      <c r="DN100" s="78">
        <f>IF(OR(INDEX(Undirviðmið!$G$6:$G$105,ROW()-6)&lt;&gt;"Starfsbundinn",DM100="",$E100="",$D100=""),"",ROUND(DM100/$E100*$D100*KVARDI,2))</f>
        <v/>
      </c>
      <c r="DO100" s="66" t="n"/>
      <c r="DP100" s="78">
        <f>IF(OR(INDEX(Undirviðmið!$G$6:$G$105,ROW()-6)&lt;&gt;"Starfsbundinn",DO100="",$E100="",$D100=""),"",ROUND(DO100/$E100*$D100*KVARDI,2))</f>
        <v/>
      </c>
      <c r="DQ100" s="66" t="n"/>
      <c r="DR100" s="78">
        <f>IF(OR(INDEX(Undirviðmið!$G$6:$G$105,ROW()-6)&lt;&gt;"Starfsbundinn",DQ100="",$E100="",$D100=""),"",ROUND(DQ100/$E100*$D100*KVARDI,2))</f>
        <v/>
      </c>
      <c r="DS100" s="66" t="n"/>
      <c r="DT100" s="78">
        <f>IF(OR(INDEX(Undirviðmið!$G$6:$G$105,ROW()-6)&lt;&gt;"Starfsbundinn",DS100="",$E100="",$D100=""),"",ROUND(DS100/$E100*$D100*KVARDI,2))</f>
        <v/>
      </c>
      <c r="DU100" s="66" t="n"/>
      <c r="DV100" s="78">
        <f>IF(OR(INDEX(Undirviðmið!$G$6:$G$105,ROW()-6)&lt;&gt;"Starfsbundinn",DU100="",$E100="",$D100=""),"",ROUND(DU100/$E100*$D100*KVARDI,2))</f>
        <v/>
      </c>
      <c r="DW100" s="66" t="n"/>
      <c r="DX100" s="78">
        <f>IF(OR(INDEX(Undirviðmið!$G$6:$G$105,ROW()-6)&lt;&gt;"Starfsbundinn",DW100="",$E100="",$D100=""),"",ROUND(DW100/$E100*$D100*KVARDI,2))</f>
        <v/>
      </c>
      <c r="DY100" s="66" t="n"/>
      <c r="DZ100" s="78">
        <f>IF(OR(INDEX(Undirviðmið!$G$6:$G$105,ROW()-6)&lt;&gt;"Starfsbundinn",DY100="",$E100="",$D100=""),"",ROUND(DY100/$E100*$D100*KVARDI,2))</f>
        <v/>
      </c>
      <c r="EA100" s="66" t="n"/>
      <c r="EB100" s="78">
        <f>IF(OR(INDEX(Undirviðmið!$G$6:$G$105,ROW()-6)&lt;&gt;"Starfsbundinn",EA100="",$E100="",$D100=""),"",ROUND(EA100/$E100*$D100*KVARDI,2))</f>
        <v/>
      </c>
      <c r="EC100" s="66" t="n"/>
      <c r="ED100" s="78">
        <f>IF(OR(INDEX(Undirviðmið!$G$6:$G$105,ROW()-6)&lt;&gt;"Starfsbundinn",EC100="",$E100="",$D100=""),"",ROUND(EC100/$E100*$D100*KVARDI,2))</f>
        <v/>
      </c>
      <c r="EE100" s="66" t="n"/>
      <c r="EF100" s="78">
        <f>IF(OR(INDEX(Undirviðmið!$G$6:$G$105,ROW()-6)&lt;&gt;"Starfsbundinn",EE100="",$E100="",$D100=""),"",ROUND(EE100/$E100*$D100*KVARDI,2))</f>
        <v/>
      </c>
      <c r="EG100" s="66" t="n"/>
      <c r="EH100" s="78">
        <f>IF(OR(INDEX(Undirviðmið!$G$6:$G$105,ROW()-6)&lt;&gt;"Starfsbundinn",EG100="",$E100="",$D100=""),"",ROUND(EG100/$E100*$D100*KVARDI,2))</f>
        <v/>
      </c>
      <c r="EI100" s="66" t="n"/>
      <c r="EJ100" s="78">
        <f>IF(OR(INDEX(Undirviðmið!$G$6:$G$105,ROW()-6)&lt;&gt;"Starfsbundinn",EI100="",$E100="",$D100=""),"",ROUND(EI100/$E100*$D100*KVARDI,2))</f>
        <v/>
      </c>
      <c r="EK100" s="66" t="n"/>
      <c r="EL100" s="78">
        <f>IF(OR(INDEX(Undirviðmið!$G$6:$G$105,ROW()-6)&lt;&gt;"Starfsbundinn",EK100="",$E100="",$D100=""),"",ROUND(EK100/$E100*$D100*KVARDI,2))</f>
        <v/>
      </c>
      <c r="EM100" s="66" t="n"/>
      <c r="EN100" s="78">
        <f>IF(OR(INDEX(Undirviðmið!$G$6:$G$105,ROW()-6)&lt;&gt;"Starfsbundinn",EM100="",$E100="",$D100=""),"",ROUND(EM100/$E100*$D100*KVARDI,2))</f>
        <v/>
      </c>
      <c r="EO100" s="66" t="n"/>
      <c r="EP100" s="78">
        <f>IF(OR(INDEX(Undirviðmið!$G$6:$G$105,ROW()-6)&lt;&gt;"Starfsbundinn",EO100="",$E100="",$D100=""),"",ROUND(EO100/$E100*$D100*KVARDI,2))</f>
        <v/>
      </c>
      <c r="EQ100" s="66" t="n"/>
      <c r="ER100" s="78">
        <f>IF(OR(INDEX(Undirviðmið!$G$6:$G$105,ROW()-6)&lt;&gt;"Starfsbundinn",EQ100="",$E100="",$D100=""),"",ROUND(EQ100/$E100*$D100*KVARDI,2))</f>
        <v/>
      </c>
      <c r="ES100" s="66" t="n"/>
      <c r="ET100" s="78">
        <f>IF(OR(INDEX(Undirviðmið!$G$6:$G$105,ROW()-6)&lt;&gt;"Starfsbundinn",ES100="",$E100="",$D100=""),"",ROUND(ES100/$E100*$D100*KVARDI,2))</f>
        <v/>
      </c>
      <c r="EU100" s="66" t="n"/>
      <c r="EV100" s="78">
        <f>IF(OR(INDEX(Undirviðmið!$G$6:$G$105,ROW()-6)&lt;&gt;"Starfsbundinn",EU100="",$E100="",$D100=""),"",ROUND(EU100/$E100*$D100*KVARDI,2))</f>
        <v/>
      </c>
      <c r="EW100" s="66" t="n"/>
      <c r="EX100" s="78">
        <f>IF(OR(INDEX(Undirviðmið!$G$6:$G$105,ROW()-6)&lt;&gt;"Starfsbundinn",EW100="",$E100="",$D100=""),"",ROUND(EW100/$E100*$D100*KVARDI,2))</f>
        <v/>
      </c>
      <c r="EY100" s="66" t="n"/>
      <c r="EZ100" s="78">
        <f>IF(OR(INDEX(Undirviðmið!$G$6:$G$105,ROW()-6)&lt;&gt;"Starfsbundinn",EY100="",$E100="",$D100=""),"",ROUND(EY100/$E100*$D100*KVARDI,2))</f>
        <v/>
      </c>
      <c r="FA100" s="66" t="n"/>
      <c r="FB100" s="78">
        <f>IF(OR(INDEX(Undirviðmið!$G$6:$G$105,ROW()-6)&lt;&gt;"Starfsbundinn",FA100="",$E100="",$D100=""),"",ROUND(FA100/$E100*$D100*KVARDI,2))</f>
        <v/>
      </c>
      <c r="FC100" s="66" t="n"/>
      <c r="FD100" s="78">
        <f>IF(OR(INDEX(Undirviðmið!$G$6:$G$105,ROW()-6)&lt;&gt;"Starfsbundinn",FC100="",$E100="",$D100=""),"",ROUND(FC100/$E100*$D100*KVARDI,2))</f>
        <v/>
      </c>
      <c r="FE100" s="66" t="n"/>
      <c r="FF100" s="78">
        <f>IF(OR(INDEX(Undirviðmið!$G$6:$G$105,ROW()-6)&lt;&gt;"Starfsbundinn",FE100="",$E100="",$D100=""),"",ROUND(FE100/$E100*$D100*KVARDI,2))</f>
        <v/>
      </c>
      <c r="FG100" s="66" t="n"/>
      <c r="FH100" s="78">
        <f>IF(OR(INDEX(Undirviðmið!$G$6:$G$105,ROW()-6)&lt;&gt;"Starfsbundinn",FG100="",$E100="",$D100=""),"",ROUND(FG100/$E100*$D100*KVARDI,2))</f>
        <v/>
      </c>
      <c r="FI100" s="66" t="n"/>
      <c r="FJ100" s="78">
        <f>IF(OR(INDEX(Undirviðmið!$G$6:$G$105,ROW()-6)&lt;&gt;"Starfsbundinn",FI100="",$E100="",$D100=""),"",ROUND(FI100/$E100*$D100*KVARDI,2))</f>
        <v/>
      </c>
      <c r="FK100" s="66" t="n"/>
      <c r="FL100" s="78">
        <f>IF(OR(INDEX(Undirviðmið!$G$6:$G$105,ROW()-6)&lt;&gt;"Starfsbundinn",FK100="",$E100="",$D100=""),"",ROUND(FK100/$E100*$D100*KVARDI,2))</f>
        <v/>
      </c>
      <c r="FM100" s="66" t="n"/>
      <c r="FN100" s="78">
        <f>IF(OR(INDEX(Undirviðmið!$G$6:$G$105,ROW()-6)&lt;&gt;"Starfsbundinn",FM100="",$E100="",$D100=""),"",ROUND(FM100/$E100*$D100*KVARDI,2))</f>
        <v/>
      </c>
      <c r="FO100" s="66" t="n"/>
      <c r="FP100" s="78">
        <f>IF(OR(INDEX(Undirviðmið!$G$6:$G$105,ROW()-6)&lt;&gt;"Starfsbundinn",FO100="",$E100="",$D100=""),"",ROUND(FO100/$E100*$D100*KVARDI,2))</f>
        <v/>
      </c>
      <c r="FQ100" s="66" t="n"/>
      <c r="FR100" s="78">
        <f>IF(OR(INDEX(Undirviðmið!$G$6:$G$105,ROW()-6)&lt;&gt;"Starfsbundinn",FQ100="",$E100="",$D100=""),"",ROUND(FQ100/$E100*$D100*KVARDI,2))</f>
        <v/>
      </c>
      <c r="FS100" s="66" t="n"/>
      <c r="FT100" s="78">
        <f>IF(OR(INDEX(Undirviðmið!$G$6:$G$105,ROW()-6)&lt;&gt;"Starfsbundinn",FS100="",$E100="",$D100=""),"",ROUND(FS100/$E100*$D100*KVARDI,2))</f>
        <v/>
      </c>
      <c r="FU100" s="66" t="n"/>
      <c r="FV100" s="78">
        <f>IF(OR(INDEX(Undirviðmið!$G$6:$G$105,ROW()-6)&lt;&gt;"Starfsbundinn",FU100="",$E100="",$D100=""),"",ROUND(FU100/$E100*$D100*KVARDI,2))</f>
        <v/>
      </c>
      <c r="FW100" s="66" t="n"/>
      <c r="FX100" s="78">
        <f>IF(OR(INDEX(Undirviðmið!$G$6:$G$105,ROW()-6)&lt;&gt;"Starfsbundinn",FW100="",$E100="",$D100=""),"",ROUND(FW100/$E100*$D100*KVARDI,2))</f>
        <v/>
      </c>
      <c r="FY100" s="66" t="n"/>
      <c r="FZ100" s="78">
        <f>IF(OR(INDEX(Undirviðmið!$G$6:$G$105,ROW()-6)&lt;&gt;"Starfsbundinn",FY100="",$E100="",$D100=""),"",ROUND(FY100/$E100*$D100*KVARDI,2))</f>
        <v/>
      </c>
      <c r="GA100" s="66" t="n"/>
      <c r="GB100" s="78">
        <f>IF(OR(INDEX(Undirviðmið!$G$6:$G$105,ROW()-6)&lt;&gt;"Starfsbundinn",GA100="",$E100="",$D100=""),"",ROUND(GA100/$E100*$D100*KVARDI,2))</f>
        <v/>
      </c>
      <c r="GC100" s="66" t="n"/>
      <c r="GD100" s="78">
        <f>IF(OR(INDEX(Undirviðmið!$G$6:$G$105,ROW()-6)&lt;&gt;"Starfsbundinn",GC100="",$E100="",$D100=""),"",ROUND(GC100/$E100*$D100*KVARDI,2))</f>
        <v/>
      </c>
      <c r="GE100" s="66" t="n"/>
      <c r="GF100" s="78">
        <f>IF(OR(INDEX(Undirviðmið!$G$6:$G$105,ROW()-6)&lt;&gt;"Starfsbundinn",GE100="",$E100="",$D100=""),"",ROUND(GE100/$E100*$D100*KVARDI,2))</f>
        <v/>
      </c>
      <c r="GG100" s="66" t="n"/>
      <c r="GH100" s="78">
        <f>IF(OR(INDEX(Undirviðmið!$G$6:$G$105,ROW()-6)&lt;&gt;"Starfsbundinn",GG100="",$E100="",$D100=""),"",ROUND(GG100/$E100*$D100*KVARDI,2))</f>
        <v/>
      </c>
      <c r="GI100" s="66" t="n"/>
      <c r="GJ100" s="78">
        <f>IF(OR(INDEX(Undirviðmið!$G$6:$G$105,ROW()-6)&lt;&gt;"Starfsbundinn",GI100="",$E100="",$D100=""),"",ROUND(GI100/$E100*$D100*KVARDI,2))</f>
        <v/>
      </c>
      <c r="GK100" s="66" t="n"/>
      <c r="GL100" s="78">
        <f>IF(OR(INDEX(Undirviðmið!$G$6:$G$105,ROW()-6)&lt;&gt;"Starfsbundinn",GK100="",$E100="",$D100=""),"",ROUND(GK100/$E100*$D100*KVARDI,2))</f>
        <v/>
      </c>
      <c r="GM100" s="66" t="n"/>
      <c r="GN100" s="78">
        <f>IF(OR(INDEX(Undirviðmið!$G$6:$G$105,ROW()-6)&lt;&gt;"Starfsbundinn",GM100="",$E100="",$D100=""),"",ROUND(GM100/$E100*$D100*KVARDI,2))</f>
        <v/>
      </c>
      <c r="GO100" s="66" t="n"/>
      <c r="GP100" s="78">
        <f>IF(OR(INDEX(Undirviðmið!$G$6:$G$105,ROW()-6)&lt;&gt;"Starfsbundinn",GO100="",$E100="",$D100=""),"",ROUND(GO100/$E100*$D100*KVARDI,2))</f>
        <v/>
      </c>
      <c r="GQ100" s="66" t="n"/>
      <c r="GR100" s="78">
        <f>IF(OR(INDEX(Undirviðmið!$G$6:$G$105,ROW()-6)&lt;&gt;"Starfsbundinn",GQ100="",$E100="",$D100=""),"",ROUND(GQ100/$E100*$D100*KVARDI,2))</f>
        <v/>
      </c>
      <c r="GS100" s="66" t="n"/>
      <c r="GT100" s="78">
        <f>IF(OR(INDEX(Undirviðmið!$G$6:$G$105,ROW()-6)&lt;&gt;"Starfsbundinn",GS100="",$E100="",$D100=""),"",ROUND(GS100/$E100*$D100*KVARDI,2))</f>
        <v/>
      </c>
      <c r="GU100" s="66" t="n"/>
      <c r="GV100" s="78">
        <f>IF(OR(INDEX(Undirviðmið!$G$6:$G$105,ROW()-6)&lt;&gt;"Starfsbundinn",GU100="",$E100="",$D100=""),"",ROUND(GU100/$E100*$D100*KVARDI,2))</f>
        <v/>
      </c>
      <c r="GW100" s="66" t="n"/>
      <c r="GX100" s="78">
        <f>IF(OR(INDEX(Undirviðmið!$G$6:$G$105,ROW()-6)&lt;&gt;"Starfsbundinn",GW100="",$E100="",$D100=""),"",ROUND(GW100/$E100*$D100*KVARDI,2))</f>
        <v/>
      </c>
    </row>
    <row r="101" ht="15" customHeight="1" s="47">
      <c r="B101" s="67">
        <f>IF(INDEX(Undirviðmið!$G$6:$G$105,ROW()-6)="Starfsbundinn",INDEX(Undirviðmið!$B$6:$B$105,ROW()-6),"")</f>
        <v/>
      </c>
      <c r="C101" s="67">
        <f>IF(INDEX(Undirviðmið!$G$6:$G$105,ROW()-6)="Starfsbundinn",INDEX(Undirviðmið!$C$6:$C$105,ROW()-6),"")</f>
        <v/>
      </c>
      <c r="D101" s="77">
        <f>IF(INDEX(Undirviðmið!$G$6:$G$105,ROW()-6)="Starfsbundinn",INDEX(Undirviðmið!$E$6:$E$105,ROW()-6),"")</f>
        <v/>
      </c>
      <c r="E101" s="77">
        <f>IF(INDEX(Undirviðmið!$G$6:$G$105,ROW()-6)="Starfsbundinn",INDEX(Undirviðmið!$F$6:$F$105,ROW()-6),"")</f>
        <v/>
      </c>
      <c r="F101" s="77">
        <f>IF(INDEX(Undirviðmið!$G$6:$G$105,ROW()-6)="Starfsbundinn",IFERROR(INDEX(Undirviðmið!$E$6:$E$105,ROW()-6)*KVARDI,""),"")</f>
        <v/>
      </c>
      <c r="G101" s="66" t="n"/>
      <c r="H101" s="78">
        <f>IF(OR(INDEX(Undirviðmið!$G$6:$G$105,ROW()-6)&lt;&gt;"Starfsbundinn",G101="",$E101="",$D101=""),"",ROUND(G101/$E101*$D101*KVARDI,2))</f>
        <v/>
      </c>
      <c r="I101" s="66" t="n"/>
      <c r="J101" s="78">
        <f>IF(OR(INDEX(Undirviðmið!$G$6:$G$105,ROW()-6)&lt;&gt;"Starfsbundinn",I101="",$E101="",$D101=""),"",ROUND(I101/$E101*$D101*KVARDI,2))</f>
        <v/>
      </c>
      <c r="K101" s="66" t="n"/>
      <c r="L101" s="78">
        <f>IF(OR(INDEX(Undirviðmið!$G$6:$G$105,ROW()-6)&lt;&gt;"Starfsbundinn",K101="",$E101="",$D101=""),"",ROUND(K101/$E101*$D101*KVARDI,2))</f>
        <v/>
      </c>
      <c r="M101" s="66" t="n"/>
      <c r="N101" s="78">
        <f>IF(OR(INDEX(Undirviðmið!$G$6:$G$105,ROW()-6)&lt;&gt;"Starfsbundinn",M101="",$E101="",$D101=""),"",ROUND(M101/$E101*$D101*KVARDI,2))</f>
        <v/>
      </c>
      <c r="O101" s="66" t="n"/>
      <c r="P101" s="78">
        <f>IF(OR(INDEX(Undirviðmið!$G$6:$G$105,ROW()-6)&lt;&gt;"Starfsbundinn",O101="",$E101="",$D101=""),"",ROUND(O101/$E101*$D101*KVARDI,2))</f>
        <v/>
      </c>
      <c r="Q101" s="66" t="n"/>
      <c r="R101" s="78">
        <f>IF(OR(INDEX(Undirviðmið!$G$6:$G$105,ROW()-6)&lt;&gt;"Starfsbundinn",Q101="",$E101="",$D101=""),"",ROUND(Q101/$E101*$D101*KVARDI,2))</f>
        <v/>
      </c>
      <c r="S101" s="66" t="n"/>
      <c r="T101" s="78">
        <f>IF(OR(INDEX(Undirviðmið!$G$6:$G$105,ROW()-6)&lt;&gt;"Starfsbundinn",S101="",$E101="",$D101=""),"",ROUND(S101/$E101*$D101*KVARDI,2))</f>
        <v/>
      </c>
      <c r="U101" s="66" t="n"/>
      <c r="V101" s="78">
        <f>IF(OR(INDEX(Undirviðmið!$G$6:$G$105,ROW()-6)&lt;&gt;"Starfsbundinn",U101="",$E101="",$D101=""),"",ROUND(U101/$E101*$D101*KVARDI,2))</f>
        <v/>
      </c>
      <c r="W101" s="66" t="n"/>
      <c r="X101" s="78">
        <f>IF(OR(INDEX(Undirviðmið!$G$6:$G$105,ROW()-6)&lt;&gt;"Starfsbundinn",W101="",$E101="",$D101=""),"",ROUND(W101/$E101*$D101*KVARDI,2))</f>
        <v/>
      </c>
      <c r="Y101" s="66" t="n"/>
      <c r="Z101" s="78">
        <f>IF(OR(INDEX(Undirviðmið!$G$6:$G$105,ROW()-6)&lt;&gt;"Starfsbundinn",Y101="",$E101="",$D101=""),"",ROUND(Y101/$E101*$D101*KVARDI,2))</f>
        <v/>
      </c>
      <c r="AA101" s="66" t="n"/>
      <c r="AB101" s="78">
        <f>IF(OR(INDEX(Undirviðmið!$G$6:$G$105,ROW()-6)&lt;&gt;"Starfsbundinn",AA101="",$E101="",$D101=""),"",ROUND(AA101/$E101*$D101*KVARDI,2))</f>
        <v/>
      </c>
      <c r="AC101" s="66" t="n"/>
      <c r="AD101" s="78">
        <f>IF(OR(INDEX(Undirviðmið!$G$6:$G$105,ROW()-6)&lt;&gt;"Starfsbundinn",AC101="",$E101="",$D101=""),"",ROUND(AC101/$E101*$D101*KVARDI,2))</f>
        <v/>
      </c>
      <c r="AE101" s="66" t="n"/>
      <c r="AF101" s="78">
        <f>IF(OR(INDEX(Undirviðmið!$G$6:$G$105,ROW()-6)&lt;&gt;"Starfsbundinn",AE101="",$E101="",$D101=""),"",ROUND(AE101/$E101*$D101*KVARDI,2))</f>
        <v/>
      </c>
      <c r="AG101" s="66" t="n"/>
      <c r="AH101" s="78">
        <f>IF(OR(INDEX(Undirviðmið!$G$6:$G$105,ROW()-6)&lt;&gt;"Starfsbundinn",AG101="",$E101="",$D101=""),"",ROUND(AG101/$E101*$D101*KVARDI,2))</f>
        <v/>
      </c>
      <c r="AI101" s="66" t="n"/>
      <c r="AJ101" s="78">
        <f>IF(OR(INDEX(Undirviðmið!$G$6:$G$105,ROW()-6)&lt;&gt;"Starfsbundinn",AI101="",$E101="",$D101=""),"",ROUND(AI101/$E101*$D101*KVARDI,2))</f>
        <v/>
      </c>
      <c r="AK101" s="66" t="n"/>
      <c r="AL101" s="78">
        <f>IF(OR(INDEX(Undirviðmið!$G$6:$G$105,ROW()-6)&lt;&gt;"Starfsbundinn",AK101="",$E101="",$D101=""),"",ROUND(AK101/$E101*$D101*KVARDI,2))</f>
        <v/>
      </c>
      <c r="AM101" s="66" t="n"/>
      <c r="AN101" s="78">
        <f>IF(OR(INDEX(Undirviðmið!$G$6:$G$105,ROW()-6)&lt;&gt;"Starfsbundinn",AM101="",$E101="",$D101=""),"",ROUND(AM101/$E101*$D101*KVARDI,2))</f>
        <v/>
      </c>
      <c r="AO101" s="66" t="n"/>
      <c r="AP101" s="78">
        <f>IF(OR(INDEX(Undirviðmið!$G$6:$G$105,ROW()-6)&lt;&gt;"Starfsbundinn",AO101="",$E101="",$D101=""),"",ROUND(AO101/$E101*$D101*KVARDI,2))</f>
        <v/>
      </c>
      <c r="AQ101" s="66" t="n"/>
      <c r="AR101" s="78">
        <f>IF(OR(INDEX(Undirviðmið!$G$6:$G$105,ROW()-6)&lt;&gt;"Starfsbundinn",AQ101="",$E101="",$D101=""),"",ROUND(AQ101/$E101*$D101*KVARDI,2))</f>
        <v/>
      </c>
      <c r="AS101" s="66" t="n"/>
      <c r="AT101" s="78">
        <f>IF(OR(INDEX(Undirviðmið!$G$6:$G$105,ROW()-6)&lt;&gt;"Starfsbundinn",AS101="",$E101="",$D101=""),"",ROUND(AS101/$E101*$D101*KVARDI,2))</f>
        <v/>
      </c>
      <c r="AU101" s="66" t="n"/>
      <c r="AV101" s="78">
        <f>IF(OR(INDEX(Undirviðmið!$G$6:$G$105,ROW()-6)&lt;&gt;"Starfsbundinn",AU101="",$E101="",$D101=""),"",ROUND(AU101/$E101*$D101*KVARDI,2))</f>
        <v/>
      </c>
      <c r="AW101" s="66" t="n"/>
      <c r="AX101" s="78">
        <f>IF(OR(INDEX(Undirviðmið!$G$6:$G$105,ROW()-6)&lt;&gt;"Starfsbundinn",AW101="",$E101="",$D101=""),"",ROUND(AW101/$E101*$D101*KVARDI,2))</f>
        <v/>
      </c>
      <c r="AY101" s="66" t="n"/>
      <c r="AZ101" s="78">
        <f>IF(OR(INDEX(Undirviðmið!$G$6:$G$105,ROW()-6)&lt;&gt;"Starfsbundinn",AY101="",$E101="",$D101=""),"",ROUND(AY101/$E101*$D101*KVARDI,2))</f>
        <v/>
      </c>
      <c r="BA101" s="66" t="n"/>
      <c r="BB101" s="78">
        <f>IF(OR(INDEX(Undirviðmið!$G$6:$G$105,ROW()-6)&lt;&gt;"Starfsbundinn",BA101="",$E101="",$D101=""),"",ROUND(BA101/$E101*$D101*KVARDI,2))</f>
        <v/>
      </c>
      <c r="BC101" s="66" t="n"/>
      <c r="BD101" s="78">
        <f>IF(OR(INDEX(Undirviðmið!$G$6:$G$105,ROW()-6)&lt;&gt;"Starfsbundinn",BC101="",$E101="",$D101=""),"",ROUND(BC101/$E101*$D101*KVARDI,2))</f>
        <v/>
      </c>
      <c r="BE101" s="66" t="n"/>
      <c r="BF101" s="78">
        <f>IF(OR(INDEX(Undirviðmið!$G$6:$G$105,ROW()-6)&lt;&gt;"Starfsbundinn",BE101="",$E101="",$D101=""),"",ROUND(BE101/$E101*$D101*KVARDI,2))</f>
        <v/>
      </c>
      <c r="BG101" s="66" t="n"/>
      <c r="BH101" s="78">
        <f>IF(OR(INDEX(Undirviðmið!$G$6:$G$105,ROW()-6)&lt;&gt;"Starfsbundinn",BG101="",$E101="",$D101=""),"",ROUND(BG101/$E101*$D101*KVARDI,2))</f>
        <v/>
      </c>
      <c r="BI101" s="66" t="n"/>
      <c r="BJ101" s="78">
        <f>IF(OR(INDEX(Undirviðmið!$G$6:$G$105,ROW()-6)&lt;&gt;"Starfsbundinn",BI101="",$E101="",$D101=""),"",ROUND(BI101/$E101*$D101*KVARDI,2))</f>
        <v/>
      </c>
      <c r="BK101" s="66" t="n"/>
      <c r="BL101" s="78">
        <f>IF(OR(INDEX(Undirviðmið!$G$6:$G$105,ROW()-6)&lt;&gt;"Starfsbundinn",BK101="",$E101="",$D101=""),"",ROUND(BK101/$E101*$D101*KVARDI,2))</f>
        <v/>
      </c>
      <c r="BM101" s="66" t="n"/>
      <c r="BN101" s="78">
        <f>IF(OR(INDEX(Undirviðmið!$G$6:$G$105,ROW()-6)&lt;&gt;"Starfsbundinn",BM101="",$E101="",$D101=""),"",ROUND(BM101/$E101*$D101*KVARDI,2))</f>
        <v/>
      </c>
      <c r="BO101" s="66" t="n"/>
      <c r="BP101" s="78">
        <f>IF(OR(INDEX(Undirviðmið!$G$6:$G$105,ROW()-6)&lt;&gt;"Starfsbundinn",BO101="",$E101="",$D101=""),"",ROUND(BO101/$E101*$D101*KVARDI,2))</f>
        <v/>
      </c>
      <c r="BQ101" s="66" t="n"/>
      <c r="BR101" s="78">
        <f>IF(OR(INDEX(Undirviðmið!$G$6:$G$105,ROW()-6)&lt;&gt;"Starfsbundinn",BQ101="",$E101="",$D101=""),"",ROUND(BQ101/$E101*$D101*KVARDI,2))</f>
        <v/>
      </c>
      <c r="BS101" s="66" t="n"/>
      <c r="BT101" s="78">
        <f>IF(OR(INDEX(Undirviðmið!$G$6:$G$105,ROW()-6)&lt;&gt;"Starfsbundinn",BS101="",$E101="",$D101=""),"",ROUND(BS101/$E101*$D101*KVARDI,2))</f>
        <v/>
      </c>
      <c r="BU101" s="66" t="n"/>
      <c r="BV101" s="78">
        <f>IF(OR(INDEX(Undirviðmið!$G$6:$G$105,ROW()-6)&lt;&gt;"Starfsbundinn",BU101="",$E101="",$D101=""),"",ROUND(BU101/$E101*$D101*KVARDI,2))</f>
        <v/>
      </c>
      <c r="BW101" s="66" t="n"/>
      <c r="BX101" s="78">
        <f>IF(OR(INDEX(Undirviðmið!$G$6:$G$105,ROW()-6)&lt;&gt;"Starfsbundinn",BW101="",$E101="",$D101=""),"",ROUND(BW101/$E101*$D101*KVARDI,2))</f>
        <v/>
      </c>
      <c r="BY101" s="66" t="n"/>
      <c r="BZ101" s="78">
        <f>IF(OR(INDEX(Undirviðmið!$G$6:$G$105,ROW()-6)&lt;&gt;"Starfsbundinn",BY101="",$E101="",$D101=""),"",ROUND(BY101/$E101*$D101*KVARDI,2))</f>
        <v/>
      </c>
      <c r="CA101" s="66" t="n"/>
      <c r="CB101" s="78">
        <f>IF(OR(INDEX(Undirviðmið!$G$6:$G$105,ROW()-6)&lt;&gt;"Starfsbundinn",CA101="",$E101="",$D101=""),"",ROUND(CA101/$E101*$D101*KVARDI,2))</f>
        <v/>
      </c>
      <c r="CC101" s="66" t="n"/>
      <c r="CD101" s="78">
        <f>IF(OR(INDEX(Undirviðmið!$G$6:$G$105,ROW()-6)&lt;&gt;"Starfsbundinn",CC101="",$E101="",$D101=""),"",ROUND(CC101/$E101*$D101*KVARDI,2))</f>
        <v/>
      </c>
      <c r="CE101" s="66" t="n"/>
      <c r="CF101" s="78">
        <f>IF(OR(INDEX(Undirviðmið!$G$6:$G$105,ROW()-6)&lt;&gt;"Starfsbundinn",CE101="",$E101="",$D101=""),"",ROUND(CE101/$E101*$D101*KVARDI,2))</f>
        <v/>
      </c>
      <c r="CG101" s="66" t="n"/>
      <c r="CH101" s="78">
        <f>IF(OR(INDEX(Undirviðmið!$G$6:$G$105,ROW()-6)&lt;&gt;"Starfsbundinn",CG101="",$E101="",$D101=""),"",ROUND(CG101/$E101*$D101*KVARDI,2))</f>
        <v/>
      </c>
      <c r="CI101" s="66" t="n"/>
      <c r="CJ101" s="78">
        <f>IF(OR(INDEX(Undirviðmið!$G$6:$G$105,ROW()-6)&lt;&gt;"Starfsbundinn",CI101="",$E101="",$D101=""),"",ROUND(CI101/$E101*$D101*KVARDI,2))</f>
        <v/>
      </c>
      <c r="CK101" s="66" t="n"/>
      <c r="CL101" s="78">
        <f>IF(OR(INDEX(Undirviðmið!$G$6:$G$105,ROW()-6)&lt;&gt;"Starfsbundinn",CK101="",$E101="",$D101=""),"",ROUND(CK101/$E101*$D101*KVARDI,2))</f>
        <v/>
      </c>
      <c r="CM101" s="66" t="n"/>
      <c r="CN101" s="78">
        <f>IF(OR(INDEX(Undirviðmið!$G$6:$G$105,ROW()-6)&lt;&gt;"Starfsbundinn",CM101="",$E101="",$D101=""),"",ROUND(CM101/$E101*$D101*KVARDI,2))</f>
        <v/>
      </c>
      <c r="CO101" s="66" t="n"/>
      <c r="CP101" s="78">
        <f>IF(OR(INDEX(Undirviðmið!$G$6:$G$105,ROW()-6)&lt;&gt;"Starfsbundinn",CO101="",$E101="",$D101=""),"",ROUND(CO101/$E101*$D101*KVARDI,2))</f>
        <v/>
      </c>
      <c r="CQ101" s="66" t="n"/>
      <c r="CR101" s="78">
        <f>IF(OR(INDEX(Undirviðmið!$G$6:$G$105,ROW()-6)&lt;&gt;"Starfsbundinn",CQ101="",$E101="",$D101=""),"",ROUND(CQ101/$E101*$D101*KVARDI,2))</f>
        <v/>
      </c>
      <c r="CS101" s="66" t="n"/>
      <c r="CT101" s="78">
        <f>IF(OR(INDEX(Undirviðmið!$G$6:$G$105,ROW()-6)&lt;&gt;"Starfsbundinn",CS101="",$E101="",$D101=""),"",ROUND(CS101/$E101*$D101*KVARDI,2))</f>
        <v/>
      </c>
      <c r="CU101" s="66" t="n"/>
      <c r="CV101" s="78">
        <f>IF(OR(INDEX(Undirviðmið!$G$6:$G$105,ROW()-6)&lt;&gt;"Starfsbundinn",CU101="",$E101="",$D101=""),"",ROUND(CU101/$E101*$D101*KVARDI,2))</f>
        <v/>
      </c>
      <c r="CW101" s="66" t="n"/>
      <c r="CX101" s="78">
        <f>IF(OR(INDEX(Undirviðmið!$G$6:$G$105,ROW()-6)&lt;&gt;"Starfsbundinn",CW101="",$E101="",$D101=""),"",ROUND(CW101/$E101*$D101*KVARDI,2))</f>
        <v/>
      </c>
      <c r="CY101" s="66" t="n"/>
      <c r="CZ101" s="78">
        <f>IF(OR(INDEX(Undirviðmið!$G$6:$G$105,ROW()-6)&lt;&gt;"Starfsbundinn",CY101="",$E101="",$D101=""),"",ROUND(CY101/$E101*$D101*KVARDI,2))</f>
        <v/>
      </c>
      <c r="DA101" s="66" t="n"/>
      <c r="DB101" s="78">
        <f>IF(OR(INDEX(Undirviðmið!$G$6:$G$105,ROW()-6)&lt;&gt;"Starfsbundinn",DA101="",$E101="",$D101=""),"",ROUND(DA101/$E101*$D101*KVARDI,2))</f>
        <v/>
      </c>
      <c r="DC101" s="66" t="n"/>
      <c r="DD101" s="78">
        <f>IF(OR(INDEX(Undirviðmið!$G$6:$G$105,ROW()-6)&lt;&gt;"Starfsbundinn",DC101="",$E101="",$D101=""),"",ROUND(DC101/$E101*$D101*KVARDI,2))</f>
        <v/>
      </c>
      <c r="DE101" s="66" t="n"/>
      <c r="DF101" s="78">
        <f>IF(OR(INDEX(Undirviðmið!$G$6:$G$105,ROW()-6)&lt;&gt;"Starfsbundinn",DE101="",$E101="",$D101=""),"",ROUND(DE101/$E101*$D101*KVARDI,2))</f>
        <v/>
      </c>
      <c r="DG101" s="66" t="n"/>
      <c r="DH101" s="78">
        <f>IF(OR(INDEX(Undirviðmið!$G$6:$G$105,ROW()-6)&lt;&gt;"Starfsbundinn",DG101="",$E101="",$D101=""),"",ROUND(DG101/$E101*$D101*KVARDI,2))</f>
        <v/>
      </c>
      <c r="DI101" s="66" t="n"/>
      <c r="DJ101" s="78">
        <f>IF(OR(INDEX(Undirviðmið!$G$6:$G$105,ROW()-6)&lt;&gt;"Starfsbundinn",DI101="",$E101="",$D101=""),"",ROUND(DI101/$E101*$D101*KVARDI,2))</f>
        <v/>
      </c>
      <c r="DK101" s="66" t="n"/>
      <c r="DL101" s="78">
        <f>IF(OR(INDEX(Undirviðmið!$G$6:$G$105,ROW()-6)&lt;&gt;"Starfsbundinn",DK101="",$E101="",$D101=""),"",ROUND(DK101/$E101*$D101*KVARDI,2))</f>
        <v/>
      </c>
      <c r="DM101" s="66" t="n"/>
      <c r="DN101" s="78">
        <f>IF(OR(INDEX(Undirviðmið!$G$6:$G$105,ROW()-6)&lt;&gt;"Starfsbundinn",DM101="",$E101="",$D101=""),"",ROUND(DM101/$E101*$D101*KVARDI,2))</f>
        <v/>
      </c>
      <c r="DO101" s="66" t="n"/>
      <c r="DP101" s="78">
        <f>IF(OR(INDEX(Undirviðmið!$G$6:$G$105,ROW()-6)&lt;&gt;"Starfsbundinn",DO101="",$E101="",$D101=""),"",ROUND(DO101/$E101*$D101*KVARDI,2))</f>
        <v/>
      </c>
      <c r="DQ101" s="66" t="n"/>
      <c r="DR101" s="78">
        <f>IF(OR(INDEX(Undirviðmið!$G$6:$G$105,ROW()-6)&lt;&gt;"Starfsbundinn",DQ101="",$E101="",$D101=""),"",ROUND(DQ101/$E101*$D101*KVARDI,2))</f>
        <v/>
      </c>
      <c r="DS101" s="66" t="n"/>
      <c r="DT101" s="78">
        <f>IF(OR(INDEX(Undirviðmið!$G$6:$G$105,ROW()-6)&lt;&gt;"Starfsbundinn",DS101="",$E101="",$D101=""),"",ROUND(DS101/$E101*$D101*KVARDI,2))</f>
        <v/>
      </c>
      <c r="DU101" s="66" t="n"/>
      <c r="DV101" s="78">
        <f>IF(OR(INDEX(Undirviðmið!$G$6:$G$105,ROW()-6)&lt;&gt;"Starfsbundinn",DU101="",$E101="",$D101=""),"",ROUND(DU101/$E101*$D101*KVARDI,2))</f>
        <v/>
      </c>
      <c r="DW101" s="66" t="n"/>
      <c r="DX101" s="78">
        <f>IF(OR(INDEX(Undirviðmið!$G$6:$G$105,ROW()-6)&lt;&gt;"Starfsbundinn",DW101="",$E101="",$D101=""),"",ROUND(DW101/$E101*$D101*KVARDI,2))</f>
        <v/>
      </c>
      <c r="DY101" s="66" t="n"/>
      <c r="DZ101" s="78">
        <f>IF(OR(INDEX(Undirviðmið!$G$6:$G$105,ROW()-6)&lt;&gt;"Starfsbundinn",DY101="",$E101="",$D101=""),"",ROUND(DY101/$E101*$D101*KVARDI,2))</f>
        <v/>
      </c>
      <c r="EA101" s="66" t="n"/>
      <c r="EB101" s="78">
        <f>IF(OR(INDEX(Undirviðmið!$G$6:$G$105,ROW()-6)&lt;&gt;"Starfsbundinn",EA101="",$E101="",$D101=""),"",ROUND(EA101/$E101*$D101*KVARDI,2))</f>
        <v/>
      </c>
      <c r="EC101" s="66" t="n"/>
      <c r="ED101" s="78">
        <f>IF(OR(INDEX(Undirviðmið!$G$6:$G$105,ROW()-6)&lt;&gt;"Starfsbundinn",EC101="",$E101="",$D101=""),"",ROUND(EC101/$E101*$D101*KVARDI,2))</f>
        <v/>
      </c>
      <c r="EE101" s="66" t="n"/>
      <c r="EF101" s="78">
        <f>IF(OR(INDEX(Undirviðmið!$G$6:$G$105,ROW()-6)&lt;&gt;"Starfsbundinn",EE101="",$E101="",$D101=""),"",ROUND(EE101/$E101*$D101*KVARDI,2))</f>
        <v/>
      </c>
      <c r="EG101" s="66" t="n"/>
      <c r="EH101" s="78">
        <f>IF(OR(INDEX(Undirviðmið!$G$6:$G$105,ROW()-6)&lt;&gt;"Starfsbundinn",EG101="",$E101="",$D101=""),"",ROUND(EG101/$E101*$D101*KVARDI,2))</f>
        <v/>
      </c>
      <c r="EI101" s="66" t="n"/>
      <c r="EJ101" s="78">
        <f>IF(OR(INDEX(Undirviðmið!$G$6:$G$105,ROW()-6)&lt;&gt;"Starfsbundinn",EI101="",$E101="",$D101=""),"",ROUND(EI101/$E101*$D101*KVARDI,2))</f>
        <v/>
      </c>
      <c r="EK101" s="66" t="n"/>
      <c r="EL101" s="78">
        <f>IF(OR(INDEX(Undirviðmið!$G$6:$G$105,ROW()-6)&lt;&gt;"Starfsbundinn",EK101="",$E101="",$D101=""),"",ROUND(EK101/$E101*$D101*KVARDI,2))</f>
        <v/>
      </c>
      <c r="EM101" s="66" t="n"/>
      <c r="EN101" s="78">
        <f>IF(OR(INDEX(Undirviðmið!$G$6:$G$105,ROW()-6)&lt;&gt;"Starfsbundinn",EM101="",$E101="",$D101=""),"",ROUND(EM101/$E101*$D101*KVARDI,2))</f>
        <v/>
      </c>
      <c r="EO101" s="66" t="n"/>
      <c r="EP101" s="78">
        <f>IF(OR(INDEX(Undirviðmið!$G$6:$G$105,ROW()-6)&lt;&gt;"Starfsbundinn",EO101="",$E101="",$D101=""),"",ROUND(EO101/$E101*$D101*KVARDI,2))</f>
        <v/>
      </c>
      <c r="EQ101" s="66" t="n"/>
      <c r="ER101" s="78">
        <f>IF(OR(INDEX(Undirviðmið!$G$6:$G$105,ROW()-6)&lt;&gt;"Starfsbundinn",EQ101="",$E101="",$D101=""),"",ROUND(EQ101/$E101*$D101*KVARDI,2))</f>
        <v/>
      </c>
      <c r="ES101" s="66" t="n"/>
      <c r="ET101" s="78">
        <f>IF(OR(INDEX(Undirviðmið!$G$6:$G$105,ROW()-6)&lt;&gt;"Starfsbundinn",ES101="",$E101="",$D101=""),"",ROUND(ES101/$E101*$D101*KVARDI,2))</f>
        <v/>
      </c>
      <c r="EU101" s="66" t="n"/>
      <c r="EV101" s="78">
        <f>IF(OR(INDEX(Undirviðmið!$G$6:$G$105,ROW()-6)&lt;&gt;"Starfsbundinn",EU101="",$E101="",$D101=""),"",ROUND(EU101/$E101*$D101*KVARDI,2))</f>
        <v/>
      </c>
      <c r="EW101" s="66" t="n"/>
      <c r="EX101" s="78">
        <f>IF(OR(INDEX(Undirviðmið!$G$6:$G$105,ROW()-6)&lt;&gt;"Starfsbundinn",EW101="",$E101="",$D101=""),"",ROUND(EW101/$E101*$D101*KVARDI,2))</f>
        <v/>
      </c>
      <c r="EY101" s="66" t="n"/>
      <c r="EZ101" s="78">
        <f>IF(OR(INDEX(Undirviðmið!$G$6:$G$105,ROW()-6)&lt;&gt;"Starfsbundinn",EY101="",$E101="",$D101=""),"",ROUND(EY101/$E101*$D101*KVARDI,2))</f>
        <v/>
      </c>
      <c r="FA101" s="66" t="n"/>
      <c r="FB101" s="78">
        <f>IF(OR(INDEX(Undirviðmið!$G$6:$G$105,ROW()-6)&lt;&gt;"Starfsbundinn",FA101="",$E101="",$D101=""),"",ROUND(FA101/$E101*$D101*KVARDI,2))</f>
        <v/>
      </c>
      <c r="FC101" s="66" t="n"/>
      <c r="FD101" s="78">
        <f>IF(OR(INDEX(Undirviðmið!$G$6:$G$105,ROW()-6)&lt;&gt;"Starfsbundinn",FC101="",$E101="",$D101=""),"",ROUND(FC101/$E101*$D101*KVARDI,2))</f>
        <v/>
      </c>
      <c r="FE101" s="66" t="n"/>
      <c r="FF101" s="78">
        <f>IF(OR(INDEX(Undirviðmið!$G$6:$G$105,ROW()-6)&lt;&gt;"Starfsbundinn",FE101="",$E101="",$D101=""),"",ROUND(FE101/$E101*$D101*KVARDI,2))</f>
        <v/>
      </c>
      <c r="FG101" s="66" t="n"/>
      <c r="FH101" s="78">
        <f>IF(OR(INDEX(Undirviðmið!$G$6:$G$105,ROW()-6)&lt;&gt;"Starfsbundinn",FG101="",$E101="",$D101=""),"",ROUND(FG101/$E101*$D101*KVARDI,2))</f>
        <v/>
      </c>
      <c r="FI101" s="66" t="n"/>
      <c r="FJ101" s="78">
        <f>IF(OR(INDEX(Undirviðmið!$G$6:$G$105,ROW()-6)&lt;&gt;"Starfsbundinn",FI101="",$E101="",$D101=""),"",ROUND(FI101/$E101*$D101*KVARDI,2))</f>
        <v/>
      </c>
      <c r="FK101" s="66" t="n"/>
      <c r="FL101" s="78">
        <f>IF(OR(INDEX(Undirviðmið!$G$6:$G$105,ROW()-6)&lt;&gt;"Starfsbundinn",FK101="",$E101="",$D101=""),"",ROUND(FK101/$E101*$D101*KVARDI,2))</f>
        <v/>
      </c>
      <c r="FM101" s="66" t="n"/>
      <c r="FN101" s="78">
        <f>IF(OR(INDEX(Undirviðmið!$G$6:$G$105,ROW()-6)&lt;&gt;"Starfsbundinn",FM101="",$E101="",$D101=""),"",ROUND(FM101/$E101*$D101*KVARDI,2))</f>
        <v/>
      </c>
      <c r="FO101" s="66" t="n"/>
      <c r="FP101" s="78">
        <f>IF(OR(INDEX(Undirviðmið!$G$6:$G$105,ROW()-6)&lt;&gt;"Starfsbundinn",FO101="",$E101="",$D101=""),"",ROUND(FO101/$E101*$D101*KVARDI,2))</f>
        <v/>
      </c>
      <c r="FQ101" s="66" t="n"/>
      <c r="FR101" s="78">
        <f>IF(OR(INDEX(Undirviðmið!$G$6:$G$105,ROW()-6)&lt;&gt;"Starfsbundinn",FQ101="",$E101="",$D101=""),"",ROUND(FQ101/$E101*$D101*KVARDI,2))</f>
        <v/>
      </c>
      <c r="FS101" s="66" t="n"/>
      <c r="FT101" s="78">
        <f>IF(OR(INDEX(Undirviðmið!$G$6:$G$105,ROW()-6)&lt;&gt;"Starfsbundinn",FS101="",$E101="",$D101=""),"",ROUND(FS101/$E101*$D101*KVARDI,2))</f>
        <v/>
      </c>
      <c r="FU101" s="66" t="n"/>
      <c r="FV101" s="78">
        <f>IF(OR(INDEX(Undirviðmið!$G$6:$G$105,ROW()-6)&lt;&gt;"Starfsbundinn",FU101="",$E101="",$D101=""),"",ROUND(FU101/$E101*$D101*KVARDI,2))</f>
        <v/>
      </c>
      <c r="FW101" s="66" t="n"/>
      <c r="FX101" s="78">
        <f>IF(OR(INDEX(Undirviðmið!$G$6:$G$105,ROW()-6)&lt;&gt;"Starfsbundinn",FW101="",$E101="",$D101=""),"",ROUND(FW101/$E101*$D101*KVARDI,2))</f>
        <v/>
      </c>
      <c r="FY101" s="66" t="n"/>
      <c r="FZ101" s="78">
        <f>IF(OR(INDEX(Undirviðmið!$G$6:$G$105,ROW()-6)&lt;&gt;"Starfsbundinn",FY101="",$E101="",$D101=""),"",ROUND(FY101/$E101*$D101*KVARDI,2))</f>
        <v/>
      </c>
      <c r="GA101" s="66" t="n"/>
      <c r="GB101" s="78">
        <f>IF(OR(INDEX(Undirviðmið!$G$6:$G$105,ROW()-6)&lt;&gt;"Starfsbundinn",GA101="",$E101="",$D101=""),"",ROUND(GA101/$E101*$D101*KVARDI,2))</f>
        <v/>
      </c>
      <c r="GC101" s="66" t="n"/>
      <c r="GD101" s="78">
        <f>IF(OR(INDEX(Undirviðmið!$G$6:$G$105,ROW()-6)&lt;&gt;"Starfsbundinn",GC101="",$E101="",$D101=""),"",ROUND(GC101/$E101*$D101*KVARDI,2))</f>
        <v/>
      </c>
      <c r="GE101" s="66" t="n"/>
      <c r="GF101" s="78">
        <f>IF(OR(INDEX(Undirviðmið!$G$6:$G$105,ROW()-6)&lt;&gt;"Starfsbundinn",GE101="",$E101="",$D101=""),"",ROUND(GE101/$E101*$D101*KVARDI,2))</f>
        <v/>
      </c>
      <c r="GG101" s="66" t="n"/>
      <c r="GH101" s="78">
        <f>IF(OR(INDEX(Undirviðmið!$G$6:$G$105,ROW()-6)&lt;&gt;"Starfsbundinn",GG101="",$E101="",$D101=""),"",ROUND(GG101/$E101*$D101*KVARDI,2))</f>
        <v/>
      </c>
      <c r="GI101" s="66" t="n"/>
      <c r="GJ101" s="78">
        <f>IF(OR(INDEX(Undirviðmið!$G$6:$G$105,ROW()-6)&lt;&gt;"Starfsbundinn",GI101="",$E101="",$D101=""),"",ROUND(GI101/$E101*$D101*KVARDI,2))</f>
        <v/>
      </c>
      <c r="GK101" s="66" t="n"/>
      <c r="GL101" s="78">
        <f>IF(OR(INDEX(Undirviðmið!$G$6:$G$105,ROW()-6)&lt;&gt;"Starfsbundinn",GK101="",$E101="",$D101=""),"",ROUND(GK101/$E101*$D101*KVARDI,2))</f>
        <v/>
      </c>
      <c r="GM101" s="66" t="n"/>
      <c r="GN101" s="78">
        <f>IF(OR(INDEX(Undirviðmið!$G$6:$G$105,ROW()-6)&lt;&gt;"Starfsbundinn",GM101="",$E101="",$D101=""),"",ROUND(GM101/$E101*$D101*KVARDI,2))</f>
        <v/>
      </c>
      <c r="GO101" s="66" t="n"/>
      <c r="GP101" s="78">
        <f>IF(OR(INDEX(Undirviðmið!$G$6:$G$105,ROW()-6)&lt;&gt;"Starfsbundinn",GO101="",$E101="",$D101=""),"",ROUND(GO101/$E101*$D101*KVARDI,2))</f>
        <v/>
      </c>
      <c r="GQ101" s="66" t="n"/>
      <c r="GR101" s="78">
        <f>IF(OR(INDEX(Undirviðmið!$G$6:$G$105,ROW()-6)&lt;&gt;"Starfsbundinn",GQ101="",$E101="",$D101=""),"",ROUND(GQ101/$E101*$D101*KVARDI,2))</f>
        <v/>
      </c>
      <c r="GS101" s="66" t="n"/>
      <c r="GT101" s="78">
        <f>IF(OR(INDEX(Undirviðmið!$G$6:$G$105,ROW()-6)&lt;&gt;"Starfsbundinn",GS101="",$E101="",$D101=""),"",ROUND(GS101/$E101*$D101*KVARDI,2))</f>
        <v/>
      </c>
      <c r="GU101" s="66" t="n"/>
      <c r="GV101" s="78">
        <f>IF(OR(INDEX(Undirviðmið!$G$6:$G$105,ROW()-6)&lt;&gt;"Starfsbundinn",GU101="",$E101="",$D101=""),"",ROUND(GU101/$E101*$D101*KVARDI,2))</f>
        <v/>
      </c>
      <c r="GW101" s="66" t="n"/>
      <c r="GX101" s="78">
        <f>IF(OR(INDEX(Undirviðmið!$G$6:$G$105,ROW()-6)&lt;&gt;"Starfsbundinn",GW101="",$E101="",$D101=""),"",ROUND(GW101/$E101*$D101*KVARDI,2))</f>
        <v/>
      </c>
    </row>
    <row r="102" ht="15" customHeight="1" s="47">
      <c r="B102" s="67">
        <f>IF(INDEX(Undirviðmið!$G$6:$G$105,ROW()-6)="Starfsbundinn",INDEX(Undirviðmið!$B$6:$B$105,ROW()-6),"")</f>
        <v/>
      </c>
      <c r="C102" s="67">
        <f>IF(INDEX(Undirviðmið!$G$6:$G$105,ROW()-6)="Starfsbundinn",INDEX(Undirviðmið!$C$6:$C$105,ROW()-6),"")</f>
        <v/>
      </c>
      <c r="D102" s="77">
        <f>IF(INDEX(Undirviðmið!$G$6:$G$105,ROW()-6)="Starfsbundinn",INDEX(Undirviðmið!$E$6:$E$105,ROW()-6),"")</f>
        <v/>
      </c>
      <c r="E102" s="77">
        <f>IF(INDEX(Undirviðmið!$G$6:$G$105,ROW()-6)="Starfsbundinn",INDEX(Undirviðmið!$F$6:$F$105,ROW()-6),"")</f>
        <v/>
      </c>
      <c r="F102" s="77">
        <f>IF(INDEX(Undirviðmið!$G$6:$G$105,ROW()-6)="Starfsbundinn",IFERROR(INDEX(Undirviðmið!$E$6:$E$105,ROW()-6)*KVARDI,""),"")</f>
        <v/>
      </c>
      <c r="G102" s="66" t="n"/>
      <c r="H102" s="78">
        <f>IF(OR(INDEX(Undirviðmið!$G$6:$G$105,ROW()-6)&lt;&gt;"Starfsbundinn",G102="",$E102="",$D102=""),"",ROUND(G102/$E102*$D102*KVARDI,2))</f>
        <v/>
      </c>
      <c r="I102" s="66" t="n"/>
      <c r="J102" s="78">
        <f>IF(OR(INDEX(Undirviðmið!$G$6:$G$105,ROW()-6)&lt;&gt;"Starfsbundinn",I102="",$E102="",$D102=""),"",ROUND(I102/$E102*$D102*KVARDI,2))</f>
        <v/>
      </c>
      <c r="K102" s="66" t="n"/>
      <c r="L102" s="78">
        <f>IF(OR(INDEX(Undirviðmið!$G$6:$G$105,ROW()-6)&lt;&gt;"Starfsbundinn",K102="",$E102="",$D102=""),"",ROUND(K102/$E102*$D102*KVARDI,2))</f>
        <v/>
      </c>
      <c r="M102" s="66" t="n"/>
      <c r="N102" s="78">
        <f>IF(OR(INDEX(Undirviðmið!$G$6:$G$105,ROW()-6)&lt;&gt;"Starfsbundinn",M102="",$E102="",$D102=""),"",ROUND(M102/$E102*$D102*KVARDI,2))</f>
        <v/>
      </c>
      <c r="O102" s="66" t="n"/>
      <c r="P102" s="78">
        <f>IF(OR(INDEX(Undirviðmið!$G$6:$G$105,ROW()-6)&lt;&gt;"Starfsbundinn",O102="",$E102="",$D102=""),"",ROUND(O102/$E102*$D102*KVARDI,2))</f>
        <v/>
      </c>
      <c r="Q102" s="66" t="n"/>
      <c r="R102" s="78">
        <f>IF(OR(INDEX(Undirviðmið!$G$6:$G$105,ROW()-6)&lt;&gt;"Starfsbundinn",Q102="",$E102="",$D102=""),"",ROUND(Q102/$E102*$D102*KVARDI,2))</f>
        <v/>
      </c>
      <c r="S102" s="66" t="n"/>
      <c r="T102" s="78">
        <f>IF(OR(INDEX(Undirviðmið!$G$6:$G$105,ROW()-6)&lt;&gt;"Starfsbundinn",S102="",$E102="",$D102=""),"",ROUND(S102/$E102*$D102*KVARDI,2))</f>
        <v/>
      </c>
      <c r="U102" s="66" t="n"/>
      <c r="V102" s="78">
        <f>IF(OR(INDEX(Undirviðmið!$G$6:$G$105,ROW()-6)&lt;&gt;"Starfsbundinn",U102="",$E102="",$D102=""),"",ROUND(U102/$E102*$D102*KVARDI,2))</f>
        <v/>
      </c>
      <c r="W102" s="66" t="n"/>
      <c r="X102" s="78">
        <f>IF(OR(INDEX(Undirviðmið!$G$6:$G$105,ROW()-6)&lt;&gt;"Starfsbundinn",W102="",$E102="",$D102=""),"",ROUND(W102/$E102*$D102*KVARDI,2))</f>
        <v/>
      </c>
      <c r="Y102" s="66" t="n"/>
      <c r="Z102" s="78">
        <f>IF(OR(INDEX(Undirviðmið!$G$6:$G$105,ROW()-6)&lt;&gt;"Starfsbundinn",Y102="",$E102="",$D102=""),"",ROUND(Y102/$E102*$D102*KVARDI,2))</f>
        <v/>
      </c>
      <c r="AA102" s="66" t="n"/>
      <c r="AB102" s="78">
        <f>IF(OR(INDEX(Undirviðmið!$G$6:$G$105,ROW()-6)&lt;&gt;"Starfsbundinn",AA102="",$E102="",$D102=""),"",ROUND(AA102/$E102*$D102*KVARDI,2))</f>
        <v/>
      </c>
      <c r="AC102" s="66" t="n"/>
      <c r="AD102" s="78">
        <f>IF(OR(INDEX(Undirviðmið!$G$6:$G$105,ROW()-6)&lt;&gt;"Starfsbundinn",AC102="",$E102="",$D102=""),"",ROUND(AC102/$E102*$D102*KVARDI,2))</f>
        <v/>
      </c>
      <c r="AE102" s="66" t="n"/>
      <c r="AF102" s="78">
        <f>IF(OR(INDEX(Undirviðmið!$G$6:$G$105,ROW()-6)&lt;&gt;"Starfsbundinn",AE102="",$E102="",$D102=""),"",ROUND(AE102/$E102*$D102*KVARDI,2))</f>
        <v/>
      </c>
      <c r="AG102" s="66" t="n"/>
      <c r="AH102" s="78">
        <f>IF(OR(INDEX(Undirviðmið!$G$6:$G$105,ROW()-6)&lt;&gt;"Starfsbundinn",AG102="",$E102="",$D102=""),"",ROUND(AG102/$E102*$D102*KVARDI,2))</f>
        <v/>
      </c>
      <c r="AI102" s="66" t="n"/>
      <c r="AJ102" s="78">
        <f>IF(OR(INDEX(Undirviðmið!$G$6:$G$105,ROW()-6)&lt;&gt;"Starfsbundinn",AI102="",$E102="",$D102=""),"",ROUND(AI102/$E102*$D102*KVARDI,2))</f>
        <v/>
      </c>
      <c r="AK102" s="66" t="n"/>
      <c r="AL102" s="78">
        <f>IF(OR(INDEX(Undirviðmið!$G$6:$G$105,ROW()-6)&lt;&gt;"Starfsbundinn",AK102="",$E102="",$D102=""),"",ROUND(AK102/$E102*$D102*KVARDI,2))</f>
        <v/>
      </c>
      <c r="AM102" s="66" t="n"/>
      <c r="AN102" s="78">
        <f>IF(OR(INDEX(Undirviðmið!$G$6:$G$105,ROW()-6)&lt;&gt;"Starfsbundinn",AM102="",$E102="",$D102=""),"",ROUND(AM102/$E102*$D102*KVARDI,2))</f>
        <v/>
      </c>
      <c r="AO102" s="66" t="n"/>
      <c r="AP102" s="78">
        <f>IF(OR(INDEX(Undirviðmið!$G$6:$G$105,ROW()-6)&lt;&gt;"Starfsbundinn",AO102="",$E102="",$D102=""),"",ROUND(AO102/$E102*$D102*KVARDI,2))</f>
        <v/>
      </c>
      <c r="AQ102" s="66" t="n"/>
      <c r="AR102" s="78">
        <f>IF(OR(INDEX(Undirviðmið!$G$6:$G$105,ROW()-6)&lt;&gt;"Starfsbundinn",AQ102="",$E102="",$D102=""),"",ROUND(AQ102/$E102*$D102*KVARDI,2))</f>
        <v/>
      </c>
      <c r="AS102" s="66" t="n"/>
      <c r="AT102" s="78">
        <f>IF(OR(INDEX(Undirviðmið!$G$6:$G$105,ROW()-6)&lt;&gt;"Starfsbundinn",AS102="",$E102="",$D102=""),"",ROUND(AS102/$E102*$D102*KVARDI,2))</f>
        <v/>
      </c>
      <c r="AU102" s="66" t="n"/>
      <c r="AV102" s="78">
        <f>IF(OR(INDEX(Undirviðmið!$G$6:$G$105,ROW()-6)&lt;&gt;"Starfsbundinn",AU102="",$E102="",$D102=""),"",ROUND(AU102/$E102*$D102*KVARDI,2))</f>
        <v/>
      </c>
      <c r="AW102" s="66" t="n"/>
      <c r="AX102" s="78">
        <f>IF(OR(INDEX(Undirviðmið!$G$6:$G$105,ROW()-6)&lt;&gt;"Starfsbundinn",AW102="",$E102="",$D102=""),"",ROUND(AW102/$E102*$D102*KVARDI,2))</f>
        <v/>
      </c>
      <c r="AY102" s="66" t="n"/>
      <c r="AZ102" s="78">
        <f>IF(OR(INDEX(Undirviðmið!$G$6:$G$105,ROW()-6)&lt;&gt;"Starfsbundinn",AY102="",$E102="",$D102=""),"",ROUND(AY102/$E102*$D102*KVARDI,2))</f>
        <v/>
      </c>
      <c r="BA102" s="66" t="n"/>
      <c r="BB102" s="78">
        <f>IF(OR(INDEX(Undirviðmið!$G$6:$G$105,ROW()-6)&lt;&gt;"Starfsbundinn",BA102="",$E102="",$D102=""),"",ROUND(BA102/$E102*$D102*KVARDI,2))</f>
        <v/>
      </c>
      <c r="BC102" s="66" t="n"/>
      <c r="BD102" s="78">
        <f>IF(OR(INDEX(Undirviðmið!$G$6:$G$105,ROW()-6)&lt;&gt;"Starfsbundinn",BC102="",$E102="",$D102=""),"",ROUND(BC102/$E102*$D102*KVARDI,2))</f>
        <v/>
      </c>
      <c r="BE102" s="66" t="n"/>
      <c r="BF102" s="78">
        <f>IF(OR(INDEX(Undirviðmið!$G$6:$G$105,ROW()-6)&lt;&gt;"Starfsbundinn",BE102="",$E102="",$D102=""),"",ROUND(BE102/$E102*$D102*KVARDI,2))</f>
        <v/>
      </c>
      <c r="BG102" s="66" t="n"/>
      <c r="BH102" s="78">
        <f>IF(OR(INDEX(Undirviðmið!$G$6:$G$105,ROW()-6)&lt;&gt;"Starfsbundinn",BG102="",$E102="",$D102=""),"",ROUND(BG102/$E102*$D102*KVARDI,2))</f>
        <v/>
      </c>
      <c r="BI102" s="66" t="n"/>
      <c r="BJ102" s="78">
        <f>IF(OR(INDEX(Undirviðmið!$G$6:$G$105,ROW()-6)&lt;&gt;"Starfsbundinn",BI102="",$E102="",$D102=""),"",ROUND(BI102/$E102*$D102*KVARDI,2))</f>
        <v/>
      </c>
      <c r="BK102" s="66" t="n"/>
      <c r="BL102" s="78">
        <f>IF(OR(INDEX(Undirviðmið!$G$6:$G$105,ROW()-6)&lt;&gt;"Starfsbundinn",BK102="",$E102="",$D102=""),"",ROUND(BK102/$E102*$D102*KVARDI,2))</f>
        <v/>
      </c>
      <c r="BM102" s="66" t="n"/>
      <c r="BN102" s="78">
        <f>IF(OR(INDEX(Undirviðmið!$G$6:$G$105,ROW()-6)&lt;&gt;"Starfsbundinn",BM102="",$E102="",$D102=""),"",ROUND(BM102/$E102*$D102*KVARDI,2))</f>
        <v/>
      </c>
      <c r="BO102" s="66" t="n"/>
      <c r="BP102" s="78">
        <f>IF(OR(INDEX(Undirviðmið!$G$6:$G$105,ROW()-6)&lt;&gt;"Starfsbundinn",BO102="",$E102="",$D102=""),"",ROUND(BO102/$E102*$D102*KVARDI,2))</f>
        <v/>
      </c>
      <c r="BQ102" s="66" t="n"/>
      <c r="BR102" s="78">
        <f>IF(OR(INDEX(Undirviðmið!$G$6:$G$105,ROW()-6)&lt;&gt;"Starfsbundinn",BQ102="",$E102="",$D102=""),"",ROUND(BQ102/$E102*$D102*KVARDI,2))</f>
        <v/>
      </c>
      <c r="BS102" s="66" t="n"/>
      <c r="BT102" s="78">
        <f>IF(OR(INDEX(Undirviðmið!$G$6:$G$105,ROW()-6)&lt;&gt;"Starfsbundinn",BS102="",$E102="",$D102=""),"",ROUND(BS102/$E102*$D102*KVARDI,2))</f>
        <v/>
      </c>
      <c r="BU102" s="66" t="n"/>
      <c r="BV102" s="78">
        <f>IF(OR(INDEX(Undirviðmið!$G$6:$G$105,ROW()-6)&lt;&gt;"Starfsbundinn",BU102="",$E102="",$D102=""),"",ROUND(BU102/$E102*$D102*KVARDI,2))</f>
        <v/>
      </c>
      <c r="BW102" s="66" t="n"/>
      <c r="BX102" s="78">
        <f>IF(OR(INDEX(Undirviðmið!$G$6:$G$105,ROW()-6)&lt;&gt;"Starfsbundinn",BW102="",$E102="",$D102=""),"",ROUND(BW102/$E102*$D102*KVARDI,2))</f>
        <v/>
      </c>
      <c r="BY102" s="66" t="n"/>
      <c r="BZ102" s="78">
        <f>IF(OR(INDEX(Undirviðmið!$G$6:$G$105,ROW()-6)&lt;&gt;"Starfsbundinn",BY102="",$E102="",$D102=""),"",ROUND(BY102/$E102*$D102*KVARDI,2))</f>
        <v/>
      </c>
      <c r="CA102" s="66" t="n"/>
      <c r="CB102" s="78">
        <f>IF(OR(INDEX(Undirviðmið!$G$6:$G$105,ROW()-6)&lt;&gt;"Starfsbundinn",CA102="",$E102="",$D102=""),"",ROUND(CA102/$E102*$D102*KVARDI,2))</f>
        <v/>
      </c>
      <c r="CC102" s="66" t="n"/>
      <c r="CD102" s="78">
        <f>IF(OR(INDEX(Undirviðmið!$G$6:$G$105,ROW()-6)&lt;&gt;"Starfsbundinn",CC102="",$E102="",$D102=""),"",ROUND(CC102/$E102*$D102*KVARDI,2))</f>
        <v/>
      </c>
      <c r="CE102" s="66" t="n"/>
      <c r="CF102" s="78">
        <f>IF(OR(INDEX(Undirviðmið!$G$6:$G$105,ROW()-6)&lt;&gt;"Starfsbundinn",CE102="",$E102="",$D102=""),"",ROUND(CE102/$E102*$D102*KVARDI,2))</f>
        <v/>
      </c>
      <c r="CG102" s="66" t="n"/>
      <c r="CH102" s="78">
        <f>IF(OR(INDEX(Undirviðmið!$G$6:$G$105,ROW()-6)&lt;&gt;"Starfsbundinn",CG102="",$E102="",$D102=""),"",ROUND(CG102/$E102*$D102*KVARDI,2))</f>
        <v/>
      </c>
      <c r="CI102" s="66" t="n"/>
      <c r="CJ102" s="78">
        <f>IF(OR(INDEX(Undirviðmið!$G$6:$G$105,ROW()-6)&lt;&gt;"Starfsbundinn",CI102="",$E102="",$D102=""),"",ROUND(CI102/$E102*$D102*KVARDI,2))</f>
        <v/>
      </c>
      <c r="CK102" s="66" t="n"/>
      <c r="CL102" s="78">
        <f>IF(OR(INDEX(Undirviðmið!$G$6:$G$105,ROW()-6)&lt;&gt;"Starfsbundinn",CK102="",$E102="",$D102=""),"",ROUND(CK102/$E102*$D102*KVARDI,2))</f>
        <v/>
      </c>
      <c r="CM102" s="66" t="n"/>
      <c r="CN102" s="78">
        <f>IF(OR(INDEX(Undirviðmið!$G$6:$G$105,ROW()-6)&lt;&gt;"Starfsbundinn",CM102="",$E102="",$D102=""),"",ROUND(CM102/$E102*$D102*KVARDI,2))</f>
        <v/>
      </c>
      <c r="CO102" s="66" t="n"/>
      <c r="CP102" s="78">
        <f>IF(OR(INDEX(Undirviðmið!$G$6:$G$105,ROW()-6)&lt;&gt;"Starfsbundinn",CO102="",$E102="",$D102=""),"",ROUND(CO102/$E102*$D102*KVARDI,2))</f>
        <v/>
      </c>
      <c r="CQ102" s="66" t="n"/>
      <c r="CR102" s="78">
        <f>IF(OR(INDEX(Undirviðmið!$G$6:$G$105,ROW()-6)&lt;&gt;"Starfsbundinn",CQ102="",$E102="",$D102=""),"",ROUND(CQ102/$E102*$D102*KVARDI,2))</f>
        <v/>
      </c>
      <c r="CS102" s="66" t="n"/>
      <c r="CT102" s="78">
        <f>IF(OR(INDEX(Undirviðmið!$G$6:$G$105,ROW()-6)&lt;&gt;"Starfsbundinn",CS102="",$E102="",$D102=""),"",ROUND(CS102/$E102*$D102*KVARDI,2))</f>
        <v/>
      </c>
      <c r="CU102" s="66" t="n"/>
      <c r="CV102" s="78">
        <f>IF(OR(INDEX(Undirviðmið!$G$6:$G$105,ROW()-6)&lt;&gt;"Starfsbundinn",CU102="",$E102="",$D102=""),"",ROUND(CU102/$E102*$D102*KVARDI,2))</f>
        <v/>
      </c>
      <c r="CW102" s="66" t="n"/>
      <c r="CX102" s="78">
        <f>IF(OR(INDEX(Undirviðmið!$G$6:$G$105,ROW()-6)&lt;&gt;"Starfsbundinn",CW102="",$E102="",$D102=""),"",ROUND(CW102/$E102*$D102*KVARDI,2))</f>
        <v/>
      </c>
      <c r="CY102" s="66" t="n"/>
      <c r="CZ102" s="78">
        <f>IF(OR(INDEX(Undirviðmið!$G$6:$G$105,ROW()-6)&lt;&gt;"Starfsbundinn",CY102="",$E102="",$D102=""),"",ROUND(CY102/$E102*$D102*KVARDI,2))</f>
        <v/>
      </c>
      <c r="DA102" s="66" t="n"/>
      <c r="DB102" s="78">
        <f>IF(OR(INDEX(Undirviðmið!$G$6:$G$105,ROW()-6)&lt;&gt;"Starfsbundinn",DA102="",$E102="",$D102=""),"",ROUND(DA102/$E102*$D102*KVARDI,2))</f>
        <v/>
      </c>
      <c r="DC102" s="66" t="n"/>
      <c r="DD102" s="78">
        <f>IF(OR(INDEX(Undirviðmið!$G$6:$G$105,ROW()-6)&lt;&gt;"Starfsbundinn",DC102="",$E102="",$D102=""),"",ROUND(DC102/$E102*$D102*KVARDI,2))</f>
        <v/>
      </c>
      <c r="DE102" s="66" t="n"/>
      <c r="DF102" s="78">
        <f>IF(OR(INDEX(Undirviðmið!$G$6:$G$105,ROW()-6)&lt;&gt;"Starfsbundinn",DE102="",$E102="",$D102=""),"",ROUND(DE102/$E102*$D102*KVARDI,2))</f>
        <v/>
      </c>
      <c r="DG102" s="66" t="n"/>
      <c r="DH102" s="78">
        <f>IF(OR(INDEX(Undirviðmið!$G$6:$G$105,ROW()-6)&lt;&gt;"Starfsbundinn",DG102="",$E102="",$D102=""),"",ROUND(DG102/$E102*$D102*KVARDI,2))</f>
        <v/>
      </c>
      <c r="DI102" s="66" t="n"/>
      <c r="DJ102" s="78">
        <f>IF(OR(INDEX(Undirviðmið!$G$6:$G$105,ROW()-6)&lt;&gt;"Starfsbundinn",DI102="",$E102="",$D102=""),"",ROUND(DI102/$E102*$D102*KVARDI,2))</f>
        <v/>
      </c>
      <c r="DK102" s="66" t="n"/>
      <c r="DL102" s="78">
        <f>IF(OR(INDEX(Undirviðmið!$G$6:$G$105,ROW()-6)&lt;&gt;"Starfsbundinn",DK102="",$E102="",$D102=""),"",ROUND(DK102/$E102*$D102*KVARDI,2))</f>
        <v/>
      </c>
      <c r="DM102" s="66" t="n"/>
      <c r="DN102" s="78">
        <f>IF(OR(INDEX(Undirviðmið!$G$6:$G$105,ROW()-6)&lt;&gt;"Starfsbundinn",DM102="",$E102="",$D102=""),"",ROUND(DM102/$E102*$D102*KVARDI,2))</f>
        <v/>
      </c>
      <c r="DO102" s="66" t="n"/>
      <c r="DP102" s="78">
        <f>IF(OR(INDEX(Undirviðmið!$G$6:$G$105,ROW()-6)&lt;&gt;"Starfsbundinn",DO102="",$E102="",$D102=""),"",ROUND(DO102/$E102*$D102*KVARDI,2))</f>
        <v/>
      </c>
      <c r="DQ102" s="66" t="n"/>
      <c r="DR102" s="78">
        <f>IF(OR(INDEX(Undirviðmið!$G$6:$G$105,ROW()-6)&lt;&gt;"Starfsbundinn",DQ102="",$E102="",$D102=""),"",ROUND(DQ102/$E102*$D102*KVARDI,2))</f>
        <v/>
      </c>
      <c r="DS102" s="66" t="n"/>
      <c r="DT102" s="78">
        <f>IF(OR(INDEX(Undirviðmið!$G$6:$G$105,ROW()-6)&lt;&gt;"Starfsbundinn",DS102="",$E102="",$D102=""),"",ROUND(DS102/$E102*$D102*KVARDI,2))</f>
        <v/>
      </c>
      <c r="DU102" s="66" t="n"/>
      <c r="DV102" s="78">
        <f>IF(OR(INDEX(Undirviðmið!$G$6:$G$105,ROW()-6)&lt;&gt;"Starfsbundinn",DU102="",$E102="",$D102=""),"",ROUND(DU102/$E102*$D102*KVARDI,2))</f>
        <v/>
      </c>
      <c r="DW102" s="66" t="n"/>
      <c r="DX102" s="78">
        <f>IF(OR(INDEX(Undirviðmið!$G$6:$G$105,ROW()-6)&lt;&gt;"Starfsbundinn",DW102="",$E102="",$D102=""),"",ROUND(DW102/$E102*$D102*KVARDI,2))</f>
        <v/>
      </c>
      <c r="DY102" s="66" t="n"/>
      <c r="DZ102" s="78">
        <f>IF(OR(INDEX(Undirviðmið!$G$6:$G$105,ROW()-6)&lt;&gt;"Starfsbundinn",DY102="",$E102="",$D102=""),"",ROUND(DY102/$E102*$D102*KVARDI,2))</f>
        <v/>
      </c>
      <c r="EA102" s="66" t="n"/>
      <c r="EB102" s="78">
        <f>IF(OR(INDEX(Undirviðmið!$G$6:$G$105,ROW()-6)&lt;&gt;"Starfsbundinn",EA102="",$E102="",$D102=""),"",ROUND(EA102/$E102*$D102*KVARDI,2))</f>
        <v/>
      </c>
      <c r="EC102" s="66" t="n"/>
      <c r="ED102" s="78">
        <f>IF(OR(INDEX(Undirviðmið!$G$6:$G$105,ROW()-6)&lt;&gt;"Starfsbundinn",EC102="",$E102="",$D102=""),"",ROUND(EC102/$E102*$D102*KVARDI,2))</f>
        <v/>
      </c>
      <c r="EE102" s="66" t="n"/>
      <c r="EF102" s="78">
        <f>IF(OR(INDEX(Undirviðmið!$G$6:$G$105,ROW()-6)&lt;&gt;"Starfsbundinn",EE102="",$E102="",$D102=""),"",ROUND(EE102/$E102*$D102*KVARDI,2))</f>
        <v/>
      </c>
      <c r="EG102" s="66" t="n"/>
      <c r="EH102" s="78">
        <f>IF(OR(INDEX(Undirviðmið!$G$6:$G$105,ROW()-6)&lt;&gt;"Starfsbundinn",EG102="",$E102="",$D102=""),"",ROUND(EG102/$E102*$D102*KVARDI,2))</f>
        <v/>
      </c>
      <c r="EI102" s="66" t="n"/>
      <c r="EJ102" s="78">
        <f>IF(OR(INDEX(Undirviðmið!$G$6:$G$105,ROW()-6)&lt;&gt;"Starfsbundinn",EI102="",$E102="",$D102=""),"",ROUND(EI102/$E102*$D102*KVARDI,2))</f>
        <v/>
      </c>
      <c r="EK102" s="66" t="n"/>
      <c r="EL102" s="78">
        <f>IF(OR(INDEX(Undirviðmið!$G$6:$G$105,ROW()-6)&lt;&gt;"Starfsbundinn",EK102="",$E102="",$D102=""),"",ROUND(EK102/$E102*$D102*KVARDI,2))</f>
        <v/>
      </c>
      <c r="EM102" s="66" t="n"/>
      <c r="EN102" s="78">
        <f>IF(OR(INDEX(Undirviðmið!$G$6:$G$105,ROW()-6)&lt;&gt;"Starfsbundinn",EM102="",$E102="",$D102=""),"",ROUND(EM102/$E102*$D102*KVARDI,2))</f>
        <v/>
      </c>
      <c r="EO102" s="66" t="n"/>
      <c r="EP102" s="78">
        <f>IF(OR(INDEX(Undirviðmið!$G$6:$G$105,ROW()-6)&lt;&gt;"Starfsbundinn",EO102="",$E102="",$D102=""),"",ROUND(EO102/$E102*$D102*KVARDI,2))</f>
        <v/>
      </c>
      <c r="EQ102" s="66" t="n"/>
      <c r="ER102" s="78">
        <f>IF(OR(INDEX(Undirviðmið!$G$6:$G$105,ROW()-6)&lt;&gt;"Starfsbundinn",EQ102="",$E102="",$D102=""),"",ROUND(EQ102/$E102*$D102*KVARDI,2))</f>
        <v/>
      </c>
      <c r="ES102" s="66" t="n"/>
      <c r="ET102" s="78">
        <f>IF(OR(INDEX(Undirviðmið!$G$6:$G$105,ROW()-6)&lt;&gt;"Starfsbundinn",ES102="",$E102="",$D102=""),"",ROUND(ES102/$E102*$D102*KVARDI,2))</f>
        <v/>
      </c>
      <c r="EU102" s="66" t="n"/>
      <c r="EV102" s="78">
        <f>IF(OR(INDEX(Undirviðmið!$G$6:$G$105,ROW()-6)&lt;&gt;"Starfsbundinn",EU102="",$E102="",$D102=""),"",ROUND(EU102/$E102*$D102*KVARDI,2))</f>
        <v/>
      </c>
      <c r="EW102" s="66" t="n"/>
      <c r="EX102" s="78">
        <f>IF(OR(INDEX(Undirviðmið!$G$6:$G$105,ROW()-6)&lt;&gt;"Starfsbundinn",EW102="",$E102="",$D102=""),"",ROUND(EW102/$E102*$D102*KVARDI,2))</f>
        <v/>
      </c>
      <c r="EY102" s="66" t="n"/>
      <c r="EZ102" s="78">
        <f>IF(OR(INDEX(Undirviðmið!$G$6:$G$105,ROW()-6)&lt;&gt;"Starfsbundinn",EY102="",$E102="",$D102=""),"",ROUND(EY102/$E102*$D102*KVARDI,2))</f>
        <v/>
      </c>
      <c r="FA102" s="66" t="n"/>
      <c r="FB102" s="78">
        <f>IF(OR(INDEX(Undirviðmið!$G$6:$G$105,ROW()-6)&lt;&gt;"Starfsbundinn",FA102="",$E102="",$D102=""),"",ROUND(FA102/$E102*$D102*KVARDI,2))</f>
        <v/>
      </c>
      <c r="FC102" s="66" t="n"/>
      <c r="FD102" s="78">
        <f>IF(OR(INDEX(Undirviðmið!$G$6:$G$105,ROW()-6)&lt;&gt;"Starfsbundinn",FC102="",$E102="",$D102=""),"",ROUND(FC102/$E102*$D102*KVARDI,2))</f>
        <v/>
      </c>
      <c r="FE102" s="66" t="n"/>
      <c r="FF102" s="78">
        <f>IF(OR(INDEX(Undirviðmið!$G$6:$G$105,ROW()-6)&lt;&gt;"Starfsbundinn",FE102="",$E102="",$D102=""),"",ROUND(FE102/$E102*$D102*KVARDI,2))</f>
        <v/>
      </c>
      <c r="FG102" s="66" t="n"/>
      <c r="FH102" s="78">
        <f>IF(OR(INDEX(Undirviðmið!$G$6:$G$105,ROW()-6)&lt;&gt;"Starfsbundinn",FG102="",$E102="",$D102=""),"",ROUND(FG102/$E102*$D102*KVARDI,2))</f>
        <v/>
      </c>
      <c r="FI102" s="66" t="n"/>
      <c r="FJ102" s="78">
        <f>IF(OR(INDEX(Undirviðmið!$G$6:$G$105,ROW()-6)&lt;&gt;"Starfsbundinn",FI102="",$E102="",$D102=""),"",ROUND(FI102/$E102*$D102*KVARDI,2))</f>
        <v/>
      </c>
      <c r="FK102" s="66" t="n"/>
      <c r="FL102" s="78">
        <f>IF(OR(INDEX(Undirviðmið!$G$6:$G$105,ROW()-6)&lt;&gt;"Starfsbundinn",FK102="",$E102="",$D102=""),"",ROUND(FK102/$E102*$D102*KVARDI,2))</f>
        <v/>
      </c>
      <c r="FM102" s="66" t="n"/>
      <c r="FN102" s="78">
        <f>IF(OR(INDEX(Undirviðmið!$G$6:$G$105,ROW()-6)&lt;&gt;"Starfsbundinn",FM102="",$E102="",$D102=""),"",ROUND(FM102/$E102*$D102*KVARDI,2))</f>
        <v/>
      </c>
      <c r="FO102" s="66" t="n"/>
      <c r="FP102" s="78">
        <f>IF(OR(INDEX(Undirviðmið!$G$6:$G$105,ROW()-6)&lt;&gt;"Starfsbundinn",FO102="",$E102="",$D102=""),"",ROUND(FO102/$E102*$D102*KVARDI,2))</f>
        <v/>
      </c>
      <c r="FQ102" s="66" t="n"/>
      <c r="FR102" s="78">
        <f>IF(OR(INDEX(Undirviðmið!$G$6:$G$105,ROW()-6)&lt;&gt;"Starfsbundinn",FQ102="",$E102="",$D102=""),"",ROUND(FQ102/$E102*$D102*KVARDI,2))</f>
        <v/>
      </c>
      <c r="FS102" s="66" t="n"/>
      <c r="FT102" s="78">
        <f>IF(OR(INDEX(Undirviðmið!$G$6:$G$105,ROW()-6)&lt;&gt;"Starfsbundinn",FS102="",$E102="",$D102=""),"",ROUND(FS102/$E102*$D102*KVARDI,2))</f>
        <v/>
      </c>
      <c r="FU102" s="66" t="n"/>
      <c r="FV102" s="78">
        <f>IF(OR(INDEX(Undirviðmið!$G$6:$G$105,ROW()-6)&lt;&gt;"Starfsbundinn",FU102="",$E102="",$D102=""),"",ROUND(FU102/$E102*$D102*KVARDI,2))</f>
        <v/>
      </c>
      <c r="FW102" s="66" t="n"/>
      <c r="FX102" s="78">
        <f>IF(OR(INDEX(Undirviðmið!$G$6:$G$105,ROW()-6)&lt;&gt;"Starfsbundinn",FW102="",$E102="",$D102=""),"",ROUND(FW102/$E102*$D102*KVARDI,2))</f>
        <v/>
      </c>
      <c r="FY102" s="66" t="n"/>
      <c r="FZ102" s="78">
        <f>IF(OR(INDEX(Undirviðmið!$G$6:$G$105,ROW()-6)&lt;&gt;"Starfsbundinn",FY102="",$E102="",$D102=""),"",ROUND(FY102/$E102*$D102*KVARDI,2))</f>
        <v/>
      </c>
      <c r="GA102" s="66" t="n"/>
      <c r="GB102" s="78">
        <f>IF(OR(INDEX(Undirviðmið!$G$6:$G$105,ROW()-6)&lt;&gt;"Starfsbundinn",GA102="",$E102="",$D102=""),"",ROUND(GA102/$E102*$D102*KVARDI,2))</f>
        <v/>
      </c>
      <c r="GC102" s="66" t="n"/>
      <c r="GD102" s="78">
        <f>IF(OR(INDEX(Undirviðmið!$G$6:$G$105,ROW()-6)&lt;&gt;"Starfsbundinn",GC102="",$E102="",$D102=""),"",ROUND(GC102/$E102*$D102*KVARDI,2))</f>
        <v/>
      </c>
      <c r="GE102" s="66" t="n"/>
      <c r="GF102" s="78">
        <f>IF(OR(INDEX(Undirviðmið!$G$6:$G$105,ROW()-6)&lt;&gt;"Starfsbundinn",GE102="",$E102="",$D102=""),"",ROUND(GE102/$E102*$D102*KVARDI,2))</f>
        <v/>
      </c>
      <c r="GG102" s="66" t="n"/>
      <c r="GH102" s="78">
        <f>IF(OR(INDEX(Undirviðmið!$G$6:$G$105,ROW()-6)&lt;&gt;"Starfsbundinn",GG102="",$E102="",$D102=""),"",ROUND(GG102/$E102*$D102*KVARDI,2))</f>
        <v/>
      </c>
      <c r="GI102" s="66" t="n"/>
      <c r="GJ102" s="78">
        <f>IF(OR(INDEX(Undirviðmið!$G$6:$G$105,ROW()-6)&lt;&gt;"Starfsbundinn",GI102="",$E102="",$D102=""),"",ROUND(GI102/$E102*$D102*KVARDI,2))</f>
        <v/>
      </c>
      <c r="GK102" s="66" t="n"/>
      <c r="GL102" s="78">
        <f>IF(OR(INDEX(Undirviðmið!$G$6:$G$105,ROW()-6)&lt;&gt;"Starfsbundinn",GK102="",$E102="",$D102=""),"",ROUND(GK102/$E102*$D102*KVARDI,2))</f>
        <v/>
      </c>
      <c r="GM102" s="66" t="n"/>
      <c r="GN102" s="78">
        <f>IF(OR(INDEX(Undirviðmið!$G$6:$G$105,ROW()-6)&lt;&gt;"Starfsbundinn",GM102="",$E102="",$D102=""),"",ROUND(GM102/$E102*$D102*KVARDI,2))</f>
        <v/>
      </c>
      <c r="GO102" s="66" t="n"/>
      <c r="GP102" s="78">
        <f>IF(OR(INDEX(Undirviðmið!$G$6:$G$105,ROW()-6)&lt;&gt;"Starfsbundinn",GO102="",$E102="",$D102=""),"",ROUND(GO102/$E102*$D102*KVARDI,2))</f>
        <v/>
      </c>
      <c r="GQ102" s="66" t="n"/>
      <c r="GR102" s="78">
        <f>IF(OR(INDEX(Undirviðmið!$G$6:$G$105,ROW()-6)&lt;&gt;"Starfsbundinn",GQ102="",$E102="",$D102=""),"",ROUND(GQ102/$E102*$D102*KVARDI,2))</f>
        <v/>
      </c>
      <c r="GS102" s="66" t="n"/>
      <c r="GT102" s="78">
        <f>IF(OR(INDEX(Undirviðmið!$G$6:$G$105,ROW()-6)&lt;&gt;"Starfsbundinn",GS102="",$E102="",$D102=""),"",ROUND(GS102/$E102*$D102*KVARDI,2))</f>
        <v/>
      </c>
      <c r="GU102" s="66" t="n"/>
      <c r="GV102" s="78">
        <f>IF(OR(INDEX(Undirviðmið!$G$6:$G$105,ROW()-6)&lt;&gt;"Starfsbundinn",GU102="",$E102="",$D102=""),"",ROUND(GU102/$E102*$D102*KVARDI,2))</f>
        <v/>
      </c>
      <c r="GW102" s="66" t="n"/>
      <c r="GX102" s="78">
        <f>IF(OR(INDEX(Undirviðmið!$G$6:$G$105,ROW()-6)&lt;&gt;"Starfsbundinn",GW102="",$E102="",$D102=""),"",ROUND(GW102/$E102*$D102*KVARDI,2))</f>
        <v/>
      </c>
    </row>
    <row r="103" ht="15" customHeight="1" s="47">
      <c r="B103" s="67">
        <f>IF(INDEX(Undirviðmið!$G$6:$G$105,ROW()-6)="Starfsbundinn",INDEX(Undirviðmið!$B$6:$B$105,ROW()-6),"")</f>
        <v/>
      </c>
      <c r="C103" s="67">
        <f>IF(INDEX(Undirviðmið!$G$6:$G$105,ROW()-6)="Starfsbundinn",INDEX(Undirviðmið!$C$6:$C$105,ROW()-6),"")</f>
        <v/>
      </c>
      <c r="D103" s="77">
        <f>IF(INDEX(Undirviðmið!$G$6:$G$105,ROW()-6)="Starfsbundinn",INDEX(Undirviðmið!$E$6:$E$105,ROW()-6),"")</f>
        <v/>
      </c>
      <c r="E103" s="77">
        <f>IF(INDEX(Undirviðmið!$G$6:$G$105,ROW()-6)="Starfsbundinn",INDEX(Undirviðmið!$F$6:$F$105,ROW()-6),"")</f>
        <v/>
      </c>
      <c r="F103" s="77">
        <f>IF(INDEX(Undirviðmið!$G$6:$G$105,ROW()-6)="Starfsbundinn",IFERROR(INDEX(Undirviðmið!$E$6:$E$105,ROW()-6)*KVARDI,""),"")</f>
        <v/>
      </c>
      <c r="G103" s="66" t="n"/>
      <c r="H103" s="78">
        <f>IF(OR(INDEX(Undirviðmið!$G$6:$G$105,ROW()-6)&lt;&gt;"Starfsbundinn",G103="",$E103="",$D103=""),"",ROUND(G103/$E103*$D103*KVARDI,2))</f>
        <v/>
      </c>
      <c r="I103" s="66" t="n"/>
      <c r="J103" s="78">
        <f>IF(OR(INDEX(Undirviðmið!$G$6:$G$105,ROW()-6)&lt;&gt;"Starfsbundinn",I103="",$E103="",$D103=""),"",ROUND(I103/$E103*$D103*KVARDI,2))</f>
        <v/>
      </c>
      <c r="K103" s="66" t="n"/>
      <c r="L103" s="78">
        <f>IF(OR(INDEX(Undirviðmið!$G$6:$G$105,ROW()-6)&lt;&gt;"Starfsbundinn",K103="",$E103="",$D103=""),"",ROUND(K103/$E103*$D103*KVARDI,2))</f>
        <v/>
      </c>
      <c r="M103" s="66" t="n"/>
      <c r="N103" s="78">
        <f>IF(OR(INDEX(Undirviðmið!$G$6:$G$105,ROW()-6)&lt;&gt;"Starfsbundinn",M103="",$E103="",$D103=""),"",ROUND(M103/$E103*$D103*KVARDI,2))</f>
        <v/>
      </c>
      <c r="O103" s="66" t="n"/>
      <c r="P103" s="78">
        <f>IF(OR(INDEX(Undirviðmið!$G$6:$G$105,ROW()-6)&lt;&gt;"Starfsbundinn",O103="",$E103="",$D103=""),"",ROUND(O103/$E103*$D103*KVARDI,2))</f>
        <v/>
      </c>
      <c r="Q103" s="66" t="n"/>
      <c r="R103" s="78">
        <f>IF(OR(INDEX(Undirviðmið!$G$6:$G$105,ROW()-6)&lt;&gt;"Starfsbundinn",Q103="",$E103="",$D103=""),"",ROUND(Q103/$E103*$D103*KVARDI,2))</f>
        <v/>
      </c>
      <c r="S103" s="66" t="n"/>
      <c r="T103" s="78">
        <f>IF(OR(INDEX(Undirviðmið!$G$6:$G$105,ROW()-6)&lt;&gt;"Starfsbundinn",S103="",$E103="",$D103=""),"",ROUND(S103/$E103*$D103*KVARDI,2))</f>
        <v/>
      </c>
      <c r="U103" s="66" t="n"/>
      <c r="V103" s="78">
        <f>IF(OR(INDEX(Undirviðmið!$G$6:$G$105,ROW()-6)&lt;&gt;"Starfsbundinn",U103="",$E103="",$D103=""),"",ROUND(U103/$E103*$D103*KVARDI,2))</f>
        <v/>
      </c>
      <c r="W103" s="66" t="n"/>
      <c r="X103" s="78">
        <f>IF(OR(INDEX(Undirviðmið!$G$6:$G$105,ROW()-6)&lt;&gt;"Starfsbundinn",W103="",$E103="",$D103=""),"",ROUND(W103/$E103*$D103*KVARDI,2))</f>
        <v/>
      </c>
      <c r="Y103" s="66" t="n"/>
      <c r="Z103" s="78">
        <f>IF(OR(INDEX(Undirviðmið!$G$6:$G$105,ROW()-6)&lt;&gt;"Starfsbundinn",Y103="",$E103="",$D103=""),"",ROUND(Y103/$E103*$D103*KVARDI,2))</f>
        <v/>
      </c>
      <c r="AA103" s="66" t="n"/>
      <c r="AB103" s="78">
        <f>IF(OR(INDEX(Undirviðmið!$G$6:$G$105,ROW()-6)&lt;&gt;"Starfsbundinn",AA103="",$E103="",$D103=""),"",ROUND(AA103/$E103*$D103*KVARDI,2))</f>
        <v/>
      </c>
      <c r="AC103" s="66" t="n"/>
      <c r="AD103" s="78">
        <f>IF(OR(INDEX(Undirviðmið!$G$6:$G$105,ROW()-6)&lt;&gt;"Starfsbundinn",AC103="",$E103="",$D103=""),"",ROUND(AC103/$E103*$D103*KVARDI,2))</f>
        <v/>
      </c>
      <c r="AE103" s="66" t="n"/>
      <c r="AF103" s="78">
        <f>IF(OR(INDEX(Undirviðmið!$G$6:$G$105,ROW()-6)&lt;&gt;"Starfsbundinn",AE103="",$E103="",$D103=""),"",ROUND(AE103/$E103*$D103*KVARDI,2))</f>
        <v/>
      </c>
      <c r="AG103" s="66" t="n"/>
      <c r="AH103" s="78">
        <f>IF(OR(INDEX(Undirviðmið!$G$6:$G$105,ROW()-6)&lt;&gt;"Starfsbundinn",AG103="",$E103="",$D103=""),"",ROUND(AG103/$E103*$D103*KVARDI,2))</f>
        <v/>
      </c>
      <c r="AI103" s="66" t="n"/>
      <c r="AJ103" s="78">
        <f>IF(OR(INDEX(Undirviðmið!$G$6:$G$105,ROW()-6)&lt;&gt;"Starfsbundinn",AI103="",$E103="",$D103=""),"",ROUND(AI103/$E103*$D103*KVARDI,2))</f>
        <v/>
      </c>
      <c r="AK103" s="66" t="n"/>
      <c r="AL103" s="78">
        <f>IF(OR(INDEX(Undirviðmið!$G$6:$G$105,ROW()-6)&lt;&gt;"Starfsbundinn",AK103="",$E103="",$D103=""),"",ROUND(AK103/$E103*$D103*KVARDI,2))</f>
        <v/>
      </c>
      <c r="AM103" s="66" t="n"/>
      <c r="AN103" s="78">
        <f>IF(OR(INDEX(Undirviðmið!$G$6:$G$105,ROW()-6)&lt;&gt;"Starfsbundinn",AM103="",$E103="",$D103=""),"",ROUND(AM103/$E103*$D103*KVARDI,2))</f>
        <v/>
      </c>
      <c r="AO103" s="66" t="n"/>
      <c r="AP103" s="78">
        <f>IF(OR(INDEX(Undirviðmið!$G$6:$G$105,ROW()-6)&lt;&gt;"Starfsbundinn",AO103="",$E103="",$D103=""),"",ROUND(AO103/$E103*$D103*KVARDI,2))</f>
        <v/>
      </c>
      <c r="AQ103" s="66" t="n"/>
      <c r="AR103" s="78">
        <f>IF(OR(INDEX(Undirviðmið!$G$6:$G$105,ROW()-6)&lt;&gt;"Starfsbundinn",AQ103="",$E103="",$D103=""),"",ROUND(AQ103/$E103*$D103*KVARDI,2))</f>
        <v/>
      </c>
      <c r="AS103" s="66" t="n"/>
      <c r="AT103" s="78">
        <f>IF(OR(INDEX(Undirviðmið!$G$6:$G$105,ROW()-6)&lt;&gt;"Starfsbundinn",AS103="",$E103="",$D103=""),"",ROUND(AS103/$E103*$D103*KVARDI,2))</f>
        <v/>
      </c>
      <c r="AU103" s="66" t="n"/>
      <c r="AV103" s="78">
        <f>IF(OR(INDEX(Undirviðmið!$G$6:$G$105,ROW()-6)&lt;&gt;"Starfsbundinn",AU103="",$E103="",$D103=""),"",ROUND(AU103/$E103*$D103*KVARDI,2))</f>
        <v/>
      </c>
      <c r="AW103" s="66" t="n"/>
      <c r="AX103" s="78">
        <f>IF(OR(INDEX(Undirviðmið!$G$6:$G$105,ROW()-6)&lt;&gt;"Starfsbundinn",AW103="",$E103="",$D103=""),"",ROUND(AW103/$E103*$D103*KVARDI,2))</f>
        <v/>
      </c>
      <c r="AY103" s="66" t="n"/>
      <c r="AZ103" s="78">
        <f>IF(OR(INDEX(Undirviðmið!$G$6:$G$105,ROW()-6)&lt;&gt;"Starfsbundinn",AY103="",$E103="",$D103=""),"",ROUND(AY103/$E103*$D103*KVARDI,2))</f>
        <v/>
      </c>
      <c r="BA103" s="66" t="n"/>
      <c r="BB103" s="78">
        <f>IF(OR(INDEX(Undirviðmið!$G$6:$G$105,ROW()-6)&lt;&gt;"Starfsbundinn",BA103="",$E103="",$D103=""),"",ROUND(BA103/$E103*$D103*KVARDI,2))</f>
        <v/>
      </c>
      <c r="BC103" s="66" t="n"/>
      <c r="BD103" s="78">
        <f>IF(OR(INDEX(Undirviðmið!$G$6:$G$105,ROW()-6)&lt;&gt;"Starfsbundinn",BC103="",$E103="",$D103=""),"",ROUND(BC103/$E103*$D103*KVARDI,2))</f>
        <v/>
      </c>
      <c r="BE103" s="66" t="n"/>
      <c r="BF103" s="78">
        <f>IF(OR(INDEX(Undirviðmið!$G$6:$G$105,ROW()-6)&lt;&gt;"Starfsbundinn",BE103="",$E103="",$D103=""),"",ROUND(BE103/$E103*$D103*KVARDI,2))</f>
        <v/>
      </c>
      <c r="BG103" s="66" t="n"/>
      <c r="BH103" s="78">
        <f>IF(OR(INDEX(Undirviðmið!$G$6:$G$105,ROW()-6)&lt;&gt;"Starfsbundinn",BG103="",$E103="",$D103=""),"",ROUND(BG103/$E103*$D103*KVARDI,2))</f>
        <v/>
      </c>
      <c r="BI103" s="66" t="n"/>
      <c r="BJ103" s="78">
        <f>IF(OR(INDEX(Undirviðmið!$G$6:$G$105,ROW()-6)&lt;&gt;"Starfsbundinn",BI103="",$E103="",$D103=""),"",ROUND(BI103/$E103*$D103*KVARDI,2))</f>
        <v/>
      </c>
      <c r="BK103" s="66" t="n"/>
      <c r="BL103" s="78">
        <f>IF(OR(INDEX(Undirviðmið!$G$6:$G$105,ROW()-6)&lt;&gt;"Starfsbundinn",BK103="",$E103="",$D103=""),"",ROUND(BK103/$E103*$D103*KVARDI,2))</f>
        <v/>
      </c>
      <c r="BM103" s="66" t="n"/>
      <c r="BN103" s="78">
        <f>IF(OR(INDEX(Undirviðmið!$G$6:$G$105,ROW()-6)&lt;&gt;"Starfsbundinn",BM103="",$E103="",$D103=""),"",ROUND(BM103/$E103*$D103*KVARDI,2))</f>
        <v/>
      </c>
      <c r="BO103" s="66" t="n"/>
      <c r="BP103" s="78">
        <f>IF(OR(INDEX(Undirviðmið!$G$6:$G$105,ROW()-6)&lt;&gt;"Starfsbundinn",BO103="",$E103="",$D103=""),"",ROUND(BO103/$E103*$D103*KVARDI,2))</f>
        <v/>
      </c>
      <c r="BQ103" s="66" t="n"/>
      <c r="BR103" s="78">
        <f>IF(OR(INDEX(Undirviðmið!$G$6:$G$105,ROW()-6)&lt;&gt;"Starfsbundinn",BQ103="",$E103="",$D103=""),"",ROUND(BQ103/$E103*$D103*KVARDI,2))</f>
        <v/>
      </c>
      <c r="BS103" s="66" t="n"/>
      <c r="BT103" s="78">
        <f>IF(OR(INDEX(Undirviðmið!$G$6:$G$105,ROW()-6)&lt;&gt;"Starfsbundinn",BS103="",$E103="",$D103=""),"",ROUND(BS103/$E103*$D103*KVARDI,2))</f>
        <v/>
      </c>
      <c r="BU103" s="66" t="n"/>
      <c r="BV103" s="78">
        <f>IF(OR(INDEX(Undirviðmið!$G$6:$G$105,ROW()-6)&lt;&gt;"Starfsbundinn",BU103="",$E103="",$D103=""),"",ROUND(BU103/$E103*$D103*KVARDI,2))</f>
        <v/>
      </c>
      <c r="BW103" s="66" t="n"/>
      <c r="BX103" s="78">
        <f>IF(OR(INDEX(Undirviðmið!$G$6:$G$105,ROW()-6)&lt;&gt;"Starfsbundinn",BW103="",$E103="",$D103=""),"",ROUND(BW103/$E103*$D103*KVARDI,2))</f>
        <v/>
      </c>
      <c r="BY103" s="66" t="n"/>
      <c r="BZ103" s="78">
        <f>IF(OR(INDEX(Undirviðmið!$G$6:$G$105,ROW()-6)&lt;&gt;"Starfsbundinn",BY103="",$E103="",$D103=""),"",ROUND(BY103/$E103*$D103*KVARDI,2))</f>
        <v/>
      </c>
      <c r="CA103" s="66" t="n"/>
      <c r="CB103" s="78">
        <f>IF(OR(INDEX(Undirviðmið!$G$6:$G$105,ROW()-6)&lt;&gt;"Starfsbundinn",CA103="",$E103="",$D103=""),"",ROUND(CA103/$E103*$D103*KVARDI,2))</f>
        <v/>
      </c>
      <c r="CC103" s="66" t="n"/>
      <c r="CD103" s="78">
        <f>IF(OR(INDEX(Undirviðmið!$G$6:$G$105,ROW()-6)&lt;&gt;"Starfsbundinn",CC103="",$E103="",$D103=""),"",ROUND(CC103/$E103*$D103*KVARDI,2))</f>
        <v/>
      </c>
      <c r="CE103" s="66" t="n"/>
      <c r="CF103" s="78">
        <f>IF(OR(INDEX(Undirviðmið!$G$6:$G$105,ROW()-6)&lt;&gt;"Starfsbundinn",CE103="",$E103="",$D103=""),"",ROUND(CE103/$E103*$D103*KVARDI,2))</f>
        <v/>
      </c>
      <c r="CG103" s="66" t="n"/>
      <c r="CH103" s="78">
        <f>IF(OR(INDEX(Undirviðmið!$G$6:$G$105,ROW()-6)&lt;&gt;"Starfsbundinn",CG103="",$E103="",$D103=""),"",ROUND(CG103/$E103*$D103*KVARDI,2))</f>
        <v/>
      </c>
      <c r="CI103" s="66" t="n"/>
      <c r="CJ103" s="78">
        <f>IF(OR(INDEX(Undirviðmið!$G$6:$G$105,ROW()-6)&lt;&gt;"Starfsbundinn",CI103="",$E103="",$D103=""),"",ROUND(CI103/$E103*$D103*KVARDI,2))</f>
        <v/>
      </c>
      <c r="CK103" s="66" t="n"/>
      <c r="CL103" s="78">
        <f>IF(OR(INDEX(Undirviðmið!$G$6:$G$105,ROW()-6)&lt;&gt;"Starfsbundinn",CK103="",$E103="",$D103=""),"",ROUND(CK103/$E103*$D103*KVARDI,2))</f>
        <v/>
      </c>
      <c r="CM103" s="66" t="n"/>
      <c r="CN103" s="78">
        <f>IF(OR(INDEX(Undirviðmið!$G$6:$G$105,ROW()-6)&lt;&gt;"Starfsbundinn",CM103="",$E103="",$D103=""),"",ROUND(CM103/$E103*$D103*KVARDI,2))</f>
        <v/>
      </c>
      <c r="CO103" s="66" t="n"/>
      <c r="CP103" s="78">
        <f>IF(OR(INDEX(Undirviðmið!$G$6:$G$105,ROW()-6)&lt;&gt;"Starfsbundinn",CO103="",$E103="",$D103=""),"",ROUND(CO103/$E103*$D103*KVARDI,2))</f>
        <v/>
      </c>
      <c r="CQ103" s="66" t="n"/>
      <c r="CR103" s="78">
        <f>IF(OR(INDEX(Undirviðmið!$G$6:$G$105,ROW()-6)&lt;&gt;"Starfsbundinn",CQ103="",$E103="",$D103=""),"",ROUND(CQ103/$E103*$D103*KVARDI,2))</f>
        <v/>
      </c>
      <c r="CS103" s="66" t="n"/>
      <c r="CT103" s="78">
        <f>IF(OR(INDEX(Undirviðmið!$G$6:$G$105,ROW()-6)&lt;&gt;"Starfsbundinn",CS103="",$E103="",$D103=""),"",ROUND(CS103/$E103*$D103*KVARDI,2))</f>
        <v/>
      </c>
      <c r="CU103" s="66" t="n"/>
      <c r="CV103" s="78">
        <f>IF(OR(INDEX(Undirviðmið!$G$6:$G$105,ROW()-6)&lt;&gt;"Starfsbundinn",CU103="",$E103="",$D103=""),"",ROUND(CU103/$E103*$D103*KVARDI,2))</f>
        <v/>
      </c>
      <c r="CW103" s="66" t="n"/>
      <c r="CX103" s="78">
        <f>IF(OR(INDEX(Undirviðmið!$G$6:$G$105,ROW()-6)&lt;&gt;"Starfsbundinn",CW103="",$E103="",$D103=""),"",ROUND(CW103/$E103*$D103*KVARDI,2))</f>
        <v/>
      </c>
      <c r="CY103" s="66" t="n"/>
      <c r="CZ103" s="78">
        <f>IF(OR(INDEX(Undirviðmið!$G$6:$G$105,ROW()-6)&lt;&gt;"Starfsbundinn",CY103="",$E103="",$D103=""),"",ROUND(CY103/$E103*$D103*KVARDI,2))</f>
        <v/>
      </c>
      <c r="DA103" s="66" t="n"/>
      <c r="DB103" s="78">
        <f>IF(OR(INDEX(Undirviðmið!$G$6:$G$105,ROW()-6)&lt;&gt;"Starfsbundinn",DA103="",$E103="",$D103=""),"",ROUND(DA103/$E103*$D103*KVARDI,2))</f>
        <v/>
      </c>
      <c r="DC103" s="66" t="n"/>
      <c r="DD103" s="78">
        <f>IF(OR(INDEX(Undirviðmið!$G$6:$G$105,ROW()-6)&lt;&gt;"Starfsbundinn",DC103="",$E103="",$D103=""),"",ROUND(DC103/$E103*$D103*KVARDI,2))</f>
        <v/>
      </c>
      <c r="DE103" s="66" t="n"/>
      <c r="DF103" s="78">
        <f>IF(OR(INDEX(Undirviðmið!$G$6:$G$105,ROW()-6)&lt;&gt;"Starfsbundinn",DE103="",$E103="",$D103=""),"",ROUND(DE103/$E103*$D103*KVARDI,2))</f>
        <v/>
      </c>
      <c r="DG103" s="66" t="n"/>
      <c r="DH103" s="78">
        <f>IF(OR(INDEX(Undirviðmið!$G$6:$G$105,ROW()-6)&lt;&gt;"Starfsbundinn",DG103="",$E103="",$D103=""),"",ROUND(DG103/$E103*$D103*KVARDI,2))</f>
        <v/>
      </c>
      <c r="DI103" s="66" t="n"/>
      <c r="DJ103" s="78">
        <f>IF(OR(INDEX(Undirviðmið!$G$6:$G$105,ROW()-6)&lt;&gt;"Starfsbundinn",DI103="",$E103="",$D103=""),"",ROUND(DI103/$E103*$D103*KVARDI,2))</f>
        <v/>
      </c>
      <c r="DK103" s="66" t="n"/>
      <c r="DL103" s="78">
        <f>IF(OR(INDEX(Undirviðmið!$G$6:$G$105,ROW()-6)&lt;&gt;"Starfsbundinn",DK103="",$E103="",$D103=""),"",ROUND(DK103/$E103*$D103*KVARDI,2))</f>
        <v/>
      </c>
      <c r="DM103" s="66" t="n"/>
      <c r="DN103" s="78">
        <f>IF(OR(INDEX(Undirviðmið!$G$6:$G$105,ROW()-6)&lt;&gt;"Starfsbundinn",DM103="",$E103="",$D103=""),"",ROUND(DM103/$E103*$D103*KVARDI,2))</f>
        <v/>
      </c>
      <c r="DO103" s="66" t="n"/>
      <c r="DP103" s="78">
        <f>IF(OR(INDEX(Undirviðmið!$G$6:$G$105,ROW()-6)&lt;&gt;"Starfsbundinn",DO103="",$E103="",$D103=""),"",ROUND(DO103/$E103*$D103*KVARDI,2))</f>
        <v/>
      </c>
      <c r="DQ103" s="66" t="n"/>
      <c r="DR103" s="78">
        <f>IF(OR(INDEX(Undirviðmið!$G$6:$G$105,ROW()-6)&lt;&gt;"Starfsbundinn",DQ103="",$E103="",$D103=""),"",ROUND(DQ103/$E103*$D103*KVARDI,2))</f>
        <v/>
      </c>
      <c r="DS103" s="66" t="n"/>
      <c r="DT103" s="78">
        <f>IF(OR(INDEX(Undirviðmið!$G$6:$G$105,ROW()-6)&lt;&gt;"Starfsbundinn",DS103="",$E103="",$D103=""),"",ROUND(DS103/$E103*$D103*KVARDI,2))</f>
        <v/>
      </c>
      <c r="DU103" s="66" t="n"/>
      <c r="DV103" s="78">
        <f>IF(OR(INDEX(Undirviðmið!$G$6:$G$105,ROW()-6)&lt;&gt;"Starfsbundinn",DU103="",$E103="",$D103=""),"",ROUND(DU103/$E103*$D103*KVARDI,2))</f>
        <v/>
      </c>
      <c r="DW103" s="66" t="n"/>
      <c r="DX103" s="78">
        <f>IF(OR(INDEX(Undirviðmið!$G$6:$G$105,ROW()-6)&lt;&gt;"Starfsbundinn",DW103="",$E103="",$D103=""),"",ROUND(DW103/$E103*$D103*KVARDI,2))</f>
        <v/>
      </c>
      <c r="DY103" s="66" t="n"/>
      <c r="DZ103" s="78">
        <f>IF(OR(INDEX(Undirviðmið!$G$6:$G$105,ROW()-6)&lt;&gt;"Starfsbundinn",DY103="",$E103="",$D103=""),"",ROUND(DY103/$E103*$D103*KVARDI,2))</f>
        <v/>
      </c>
      <c r="EA103" s="66" t="n"/>
      <c r="EB103" s="78">
        <f>IF(OR(INDEX(Undirviðmið!$G$6:$G$105,ROW()-6)&lt;&gt;"Starfsbundinn",EA103="",$E103="",$D103=""),"",ROUND(EA103/$E103*$D103*KVARDI,2))</f>
        <v/>
      </c>
      <c r="EC103" s="66" t="n"/>
      <c r="ED103" s="78">
        <f>IF(OR(INDEX(Undirviðmið!$G$6:$G$105,ROW()-6)&lt;&gt;"Starfsbundinn",EC103="",$E103="",$D103=""),"",ROUND(EC103/$E103*$D103*KVARDI,2))</f>
        <v/>
      </c>
      <c r="EE103" s="66" t="n"/>
      <c r="EF103" s="78">
        <f>IF(OR(INDEX(Undirviðmið!$G$6:$G$105,ROW()-6)&lt;&gt;"Starfsbundinn",EE103="",$E103="",$D103=""),"",ROUND(EE103/$E103*$D103*KVARDI,2))</f>
        <v/>
      </c>
      <c r="EG103" s="66" t="n"/>
      <c r="EH103" s="78">
        <f>IF(OR(INDEX(Undirviðmið!$G$6:$G$105,ROW()-6)&lt;&gt;"Starfsbundinn",EG103="",$E103="",$D103=""),"",ROUND(EG103/$E103*$D103*KVARDI,2))</f>
        <v/>
      </c>
      <c r="EI103" s="66" t="n"/>
      <c r="EJ103" s="78">
        <f>IF(OR(INDEX(Undirviðmið!$G$6:$G$105,ROW()-6)&lt;&gt;"Starfsbundinn",EI103="",$E103="",$D103=""),"",ROUND(EI103/$E103*$D103*KVARDI,2))</f>
        <v/>
      </c>
      <c r="EK103" s="66" t="n"/>
      <c r="EL103" s="78">
        <f>IF(OR(INDEX(Undirviðmið!$G$6:$G$105,ROW()-6)&lt;&gt;"Starfsbundinn",EK103="",$E103="",$D103=""),"",ROUND(EK103/$E103*$D103*KVARDI,2))</f>
        <v/>
      </c>
      <c r="EM103" s="66" t="n"/>
      <c r="EN103" s="78">
        <f>IF(OR(INDEX(Undirviðmið!$G$6:$G$105,ROW()-6)&lt;&gt;"Starfsbundinn",EM103="",$E103="",$D103=""),"",ROUND(EM103/$E103*$D103*KVARDI,2))</f>
        <v/>
      </c>
      <c r="EO103" s="66" t="n"/>
      <c r="EP103" s="78">
        <f>IF(OR(INDEX(Undirviðmið!$G$6:$G$105,ROW()-6)&lt;&gt;"Starfsbundinn",EO103="",$E103="",$D103=""),"",ROUND(EO103/$E103*$D103*KVARDI,2))</f>
        <v/>
      </c>
      <c r="EQ103" s="66" t="n"/>
      <c r="ER103" s="78">
        <f>IF(OR(INDEX(Undirviðmið!$G$6:$G$105,ROW()-6)&lt;&gt;"Starfsbundinn",EQ103="",$E103="",$D103=""),"",ROUND(EQ103/$E103*$D103*KVARDI,2))</f>
        <v/>
      </c>
      <c r="ES103" s="66" t="n"/>
      <c r="ET103" s="78">
        <f>IF(OR(INDEX(Undirviðmið!$G$6:$G$105,ROW()-6)&lt;&gt;"Starfsbundinn",ES103="",$E103="",$D103=""),"",ROUND(ES103/$E103*$D103*KVARDI,2))</f>
        <v/>
      </c>
      <c r="EU103" s="66" t="n"/>
      <c r="EV103" s="78">
        <f>IF(OR(INDEX(Undirviðmið!$G$6:$G$105,ROW()-6)&lt;&gt;"Starfsbundinn",EU103="",$E103="",$D103=""),"",ROUND(EU103/$E103*$D103*KVARDI,2))</f>
        <v/>
      </c>
      <c r="EW103" s="66" t="n"/>
      <c r="EX103" s="78">
        <f>IF(OR(INDEX(Undirviðmið!$G$6:$G$105,ROW()-6)&lt;&gt;"Starfsbundinn",EW103="",$E103="",$D103=""),"",ROUND(EW103/$E103*$D103*KVARDI,2))</f>
        <v/>
      </c>
      <c r="EY103" s="66" t="n"/>
      <c r="EZ103" s="78">
        <f>IF(OR(INDEX(Undirviðmið!$G$6:$G$105,ROW()-6)&lt;&gt;"Starfsbundinn",EY103="",$E103="",$D103=""),"",ROUND(EY103/$E103*$D103*KVARDI,2))</f>
        <v/>
      </c>
      <c r="FA103" s="66" t="n"/>
      <c r="FB103" s="78">
        <f>IF(OR(INDEX(Undirviðmið!$G$6:$G$105,ROW()-6)&lt;&gt;"Starfsbundinn",FA103="",$E103="",$D103=""),"",ROUND(FA103/$E103*$D103*KVARDI,2))</f>
        <v/>
      </c>
      <c r="FC103" s="66" t="n"/>
      <c r="FD103" s="78">
        <f>IF(OR(INDEX(Undirviðmið!$G$6:$G$105,ROW()-6)&lt;&gt;"Starfsbundinn",FC103="",$E103="",$D103=""),"",ROUND(FC103/$E103*$D103*KVARDI,2))</f>
        <v/>
      </c>
      <c r="FE103" s="66" t="n"/>
      <c r="FF103" s="78">
        <f>IF(OR(INDEX(Undirviðmið!$G$6:$G$105,ROW()-6)&lt;&gt;"Starfsbundinn",FE103="",$E103="",$D103=""),"",ROUND(FE103/$E103*$D103*KVARDI,2))</f>
        <v/>
      </c>
      <c r="FG103" s="66" t="n"/>
      <c r="FH103" s="78">
        <f>IF(OR(INDEX(Undirviðmið!$G$6:$G$105,ROW()-6)&lt;&gt;"Starfsbundinn",FG103="",$E103="",$D103=""),"",ROUND(FG103/$E103*$D103*KVARDI,2))</f>
        <v/>
      </c>
      <c r="FI103" s="66" t="n"/>
      <c r="FJ103" s="78">
        <f>IF(OR(INDEX(Undirviðmið!$G$6:$G$105,ROW()-6)&lt;&gt;"Starfsbundinn",FI103="",$E103="",$D103=""),"",ROUND(FI103/$E103*$D103*KVARDI,2))</f>
        <v/>
      </c>
      <c r="FK103" s="66" t="n"/>
      <c r="FL103" s="78">
        <f>IF(OR(INDEX(Undirviðmið!$G$6:$G$105,ROW()-6)&lt;&gt;"Starfsbundinn",FK103="",$E103="",$D103=""),"",ROUND(FK103/$E103*$D103*KVARDI,2))</f>
        <v/>
      </c>
      <c r="FM103" s="66" t="n"/>
      <c r="FN103" s="78">
        <f>IF(OR(INDEX(Undirviðmið!$G$6:$G$105,ROW()-6)&lt;&gt;"Starfsbundinn",FM103="",$E103="",$D103=""),"",ROUND(FM103/$E103*$D103*KVARDI,2))</f>
        <v/>
      </c>
      <c r="FO103" s="66" t="n"/>
      <c r="FP103" s="78">
        <f>IF(OR(INDEX(Undirviðmið!$G$6:$G$105,ROW()-6)&lt;&gt;"Starfsbundinn",FO103="",$E103="",$D103=""),"",ROUND(FO103/$E103*$D103*KVARDI,2))</f>
        <v/>
      </c>
      <c r="FQ103" s="66" t="n"/>
      <c r="FR103" s="78">
        <f>IF(OR(INDEX(Undirviðmið!$G$6:$G$105,ROW()-6)&lt;&gt;"Starfsbundinn",FQ103="",$E103="",$D103=""),"",ROUND(FQ103/$E103*$D103*KVARDI,2))</f>
        <v/>
      </c>
      <c r="FS103" s="66" t="n"/>
      <c r="FT103" s="78">
        <f>IF(OR(INDEX(Undirviðmið!$G$6:$G$105,ROW()-6)&lt;&gt;"Starfsbundinn",FS103="",$E103="",$D103=""),"",ROUND(FS103/$E103*$D103*KVARDI,2))</f>
        <v/>
      </c>
      <c r="FU103" s="66" t="n"/>
      <c r="FV103" s="78">
        <f>IF(OR(INDEX(Undirviðmið!$G$6:$G$105,ROW()-6)&lt;&gt;"Starfsbundinn",FU103="",$E103="",$D103=""),"",ROUND(FU103/$E103*$D103*KVARDI,2))</f>
        <v/>
      </c>
      <c r="FW103" s="66" t="n"/>
      <c r="FX103" s="78">
        <f>IF(OR(INDEX(Undirviðmið!$G$6:$G$105,ROW()-6)&lt;&gt;"Starfsbundinn",FW103="",$E103="",$D103=""),"",ROUND(FW103/$E103*$D103*KVARDI,2))</f>
        <v/>
      </c>
      <c r="FY103" s="66" t="n"/>
      <c r="FZ103" s="78">
        <f>IF(OR(INDEX(Undirviðmið!$G$6:$G$105,ROW()-6)&lt;&gt;"Starfsbundinn",FY103="",$E103="",$D103=""),"",ROUND(FY103/$E103*$D103*KVARDI,2))</f>
        <v/>
      </c>
      <c r="GA103" s="66" t="n"/>
      <c r="GB103" s="78">
        <f>IF(OR(INDEX(Undirviðmið!$G$6:$G$105,ROW()-6)&lt;&gt;"Starfsbundinn",GA103="",$E103="",$D103=""),"",ROUND(GA103/$E103*$D103*KVARDI,2))</f>
        <v/>
      </c>
      <c r="GC103" s="66" t="n"/>
      <c r="GD103" s="78">
        <f>IF(OR(INDEX(Undirviðmið!$G$6:$G$105,ROW()-6)&lt;&gt;"Starfsbundinn",GC103="",$E103="",$D103=""),"",ROUND(GC103/$E103*$D103*KVARDI,2))</f>
        <v/>
      </c>
      <c r="GE103" s="66" t="n"/>
      <c r="GF103" s="78">
        <f>IF(OR(INDEX(Undirviðmið!$G$6:$G$105,ROW()-6)&lt;&gt;"Starfsbundinn",GE103="",$E103="",$D103=""),"",ROUND(GE103/$E103*$D103*KVARDI,2))</f>
        <v/>
      </c>
      <c r="GG103" s="66" t="n"/>
      <c r="GH103" s="78">
        <f>IF(OR(INDEX(Undirviðmið!$G$6:$G$105,ROW()-6)&lt;&gt;"Starfsbundinn",GG103="",$E103="",$D103=""),"",ROUND(GG103/$E103*$D103*KVARDI,2))</f>
        <v/>
      </c>
      <c r="GI103" s="66" t="n"/>
      <c r="GJ103" s="78">
        <f>IF(OR(INDEX(Undirviðmið!$G$6:$G$105,ROW()-6)&lt;&gt;"Starfsbundinn",GI103="",$E103="",$D103=""),"",ROUND(GI103/$E103*$D103*KVARDI,2))</f>
        <v/>
      </c>
      <c r="GK103" s="66" t="n"/>
      <c r="GL103" s="78">
        <f>IF(OR(INDEX(Undirviðmið!$G$6:$G$105,ROW()-6)&lt;&gt;"Starfsbundinn",GK103="",$E103="",$D103=""),"",ROUND(GK103/$E103*$D103*KVARDI,2))</f>
        <v/>
      </c>
      <c r="GM103" s="66" t="n"/>
      <c r="GN103" s="78">
        <f>IF(OR(INDEX(Undirviðmið!$G$6:$G$105,ROW()-6)&lt;&gt;"Starfsbundinn",GM103="",$E103="",$D103=""),"",ROUND(GM103/$E103*$D103*KVARDI,2))</f>
        <v/>
      </c>
      <c r="GO103" s="66" t="n"/>
      <c r="GP103" s="78">
        <f>IF(OR(INDEX(Undirviðmið!$G$6:$G$105,ROW()-6)&lt;&gt;"Starfsbundinn",GO103="",$E103="",$D103=""),"",ROUND(GO103/$E103*$D103*KVARDI,2))</f>
        <v/>
      </c>
      <c r="GQ103" s="66" t="n"/>
      <c r="GR103" s="78">
        <f>IF(OR(INDEX(Undirviðmið!$G$6:$G$105,ROW()-6)&lt;&gt;"Starfsbundinn",GQ103="",$E103="",$D103=""),"",ROUND(GQ103/$E103*$D103*KVARDI,2))</f>
        <v/>
      </c>
      <c r="GS103" s="66" t="n"/>
      <c r="GT103" s="78">
        <f>IF(OR(INDEX(Undirviðmið!$G$6:$G$105,ROW()-6)&lt;&gt;"Starfsbundinn",GS103="",$E103="",$D103=""),"",ROUND(GS103/$E103*$D103*KVARDI,2))</f>
        <v/>
      </c>
      <c r="GU103" s="66" t="n"/>
      <c r="GV103" s="78">
        <f>IF(OR(INDEX(Undirviðmið!$G$6:$G$105,ROW()-6)&lt;&gt;"Starfsbundinn",GU103="",$E103="",$D103=""),"",ROUND(GU103/$E103*$D103*KVARDI,2))</f>
        <v/>
      </c>
      <c r="GW103" s="66" t="n"/>
      <c r="GX103" s="78">
        <f>IF(OR(INDEX(Undirviðmið!$G$6:$G$105,ROW()-6)&lt;&gt;"Starfsbundinn",GW103="",$E103="",$D103=""),"",ROUND(GW103/$E103*$D103*KVARDI,2))</f>
        <v/>
      </c>
    </row>
    <row r="104" ht="15" customHeight="1" s="47">
      <c r="B104" s="67">
        <f>IF(INDEX(Undirviðmið!$G$6:$G$105,ROW()-6)="Starfsbundinn",INDEX(Undirviðmið!$B$6:$B$105,ROW()-6),"")</f>
        <v/>
      </c>
      <c r="C104" s="67">
        <f>IF(INDEX(Undirviðmið!$G$6:$G$105,ROW()-6)="Starfsbundinn",INDEX(Undirviðmið!$C$6:$C$105,ROW()-6),"")</f>
        <v/>
      </c>
      <c r="D104" s="77">
        <f>IF(INDEX(Undirviðmið!$G$6:$G$105,ROW()-6)="Starfsbundinn",INDEX(Undirviðmið!$E$6:$E$105,ROW()-6),"")</f>
        <v/>
      </c>
      <c r="E104" s="77">
        <f>IF(INDEX(Undirviðmið!$G$6:$G$105,ROW()-6)="Starfsbundinn",INDEX(Undirviðmið!$F$6:$F$105,ROW()-6),"")</f>
        <v/>
      </c>
      <c r="F104" s="77">
        <f>IF(INDEX(Undirviðmið!$G$6:$G$105,ROW()-6)="Starfsbundinn",IFERROR(INDEX(Undirviðmið!$E$6:$E$105,ROW()-6)*KVARDI,""),"")</f>
        <v/>
      </c>
      <c r="G104" s="66" t="n"/>
      <c r="H104" s="78">
        <f>IF(OR(INDEX(Undirviðmið!$G$6:$G$105,ROW()-6)&lt;&gt;"Starfsbundinn",G104="",$E104="",$D104=""),"",ROUND(G104/$E104*$D104*KVARDI,2))</f>
        <v/>
      </c>
      <c r="I104" s="66" t="n"/>
      <c r="J104" s="78">
        <f>IF(OR(INDEX(Undirviðmið!$G$6:$G$105,ROW()-6)&lt;&gt;"Starfsbundinn",I104="",$E104="",$D104=""),"",ROUND(I104/$E104*$D104*KVARDI,2))</f>
        <v/>
      </c>
      <c r="K104" s="66" t="n"/>
      <c r="L104" s="78">
        <f>IF(OR(INDEX(Undirviðmið!$G$6:$G$105,ROW()-6)&lt;&gt;"Starfsbundinn",K104="",$E104="",$D104=""),"",ROUND(K104/$E104*$D104*KVARDI,2))</f>
        <v/>
      </c>
      <c r="M104" s="66" t="n"/>
      <c r="N104" s="78">
        <f>IF(OR(INDEX(Undirviðmið!$G$6:$G$105,ROW()-6)&lt;&gt;"Starfsbundinn",M104="",$E104="",$D104=""),"",ROUND(M104/$E104*$D104*KVARDI,2))</f>
        <v/>
      </c>
      <c r="O104" s="66" t="n"/>
      <c r="P104" s="78">
        <f>IF(OR(INDEX(Undirviðmið!$G$6:$G$105,ROW()-6)&lt;&gt;"Starfsbundinn",O104="",$E104="",$D104=""),"",ROUND(O104/$E104*$D104*KVARDI,2))</f>
        <v/>
      </c>
      <c r="Q104" s="66" t="n"/>
      <c r="R104" s="78">
        <f>IF(OR(INDEX(Undirviðmið!$G$6:$G$105,ROW()-6)&lt;&gt;"Starfsbundinn",Q104="",$E104="",$D104=""),"",ROUND(Q104/$E104*$D104*KVARDI,2))</f>
        <v/>
      </c>
      <c r="S104" s="66" t="n"/>
      <c r="T104" s="78">
        <f>IF(OR(INDEX(Undirviðmið!$G$6:$G$105,ROW()-6)&lt;&gt;"Starfsbundinn",S104="",$E104="",$D104=""),"",ROUND(S104/$E104*$D104*KVARDI,2))</f>
        <v/>
      </c>
      <c r="U104" s="66" t="n"/>
      <c r="V104" s="78">
        <f>IF(OR(INDEX(Undirviðmið!$G$6:$G$105,ROW()-6)&lt;&gt;"Starfsbundinn",U104="",$E104="",$D104=""),"",ROUND(U104/$E104*$D104*KVARDI,2))</f>
        <v/>
      </c>
      <c r="W104" s="66" t="n"/>
      <c r="X104" s="78">
        <f>IF(OR(INDEX(Undirviðmið!$G$6:$G$105,ROW()-6)&lt;&gt;"Starfsbundinn",W104="",$E104="",$D104=""),"",ROUND(W104/$E104*$D104*KVARDI,2))</f>
        <v/>
      </c>
      <c r="Y104" s="66" t="n"/>
      <c r="Z104" s="78">
        <f>IF(OR(INDEX(Undirviðmið!$G$6:$G$105,ROW()-6)&lt;&gt;"Starfsbundinn",Y104="",$E104="",$D104=""),"",ROUND(Y104/$E104*$D104*KVARDI,2))</f>
        <v/>
      </c>
      <c r="AA104" s="66" t="n"/>
      <c r="AB104" s="78">
        <f>IF(OR(INDEX(Undirviðmið!$G$6:$G$105,ROW()-6)&lt;&gt;"Starfsbundinn",AA104="",$E104="",$D104=""),"",ROUND(AA104/$E104*$D104*KVARDI,2))</f>
        <v/>
      </c>
      <c r="AC104" s="66" t="n"/>
      <c r="AD104" s="78">
        <f>IF(OR(INDEX(Undirviðmið!$G$6:$G$105,ROW()-6)&lt;&gt;"Starfsbundinn",AC104="",$E104="",$D104=""),"",ROUND(AC104/$E104*$D104*KVARDI,2))</f>
        <v/>
      </c>
      <c r="AE104" s="66" t="n"/>
      <c r="AF104" s="78">
        <f>IF(OR(INDEX(Undirviðmið!$G$6:$G$105,ROW()-6)&lt;&gt;"Starfsbundinn",AE104="",$E104="",$D104=""),"",ROUND(AE104/$E104*$D104*KVARDI,2))</f>
        <v/>
      </c>
      <c r="AG104" s="66" t="n"/>
      <c r="AH104" s="78">
        <f>IF(OR(INDEX(Undirviðmið!$G$6:$G$105,ROW()-6)&lt;&gt;"Starfsbundinn",AG104="",$E104="",$D104=""),"",ROUND(AG104/$E104*$D104*KVARDI,2))</f>
        <v/>
      </c>
      <c r="AI104" s="66" t="n"/>
      <c r="AJ104" s="78">
        <f>IF(OR(INDEX(Undirviðmið!$G$6:$G$105,ROW()-6)&lt;&gt;"Starfsbundinn",AI104="",$E104="",$D104=""),"",ROUND(AI104/$E104*$D104*KVARDI,2))</f>
        <v/>
      </c>
      <c r="AK104" s="66" t="n"/>
      <c r="AL104" s="78">
        <f>IF(OR(INDEX(Undirviðmið!$G$6:$G$105,ROW()-6)&lt;&gt;"Starfsbundinn",AK104="",$E104="",$D104=""),"",ROUND(AK104/$E104*$D104*KVARDI,2))</f>
        <v/>
      </c>
      <c r="AM104" s="66" t="n"/>
      <c r="AN104" s="78">
        <f>IF(OR(INDEX(Undirviðmið!$G$6:$G$105,ROW()-6)&lt;&gt;"Starfsbundinn",AM104="",$E104="",$D104=""),"",ROUND(AM104/$E104*$D104*KVARDI,2))</f>
        <v/>
      </c>
      <c r="AO104" s="66" t="n"/>
      <c r="AP104" s="78">
        <f>IF(OR(INDEX(Undirviðmið!$G$6:$G$105,ROW()-6)&lt;&gt;"Starfsbundinn",AO104="",$E104="",$D104=""),"",ROUND(AO104/$E104*$D104*KVARDI,2))</f>
        <v/>
      </c>
      <c r="AQ104" s="66" t="n"/>
      <c r="AR104" s="78">
        <f>IF(OR(INDEX(Undirviðmið!$G$6:$G$105,ROW()-6)&lt;&gt;"Starfsbundinn",AQ104="",$E104="",$D104=""),"",ROUND(AQ104/$E104*$D104*KVARDI,2))</f>
        <v/>
      </c>
      <c r="AS104" s="66" t="n"/>
      <c r="AT104" s="78">
        <f>IF(OR(INDEX(Undirviðmið!$G$6:$G$105,ROW()-6)&lt;&gt;"Starfsbundinn",AS104="",$E104="",$D104=""),"",ROUND(AS104/$E104*$D104*KVARDI,2))</f>
        <v/>
      </c>
      <c r="AU104" s="66" t="n"/>
      <c r="AV104" s="78">
        <f>IF(OR(INDEX(Undirviðmið!$G$6:$G$105,ROW()-6)&lt;&gt;"Starfsbundinn",AU104="",$E104="",$D104=""),"",ROUND(AU104/$E104*$D104*KVARDI,2))</f>
        <v/>
      </c>
      <c r="AW104" s="66" t="n"/>
      <c r="AX104" s="78">
        <f>IF(OR(INDEX(Undirviðmið!$G$6:$G$105,ROW()-6)&lt;&gt;"Starfsbundinn",AW104="",$E104="",$D104=""),"",ROUND(AW104/$E104*$D104*KVARDI,2))</f>
        <v/>
      </c>
      <c r="AY104" s="66" t="n"/>
      <c r="AZ104" s="78">
        <f>IF(OR(INDEX(Undirviðmið!$G$6:$G$105,ROW()-6)&lt;&gt;"Starfsbundinn",AY104="",$E104="",$D104=""),"",ROUND(AY104/$E104*$D104*KVARDI,2))</f>
        <v/>
      </c>
      <c r="BA104" s="66" t="n"/>
      <c r="BB104" s="78">
        <f>IF(OR(INDEX(Undirviðmið!$G$6:$G$105,ROW()-6)&lt;&gt;"Starfsbundinn",BA104="",$E104="",$D104=""),"",ROUND(BA104/$E104*$D104*KVARDI,2))</f>
        <v/>
      </c>
      <c r="BC104" s="66" t="n"/>
      <c r="BD104" s="78">
        <f>IF(OR(INDEX(Undirviðmið!$G$6:$G$105,ROW()-6)&lt;&gt;"Starfsbundinn",BC104="",$E104="",$D104=""),"",ROUND(BC104/$E104*$D104*KVARDI,2))</f>
        <v/>
      </c>
      <c r="BE104" s="66" t="n"/>
      <c r="BF104" s="78">
        <f>IF(OR(INDEX(Undirviðmið!$G$6:$G$105,ROW()-6)&lt;&gt;"Starfsbundinn",BE104="",$E104="",$D104=""),"",ROUND(BE104/$E104*$D104*KVARDI,2))</f>
        <v/>
      </c>
      <c r="BG104" s="66" t="n"/>
      <c r="BH104" s="78">
        <f>IF(OR(INDEX(Undirviðmið!$G$6:$G$105,ROW()-6)&lt;&gt;"Starfsbundinn",BG104="",$E104="",$D104=""),"",ROUND(BG104/$E104*$D104*KVARDI,2))</f>
        <v/>
      </c>
      <c r="BI104" s="66" t="n"/>
      <c r="BJ104" s="78">
        <f>IF(OR(INDEX(Undirviðmið!$G$6:$G$105,ROW()-6)&lt;&gt;"Starfsbundinn",BI104="",$E104="",$D104=""),"",ROUND(BI104/$E104*$D104*KVARDI,2))</f>
        <v/>
      </c>
      <c r="BK104" s="66" t="n"/>
      <c r="BL104" s="78">
        <f>IF(OR(INDEX(Undirviðmið!$G$6:$G$105,ROW()-6)&lt;&gt;"Starfsbundinn",BK104="",$E104="",$D104=""),"",ROUND(BK104/$E104*$D104*KVARDI,2))</f>
        <v/>
      </c>
      <c r="BM104" s="66" t="n"/>
      <c r="BN104" s="78">
        <f>IF(OR(INDEX(Undirviðmið!$G$6:$G$105,ROW()-6)&lt;&gt;"Starfsbundinn",BM104="",$E104="",$D104=""),"",ROUND(BM104/$E104*$D104*KVARDI,2))</f>
        <v/>
      </c>
      <c r="BO104" s="66" t="n"/>
      <c r="BP104" s="78">
        <f>IF(OR(INDEX(Undirviðmið!$G$6:$G$105,ROW()-6)&lt;&gt;"Starfsbundinn",BO104="",$E104="",$D104=""),"",ROUND(BO104/$E104*$D104*KVARDI,2))</f>
        <v/>
      </c>
      <c r="BQ104" s="66" t="n"/>
      <c r="BR104" s="78">
        <f>IF(OR(INDEX(Undirviðmið!$G$6:$G$105,ROW()-6)&lt;&gt;"Starfsbundinn",BQ104="",$E104="",$D104=""),"",ROUND(BQ104/$E104*$D104*KVARDI,2))</f>
        <v/>
      </c>
      <c r="BS104" s="66" t="n"/>
      <c r="BT104" s="78">
        <f>IF(OR(INDEX(Undirviðmið!$G$6:$G$105,ROW()-6)&lt;&gt;"Starfsbundinn",BS104="",$E104="",$D104=""),"",ROUND(BS104/$E104*$D104*KVARDI,2))</f>
        <v/>
      </c>
      <c r="BU104" s="66" t="n"/>
      <c r="BV104" s="78">
        <f>IF(OR(INDEX(Undirviðmið!$G$6:$G$105,ROW()-6)&lt;&gt;"Starfsbundinn",BU104="",$E104="",$D104=""),"",ROUND(BU104/$E104*$D104*KVARDI,2))</f>
        <v/>
      </c>
      <c r="BW104" s="66" t="n"/>
      <c r="BX104" s="78">
        <f>IF(OR(INDEX(Undirviðmið!$G$6:$G$105,ROW()-6)&lt;&gt;"Starfsbundinn",BW104="",$E104="",$D104=""),"",ROUND(BW104/$E104*$D104*KVARDI,2))</f>
        <v/>
      </c>
      <c r="BY104" s="66" t="n"/>
      <c r="BZ104" s="78">
        <f>IF(OR(INDEX(Undirviðmið!$G$6:$G$105,ROW()-6)&lt;&gt;"Starfsbundinn",BY104="",$E104="",$D104=""),"",ROUND(BY104/$E104*$D104*KVARDI,2))</f>
        <v/>
      </c>
      <c r="CA104" s="66" t="n"/>
      <c r="CB104" s="78">
        <f>IF(OR(INDEX(Undirviðmið!$G$6:$G$105,ROW()-6)&lt;&gt;"Starfsbundinn",CA104="",$E104="",$D104=""),"",ROUND(CA104/$E104*$D104*KVARDI,2))</f>
        <v/>
      </c>
      <c r="CC104" s="66" t="n"/>
      <c r="CD104" s="78">
        <f>IF(OR(INDEX(Undirviðmið!$G$6:$G$105,ROW()-6)&lt;&gt;"Starfsbundinn",CC104="",$E104="",$D104=""),"",ROUND(CC104/$E104*$D104*KVARDI,2))</f>
        <v/>
      </c>
      <c r="CE104" s="66" t="n"/>
      <c r="CF104" s="78">
        <f>IF(OR(INDEX(Undirviðmið!$G$6:$G$105,ROW()-6)&lt;&gt;"Starfsbundinn",CE104="",$E104="",$D104=""),"",ROUND(CE104/$E104*$D104*KVARDI,2))</f>
        <v/>
      </c>
      <c r="CG104" s="66" t="n"/>
      <c r="CH104" s="78">
        <f>IF(OR(INDEX(Undirviðmið!$G$6:$G$105,ROW()-6)&lt;&gt;"Starfsbundinn",CG104="",$E104="",$D104=""),"",ROUND(CG104/$E104*$D104*KVARDI,2))</f>
        <v/>
      </c>
      <c r="CI104" s="66" t="n"/>
      <c r="CJ104" s="78">
        <f>IF(OR(INDEX(Undirviðmið!$G$6:$G$105,ROW()-6)&lt;&gt;"Starfsbundinn",CI104="",$E104="",$D104=""),"",ROUND(CI104/$E104*$D104*KVARDI,2))</f>
        <v/>
      </c>
      <c r="CK104" s="66" t="n"/>
      <c r="CL104" s="78">
        <f>IF(OR(INDEX(Undirviðmið!$G$6:$G$105,ROW()-6)&lt;&gt;"Starfsbundinn",CK104="",$E104="",$D104=""),"",ROUND(CK104/$E104*$D104*KVARDI,2))</f>
        <v/>
      </c>
      <c r="CM104" s="66" t="n"/>
      <c r="CN104" s="78">
        <f>IF(OR(INDEX(Undirviðmið!$G$6:$G$105,ROW()-6)&lt;&gt;"Starfsbundinn",CM104="",$E104="",$D104=""),"",ROUND(CM104/$E104*$D104*KVARDI,2))</f>
        <v/>
      </c>
      <c r="CO104" s="66" t="n"/>
      <c r="CP104" s="78">
        <f>IF(OR(INDEX(Undirviðmið!$G$6:$G$105,ROW()-6)&lt;&gt;"Starfsbundinn",CO104="",$E104="",$D104=""),"",ROUND(CO104/$E104*$D104*KVARDI,2))</f>
        <v/>
      </c>
      <c r="CQ104" s="66" t="n"/>
      <c r="CR104" s="78">
        <f>IF(OR(INDEX(Undirviðmið!$G$6:$G$105,ROW()-6)&lt;&gt;"Starfsbundinn",CQ104="",$E104="",$D104=""),"",ROUND(CQ104/$E104*$D104*KVARDI,2))</f>
        <v/>
      </c>
      <c r="CS104" s="66" t="n"/>
      <c r="CT104" s="78">
        <f>IF(OR(INDEX(Undirviðmið!$G$6:$G$105,ROW()-6)&lt;&gt;"Starfsbundinn",CS104="",$E104="",$D104=""),"",ROUND(CS104/$E104*$D104*KVARDI,2))</f>
        <v/>
      </c>
      <c r="CU104" s="66" t="n"/>
      <c r="CV104" s="78">
        <f>IF(OR(INDEX(Undirviðmið!$G$6:$G$105,ROW()-6)&lt;&gt;"Starfsbundinn",CU104="",$E104="",$D104=""),"",ROUND(CU104/$E104*$D104*KVARDI,2))</f>
        <v/>
      </c>
      <c r="CW104" s="66" t="n"/>
      <c r="CX104" s="78">
        <f>IF(OR(INDEX(Undirviðmið!$G$6:$G$105,ROW()-6)&lt;&gt;"Starfsbundinn",CW104="",$E104="",$D104=""),"",ROUND(CW104/$E104*$D104*KVARDI,2))</f>
        <v/>
      </c>
      <c r="CY104" s="66" t="n"/>
      <c r="CZ104" s="78">
        <f>IF(OR(INDEX(Undirviðmið!$G$6:$G$105,ROW()-6)&lt;&gt;"Starfsbundinn",CY104="",$E104="",$D104=""),"",ROUND(CY104/$E104*$D104*KVARDI,2))</f>
        <v/>
      </c>
      <c r="DA104" s="66" t="n"/>
      <c r="DB104" s="78">
        <f>IF(OR(INDEX(Undirviðmið!$G$6:$G$105,ROW()-6)&lt;&gt;"Starfsbundinn",DA104="",$E104="",$D104=""),"",ROUND(DA104/$E104*$D104*KVARDI,2))</f>
        <v/>
      </c>
      <c r="DC104" s="66" t="n"/>
      <c r="DD104" s="78">
        <f>IF(OR(INDEX(Undirviðmið!$G$6:$G$105,ROW()-6)&lt;&gt;"Starfsbundinn",DC104="",$E104="",$D104=""),"",ROUND(DC104/$E104*$D104*KVARDI,2))</f>
        <v/>
      </c>
      <c r="DE104" s="66" t="n"/>
      <c r="DF104" s="78">
        <f>IF(OR(INDEX(Undirviðmið!$G$6:$G$105,ROW()-6)&lt;&gt;"Starfsbundinn",DE104="",$E104="",$D104=""),"",ROUND(DE104/$E104*$D104*KVARDI,2))</f>
        <v/>
      </c>
      <c r="DG104" s="66" t="n"/>
      <c r="DH104" s="78">
        <f>IF(OR(INDEX(Undirviðmið!$G$6:$G$105,ROW()-6)&lt;&gt;"Starfsbundinn",DG104="",$E104="",$D104=""),"",ROUND(DG104/$E104*$D104*KVARDI,2))</f>
        <v/>
      </c>
      <c r="DI104" s="66" t="n"/>
      <c r="DJ104" s="78">
        <f>IF(OR(INDEX(Undirviðmið!$G$6:$G$105,ROW()-6)&lt;&gt;"Starfsbundinn",DI104="",$E104="",$D104=""),"",ROUND(DI104/$E104*$D104*KVARDI,2))</f>
        <v/>
      </c>
      <c r="DK104" s="66" t="n"/>
      <c r="DL104" s="78">
        <f>IF(OR(INDEX(Undirviðmið!$G$6:$G$105,ROW()-6)&lt;&gt;"Starfsbundinn",DK104="",$E104="",$D104=""),"",ROUND(DK104/$E104*$D104*KVARDI,2))</f>
        <v/>
      </c>
      <c r="DM104" s="66" t="n"/>
      <c r="DN104" s="78">
        <f>IF(OR(INDEX(Undirviðmið!$G$6:$G$105,ROW()-6)&lt;&gt;"Starfsbundinn",DM104="",$E104="",$D104=""),"",ROUND(DM104/$E104*$D104*KVARDI,2))</f>
        <v/>
      </c>
      <c r="DO104" s="66" t="n"/>
      <c r="DP104" s="78">
        <f>IF(OR(INDEX(Undirviðmið!$G$6:$G$105,ROW()-6)&lt;&gt;"Starfsbundinn",DO104="",$E104="",$D104=""),"",ROUND(DO104/$E104*$D104*KVARDI,2))</f>
        <v/>
      </c>
      <c r="DQ104" s="66" t="n"/>
      <c r="DR104" s="78">
        <f>IF(OR(INDEX(Undirviðmið!$G$6:$G$105,ROW()-6)&lt;&gt;"Starfsbundinn",DQ104="",$E104="",$D104=""),"",ROUND(DQ104/$E104*$D104*KVARDI,2))</f>
        <v/>
      </c>
      <c r="DS104" s="66" t="n"/>
      <c r="DT104" s="78">
        <f>IF(OR(INDEX(Undirviðmið!$G$6:$G$105,ROW()-6)&lt;&gt;"Starfsbundinn",DS104="",$E104="",$D104=""),"",ROUND(DS104/$E104*$D104*KVARDI,2))</f>
        <v/>
      </c>
      <c r="DU104" s="66" t="n"/>
      <c r="DV104" s="78">
        <f>IF(OR(INDEX(Undirviðmið!$G$6:$G$105,ROW()-6)&lt;&gt;"Starfsbundinn",DU104="",$E104="",$D104=""),"",ROUND(DU104/$E104*$D104*KVARDI,2))</f>
        <v/>
      </c>
      <c r="DW104" s="66" t="n"/>
      <c r="DX104" s="78">
        <f>IF(OR(INDEX(Undirviðmið!$G$6:$G$105,ROW()-6)&lt;&gt;"Starfsbundinn",DW104="",$E104="",$D104=""),"",ROUND(DW104/$E104*$D104*KVARDI,2))</f>
        <v/>
      </c>
      <c r="DY104" s="66" t="n"/>
      <c r="DZ104" s="78">
        <f>IF(OR(INDEX(Undirviðmið!$G$6:$G$105,ROW()-6)&lt;&gt;"Starfsbundinn",DY104="",$E104="",$D104=""),"",ROUND(DY104/$E104*$D104*KVARDI,2))</f>
        <v/>
      </c>
      <c r="EA104" s="66" t="n"/>
      <c r="EB104" s="78">
        <f>IF(OR(INDEX(Undirviðmið!$G$6:$G$105,ROW()-6)&lt;&gt;"Starfsbundinn",EA104="",$E104="",$D104=""),"",ROUND(EA104/$E104*$D104*KVARDI,2))</f>
        <v/>
      </c>
      <c r="EC104" s="66" t="n"/>
      <c r="ED104" s="78">
        <f>IF(OR(INDEX(Undirviðmið!$G$6:$G$105,ROW()-6)&lt;&gt;"Starfsbundinn",EC104="",$E104="",$D104=""),"",ROUND(EC104/$E104*$D104*KVARDI,2))</f>
        <v/>
      </c>
      <c r="EE104" s="66" t="n"/>
      <c r="EF104" s="78">
        <f>IF(OR(INDEX(Undirviðmið!$G$6:$G$105,ROW()-6)&lt;&gt;"Starfsbundinn",EE104="",$E104="",$D104=""),"",ROUND(EE104/$E104*$D104*KVARDI,2))</f>
        <v/>
      </c>
      <c r="EG104" s="66" t="n"/>
      <c r="EH104" s="78">
        <f>IF(OR(INDEX(Undirviðmið!$G$6:$G$105,ROW()-6)&lt;&gt;"Starfsbundinn",EG104="",$E104="",$D104=""),"",ROUND(EG104/$E104*$D104*KVARDI,2))</f>
        <v/>
      </c>
      <c r="EI104" s="66" t="n"/>
      <c r="EJ104" s="78">
        <f>IF(OR(INDEX(Undirviðmið!$G$6:$G$105,ROW()-6)&lt;&gt;"Starfsbundinn",EI104="",$E104="",$D104=""),"",ROUND(EI104/$E104*$D104*KVARDI,2))</f>
        <v/>
      </c>
      <c r="EK104" s="66" t="n"/>
      <c r="EL104" s="78">
        <f>IF(OR(INDEX(Undirviðmið!$G$6:$G$105,ROW()-6)&lt;&gt;"Starfsbundinn",EK104="",$E104="",$D104=""),"",ROUND(EK104/$E104*$D104*KVARDI,2))</f>
        <v/>
      </c>
      <c r="EM104" s="66" t="n"/>
      <c r="EN104" s="78">
        <f>IF(OR(INDEX(Undirviðmið!$G$6:$G$105,ROW()-6)&lt;&gt;"Starfsbundinn",EM104="",$E104="",$D104=""),"",ROUND(EM104/$E104*$D104*KVARDI,2))</f>
        <v/>
      </c>
      <c r="EO104" s="66" t="n"/>
      <c r="EP104" s="78">
        <f>IF(OR(INDEX(Undirviðmið!$G$6:$G$105,ROW()-6)&lt;&gt;"Starfsbundinn",EO104="",$E104="",$D104=""),"",ROUND(EO104/$E104*$D104*KVARDI,2))</f>
        <v/>
      </c>
      <c r="EQ104" s="66" t="n"/>
      <c r="ER104" s="78">
        <f>IF(OR(INDEX(Undirviðmið!$G$6:$G$105,ROW()-6)&lt;&gt;"Starfsbundinn",EQ104="",$E104="",$D104=""),"",ROUND(EQ104/$E104*$D104*KVARDI,2))</f>
        <v/>
      </c>
      <c r="ES104" s="66" t="n"/>
      <c r="ET104" s="78">
        <f>IF(OR(INDEX(Undirviðmið!$G$6:$G$105,ROW()-6)&lt;&gt;"Starfsbundinn",ES104="",$E104="",$D104=""),"",ROUND(ES104/$E104*$D104*KVARDI,2))</f>
        <v/>
      </c>
      <c r="EU104" s="66" t="n"/>
      <c r="EV104" s="78">
        <f>IF(OR(INDEX(Undirviðmið!$G$6:$G$105,ROW()-6)&lt;&gt;"Starfsbundinn",EU104="",$E104="",$D104=""),"",ROUND(EU104/$E104*$D104*KVARDI,2))</f>
        <v/>
      </c>
      <c r="EW104" s="66" t="n"/>
      <c r="EX104" s="78">
        <f>IF(OR(INDEX(Undirviðmið!$G$6:$G$105,ROW()-6)&lt;&gt;"Starfsbundinn",EW104="",$E104="",$D104=""),"",ROUND(EW104/$E104*$D104*KVARDI,2))</f>
        <v/>
      </c>
      <c r="EY104" s="66" t="n"/>
      <c r="EZ104" s="78">
        <f>IF(OR(INDEX(Undirviðmið!$G$6:$G$105,ROW()-6)&lt;&gt;"Starfsbundinn",EY104="",$E104="",$D104=""),"",ROUND(EY104/$E104*$D104*KVARDI,2))</f>
        <v/>
      </c>
      <c r="FA104" s="66" t="n"/>
      <c r="FB104" s="78">
        <f>IF(OR(INDEX(Undirviðmið!$G$6:$G$105,ROW()-6)&lt;&gt;"Starfsbundinn",FA104="",$E104="",$D104=""),"",ROUND(FA104/$E104*$D104*KVARDI,2))</f>
        <v/>
      </c>
      <c r="FC104" s="66" t="n"/>
      <c r="FD104" s="78">
        <f>IF(OR(INDEX(Undirviðmið!$G$6:$G$105,ROW()-6)&lt;&gt;"Starfsbundinn",FC104="",$E104="",$D104=""),"",ROUND(FC104/$E104*$D104*KVARDI,2))</f>
        <v/>
      </c>
      <c r="FE104" s="66" t="n"/>
      <c r="FF104" s="78">
        <f>IF(OR(INDEX(Undirviðmið!$G$6:$G$105,ROW()-6)&lt;&gt;"Starfsbundinn",FE104="",$E104="",$D104=""),"",ROUND(FE104/$E104*$D104*KVARDI,2))</f>
        <v/>
      </c>
      <c r="FG104" s="66" t="n"/>
      <c r="FH104" s="78">
        <f>IF(OR(INDEX(Undirviðmið!$G$6:$G$105,ROW()-6)&lt;&gt;"Starfsbundinn",FG104="",$E104="",$D104=""),"",ROUND(FG104/$E104*$D104*KVARDI,2))</f>
        <v/>
      </c>
      <c r="FI104" s="66" t="n"/>
      <c r="FJ104" s="78">
        <f>IF(OR(INDEX(Undirviðmið!$G$6:$G$105,ROW()-6)&lt;&gt;"Starfsbundinn",FI104="",$E104="",$D104=""),"",ROUND(FI104/$E104*$D104*KVARDI,2))</f>
        <v/>
      </c>
      <c r="FK104" s="66" t="n"/>
      <c r="FL104" s="78">
        <f>IF(OR(INDEX(Undirviðmið!$G$6:$G$105,ROW()-6)&lt;&gt;"Starfsbundinn",FK104="",$E104="",$D104=""),"",ROUND(FK104/$E104*$D104*KVARDI,2))</f>
        <v/>
      </c>
      <c r="FM104" s="66" t="n"/>
      <c r="FN104" s="78">
        <f>IF(OR(INDEX(Undirviðmið!$G$6:$G$105,ROW()-6)&lt;&gt;"Starfsbundinn",FM104="",$E104="",$D104=""),"",ROUND(FM104/$E104*$D104*KVARDI,2))</f>
        <v/>
      </c>
      <c r="FO104" s="66" t="n"/>
      <c r="FP104" s="78">
        <f>IF(OR(INDEX(Undirviðmið!$G$6:$G$105,ROW()-6)&lt;&gt;"Starfsbundinn",FO104="",$E104="",$D104=""),"",ROUND(FO104/$E104*$D104*KVARDI,2))</f>
        <v/>
      </c>
      <c r="FQ104" s="66" t="n"/>
      <c r="FR104" s="78">
        <f>IF(OR(INDEX(Undirviðmið!$G$6:$G$105,ROW()-6)&lt;&gt;"Starfsbundinn",FQ104="",$E104="",$D104=""),"",ROUND(FQ104/$E104*$D104*KVARDI,2))</f>
        <v/>
      </c>
      <c r="FS104" s="66" t="n"/>
      <c r="FT104" s="78">
        <f>IF(OR(INDEX(Undirviðmið!$G$6:$G$105,ROW()-6)&lt;&gt;"Starfsbundinn",FS104="",$E104="",$D104=""),"",ROUND(FS104/$E104*$D104*KVARDI,2))</f>
        <v/>
      </c>
      <c r="FU104" s="66" t="n"/>
      <c r="FV104" s="78">
        <f>IF(OR(INDEX(Undirviðmið!$G$6:$G$105,ROW()-6)&lt;&gt;"Starfsbundinn",FU104="",$E104="",$D104=""),"",ROUND(FU104/$E104*$D104*KVARDI,2))</f>
        <v/>
      </c>
      <c r="FW104" s="66" t="n"/>
      <c r="FX104" s="78">
        <f>IF(OR(INDEX(Undirviðmið!$G$6:$G$105,ROW()-6)&lt;&gt;"Starfsbundinn",FW104="",$E104="",$D104=""),"",ROUND(FW104/$E104*$D104*KVARDI,2))</f>
        <v/>
      </c>
      <c r="FY104" s="66" t="n"/>
      <c r="FZ104" s="78">
        <f>IF(OR(INDEX(Undirviðmið!$G$6:$G$105,ROW()-6)&lt;&gt;"Starfsbundinn",FY104="",$E104="",$D104=""),"",ROUND(FY104/$E104*$D104*KVARDI,2))</f>
        <v/>
      </c>
      <c r="GA104" s="66" t="n"/>
      <c r="GB104" s="78">
        <f>IF(OR(INDEX(Undirviðmið!$G$6:$G$105,ROW()-6)&lt;&gt;"Starfsbundinn",GA104="",$E104="",$D104=""),"",ROUND(GA104/$E104*$D104*KVARDI,2))</f>
        <v/>
      </c>
      <c r="GC104" s="66" t="n"/>
      <c r="GD104" s="78">
        <f>IF(OR(INDEX(Undirviðmið!$G$6:$G$105,ROW()-6)&lt;&gt;"Starfsbundinn",GC104="",$E104="",$D104=""),"",ROUND(GC104/$E104*$D104*KVARDI,2))</f>
        <v/>
      </c>
      <c r="GE104" s="66" t="n"/>
      <c r="GF104" s="78">
        <f>IF(OR(INDEX(Undirviðmið!$G$6:$G$105,ROW()-6)&lt;&gt;"Starfsbundinn",GE104="",$E104="",$D104=""),"",ROUND(GE104/$E104*$D104*KVARDI,2))</f>
        <v/>
      </c>
      <c r="GG104" s="66" t="n"/>
      <c r="GH104" s="78">
        <f>IF(OR(INDEX(Undirviðmið!$G$6:$G$105,ROW()-6)&lt;&gt;"Starfsbundinn",GG104="",$E104="",$D104=""),"",ROUND(GG104/$E104*$D104*KVARDI,2))</f>
        <v/>
      </c>
      <c r="GI104" s="66" t="n"/>
      <c r="GJ104" s="78">
        <f>IF(OR(INDEX(Undirviðmið!$G$6:$G$105,ROW()-6)&lt;&gt;"Starfsbundinn",GI104="",$E104="",$D104=""),"",ROUND(GI104/$E104*$D104*KVARDI,2))</f>
        <v/>
      </c>
      <c r="GK104" s="66" t="n"/>
      <c r="GL104" s="78">
        <f>IF(OR(INDEX(Undirviðmið!$G$6:$G$105,ROW()-6)&lt;&gt;"Starfsbundinn",GK104="",$E104="",$D104=""),"",ROUND(GK104/$E104*$D104*KVARDI,2))</f>
        <v/>
      </c>
      <c r="GM104" s="66" t="n"/>
      <c r="GN104" s="78">
        <f>IF(OR(INDEX(Undirviðmið!$G$6:$G$105,ROW()-6)&lt;&gt;"Starfsbundinn",GM104="",$E104="",$D104=""),"",ROUND(GM104/$E104*$D104*KVARDI,2))</f>
        <v/>
      </c>
      <c r="GO104" s="66" t="n"/>
      <c r="GP104" s="78">
        <f>IF(OR(INDEX(Undirviðmið!$G$6:$G$105,ROW()-6)&lt;&gt;"Starfsbundinn",GO104="",$E104="",$D104=""),"",ROUND(GO104/$E104*$D104*KVARDI,2))</f>
        <v/>
      </c>
      <c r="GQ104" s="66" t="n"/>
      <c r="GR104" s="78">
        <f>IF(OR(INDEX(Undirviðmið!$G$6:$G$105,ROW()-6)&lt;&gt;"Starfsbundinn",GQ104="",$E104="",$D104=""),"",ROUND(GQ104/$E104*$D104*KVARDI,2))</f>
        <v/>
      </c>
      <c r="GS104" s="66" t="n"/>
      <c r="GT104" s="78">
        <f>IF(OR(INDEX(Undirviðmið!$G$6:$G$105,ROW()-6)&lt;&gt;"Starfsbundinn",GS104="",$E104="",$D104=""),"",ROUND(GS104/$E104*$D104*KVARDI,2))</f>
        <v/>
      </c>
      <c r="GU104" s="66" t="n"/>
      <c r="GV104" s="78">
        <f>IF(OR(INDEX(Undirviðmið!$G$6:$G$105,ROW()-6)&lt;&gt;"Starfsbundinn",GU104="",$E104="",$D104=""),"",ROUND(GU104/$E104*$D104*KVARDI,2))</f>
        <v/>
      </c>
      <c r="GW104" s="66" t="n"/>
      <c r="GX104" s="78">
        <f>IF(OR(INDEX(Undirviðmið!$G$6:$G$105,ROW()-6)&lt;&gt;"Starfsbundinn",GW104="",$E104="",$D104=""),"",ROUND(GW104/$E104*$D104*KVARDI,2))</f>
        <v/>
      </c>
    </row>
    <row r="105" ht="15" customHeight="1" s="47">
      <c r="B105" s="67">
        <f>IF(INDEX(Undirviðmið!$G$6:$G$105,ROW()-6)="Starfsbundinn",INDEX(Undirviðmið!$B$6:$B$105,ROW()-6),"")</f>
        <v/>
      </c>
      <c r="C105" s="67">
        <f>IF(INDEX(Undirviðmið!$G$6:$G$105,ROW()-6)="Starfsbundinn",INDEX(Undirviðmið!$C$6:$C$105,ROW()-6),"")</f>
        <v/>
      </c>
      <c r="D105" s="77">
        <f>IF(INDEX(Undirviðmið!$G$6:$G$105,ROW()-6)="Starfsbundinn",INDEX(Undirviðmið!$E$6:$E$105,ROW()-6),"")</f>
        <v/>
      </c>
      <c r="E105" s="77">
        <f>IF(INDEX(Undirviðmið!$G$6:$G$105,ROW()-6)="Starfsbundinn",INDEX(Undirviðmið!$F$6:$F$105,ROW()-6),"")</f>
        <v/>
      </c>
      <c r="F105" s="77">
        <f>IF(INDEX(Undirviðmið!$G$6:$G$105,ROW()-6)="Starfsbundinn",IFERROR(INDEX(Undirviðmið!$E$6:$E$105,ROW()-6)*KVARDI,""),"")</f>
        <v/>
      </c>
      <c r="G105" s="66" t="n"/>
      <c r="H105" s="78">
        <f>IF(OR(INDEX(Undirviðmið!$G$6:$G$105,ROW()-6)&lt;&gt;"Starfsbundinn",G105="",$E105="",$D105=""),"",ROUND(G105/$E105*$D105*KVARDI,2))</f>
        <v/>
      </c>
      <c r="I105" s="66" t="n"/>
      <c r="J105" s="78">
        <f>IF(OR(INDEX(Undirviðmið!$G$6:$G$105,ROW()-6)&lt;&gt;"Starfsbundinn",I105="",$E105="",$D105=""),"",ROUND(I105/$E105*$D105*KVARDI,2))</f>
        <v/>
      </c>
      <c r="K105" s="66" t="n"/>
      <c r="L105" s="78">
        <f>IF(OR(INDEX(Undirviðmið!$G$6:$G$105,ROW()-6)&lt;&gt;"Starfsbundinn",K105="",$E105="",$D105=""),"",ROUND(K105/$E105*$D105*KVARDI,2))</f>
        <v/>
      </c>
      <c r="M105" s="66" t="n"/>
      <c r="N105" s="78">
        <f>IF(OR(INDEX(Undirviðmið!$G$6:$G$105,ROW()-6)&lt;&gt;"Starfsbundinn",M105="",$E105="",$D105=""),"",ROUND(M105/$E105*$D105*KVARDI,2))</f>
        <v/>
      </c>
      <c r="O105" s="66" t="n"/>
      <c r="P105" s="78">
        <f>IF(OR(INDEX(Undirviðmið!$G$6:$G$105,ROW()-6)&lt;&gt;"Starfsbundinn",O105="",$E105="",$D105=""),"",ROUND(O105/$E105*$D105*KVARDI,2))</f>
        <v/>
      </c>
      <c r="Q105" s="66" t="n"/>
      <c r="R105" s="78">
        <f>IF(OR(INDEX(Undirviðmið!$G$6:$G$105,ROW()-6)&lt;&gt;"Starfsbundinn",Q105="",$E105="",$D105=""),"",ROUND(Q105/$E105*$D105*KVARDI,2))</f>
        <v/>
      </c>
      <c r="S105" s="66" t="n"/>
      <c r="T105" s="78">
        <f>IF(OR(INDEX(Undirviðmið!$G$6:$G$105,ROW()-6)&lt;&gt;"Starfsbundinn",S105="",$E105="",$D105=""),"",ROUND(S105/$E105*$D105*KVARDI,2))</f>
        <v/>
      </c>
      <c r="U105" s="66" t="n"/>
      <c r="V105" s="78">
        <f>IF(OR(INDEX(Undirviðmið!$G$6:$G$105,ROW()-6)&lt;&gt;"Starfsbundinn",U105="",$E105="",$D105=""),"",ROUND(U105/$E105*$D105*KVARDI,2))</f>
        <v/>
      </c>
      <c r="W105" s="66" t="n"/>
      <c r="X105" s="78">
        <f>IF(OR(INDEX(Undirviðmið!$G$6:$G$105,ROW()-6)&lt;&gt;"Starfsbundinn",W105="",$E105="",$D105=""),"",ROUND(W105/$E105*$D105*KVARDI,2))</f>
        <v/>
      </c>
      <c r="Y105" s="66" t="n"/>
      <c r="Z105" s="78">
        <f>IF(OR(INDEX(Undirviðmið!$G$6:$G$105,ROW()-6)&lt;&gt;"Starfsbundinn",Y105="",$E105="",$D105=""),"",ROUND(Y105/$E105*$D105*KVARDI,2))</f>
        <v/>
      </c>
      <c r="AA105" s="66" t="n"/>
      <c r="AB105" s="78">
        <f>IF(OR(INDEX(Undirviðmið!$G$6:$G$105,ROW()-6)&lt;&gt;"Starfsbundinn",AA105="",$E105="",$D105=""),"",ROUND(AA105/$E105*$D105*KVARDI,2))</f>
        <v/>
      </c>
      <c r="AC105" s="66" t="n"/>
      <c r="AD105" s="78">
        <f>IF(OR(INDEX(Undirviðmið!$G$6:$G$105,ROW()-6)&lt;&gt;"Starfsbundinn",AC105="",$E105="",$D105=""),"",ROUND(AC105/$E105*$D105*KVARDI,2))</f>
        <v/>
      </c>
      <c r="AE105" s="66" t="n"/>
      <c r="AF105" s="78">
        <f>IF(OR(INDEX(Undirviðmið!$G$6:$G$105,ROW()-6)&lt;&gt;"Starfsbundinn",AE105="",$E105="",$D105=""),"",ROUND(AE105/$E105*$D105*KVARDI,2))</f>
        <v/>
      </c>
      <c r="AG105" s="66" t="n"/>
      <c r="AH105" s="78">
        <f>IF(OR(INDEX(Undirviðmið!$G$6:$G$105,ROW()-6)&lt;&gt;"Starfsbundinn",AG105="",$E105="",$D105=""),"",ROUND(AG105/$E105*$D105*KVARDI,2))</f>
        <v/>
      </c>
      <c r="AI105" s="66" t="n"/>
      <c r="AJ105" s="78">
        <f>IF(OR(INDEX(Undirviðmið!$G$6:$G$105,ROW()-6)&lt;&gt;"Starfsbundinn",AI105="",$E105="",$D105=""),"",ROUND(AI105/$E105*$D105*KVARDI,2))</f>
        <v/>
      </c>
      <c r="AK105" s="66" t="n"/>
      <c r="AL105" s="78">
        <f>IF(OR(INDEX(Undirviðmið!$G$6:$G$105,ROW()-6)&lt;&gt;"Starfsbundinn",AK105="",$E105="",$D105=""),"",ROUND(AK105/$E105*$D105*KVARDI,2))</f>
        <v/>
      </c>
      <c r="AM105" s="66" t="n"/>
      <c r="AN105" s="78">
        <f>IF(OR(INDEX(Undirviðmið!$G$6:$G$105,ROW()-6)&lt;&gt;"Starfsbundinn",AM105="",$E105="",$D105=""),"",ROUND(AM105/$E105*$D105*KVARDI,2))</f>
        <v/>
      </c>
      <c r="AO105" s="66" t="n"/>
      <c r="AP105" s="78">
        <f>IF(OR(INDEX(Undirviðmið!$G$6:$G$105,ROW()-6)&lt;&gt;"Starfsbundinn",AO105="",$E105="",$D105=""),"",ROUND(AO105/$E105*$D105*KVARDI,2))</f>
        <v/>
      </c>
      <c r="AQ105" s="66" t="n"/>
      <c r="AR105" s="78">
        <f>IF(OR(INDEX(Undirviðmið!$G$6:$G$105,ROW()-6)&lt;&gt;"Starfsbundinn",AQ105="",$E105="",$D105=""),"",ROUND(AQ105/$E105*$D105*KVARDI,2))</f>
        <v/>
      </c>
      <c r="AS105" s="66" t="n"/>
      <c r="AT105" s="78">
        <f>IF(OR(INDEX(Undirviðmið!$G$6:$G$105,ROW()-6)&lt;&gt;"Starfsbundinn",AS105="",$E105="",$D105=""),"",ROUND(AS105/$E105*$D105*KVARDI,2))</f>
        <v/>
      </c>
      <c r="AU105" s="66" t="n"/>
      <c r="AV105" s="78">
        <f>IF(OR(INDEX(Undirviðmið!$G$6:$G$105,ROW()-6)&lt;&gt;"Starfsbundinn",AU105="",$E105="",$D105=""),"",ROUND(AU105/$E105*$D105*KVARDI,2))</f>
        <v/>
      </c>
      <c r="AW105" s="66" t="n"/>
      <c r="AX105" s="78">
        <f>IF(OR(INDEX(Undirviðmið!$G$6:$G$105,ROW()-6)&lt;&gt;"Starfsbundinn",AW105="",$E105="",$D105=""),"",ROUND(AW105/$E105*$D105*KVARDI,2))</f>
        <v/>
      </c>
      <c r="AY105" s="66" t="n"/>
      <c r="AZ105" s="78">
        <f>IF(OR(INDEX(Undirviðmið!$G$6:$G$105,ROW()-6)&lt;&gt;"Starfsbundinn",AY105="",$E105="",$D105=""),"",ROUND(AY105/$E105*$D105*KVARDI,2))</f>
        <v/>
      </c>
      <c r="BA105" s="66" t="n"/>
      <c r="BB105" s="78">
        <f>IF(OR(INDEX(Undirviðmið!$G$6:$G$105,ROW()-6)&lt;&gt;"Starfsbundinn",BA105="",$E105="",$D105=""),"",ROUND(BA105/$E105*$D105*KVARDI,2))</f>
        <v/>
      </c>
      <c r="BC105" s="66" t="n"/>
      <c r="BD105" s="78">
        <f>IF(OR(INDEX(Undirviðmið!$G$6:$G$105,ROW()-6)&lt;&gt;"Starfsbundinn",BC105="",$E105="",$D105=""),"",ROUND(BC105/$E105*$D105*KVARDI,2))</f>
        <v/>
      </c>
      <c r="BE105" s="66" t="n"/>
      <c r="BF105" s="78">
        <f>IF(OR(INDEX(Undirviðmið!$G$6:$G$105,ROW()-6)&lt;&gt;"Starfsbundinn",BE105="",$E105="",$D105=""),"",ROUND(BE105/$E105*$D105*KVARDI,2))</f>
        <v/>
      </c>
      <c r="BG105" s="66" t="n"/>
      <c r="BH105" s="78">
        <f>IF(OR(INDEX(Undirviðmið!$G$6:$G$105,ROW()-6)&lt;&gt;"Starfsbundinn",BG105="",$E105="",$D105=""),"",ROUND(BG105/$E105*$D105*KVARDI,2))</f>
        <v/>
      </c>
      <c r="BI105" s="66" t="n"/>
      <c r="BJ105" s="78">
        <f>IF(OR(INDEX(Undirviðmið!$G$6:$G$105,ROW()-6)&lt;&gt;"Starfsbundinn",BI105="",$E105="",$D105=""),"",ROUND(BI105/$E105*$D105*KVARDI,2))</f>
        <v/>
      </c>
      <c r="BK105" s="66" t="n"/>
      <c r="BL105" s="78">
        <f>IF(OR(INDEX(Undirviðmið!$G$6:$G$105,ROW()-6)&lt;&gt;"Starfsbundinn",BK105="",$E105="",$D105=""),"",ROUND(BK105/$E105*$D105*KVARDI,2))</f>
        <v/>
      </c>
      <c r="BM105" s="66" t="n"/>
      <c r="BN105" s="78">
        <f>IF(OR(INDEX(Undirviðmið!$G$6:$G$105,ROW()-6)&lt;&gt;"Starfsbundinn",BM105="",$E105="",$D105=""),"",ROUND(BM105/$E105*$D105*KVARDI,2))</f>
        <v/>
      </c>
      <c r="BO105" s="66" t="n"/>
      <c r="BP105" s="78">
        <f>IF(OR(INDEX(Undirviðmið!$G$6:$G$105,ROW()-6)&lt;&gt;"Starfsbundinn",BO105="",$E105="",$D105=""),"",ROUND(BO105/$E105*$D105*KVARDI,2))</f>
        <v/>
      </c>
      <c r="BQ105" s="66" t="n"/>
      <c r="BR105" s="78">
        <f>IF(OR(INDEX(Undirviðmið!$G$6:$G$105,ROW()-6)&lt;&gt;"Starfsbundinn",BQ105="",$E105="",$D105=""),"",ROUND(BQ105/$E105*$D105*KVARDI,2))</f>
        <v/>
      </c>
      <c r="BS105" s="66" t="n"/>
      <c r="BT105" s="78">
        <f>IF(OR(INDEX(Undirviðmið!$G$6:$G$105,ROW()-6)&lt;&gt;"Starfsbundinn",BS105="",$E105="",$D105=""),"",ROUND(BS105/$E105*$D105*KVARDI,2))</f>
        <v/>
      </c>
      <c r="BU105" s="66" t="n"/>
      <c r="BV105" s="78">
        <f>IF(OR(INDEX(Undirviðmið!$G$6:$G$105,ROW()-6)&lt;&gt;"Starfsbundinn",BU105="",$E105="",$D105=""),"",ROUND(BU105/$E105*$D105*KVARDI,2))</f>
        <v/>
      </c>
      <c r="BW105" s="66" t="n"/>
      <c r="BX105" s="78">
        <f>IF(OR(INDEX(Undirviðmið!$G$6:$G$105,ROW()-6)&lt;&gt;"Starfsbundinn",BW105="",$E105="",$D105=""),"",ROUND(BW105/$E105*$D105*KVARDI,2))</f>
        <v/>
      </c>
      <c r="BY105" s="66" t="n"/>
      <c r="BZ105" s="78">
        <f>IF(OR(INDEX(Undirviðmið!$G$6:$G$105,ROW()-6)&lt;&gt;"Starfsbundinn",BY105="",$E105="",$D105=""),"",ROUND(BY105/$E105*$D105*KVARDI,2))</f>
        <v/>
      </c>
      <c r="CA105" s="66" t="n"/>
      <c r="CB105" s="78">
        <f>IF(OR(INDEX(Undirviðmið!$G$6:$G$105,ROW()-6)&lt;&gt;"Starfsbundinn",CA105="",$E105="",$D105=""),"",ROUND(CA105/$E105*$D105*KVARDI,2))</f>
        <v/>
      </c>
      <c r="CC105" s="66" t="n"/>
      <c r="CD105" s="78">
        <f>IF(OR(INDEX(Undirviðmið!$G$6:$G$105,ROW()-6)&lt;&gt;"Starfsbundinn",CC105="",$E105="",$D105=""),"",ROUND(CC105/$E105*$D105*KVARDI,2))</f>
        <v/>
      </c>
      <c r="CE105" s="66" t="n"/>
      <c r="CF105" s="78">
        <f>IF(OR(INDEX(Undirviðmið!$G$6:$G$105,ROW()-6)&lt;&gt;"Starfsbundinn",CE105="",$E105="",$D105=""),"",ROUND(CE105/$E105*$D105*KVARDI,2))</f>
        <v/>
      </c>
      <c r="CG105" s="66" t="n"/>
      <c r="CH105" s="78">
        <f>IF(OR(INDEX(Undirviðmið!$G$6:$G$105,ROW()-6)&lt;&gt;"Starfsbundinn",CG105="",$E105="",$D105=""),"",ROUND(CG105/$E105*$D105*KVARDI,2))</f>
        <v/>
      </c>
      <c r="CI105" s="66" t="n"/>
      <c r="CJ105" s="78">
        <f>IF(OR(INDEX(Undirviðmið!$G$6:$G$105,ROW()-6)&lt;&gt;"Starfsbundinn",CI105="",$E105="",$D105=""),"",ROUND(CI105/$E105*$D105*KVARDI,2))</f>
        <v/>
      </c>
      <c r="CK105" s="66" t="n"/>
      <c r="CL105" s="78">
        <f>IF(OR(INDEX(Undirviðmið!$G$6:$G$105,ROW()-6)&lt;&gt;"Starfsbundinn",CK105="",$E105="",$D105=""),"",ROUND(CK105/$E105*$D105*KVARDI,2))</f>
        <v/>
      </c>
      <c r="CM105" s="66" t="n"/>
      <c r="CN105" s="78">
        <f>IF(OR(INDEX(Undirviðmið!$G$6:$G$105,ROW()-6)&lt;&gt;"Starfsbundinn",CM105="",$E105="",$D105=""),"",ROUND(CM105/$E105*$D105*KVARDI,2))</f>
        <v/>
      </c>
      <c r="CO105" s="66" t="n"/>
      <c r="CP105" s="78">
        <f>IF(OR(INDEX(Undirviðmið!$G$6:$G$105,ROW()-6)&lt;&gt;"Starfsbundinn",CO105="",$E105="",$D105=""),"",ROUND(CO105/$E105*$D105*KVARDI,2))</f>
        <v/>
      </c>
      <c r="CQ105" s="66" t="n"/>
      <c r="CR105" s="78">
        <f>IF(OR(INDEX(Undirviðmið!$G$6:$G$105,ROW()-6)&lt;&gt;"Starfsbundinn",CQ105="",$E105="",$D105=""),"",ROUND(CQ105/$E105*$D105*KVARDI,2))</f>
        <v/>
      </c>
      <c r="CS105" s="66" t="n"/>
      <c r="CT105" s="78">
        <f>IF(OR(INDEX(Undirviðmið!$G$6:$G$105,ROW()-6)&lt;&gt;"Starfsbundinn",CS105="",$E105="",$D105=""),"",ROUND(CS105/$E105*$D105*KVARDI,2))</f>
        <v/>
      </c>
      <c r="CU105" s="66" t="n"/>
      <c r="CV105" s="78">
        <f>IF(OR(INDEX(Undirviðmið!$G$6:$G$105,ROW()-6)&lt;&gt;"Starfsbundinn",CU105="",$E105="",$D105=""),"",ROUND(CU105/$E105*$D105*KVARDI,2))</f>
        <v/>
      </c>
      <c r="CW105" s="66" t="n"/>
      <c r="CX105" s="78">
        <f>IF(OR(INDEX(Undirviðmið!$G$6:$G$105,ROW()-6)&lt;&gt;"Starfsbundinn",CW105="",$E105="",$D105=""),"",ROUND(CW105/$E105*$D105*KVARDI,2))</f>
        <v/>
      </c>
      <c r="CY105" s="66" t="n"/>
      <c r="CZ105" s="78">
        <f>IF(OR(INDEX(Undirviðmið!$G$6:$G$105,ROW()-6)&lt;&gt;"Starfsbundinn",CY105="",$E105="",$D105=""),"",ROUND(CY105/$E105*$D105*KVARDI,2))</f>
        <v/>
      </c>
      <c r="DA105" s="66" t="n"/>
      <c r="DB105" s="78">
        <f>IF(OR(INDEX(Undirviðmið!$G$6:$G$105,ROW()-6)&lt;&gt;"Starfsbundinn",DA105="",$E105="",$D105=""),"",ROUND(DA105/$E105*$D105*KVARDI,2))</f>
        <v/>
      </c>
      <c r="DC105" s="66" t="n"/>
      <c r="DD105" s="78">
        <f>IF(OR(INDEX(Undirviðmið!$G$6:$G$105,ROW()-6)&lt;&gt;"Starfsbundinn",DC105="",$E105="",$D105=""),"",ROUND(DC105/$E105*$D105*KVARDI,2))</f>
        <v/>
      </c>
      <c r="DE105" s="66" t="n"/>
      <c r="DF105" s="78">
        <f>IF(OR(INDEX(Undirviðmið!$G$6:$G$105,ROW()-6)&lt;&gt;"Starfsbundinn",DE105="",$E105="",$D105=""),"",ROUND(DE105/$E105*$D105*KVARDI,2))</f>
        <v/>
      </c>
      <c r="DG105" s="66" t="n"/>
      <c r="DH105" s="78">
        <f>IF(OR(INDEX(Undirviðmið!$G$6:$G$105,ROW()-6)&lt;&gt;"Starfsbundinn",DG105="",$E105="",$D105=""),"",ROUND(DG105/$E105*$D105*KVARDI,2))</f>
        <v/>
      </c>
      <c r="DI105" s="66" t="n"/>
      <c r="DJ105" s="78">
        <f>IF(OR(INDEX(Undirviðmið!$G$6:$G$105,ROW()-6)&lt;&gt;"Starfsbundinn",DI105="",$E105="",$D105=""),"",ROUND(DI105/$E105*$D105*KVARDI,2))</f>
        <v/>
      </c>
      <c r="DK105" s="66" t="n"/>
      <c r="DL105" s="78">
        <f>IF(OR(INDEX(Undirviðmið!$G$6:$G$105,ROW()-6)&lt;&gt;"Starfsbundinn",DK105="",$E105="",$D105=""),"",ROUND(DK105/$E105*$D105*KVARDI,2))</f>
        <v/>
      </c>
      <c r="DM105" s="66" t="n"/>
      <c r="DN105" s="78">
        <f>IF(OR(INDEX(Undirviðmið!$G$6:$G$105,ROW()-6)&lt;&gt;"Starfsbundinn",DM105="",$E105="",$D105=""),"",ROUND(DM105/$E105*$D105*KVARDI,2))</f>
        <v/>
      </c>
      <c r="DO105" s="66" t="n"/>
      <c r="DP105" s="78">
        <f>IF(OR(INDEX(Undirviðmið!$G$6:$G$105,ROW()-6)&lt;&gt;"Starfsbundinn",DO105="",$E105="",$D105=""),"",ROUND(DO105/$E105*$D105*KVARDI,2))</f>
        <v/>
      </c>
      <c r="DQ105" s="66" t="n"/>
      <c r="DR105" s="78">
        <f>IF(OR(INDEX(Undirviðmið!$G$6:$G$105,ROW()-6)&lt;&gt;"Starfsbundinn",DQ105="",$E105="",$D105=""),"",ROUND(DQ105/$E105*$D105*KVARDI,2))</f>
        <v/>
      </c>
      <c r="DS105" s="66" t="n"/>
      <c r="DT105" s="78">
        <f>IF(OR(INDEX(Undirviðmið!$G$6:$G$105,ROW()-6)&lt;&gt;"Starfsbundinn",DS105="",$E105="",$D105=""),"",ROUND(DS105/$E105*$D105*KVARDI,2))</f>
        <v/>
      </c>
      <c r="DU105" s="66" t="n"/>
      <c r="DV105" s="78">
        <f>IF(OR(INDEX(Undirviðmið!$G$6:$G$105,ROW()-6)&lt;&gt;"Starfsbundinn",DU105="",$E105="",$D105=""),"",ROUND(DU105/$E105*$D105*KVARDI,2))</f>
        <v/>
      </c>
      <c r="DW105" s="66" t="n"/>
      <c r="DX105" s="78">
        <f>IF(OR(INDEX(Undirviðmið!$G$6:$G$105,ROW()-6)&lt;&gt;"Starfsbundinn",DW105="",$E105="",$D105=""),"",ROUND(DW105/$E105*$D105*KVARDI,2))</f>
        <v/>
      </c>
      <c r="DY105" s="66" t="n"/>
      <c r="DZ105" s="78">
        <f>IF(OR(INDEX(Undirviðmið!$G$6:$G$105,ROW()-6)&lt;&gt;"Starfsbundinn",DY105="",$E105="",$D105=""),"",ROUND(DY105/$E105*$D105*KVARDI,2))</f>
        <v/>
      </c>
      <c r="EA105" s="66" t="n"/>
      <c r="EB105" s="78">
        <f>IF(OR(INDEX(Undirviðmið!$G$6:$G$105,ROW()-6)&lt;&gt;"Starfsbundinn",EA105="",$E105="",$D105=""),"",ROUND(EA105/$E105*$D105*KVARDI,2))</f>
        <v/>
      </c>
      <c r="EC105" s="66" t="n"/>
      <c r="ED105" s="78">
        <f>IF(OR(INDEX(Undirviðmið!$G$6:$G$105,ROW()-6)&lt;&gt;"Starfsbundinn",EC105="",$E105="",$D105=""),"",ROUND(EC105/$E105*$D105*KVARDI,2))</f>
        <v/>
      </c>
      <c r="EE105" s="66" t="n"/>
      <c r="EF105" s="78">
        <f>IF(OR(INDEX(Undirviðmið!$G$6:$G$105,ROW()-6)&lt;&gt;"Starfsbundinn",EE105="",$E105="",$D105=""),"",ROUND(EE105/$E105*$D105*KVARDI,2))</f>
        <v/>
      </c>
      <c r="EG105" s="66" t="n"/>
      <c r="EH105" s="78">
        <f>IF(OR(INDEX(Undirviðmið!$G$6:$G$105,ROW()-6)&lt;&gt;"Starfsbundinn",EG105="",$E105="",$D105=""),"",ROUND(EG105/$E105*$D105*KVARDI,2))</f>
        <v/>
      </c>
      <c r="EI105" s="66" t="n"/>
      <c r="EJ105" s="78">
        <f>IF(OR(INDEX(Undirviðmið!$G$6:$G$105,ROW()-6)&lt;&gt;"Starfsbundinn",EI105="",$E105="",$D105=""),"",ROUND(EI105/$E105*$D105*KVARDI,2))</f>
        <v/>
      </c>
      <c r="EK105" s="66" t="n"/>
      <c r="EL105" s="78">
        <f>IF(OR(INDEX(Undirviðmið!$G$6:$G$105,ROW()-6)&lt;&gt;"Starfsbundinn",EK105="",$E105="",$D105=""),"",ROUND(EK105/$E105*$D105*KVARDI,2))</f>
        <v/>
      </c>
      <c r="EM105" s="66" t="n"/>
      <c r="EN105" s="78">
        <f>IF(OR(INDEX(Undirviðmið!$G$6:$G$105,ROW()-6)&lt;&gt;"Starfsbundinn",EM105="",$E105="",$D105=""),"",ROUND(EM105/$E105*$D105*KVARDI,2))</f>
        <v/>
      </c>
      <c r="EO105" s="66" t="n"/>
      <c r="EP105" s="78">
        <f>IF(OR(INDEX(Undirviðmið!$G$6:$G$105,ROW()-6)&lt;&gt;"Starfsbundinn",EO105="",$E105="",$D105=""),"",ROUND(EO105/$E105*$D105*KVARDI,2))</f>
        <v/>
      </c>
      <c r="EQ105" s="66" t="n"/>
      <c r="ER105" s="78">
        <f>IF(OR(INDEX(Undirviðmið!$G$6:$G$105,ROW()-6)&lt;&gt;"Starfsbundinn",EQ105="",$E105="",$D105=""),"",ROUND(EQ105/$E105*$D105*KVARDI,2))</f>
        <v/>
      </c>
      <c r="ES105" s="66" t="n"/>
      <c r="ET105" s="78">
        <f>IF(OR(INDEX(Undirviðmið!$G$6:$G$105,ROW()-6)&lt;&gt;"Starfsbundinn",ES105="",$E105="",$D105=""),"",ROUND(ES105/$E105*$D105*KVARDI,2))</f>
        <v/>
      </c>
      <c r="EU105" s="66" t="n"/>
      <c r="EV105" s="78">
        <f>IF(OR(INDEX(Undirviðmið!$G$6:$G$105,ROW()-6)&lt;&gt;"Starfsbundinn",EU105="",$E105="",$D105=""),"",ROUND(EU105/$E105*$D105*KVARDI,2))</f>
        <v/>
      </c>
      <c r="EW105" s="66" t="n"/>
      <c r="EX105" s="78">
        <f>IF(OR(INDEX(Undirviðmið!$G$6:$G$105,ROW()-6)&lt;&gt;"Starfsbundinn",EW105="",$E105="",$D105=""),"",ROUND(EW105/$E105*$D105*KVARDI,2))</f>
        <v/>
      </c>
      <c r="EY105" s="66" t="n"/>
      <c r="EZ105" s="78">
        <f>IF(OR(INDEX(Undirviðmið!$G$6:$G$105,ROW()-6)&lt;&gt;"Starfsbundinn",EY105="",$E105="",$D105=""),"",ROUND(EY105/$E105*$D105*KVARDI,2))</f>
        <v/>
      </c>
      <c r="FA105" s="66" t="n"/>
      <c r="FB105" s="78">
        <f>IF(OR(INDEX(Undirviðmið!$G$6:$G$105,ROW()-6)&lt;&gt;"Starfsbundinn",FA105="",$E105="",$D105=""),"",ROUND(FA105/$E105*$D105*KVARDI,2))</f>
        <v/>
      </c>
      <c r="FC105" s="66" t="n"/>
      <c r="FD105" s="78">
        <f>IF(OR(INDEX(Undirviðmið!$G$6:$G$105,ROW()-6)&lt;&gt;"Starfsbundinn",FC105="",$E105="",$D105=""),"",ROUND(FC105/$E105*$D105*KVARDI,2))</f>
        <v/>
      </c>
      <c r="FE105" s="66" t="n"/>
      <c r="FF105" s="78">
        <f>IF(OR(INDEX(Undirviðmið!$G$6:$G$105,ROW()-6)&lt;&gt;"Starfsbundinn",FE105="",$E105="",$D105=""),"",ROUND(FE105/$E105*$D105*KVARDI,2))</f>
        <v/>
      </c>
      <c r="FG105" s="66" t="n"/>
      <c r="FH105" s="78">
        <f>IF(OR(INDEX(Undirviðmið!$G$6:$G$105,ROW()-6)&lt;&gt;"Starfsbundinn",FG105="",$E105="",$D105=""),"",ROUND(FG105/$E105*$D105*KVARDI,2))</f>
        <v/>
      </c>
      <c r="FI105" s="66" t="n"/>
      <c r="FJ105" s="78">
        <f>IF(OR(INDEX(Undirviðmið!$G$6:$G$105,ROW()-6)&lt;&gt;"Starfsbundinn",FI105="",$E105="",$D105=""),"",ROUND(FI105/$E105*$D105*KVARDI,2))</f>
        <v/>
      </c>
      <c r="FK105" s="66" t="n"/>
      <c r="FL105" s="78">
        <f>IF(OR(INDEX(Undirviðmið!$G$6:$G$105,ROW()-6)&lt;&gt;"Starfsbundinn",FK105="",$E105="",$D105=""),"",ROUND(FK105/$E105*$D105*KVARDI,2))</f>
        <v/>
      </c>
      <c r="FM105" s="66" t="n"/>
      <c r="FN105" s="78">
        <f>IF(OR(INDEX(Undirviðmið!$G$6:$G$105,ROW()-6)&lt;&gt;"Starfsbundinn",FM105="",$E105="",$D105=""),"",ROUND(FM105/$E105*$D105*KVARDI,2))</f>
        <v/>
      </c>
      <c r="FO105" s="66" t="n"/>
      <c r="FP105" s="78">
        <f>IF(OR(INDEX(Undirviðmið!$G$6:$G$105,ROW()-6)&lt;&gt;"Starfsbundinn",FO105="",$E105="",$D105=""),"",ROUND(FO105/$E105*$D105*KVARDI,2))</f>
        <v/>
      </c>
      <c r="FQ105" s="66" t="n"/>
      <c r="FR105" s="78">
        <f>IF(OR(INDEX(Undirviðmið!$G$6:$G$105,ROW()-6)&lt;&gt;"Starfsbundinn",FQ105="",$E105="",$D105=""),"",ROUND(FQ105/$E105*$D105*KVARDI,2))</f>
        <v/>
      </c>
      <c r="FS105" s="66" t="n"/>
      <c r="FT105" s="78">
        <f>IF(OR(INDEX(Undirviðmið!$G$6:$G$105,ROW()-6)&lt;&gt;"Starfsbundinn",FS105="",$E105="",$D105=""),"",ROUND(FS105/$E105*$D105*KVARDI,2))</f>
        <v/>
      </c>
      <c r="FU105" s="66" t="n"/>
      <c r="FV105" s="78">
        <f>IF(OR(INDEX(Undirviðmið!$G$6:$G$105,ROW()-6)&lt;&gt;"Starfsbundinn",FU105="",$E105="",$D105=""),"",ROUND(FU105/$E105*$D105*KVARDI,2))</f>
        <v/>
      </c>
      <c r="FW105" s="66" t="n"/>
      <c r="FX105" s="78">
        <f>IF(OR(INDEX(Undirviðmið!$G$6:$G$105,ROW()-6)&lt;&gt;"Starfsbundinn",FW105="",$E105="",$D105=""),"",ROUND(FW105/$E105*$D105*KVARDI,2))</f>
        <v/>
      </c>
      <c r="FY105" s="66" t="n"/>
      <c r="FZ105" s="78">
        <f>IF(OR(INDEX(Undirviðmið!$G$6:$G$105,ROW()-6)&lt;&gt;"Starfsbundinn",FY105="",$E105="",$D105=""),"",ROUND(FY105/$E105*$D105*KVARDI,2))</f>
        <v/>
      </c>
      <c r="GA105" s="66" t="n"/>
      <c r="GB105" s="78">
        <f>IF(OR(INDEX(Undirviðmið!$G$6:$G$105,ROW()-6)&lt;&gt;"Starfsbundinn",GA105="",$E105="",$D105=""),"",ROUND(GA105/$E105*$D105*KVARDI,2))</f>
        <v/>
      </c>
      <c r="GC105" s="66" t="n"/>
      <c r="GD105" s="78">
        <f>IF(OR(INDEX(Undirviðmið!$G$6:$G$105,ROW()-6)&lt;&gt;"Starfsbundinn",GC105="",$E105="",$D105=""),"",ROUND(GC105/$E105*$D105*KVARDI,2))</f>
        <v/>
      </c>
      <c r="GE105" s="66" t="n"/>
      <c r="GF105" s="78">
        <f>IF(OR(INDEX(Undirviðmið!$G$6:$G$105,ROW()-6)&lt;&gt;"Starfsbundinn",GE105="",$E105="",$D105=""),"",ROUND(GE105/$E105*$D105*KVARDI,2))</f>
        <v/>
      </c>
      <c r="GG105" s="66" t="n"/>
      <c r="GH105" s="78">
        <f>IF(OR(INDEX(Undirviðmið!$G$6:$G$105,ROW()-6)&lt;&gt;"Starfsbundinn",GG105="",$E105="",$D105=""),"",ROUND(GG105/$E105*$D105*KVARDI,2))</f>
        <v/>
      </c>
      <c r="GI105" s="66" t="n"/>
      <c r="GJ105" s="78">
        <f>IF(OR(INDEX(Undirviðmið!$G$6:$G$105,ROW()-6)&lt;&gt;"Starfsbundinn",GI105="",$E105="",$D105=""),"",ROUND(GI105/$E105*$D105*KVARDI,2))</f>
        <v/>
      </c>
      <c r="GK105" s="66" t="n"/>
      <c r="GL105" s="78">
        <f>IF(OR(INDEX(Undirviðmið!$G$6:$G$105,ROW()-6)&lt;&gt;"Starfsbundinn",GK105="",$E105="",$D105=""),"",ROUND(GK105/$E105*$D105*KVARDI,2))</f>
        <v/>
      </c>
      <c r="GM105" s="66" t="n"/>
      <c r="GN105" s="78">
        <f>IF(OR(INDEX(Undirviðmið!$G$6:$G$105,ROW()-6)&lt;&gt;"Starfsbundinn",GM105="",$E105="",$D105=""),"",ROUND(GM105/$E105*$D105*KVARDI,2))</f>
        <v/>
      </c>
      <c r="GO105" s="66" t="n"/>
      <c r="GP105" s="78">
        <f>IF(OR(INDEX(Undirviðmið!$G$6:$G$105,ROW()-6)&lt;&gt;"Starfsbundinn",GO105="",$E105="",$D105=""),"",ROUND(GO105/$E105*$D105*KVARDI,2))</f>
        <v/>
      </c>
      <c r="GQ105" s="66" t="n"/>
      <c r="GR105" s="78">
        <f>IF(OR(INDEX(Undirviðmið!$G$6:$G$105,ROW()-6)&lt;&gt;"Starfsbundinn",GQ105="",$E105="",$D105=""),"",ROUND(GQ105/$E105*$D105*KVARDI,2))</f>
        <v/>
      </c>
      <c r="GS105" s="66" t="n"/>
      <c r="GT105" s="78">
        <f>IF(OR(INDEX(Undirviðmið!$G$6:$G$105,ROW()-6)&lt;&gt;"Starfsbundinn",GS105="",$E105="",$D105=""),"",ROUND(GS105/$E105*$D105*KVARDI,2))</f>
        <v/>
      </c>
      <c r="GU105" s="66" t="n"/>
      <c r="GV105" s="78">
        <f>IF(OR(INDEX(Undirviðmið!$G$6:$G$105,ROW()-6)&lt;&gt;"Starfsbundinn",GU105="",$E105="",$D105=""),"",ROUND(GU105/$E105*$D105*KVARDI,2))</f>
        <v/>
      </c>
      <c r="GW105" s="66" t="n"/>
      <c r="GX105" s="78">
        <f>IF(OR(INDEX(Undirviðmið!$G$6:$G$105,ROW()-6)&lt;&gt;"Starfsbundinn",GW105="",$E105="",$D105=""),"",ROUND(GW105/$E105*$D105*KVARDI,2))</f>
        <v/>
      </c>
    </row>
    <row r="106" ht="15" customHeight="1" s="47">
      <c r="B106" s="67">
        <f>IF(INDEX(Undirviðmið!$G$6:$G$105,ROW()-6)="Starfsbundinn",INDEX(Undirviðmið!$B$6:$B$105,ROW()-6),"")</f>
        <v/>
      </c>
      <c r="C106" s="67">
        <f>IF(INDEX(Undirviðmið!$G$6:$G$105,ROW()-6)="Starfsbundinn",INDEX(Undirviðmið!$C$6:$C$105,ROW()-6),"")</f>
        <v/>
      </c>
      <c r="D106" s="77">
        <f>IF(INDEX(Undirviðmið!$G$6:$G$105,ROW()-6)="Starfsbundinn",INDEX(Undirviðmið!$E$6:$E$105,ROW()-6),"")</f>
        <v/>
      </c>
      <c r="E106" s="77">
        <f>IF(INDEX(Undirviðmið!$G$6:$G$105,ROW()-6)="Starfsbundinn",INDEX(Undirviðmið!$F$6:$F$105,ROW()-6),"")</f>
        <v/>
      </c>
      <c r="F106" s="77">
        <f>IF(INDEX(Undirviðmið!$G$6:$G$105,ROW()-6)="Starfsbundinn",IFERROR(INDEX(Undirviðmið!$E$6:$E$105,ROW()-6)*KVARDI,""),"")</f>
        <v/>
      </c>
      <c r="G106" s="66" t="n"/>
      <c r="H106" s="78">
        <f>IF(OR(INDEX(Undirviðmið!$G$6:$G$105,ROW()-6)&lt;&gt;"Starfsbundinn",G106="",$E106="",$D106=""),"",ROUND(G106/$E106*$D106*KVARDI,2))</f>
        <v/>
      </c>
      <c r="I106" s="66" t="n"/>
      <c r="J106" s="78">
        <f>IF(OR(INDEX(Undirviðmið!$G$6:$G$105,ROW()-6)&lt;&gt;"Starfsbundinn",I106="",$E106="",$D106=""),"",ROUND(I106/$E106*$D106*KVARDI,2))</f>
        <v/>
      </c>
      <c r="K106" s="66" t="n"/>
      <c r="L106" s="78">
        <f>IF(OR(INDEX(Undirviðmið!$G$6:$G$105,ROW()-6)&lt;&gt;"Starfsbundinn",K106="",$E106="",$D106=""),"",ROUND(K106/$E106*$D106*KVARDI,2))</f>
        <v/>
      </c>
      <c r="M106" s="66" t="n"/>
      <c r="N106" s="78">
        <f>IF(OR(INDEX(Undirviðmið!$G$6:$G$105,ROW()-6)&lt;&gt;"Starfsbundinn",M106="",$E106="",$D106=""),"",ROUND(M106/$E106*$D106*KVARDI,2))</f>
        <v/>
      </c>
      <c r="O106" s="66" t="n"/>
      <c r="P106" s="78">
        <f>IF(OR(INDEX(Undirviðmið!$G$6:$G$105,ROW()-6)&lt;&gt;"Starfsbundinn",O106="",$E106="",$D106=""),"",ROUND(O106/$E106*$D106*KVARDI,2))</f>
        <v/>
      </c>
      <c r="Q106" s="66" t="n"/>
      <c r="R106" s="78">
        <f>IF(OR(INDEX(Undirviðmið!$G$6:$G$105,ROW()-6)&lt;&gt;"Starfsbundinn",Q106="",$E106="",$D106=""),"",ROUND(Q106/$E106*$D106*KVARDI,2))</f>
        <v/>
      </c>
      <c r="S106" s="66" t="n"/>
      <c r="T106" s="78">
        <f>IF(OR(INDEX(Undirviðmið!$G$6:$G$105,ROW()-6)&lt;&gt;"Starfsbundinn",S106="",$E106="",$D106=""),"",ROUND(S106/$E106*$D106*KVARDI,2))</f>
        <v/>
      </c>
      <c r="U106" s="66" t="n"/>
      <c r="V106" s="78">
        <f>IF(OR(INDEX(Undirviðmið!$G$6:$G$105,ROW()-6)&lt;&gt;"Starfsbundinn",U106="",$E106="",$D106=""),"",ROUND(U106/$E106*$D106*KVARDI,2))</f>
        <v/>
      </c>
      <c r="W106" s="66" t="n"/>
      <c r="X106" s="78">
        <f>IF(OR(INDEX(Undirviðmið!$G$6:$G$105,ROW()-6)&lt;&gt;"Starfsbundinn",W106="",$E106="",$D106=""),"",ROUND(W106/$E106*$D106*KVARDI,2))</f>
        <v/>
      </c>
      <c r="Y106" s="66" t="n"/>
      <c r="Z106" s="78">
        <f>IF(OR(INDEX(Undirviðmið!$G$6:$G$105,ROW()-6)&lt;&gt;"Starfsbundinn",Y106="",$E106="",$D106=""),"",ROUND(Y106/$E106*$D106*KVARDI,2))</f>
        <v/>
      </c>
      <c r="AA106" s="66" t="n"/>
      <c r="AB106" s="78">
        <f>IF(OR(INDEX(Undirviðmið!$G$6:$G$105,ROW()-6)&lt;&gt;"Starfsbundinn",AA106="",$E106="",$D106=""),"",ROUND(AA106/$E106*$D106*KVARDI,2))</f>
        <v/>
      </c>
      <c r="AC106" s="66" t="n"/>
      <c r="AD106" s="78">
        <f>IF(OR(INDEX(Undirviðmið!$G$6:$G$105,ROW()-6)&lt;&gt;"Starfsbundinn",AC106="",$E106="",$D106=""),"",ROUND(AC106/$E106*$D106*KVARDI,2))</f>
        <v/>
      </c>
      <c r="AE106" s="66" t="n"/>
      <c r="AF106" s="78">
        <f>IF(OR(INDEX(Undirviðmið!$G$6:$G$105,ROW()-6)&lt;&gt;"Starfsbundinn",AE106="",$E106="",$D106=""),"",ROUND(AE106/$E106*$D106*KVARDI,2))</f>
        <v/>
      </c>
      <c r="AG106" s="66" t="n"/>
      <c r="AH106" s="78">
        <f>IF(OR(INDEX(Undirviðmið!$G$6:$G$105,ROW()-6)&lt;&gt;"Starfsbundinn",AG106="",$E106="",$D106=""),"",ROUND(AG106/$E106*$D106*KVARDI,2))</f>
        <v/>
      </c>
      <c r="AI106" s="66" t="n"/>
      <c r="AJ106" s="78">
        <f>IF(OR(INDEX(Undirviðmið!$G$6:$G$105,ROW()-6)&lt;&gt;"Starfsbundinn",AI106="",$E106="",$D106=""),"",ROUND(AI106/$E106*$D106*KVARDI,2))</f>
        <v/>
      </c>
      <c r="AK106" s="66" t="n"/>
      <c r="AL106" s="78">
        <f>IF(OR(INDEX(Undirviðmið!$G$6:$G$105,ROW()-6)&lt;&gt;"Starfsbundinn",AK106="",$E106="",$D106=""),"",ROUND(AK106/$E106*$D106*KVARDI,2))</f>
        <v/>
      </c>
      <c r="AM106" s="66" t="n"/>
      <c r="AN106" s="78">
        <f>IF(OR(INDEX(Undirviðmið!$G$6:$G$105,ROW()-6)&lt;&gt;"Starfsbundinn",AM106="",$E106="",$D106=""),"",ROUND(AM106/$E106*$D106*KVARDI,2))</f>
        <v/>
      </c>
      <c r="AO106" s="66" t="n"/>
      <c r="AP106" s="78">
        <f>IF(OR(INDEX(Undirviðmið!$G$6:$G$105,ROW()-6)&lt;&gt;"Starfsbundinn",AO106="",$E106="",$D106=""),"",ROUND(AO106/$E106*$D106*KVARDI,2))</f>
        <v/>
      </c>
      <c r="AQ106" s="66" t="n"/>
      <c r="AR106" s="78">
        <f>IF(OR(INDEX(Undirviðmið!$G$6:$G$105,ROW()-6)&lt;&gt;"Starfsbundinn",AQ106="",$E106="",$D106=""),"",ROUND(AQ106/$E106*$D106*KVARDI,2))</f>
        <v/>
      </c>
      <c r="AS106" s="66" t="n"/>
      <c r="AT106" s="78">
        <f>IF(OR(INDEX(Undirviðmið!$G$6:$G$105,ROW()-6)&lt;&gt;"Starfsbundinn",AS106="",$E106="",$D106=""),"",ROUND(AS106/$E106*$D106*KVARDI,2))</f>
        <v/>
      </c>
      <c r="AU106" s="66" t="n"/>
      <c r="AV106" s="78">
        <f>IF(OR(INDEX(Undirviðmið!$G$6:$G$105,ROW()-6)&lt;&gt;"Starfsbundinn",AU106="",$E106="",$D106=""),"",ROUND(AU106/$E106*$D106*KVARDI,2))</f>
        <v/>
      </c>
      <c r="AW106" s="66" t="n"/>
      <c r="AX106" s="78">
        <f>IF(OR(INDEX(Undirviðmið!$G$6:$G$105,ROW()-6)&lt;&gt;"Starfsbundinn",AW106="",$E106="",$D106=""),"",ROUND(AW106/$E106*$D106*KVARDI,2))</f>
        <v/>
      </c>
      <c r="AY106" s="66" t="n"/>
      <c r="AZ106" s="78">
        <f>IF(OR(INDEX(Undirviðmið!$G$6:$G$105,ROW()-6)&lt;&gt;"Starfsbundinn",AY106="",$E106="",$D106=""),"",ROUND(AY106/$E106*$D106*KVARDI,2))</f>
        <v/>
      </c>
      <c r="BA106" s="66" t="n"/>
      <c r="BB106" s="78">
        <f>IF(OR(INDEX(Undirviðmið!$G$6:$G$105,ROW()-6)&lt;&gt;"Starfsbundinn",BA106="",$E106="",$D106=""),"",ROUND(BA106/$E106*$D106*KVARDI,2))</f>
        <v/>
      </c>
      <c r="BC106" s="66" t="n"/>
      <c r="BD106" s="78">
        <f>IF(OR(INDEX(Undirviðmið!$G$6:$G$105,ROW()-6)&lt;&gt;"Starfsbundinn",BC106="",$E106="",$D106=""),"",ROUND(BC106/$E106*$D106*KVARDI,2))</f>
        <v/>
      </c>
      <c r="BE106" s="66" t="n"/>
      <c r="BF106" s="78">
        <f>IF(OR(INDEX(Undirviðmið!$G$6:$G$105,ROW()-6)&lt;&gt;"Starfsbundinn",BE106="",$E106="",$D106=""),"",ROUND(BE106/$E106*$D106*KVARDI,2))</f>
        <v/>
      </c>
      <c r="BG106" s="66" t="n"/>
      <c r="BH106" s="78">
        <f>IF(OR(INDEX(Undirviðmið!$G$6:$G$105,ROW()-6)&lt;&gt;"Starfsbundinn",BG106="",$E106="",$D106=""),"",ROUND(BG106/$E106*$D106*KVARDI,2))</f>
        <v/>
      </c>
      <c r="BI106" s="66" t="n"/>
      <c r="BJ106" s="78">
        <f>IF(OR(INDEX(Undirviðmið!$G$6:$G$105,ROW()-6)&lt;&gt;"Starfsbundinn",BI106="",$E106="",$D106=""),"",ROUND(BI106/$E106*$D106*KVARDI,2))</f>
        <v/>
      </c>
      <c r="BK106" s="66" t="n"/>
      <c r="BL106" s="78">
        <f>IF(OR(INDEX(Undirviðmið!$G$6:$G$105,ROW()-6)&lt;&gt;"Starfsbundinn",BK106="",$E106="",$D106=""),"",ROUND(BK106/$E106*$D106*KVARDI,2))</f>
        <v/>
      </c>
      <c r="BM106" s="66" t="n"/>
      <c r="BN106" s="78">
        <f>IF(OR(INDEX(Undirviðmið!$G$6:$G$105,ROW()-6)&lt;&gt;"Starfsbundinn",BM106="",$E106="",$D106=""),"",ROUND(BM106/$E106*$D106*KVARDI,2))</f>
        <v/>
      </c>
      <c r="BO106" s="66" t="n"/>
      <c r="BP106" s="78">
        <f>IF(OR(INDEX(Undirviðmið!$G$6:$G$105,ROW()-6)&lt;&gt;"Starfsbundinn",BO106="",$E106="",$D106=""),"",ROUND(BO106/$E106*$D106*KVARDI,2))</f>
        <v/>
      </c>
      <c r="BQ106" s="66" t="n"/>
      <c r="BR106" s="78">
        <f>IF(OR(INDEX(Undirviðmið!$G$6:$G$105,ROW()-6)&lt;&gt;"Starfsbundinn",BQ106="",$E106="",$D106=""),"",ROUND(BQ106/$E106*$D106*KVARDI,2))</f>
        <v/>
      </c>
      <c r="BS106" s="66" t="n"/>
      <c r="BT106" s="78">
        <f>IF(OR(INDEX(Undirviðmið!$G$6:$G$105,ROW()-6)&lt;&gt;"Starfsbundinn",BS106="",$E106="",$D106=""),"",ROUND(BS106/$E106*$D106*KVARDI,2))</f>
        <v/>
      </c>
      <c r="BU106" s="66" t="n"/>
      <c r="BV106" s="78">
        <f>IF(OR(INDEX(Undirviðmið!$G$6:$G$105,ROW()-6)&lt;&gt;"Starfsbundinn",BU106="",$E106="",$D106=""),"",ROUND(BU106/$E106*$D106*KVARDI,2))</f>
        <v/>
      </c>
      <c r="BW106" s="66" t="n"/>
      <c r="BX106" s="78">
        <f>IF(OR(INDEX(Undirviðmið!$G$6:$G$105,ROW()-6)&lt;&gt;"Starfsbundinn",BW106="",$E106="",$D106=""),"",ROUND(BW106/$E106*$D106*KVARDI,2))</f>
        <v/>
      </c>
      <c r="BY106" s="66" t="n"/>
      <c r="BZ106" s="78">
        <f>IF(OR(INDEX(Undirviðmið!$G$6:$G$105,ROW()-6)&lt;&gt;"Starfsbundinn",BY106="",$E106="",$D106=""),"",ROUND(BY106/$E106*$D106*KVARDI,2))</f>
        <v/>
      </c>
      <c r="CA106" s="66" t="n"/>
      <c r="CB106" s="78">
        <f>IF(OR(INDEX(Undirviðmið!$G$6:$G$105,ROW()-6)&lt;&gt;"Starfsbundinn",CA106="",$E106="",$D106=""),"",ROUND(CA106/$E106*$D106*KVARDI,2))</f>
        <v/>
      </c>
      <c r="CC106" s="66" t="n"/>
      <c r="CD106" s="78">
        <f>IF(OR(INDEX(Undirviðmið!$G$6:$G$105,ROW()-6)&lt;&gt;"Starfsbundinn",CC106="",$E106="",$D106=""),"",ROUND(CC106/$E106*$D106*KVARDI,2))</f>
        <v/>
      </c>
      <c r="CE106" s="66" t="n"/>
      <c r="CF106" s="78">
        <f>IF(OR(INDEX(Undirviðmið!$G$6:$G$105,ROW()-6)&lt;&gt;"Starfsbundinn",CE106="",$E106="",$D106=""),"",ROUND(CE106/$E106*$D106*KVARDI,2))</f>
        <v/>
      </c>
      <c r="CG106" s="66" t="n"/>
      <c r="CH106" s="78">
        <f>IF(OR(INDEX(Undirviðmið!$G$6:$G$105,ROW()-6)&lt;&gt;"Starfsbundinn",CG106="",$E106="",$D106=""),"",ROUND(CG106/$E106*$D106*KVARDI,2))</f>
        <v/>
      </c>
      <c r="CI106" s="66" t="n"/>
      <c r="CJ106" s="78">
        <f>IF(OR(INDEX(Undirviðmið!$G$6:$G$105,ROW()-6)&lt;&gt;"Starfsbundinn",CI106="",$E106="",$D106=""),"",ROUND(CI106/$E106*$D106*KVARDI,2))</f>
        <v/>
      </c>
      <c r="CK106" s="66" t="n"/>
      <c r="CL106" s="78">
        <f>IF(OR(INDEX(Undirviðmið!$G$6:$G$105,ROW()-6)&lt;&gt;"Starfsbundinn",CK106="",$E106="",$D106=""),"",ROUND(CK106/$E106*$D106*KVARDI,2))</f>
        <v/>
      </c>
      <c r="CM106" s="66" t="n"/>
      <c r="CN106" s="78">
        <f>IF(OR(INDEX(Undirviðmið!$G$6:$G$105,ROW()-6)&lt;&gt;"Starfsbundinn",CM106="",$E106="",$D106=""),"",ROUND(CM106/$E106*$D106*KVARDI,2))</f>
        <v/>
      </c>
      <c r="CO106" s="66" t="n"/>
      <c r="CP106" s="78">
        <f>IF(OR(INDEX(Undirviðmið!$G$6:$G$105,ROW()-6)&lt;&gt;"Starfsbundinn",CO106="",$E106="",$D106=""),"",ROUND(CO106/$E106*$D106*KVARDI,2))</f>
        <v/>
      </c>
      <c r="CQ106" s="66" t="n"/>
      <c r="CR106" s="78">
        <f>IF(OR(INDEX(Undirviðmið!$G$6:$G$105,ROW()-6)&lt;&gt;"Starfsbundinn",CQ106="",$E106="",$D106=""),"",ROUND(CQ106/$E106*$D106*KVARDI,2))</f>
        <v/>
      </c>
      <c r="CS106" s="66" t="n"/>
      <c r="CT106" s="78">
        <f>IF(OR(INDEX(Undirviðmið!$G$6:$G$105,ROW()-6)&lt;&gt;"Starfsbundinn",CS106="",$E106="",$D106=""),"",ROUND(CS106/$E106*$D106*KVARDI,2))</f>
        <v/>
      </c>
      <c r="CU106" s="66" t="n"/>
      <c r="CV106" s="78">
        <f>IF(OR(INDEX(Undirviðmið!$G$6:$G$105,ROW()-6)&lt;&gt;"Starfsbundinn",CU106="",$E106="",$D106=""),"",ROUND(CU106/$E106*$D106*KVARDI,2))</f>
        <v/>
      </c>
      <c r="CW106" s="66" t="n"/>
      <c r="CX106" s="78">
        <f>IF(OR(INDEX(Undirviðmið!$G$6:$G$105,ROW()-6)&lt;&gt;"Starfsbundinn",CW106="",$E106="",$D106=""),"",ROUND(CW106/$E106*$D106*KVARDI,2))</f>
        <v/>
      </c>
      <c r="CY106" s="66" t="n"/>
      <c r="CZ106" s="78">
        <f>IF(OR(INDEX(Undirviðmið!$G$6:$G$105,ROW()-6)&lt;&gt;"Starfsbundinn",CY106="",$E106="",$D106=""),"",ROUND(CY106/$E106*$D106*KVARDI,2))</f>
        <v/>
      </c>
      <c r="DA106" s="66" t="n"/>
      <c r="DB106" s="78">
        <f>IF(OR(INDEX(Undirviðmið!$G$6:$G$105,ROW()-6)&lt;&gt;"Starfsbundinn",DA106="",$E106="",$D106=""),"",ROUND(DA106/$E106*$D106*KVARDI,2))</f>
        <v/>
      </c>
      <c r="DC106" s="66" t="n"/>
      <c r="DD106" s="78">
        <f>IF(OR(INDEX(Undirviðmið!$G$6:$G$105,ROW()-6)&lt;&gt;"Starfsbundinn",DC106="",$E106="",$D106=""),"",ROUND(DC106/$E106*$D106*KVARDI,2))</f>
        <v/>
      </c>
      <c r="DE106" s="66" t="n"/>
      <c r="DF106" s="78">
        <f>IF(OR(INDEX(Undirviðmið!$G$6:$G$105,ROW()-6)&lt;&gt;"Starfsbundinn",DE106="",$E106="",$D106=""),"",ROUND(DE106/$E106*$D106*KVARDI,2))</f>
        <v/>
      </c>
      <c r="DG106" s="66" t="n"/>
      <c r="DH106" s="78">
        <f>IF(OR(INDEX(Undirviðmið!$G$6:$G$105,ROW()-6)&lt;&gt;"Starfsbundinn",DG106="",$E106="",$D106=""),"",ROUND(DG106/$E106*$D106*KVARDI,2))</f>
        <v/>
      </c>
      <c r="DI106" s="66" t="n"/>
      <c r="DJ106" s="78">
        <f>IF(OR(INDEX(Undirviðmið!$G$6:$G$105,ROW()-6)&lt;&gt;"Starfsbundinn",DI106="",$E106="",$D106=""),"",ROUND(DI106/$E106*$D106*KVARDI,2))</f>
        <v/>
      </c>
      <c r="DK106" s="66" t="n"/>
      <c r="DL106" s="78">
        <f>IF(OR(INDEX(Undirviðmið!$G$6:$G$105,ROW()-6)&lt;&gt;"Starfsbundinn",DK106="",$E106="",$D106=""),"",ROUND(DK106/$E106*$D106*KVARDI,2))</f>
        <v/>
      </c>
      <c r="DM106" s="66" t="n"/>
      <c r="DN106" s="78">
        <f>IF(OR(INDEX(Undirviðmið!$G$6:$G$105,ROW()-6)&lt;&gt;"Starfsbundinn",DM106="",$E106="",$D106=""),"",ROUND(DM106/$E106*$D106*KVARDI,2))</f>
        <v/>
      </c>
      <c r="DO106" s="66" t="n"/>
      <c r="DP106" s="78">
        <f>IF(OR(INDEX(Undirviðmið!$G$6:$G$105,ROW()-6)&lt;&gt;"Starfsbundinn",DO106="",$E106="",$D106=""),"",ROUND(DO106/$E106*$D106*KVARDI,2))</f>
        <v/>
      </c>
      <c r="DQ106" s="66" t="n"/>
      <c r="DR106" s="78">
        <f>IF(OR(INDEX(Undirviðmið!$G$6:$G$105,ROW()-6)&lt;&gt;"Starfsbundinn",DQ106="",$E106="",$D106=""),"",ROUND(DQ106/$E106*$D106*KVARDI,2))</f>
        <v/>
      </c>
      <c r="DS106" s="66" t="n"/>
      <c r="DT106" s="78">
        <f>IF(OR(INDEX(Undirviðmið!$G$6:$G$105,ROW()-6)&lt;&gt;"Starfsbundinn",DS106="",$E106="",$D106=""),"",ROUND(DS106/$E106*$D106*KVARDI,2))</f>
        <v/>
      </c>
      <c r="DU106" s="66" t="n"/>
      <c r="DV106" s="78">
        <f>IF(OR(INDEX(Undirviðmið!$G$6:$G$105,ROW()-6)&lt;&gt;"Starfsbundinn",DU106="",$E106="",$D106=""),"",ROUND(DU106/$E106*$D106*KVARDI,2))</f>
        <v/>
      </c>
      <c r="DW106" s="66" t="n"/>
      <c r="DX106" s="78">
        <f>IF(OR(INDEX(Undirviðmið!$G$6:$G$105,ROW()-6)&lt;&gt;"Starfsbundinn",DW106="",$E106="",$D106=""),"",ROUND(DW106/$E106*$D106*KVARDI,2))</f>
        <v/>
      </c>
      <c r="DY106" s="66" t="n"/>
      <c r="DZ106" s="78">
        <f>IF(OR(INDEX(Undirviðmið!$G$6:$G$105,ROW()-6)&lt;&gt;"Starfsbundinn",DY106="",$E106="",$D106=""),"",ROUND(DY106/$E106*$D106*KVARDI,2))</f>
        <v/>
      </c>
      <c r="EA106" s="66" t="n"/>
      <c r="EB106" s="78">
        <f>IF(OR(INDEX(Undirviðmið!$G$6:$G$105,ROW()-6)&lt;&gt;"Starfsbundinn",EA106="",$E106="",$D106=""),"",ROUND(EA106/$E106*$D106*KVARDI,2))</f>
        <v/>
      </c>
      <c r="EC106" s="66" t="n"/>
      <c r="ED106" s="78">
        <f>IF(OR(INDEX(Undirviðmið!$G$6:$G$105,ROW()-6)&lt;&gt;"Starfsbundinn",EC106="",$E106="",$D106=""),"",ROUND(EC106/$E106*$D106*KVARDI,2))</f>
        <v/>
      </c>
      <c r="EE106" s="66" t="n"/>
      <c r="EF106" s="78">
        <f>IF(OR(INDEX(Undirviðmið!$G$6:$G$105,ROW()-6)&lt;&gt;"Starfsbundinn",EE106="",$E106="",$D106=""),"",ROUND(EE106/$E106*$D106*KVARDI,2))</f>
        <v/>
      </c>
      <c r="EG106" s="66" t="n"/>
      <c r="EH106" s="78">
        <f>IF(OR(INDEX(Undirviðmið!$G$6:$G$105,ROW()-6)&lt;&gt;"Starfsbundinn",EG106="",$E106="",$D106=""),"",ROUND(EG106/$E106*$D106*KVARDI,2))</f>
        <v/>
      </c>
      <c r="EI106" s="66" t="n"/>
      <c r="EJ106" s="78">
        <f>IF(OR(INDEX(Undirviðmið!$G$6:$G$105,ROW()-6)&lt;&gt;"Starfsbundinn",EI106="",$E106="",$D106=""),"",ROUND(EI106/$E106*$D106*KVARDI,2))</f>
        <v/>
      </c>
      <c r="EK106" s="66" t="n"/>
      <c r="EL106" s="78">
        <f>IF(OR(INDEX(Undirviðmið!$G$6:$G$105,ROW()-6)&lt;&gt;"Starfsbundinn",EK106="",$E106="",$D106=""),"",ROUND(EK106/$E106*$D106*KVARDI,2))</f>
        <v/>
      </c>
      <c r="EM106" s="66" t="n"/>
      <c r="EN106" s="78">
        <f>IF(OR(INDEX(Undirviðmið!$G$6:$G$105,ROW()-6)&lt;&gt;"Starfsbundinn",EM106="",$E106="",$D106=""),"",ROUND(EM106/$E106*$D106*KVARDI,2))</f>
        <v/>
      </c>
      <c r="EO106" s="66" t="n"/>
      <c r="EP106" s="78">
        <f>IF(OR(INDEX(Undirviðmið!$G$6:$G$105,ROW()-6)&lt;&gt;"Starfsbundinn",EO106="",$E106="",$D106=""),"",ROUND(EO106/$E106*$D106*KVARDI,2))</f>
        <v/>
      </c>
      <c r="EQ106" s="66" t="n"/>
      <c r="ER106" s="78">
        <f>IF(OR(INDEX(Undirviðmið!$G$6:$G$105,ROW()-6)&lt;&gt;"Starfsbundinn",EQ106="",$E106="",$D106=""),"",ROUND(EQ106/$E106*$D106*KVARDI,2))</f>
        <v/>
      </c>
      <c r="ES106" s="66" t="n"/>
      <c r="ET106" s="78">
        <f>IF(OR(INDEX(Undirviðmið!$G$6:$G$105,ROW()-6)&lt;&gt;"Starfsbundinn",ES106="",$E106="",$D106=""),"",ROUND(ES106/$E106*$D106*KVARDI,2))</f>
        <v/>
      </c>
      <c r="EU106" s="66" t="n"/>
      <c r="EV106" s="78">
        <f>IF(OR(INDEX(Undirviðmið!$G$6:$G$105,ROW()-6)&lt;&gt;"Starfsbundinn",EU106="",$E106="",$D106=""),"",ROUND(EU106/$E106*$D106*KVARDI,2))</f>
        <v/>
      </c>
      <c r="EW106" s="66" t="n"/>
      <c r="EX106" s="78">
        <f>IF(OR(INDEX(Undirviðmið!$G$6:$G$105,ROW()-6)&lt;&gt;"Starfsbundinn",EW106="",$E106="",$D106=""),"",ROUND(EW106/$E106*$D106*KVARDI,2))</f>
        <v/>
      </c>
      <c r="EY106" s="66" t="n"/>
      <c r="EZ106" s="78">
        <f>IF(OR(INDEX(Undirviðmið!$G$6:$G$105,ROW()-6)&lt;&gt;"Starfsbundinn",EY106="",$E106="",$D106=""),"",ROUND(EY106/$E106*$D106*KVARDI,2))</f>
        <v/>
      </c>
      <c r="FA106" s="66" t="n"/>
      <c r="FB106" s="78">
        <f>IF(OR(INDEX(Undirviðmið!$G$6:$G$105,ROW()-6)&lt;&gt;"Starfsbundinn",FA106="",$E106="",$D106=""),"",ROUND(FA106/$E106*$D106*KVARDI,2))</f>
        <v/>
      </c>
      <c r="FC106" s="66" t="n"/>
      <c r="FD106" s="78">
        <f>IF(OR(INDEX(Undirviðmið!$G$6:$G$105,ROW()-6)&lt;&gt;"Starfsbundinn",FC106="",$E106="",$D106=""),"",ROUND(FC106/$E106*$D106*KVARDI,2))</f>
        <v/>
      </c>
      <c r="FE106" s="66" t="n"/>
      <c r="FF106" s="78">
        <f>IF(OR(INDEX(Undirviðmið!$G$6:$G$105,ROW()-6)&lt;&gt;"Starfsbundinn",FE106="",$E106="",$D106=""),"",ROUND(FE106/$E106*$D106*KVARDI,2))</f>
        <v/>
      </c>
      <c r="FG106" s="66" t="n"/>
      <c r="FH106" s="78">
        <f>IF(OR(INDEX(Undirviðmið!$G$6:$G$105,ROW()-6)&lt;&gt;"Starfsbundinn",FG106="",$E106="",$D106=""),"",ROUND(FG106/$E106*$D106*KVARDI,2))</f>
        <v/>
      </c>
      <c r="FI106" s="66" t="n"/>
      <c r="FJ106" s="78">
        <f>IF(OR(INDEX(Undirviðmið!$G$6:$G$105,ROW()-6)&lt;&gt;"Starfsbundinn",FI106="",$E106="",$D106=""),"",ROUND(FI106/$E106*$D106*KVARDI,2))</f>
        <v/>
      </c>
      <c r="FK106" s="66" t="n"/>
      <c r="FL106" s="78">
        <f>IF(OR(INDEX(Undirviðmið!$G$6:$G$105,ROW()-6)&lt;&gt;"Starfsbundinn",FK106="",$E106="",$D106=""),"",ROUND(FK106/$E106*$D106*KVARDI,2))</f>
        <v/>
      </c>
      <c r="FM106" s="66" t="n"/>
      <c r="FN106" s="78">
        <f>IF(OR(INDEX(Undirviðmið!$G$6:$G$105,ROW()-6)&lt;&gt;"Starfsbundinn",FM106="",$E106="",$D106=""),"",ROUND(FM106/$E106*$D106*KVARDI,2))</f>
        <v/>
      </c>
      <c r="FO106" s="66" t="n"/>
      <c r="FP106" s="78">
        <f>IF(OR(INDEX(Undirviðmið!$G$6:$G$105,ROW()-6)&lt;&gt;"Starfsbundinn",FO106="",$E106="",$D106=""),"",ROUND(FO106/$E106*$D106*KVARDI,2))</f>
        <v/>
      </c>
      <c r="FQ106" s="66" t="n"/>
      <c r="FR106" s="78">
        <f>IF(OR(INDEX(Undirviðmið!$G$6:$G$105,ROW()-6)&lt;&gt;"Starfsbundinn",FQ106="",$E106="",$D106=""),"",ROUND(FQ106/$E106*$D106*KVARDI,2))</f>
        <v/>
      </c>
      <c r="FS106" s="66" t="n"/>
      <c r="FT106" s="78">
        <f>IF(OR(INDEX(Undirviðmið!$G$6:$G$105,ROW()-6)&lt;&gt;"Starfsbundinn",FS106="",$E106="",$D106=""),"",ROUND(FS106/$E106*$D106*KVARDI,2))</f>
        <v/>
      </c>
      <c r="FU106" s="66" t="n"/>
      <c r="FV106" s="78">
        <f>IF(OR(INDEX(Undirviðmið!$G$6:$G$105,ROW()-6)&lt;&gt;"Starfsbundinn",FU106="",$E106="",$D106=""),"",ROUND(FU106/$E106*$D106*KVARDI,2))</f>
        <v/>
      </c>
      <c r="FW106" s="66" t="n"/>
      <c r="FX106" s="78">
        <f>IF(OR(INDEX(Undirviðmið!$G$6:$G$105,ROW()-6)&lt;&gt;"Starfsbundinn",FW106="",$E106="",$D106=""),"",ROUND(FW106/$E106*$D106*KVARDI,2))</f>
        <v/>
      </c>
      <c r="FY106" s="66" t="n"/>
      <c r="FZ106" s="78">
        <f>IF(OR(INDEX(Undirviðmið!$G$6:$G$105,ROW()-6)&lt;&gt;"Starfsbundinn",FY106="",$E106="",$D106=""),"",ROUND(FY106/$E106*$D106*KVARDI,2))</f>
        <v/>
      </c>
      <c r="GA106" s="66" t="n"/>
      <c r="GB106" s="78">
        <f>IF(OR(INDEX(Undirviðmið!$G$6:$G$105,ROW()-6)&lt;&gt;"Starfsbundinn",GA106="",$E106="",$D106=""),"",ROUND(GA106/$E106*$D106*KVARDI,2))</f>
        <v/>
      </c>
      <c r="GC106" s="66" t="n"/>
      <c r="GD106" s="78">
        <f>IF(OR(INDEX(Undirviðmið!$G$6:$G$105,ROW()-6)&lt;&gt;"Starfsbundinn",GC106="",$E106="",$D106=""),"",ROUND(GC106/$E106*$D106*KVARDI,2))</f>
        <v/>
      </c>
      <c r="GE106" s="66" t="n"/>
      <c r="GF106" s="78">
        <f>IF(OR(INDEX(Undirviðmið!$G$6:$G$105,ROW()-6)&lt;&gt;"Starfsbundinn",GE106="",$E106="",$D106=""),"",ROUND(GE106/$E106*$D106*KVARDI,2))</f>
        <v/>
      </c>
      <c r="GG106" s="66" t="n"/>
      <c r="GH106" s="78">
        <f>IF(OR(INDEX(Undirviðmið!$G$6:$G$105,ROW()-6)&lt;&gt;"Starfsbundinn",GG106="",$E106="",$D106=""),"",ROUND(GG106/$E106*$D106*KVARDI,2))</f>
        <v/>
      </c>
      <c r="GI106" s="66" t="n"/>
      <c r="GJ106" s="78">
        <f>IF(OR(INDEX(Undirviðmið!$G$6:$G$105,ROW()-6)&lt;&gt;"Starfsbundinn",GI106="",$E106="",$D106=""),"",ROUND(GI106/$E106*$D106*KVARDI,2))</f>
        <v/>
      </c>
      <c r="GK106" s="66" t="n"/>
      <c r="GL106" s="78">
        <f>IF(OR(INDEX(Undirviðmið!$G$6:$G$105,ROW()-6)&lt;&gt;"Starfsbundinn",GK106="",$E106="",$D106=""),"",ROUND(GK106/$E106*$D106*KVARDI,2))</f>
        <v/>
      </c>
      <c r="GM106" s="66" t="n"/>
      <c r="GN106" s="78">
        <f>IF(OR(INDEX(Undirviðmið!$G$6:$G$105,ROW()-6)&lt;&gt;"Starfsbundinn",GM106="",$E106="",$D106=""),"",ROUND(GM106/$E106*$D106*KVARDI,2))</f>
        <v/>
      </c>
      <c r="GO106" s="66" t="n"/>
      <c r="GP106" s="78">
        <f>IF(OR(INDEX(Undirviðmið!$G$6:$G$105,ROW()-6)&lt;&gt;"Starfsbundinn",GO106="",$E106="",$D106=""),"",ROUND(GO106/$E106*$D106*KVARDI,2))</f>
        <v/>
      </c>
      <c r="GQ106" s="66" t="n"/>
      <c r="GR106" s="78">
        <f>IF(OR(INDEX(Undirviðmið!$G$6:$G$105,ROW()-6)&lt;&gt;"Starfsbundinn",GQ106="",$E106="",$D106=""),"",ROUND(GQ106/$E106*$D106*KVARDI,2))</f>
        <v/>
      </c>
      <c r="GS106" s="66" t="n"/>
      <c r="GT106" s="78">
        <f>IF(OR(INDEX(Undirviðmið!$G$6:$G$105,ROW()-6)&lt;&gt;"Starfsbundinn",GS106="",$E106="",$D106=""),"",ROUND(GS106/$E106*$D106*KVARDI,2))</f>
        <v/>
      </c>
      <c r="GU106" s="66" t="n"/>
      <c r="GV106" s="78">
        <f>IF(OR(INDEX(Undirviðmið!$G$6:$G$105,ROW()-6)&lt;&gt;"Starfsbundinn",GU106="",$E106="",$D106=""),"",ROUND(GU106/$E106*$D106*KVARDI,2))</f>
        <v/>
      </c>
      <c r="GW106" s="66" t="n"/>
      <c r="GX106" s="78">
        <f>IF(OR(INDEX(Undirviðmið!$G$6:$G$105,ROW()-6)&lt;&gt;"Starfsbundinn",GW106="",$E106="",$D106=""),"",ROUND(GW106/$E106*$D106*KVARDI,2))</f>
        <v/>
      </c>
    </row>
    <row r="108" ht="15" customHeight="1" s="47">
      <c r="E108" s="62" t="s">
        <v>181</v>
      </c>
      <c r="H108" s="79">
        <f>IFERROR(SUM(H7:H106),0)</f>
        <v/>
      </c>
      <c r="J108" s="79">
        <f>IFERROR(SUM(J7:J106),0)</f>
        <v/>
      </c>
      <c r="L108" s="79">
        <f>IFERROR(SUM(L7:L106),0)</f>
        <v/>
      </c>
      <c r="N108" s="79">
        <f>IFERROR(SUM(N7:N106),0)</f>
        <v/>
      </c>
      <c r="P108" s="79">
        <f>IFERROR(SUM(P7:P106),0)</f>
        <v/>
      </c>
      <c r="R108" s="79">
        <f>IFERROR(SUM(R7:R106),0)</f>
        <v/>
      </c>
      <c r="T108" s="79">
        <f>IFERROR(SUM(T7:T106),0)</f>
        <v/>
      </c>
      <c r="V108" s="79">
        <f>IFERROR(SUM(V7:V106),0)</f>
        <v/>
      </c>
      <c r="X108" s="79">
        <f>IFERROR(SUM(X7:X106),0)</f>
        <v/>
      </c>
      <c r="Z108" s="79">
        <f>IFERROR(SUM(Z7:Z106),0)</f>
        <v/>
      </c>
      <c r="AB108" s="79">
        <f>IFERROR(SUM(AB7:AB106),0)</f>
        <v/>
      </c>
      <c r="AD108" s="79">
        <f>IFERROR(SUM(AD7:AD106),0)</f>
        <v/>
      </c>
      <c r="AF108" s="79">
        <f>IFERROR(SUM(AF7:AF106),0)</f>
        <v/>
      </c>
      <c r="AH108" s="79">
        <f>IFERROR(SUM(AH7:AH106),0)</f>
        <v/>
      </c>
      <c r="AJ108" s="79">
        <f>IFERROR(SUM(AJ7:AJ106),0)</f>
        <v/>
      </c>
      <c r="AL108" s="79">
        <f>IFERROR(SUM(AL7:AL106),0)</f>
        <v/>
      </c>
      <c r="AN108" s="79">
        <f>IFERROR(SUM(AN7:AN106),0)</f>
        <v/>
      </c>
      <c r="AP108" s="79">
        <f>IFERROR(SUM(AP7:AP106),0)</f>
        <v/>
      </c>
      <c r="AR108" s="79">
        <f>IFERROR(SUM(AR7:AR106),0)</f>
        <v/>
      </c>
      <c r="AT108" s="79">
        <f>IFERROR(SUM(AT7:AT106),0)</f>
        <v/>
      </c>
      <c r="AV108" s="79">
        <f>IFERROR(SUM(AV7:AV106),0)</f>
        <v/>
      </c>
      <c r="AX108" s="79">
        <f>IFERROR(SUM(AX7:AX106),0)</f>
        <v/>
      </c>
      <c r="AZ108" s="79">
        <f>IFERROR(SUM(AZ7:AZ106),0)</f>
        <v/>
      </c>
      <c r="BB108" s="79">
        <f>IFERROR(SUM(BB7:BB106),0)</f>
        <v/>
      </c>
      <c r="BD108" s="79">
        <f>IFERROR(SUM(BD7:BD106),0)</f>
        <v/>
      </c>
      <c r="BF108" s="79">
        <f>IFERROR(SUM(BF7:BF106),0)</f>
        <v/>
      </c>
      <c r="BH108" s="79">
        <f>IFERROR(SUM(BH7:BH106),0)</f>
        <v/>
      </c>
      <c r="BJ108" s="79">
        <f>IFERROR(SUM(BJ7:BJ106),0)</f>
        <v/>
      </c>
      <c r="BL108" s="79">
        <f>IFERROR(SUM(BL7:BL106),0)</f>
        <v/>
      </c>
      <c r="BN108" s="79">
        <f>IFERROR(SUM(BN7:BN106),0)</f>
        <v/>
      </c>
      <c r="BP108" s="79">
        <f>IFERROR(SUM(BP7:BP106),0)</f>
        <v/>
      </c>
      <c r="BR108" s="79">
        <f>IFERROR(SUM(BR7:BR106),0)</f>
        <v/>
      </c>
      <c r="BT108" s="79">
        <f>IFERROR(SUM(BT7:BT106),0)</f>
        <v/>
      </c>
      <c r="BV108" s="79">
        <f>IFERROR(SUM(BV7:BV106),0)</f>
        <v/>
      </c>
      <c r="BX108" s="79">
        <f>IFERROR(SUM(BX7:BX106),0)</f>
        <v/>
      </c>
      <c r="BZ108" s="79">
        <f>IFERROR(SUM(BZ7:BZ106),0)</f>
        <v/>
      </c>
      <c r="CB108" s="79">
        <f>IFERROR(SUM(CB7:CB106),0)</f>
        <v/>
      </c>
      <c r="CD108" s="79">
        <f>IFERROR(SUM(CD7:CD106),0)</f>
        <v/>
      </c>
      <c r="CF108" s="79">
        <f>IFERROR(SUM(CF7:CF106),0)</f>
        <v/>
      </c>
      <c r="CH108" s="79">
        <f>IFERROR(SUM(CH7:CH106),0)</f>
        <v/>
      </c>
      <c r="CJ108" s="79">
        <f>IFERROR(SUM(CJ7:CJ106),0)</f>
        <v/>
      </c>
      <c r="CL108" s="79">
        <f>IFERROR(SUM(CL7:CL106),0)</f>
        <v/>
      </c>
      <c r="CN108" s="79">
        <f>IFERROR(SUM(CN7:CN106),0)</f>
        <v/>
      </c>
      <c r="CP108" s="79">
        <f>IFERROR(SUM(CP7:CP106),0)</f>
        <v/>
      </c>
      <c r="CR108" s="79">
        <f>IFERROR(SUM(CR7:CR106),0)</f>
        <v/>
      </c>
      <c r="CT108" s="79">
        <f>IFERROR(SUM(CT7:CT106),0)</f>
        <v/>
      </c>
      <c r="CV108" s="79">
        <f>IFERROR(SUM(CV7:CV106),0)</f>
        <v/>
      </c>
      <c r="CX108" s="79">
        <f>IFERROR(SUM(CX7:CX106),0)</f>
        <v/>
      </c>
      <c r="CZ108" s="79">
        <f>IFERROR(SUM(CZ7:CZ106),0)</f>
        <v/>
      </c>
      <c r="DB108" s="79">
        <f>IFERROR(SUM(DB7:DB106),0)</f>
        <v/>
      </c>
      <c r="DD108" s="79">
        <f>IFERROR(SUM(DD7:DD106),0)</f>
        <v/>
      </c>
      <c r="DF108" s="79">
        <f>IFERROR(SUM(DF7:DF106),0)</f>
        <v/>
      </c>
      <c r="DH108" s="79">
        <f>IFERROR(SUM(DH7:DH106),0)</f>
        <v/>
      </c>
      <c r="DJ108" s="79">
        <f>IFERROR(SUM(DJ7:DJ106),0)</f>
        <v/>
      </c>
      <c r="DL108" s="79">
        <f>IFERROR(SUM(DL7:DL106),0)</f>
        <v/>
      </c>
      <c r="DN108" s="79">
        <f>IFERROR(SUM(DN7:DN106),0)</f>
        <v/>
      </c>
      <c r="DP108" s="79">
        <f>IFERROR(SUM(DP7:DP106),0)</f>
        <v/>
      </c>
      <c r="DR108" s="79">
        <f>IFERROR(SUM(DR7:DR106),0)</f>
        <v/>
      </c>
      <c r="DT108" s="79">
        <f>IFERROR(SUM(DT7:DT106),0)</f>
        <v/>
      </c>
      <c r="DV108" s="79">
        <f>IFERROR(SUM(DV7:DV106),0)</f>
        <v/>
      </c>
      <c r="DX108" s="79">
        <f>IFERROR(SUM(DX7:DX106),0)</f>
        <v/>
      </c>
      <c r="DZ108" s="79">
        <f>IFERROR(SUM(DZ7:DZ106),0)</f>
        <v/>
      </c>
      <c r="EB108" s="79">
        <f>IFERROR(SUM(EB7:EB106),0)</f>
        <v/>
      </c>
      <c r="ED108" s="79">
        <f>IFERROR(SUM(ED7:ED106),0)</f>
        <v/>
      </c>
      <c r="EF108" s="79">
        <f>IFERROR(SUM(EF7:EF106),0)</f>
        <v/>
      </c>
      <c r="EH108" s="79">
        <f>IFERROR(SUM(EH7:EH106),0)</f>
        <v/>
      </c>
      <c r="EJ108" s="79">
        <f>IFERROR(SUM(EJ7:EJ106),0)</f>
        <v/>
      </c>
      <c r="EL108" s="79">
        <f>IFERROR(SUM(EL7:EL106),0)</f>
        <v/>
      </c>
      <c r="EN108" s="79">
        <f>IFERROR(SUM(EN7:EN106),0)</f>
        <v/>
      </c>
      <c r="EP108" s="79">
        <f>IFERROR(SUM(EP7:EP106),0)</f>
        <v/>
      </c>
      <c r="ER108" s="79">
        <f>IFERROR(SUM(ER7:ER106),0)</f>
        <v/>
      </c>
      <c r="ET108" s="79">
        <f>IFERROR(SUM(ET7:ET106),0)</f>
        <v/>
      </c>
      <c r="EV108" s="79">
        <f>IFERROR(SUM(EV7:EV106),0)</f>
        <v/>
      </c>
      <c r="EX108" s="79">
        <f>IFERROR(SUM(EX7:EX106),0)</f>
        <v/>
      </c>
      <c r="EZ108" s="79">
        <f>IFERROR(SUM(EZ7:EZ106),0)</f>
        <v/>
      </c>
      <c r="FB108" s="79">
        <f>IFERROR(SUM(FB7:FB106),0)</f>
        <v/>
      </c>
      <c r="FD108" s="79">
        <f>IFERROR(SUM(FD7:FD106),0)</f>
        <v/>
      </c>
      <c r="FF108" s="79">
        <f>IFERROR(SUM(FF7:FF106),0)</f>
        <v/>
      </c>
      <c r="FH108" s="79">
        <f>IFERROR(SUM(FH7:FH106),0)</f>
        <v/>
      </c>
      <c r="FJ108" s="79">
        <f>IFERROR(SUM(FJ7:FJ106),0)</f>
        <v/>
      </c>
      <c r="FL108" s="79">
        <f>IFERROR(SUM(FL7:FL106),0)</f>
        <v/>
      </c>
      <c r="FN108" s="79">
        <f>IFERROR(SUM(FN7:FN106),0)</f>
        <v/>
      </c>
      <c r="FP108" s="79">
        <f>IFERROR(SUM(FP7:FP106),0)</f>
        <v/>
      </c>
      <c r="FR108" s="79">
        <f>IFERROR(SUM(FR7:FR106),0)</f>
        <v/>
      </c>
      <c r="FT108" s="79">
        <f>IFERROR(SUM(FT7:FT106),0)</f>
        <v/>
      </c>
      <c r="FV108" s="79">
        <f>IFERROR(SUM(FV7:FV106),0)</f>
        <v/>
      </c>
      <c r="FX108" s="79">
        <f>IFERROR(SUM(FX7:FX106),0)</f>
        <v/>
      </c>
      <c r="FZ108" s="79">
        <f>IFERROR(SUM(FZ7:FZ106),0)</f>
        <v/>
      </c>
      <c r="GB108" s="79">
        <f>IFERROR(SUM(GB7:GB106),0)</f>
        <v/>
      </c>
      <c r="GD108" s="79">
        <f>IFERROR(SUM(GD7:GD106),0)</f>
        <v/>
      </c>
      <c r="GF108" s="79">
        <f>IFERROR(SUM(GF7:GF106),0)</f>
        <v/>
      </c>
      <c r="GH108" s="79">
        <f>IFERROR(SUM(GH7:GH106),0)</f>
        <v/>
      </c>
      <c r="GJ108" s="79">
        <f>IFERROR(SUM(GJ7:GJ106),0)</f>
        <v/>
      </c>
      <c r="GL108" s="79">
        <f>IFERROR(SUM(GL7:GL106),0)</f>
        <v/>
      </c>
      <c r="GN108" s="79">
        <f>IFERROR(SUM(GN7:GN106),0)</f>
        <v/>
      </c>
      <c r="GP108" s="79">
        <f>IFERROR(SUM(GP7:GP106),0)</f>
        <v/>
      </c>
      <c r="GR108" s="79">
        <f>IFERROR(SUM(GR7:GR106),0)</f>
        <v/>
      </c>
      <c r="GT108" s="79">
        <f>IFERROR(SUM(GT7:GT106),0)</f>
        <v/>
      </c>
      <c r="GV108" s="79">
        <f>IFERROR(SUM(GV7:GV106),0)</f>
        <v/>
      </c>
      <c r="GX108" s="79">
        <f>IFERROR(SUM(GX7:GX106),0)</f>
        <v/>
      </c>
    </row>
  </sheetData>
  <mergeCells count="102">
    <mergeCell ref="CM5:CN5"/>
    <mergeCell ref="CW5:CX5"/>
    <mergeCell ref="EE5:EF5"/>
    <mergeCell ref="CO5:CP5"/>
    <mergeCell ref="EO5:EP5"/>
    <mergeCell ref="EQ5:ER5"/>
    <mergeCell ref="FY5:FZ5"/>
    <mergeCell ref="AS5:AT5"/>
    <mergeCell ref="FI5:FJ5"/>
    <mergeCell ref="GQ5:GR5"/>
    <mergeCell ref="FK5:FL5"/>
    <mergeCell ref="GS5:GT5"/>
    <mergeCell ref="DM5:DN5"/>
    <mergeCell ref="FM5:FN5"/>
    <mergeCell ref="B2:F2"/>
    <mergeCell ref="FO5:FP5"/>
    <mergeCell ref="GA5:GB5"/>
    <mergeCell ref="AY5:AZ5"/>
    <mergeCell ref="GM5:GN5"/>
    <mergeCell ref="S5:T5"/>
    <mergeCell ref="U5:V5"/>
    <mergeCell ref="AE5:AF5"/>
    <mergeCell ref="AG5:AH5"/>
    <mergeCell ref="AI5:AJ5"/>
    <mergeCell ref="CI5:CJ5"/>
    <mergeCell ref="CK5:CL5"/>
    <mergeCell ref="EK5:EL5"/>
    <mergeCell ref="CU5:CV5"/>
    <mergeCell ref="EW5:EX5"/>
    <mergeCell ref="BE5:BF5"/>
    <mergeCell ref="BG5:BH5"/>
    <mergeCell ref="DG5:DH5"/>
    <mergeCell ref="BQ5:BR5"/>
    <mergeCell ref="DI5:DJ5"/>
    <mergeCell ref="BS5:BT5"/>
    <mergeCell ref="DA5:DB5"/>
    <mergeCell ref="DS5:DT5"/>
    <mergeCell ref="FA5:FB5"/>
    <mergeCell ref="DU5:DV5"/>
    <mergeCell ref="FC5:FD5"/>
    <mergeCell ref="DW5:DX5"/>
    <mergeCell ref="FW5:FX5"/>
    <mergeCell ref="GI5:GJ5"/>
    <mergeCell ref="GK5:GL5"/>
    <mergeCell ref="B3:N3"/>
    <mergeCell ref="EA5:EB5"/>
    <mergeCell ref="GC5:GD5"/>
    <mergeCell ref="EM5:EN5"/>
    <mergeCell ref="FE5:FF5"/>
    <mergeCell ref="GO5:GP5"/>
    <mergeCell ref="K5:L5"/>
    <mergeCell ref="M5:N5"/>
    <mergeCell ref="AU5:AV5"/>
    <mergeCell ref="W5:X5"/>
    <mergeCell ref="BY5:BZ5"/>
    <mergeCell ref="O5:P5"/>
    <mergeCell ref="Q5:R5"/>
    <mergeCell ref="AA5:AB5"/>
    <mergeCell ref="AC5:AD5"/>
    <mergeCell ref="AW5:AX5"/>
    <mergeCell ref="CE5:CF5"/>
    <mergeCell ref="CG5:CH5"/>
    <mergeCell ref="CY5:CZ5"/>
    <mergeCell ref="EG5:EH5"/>
    <mergeCell ref="CQ5:CR5"/>
    <mergeCell ref="EI5:EJ5"/>
    <mergeCell ref="CS5:CT5"/>
    <mergeCell ref="ES5:ET5"/>
    <mergeCell ref="EU5:EV5"/>
    <mergeCell ref="GU5:GV5"/>
    <mergeCell ref="GW5:GX5"/>
    <mergeCell ref="BC5:BD5"/>
    <mergeCell ref="BM5:BN5"/>
    <mergeCell ref="BO5:BP5"/>
    <mergeCell ref="DO5:DP5"/>
    <mergeCell ref="DQ5:DR5"/>
    <mergeCell ref="EY5:EZ5"/>
    <mergeCell ref="FQ5:FR5"/>
    <mergeCell ref="FS5:FT5"/>
    <mergeCell ref="FU5:FV5"/>
    <mergeCell ref="GE5:GF5"/>
    <mergeCell ref="GG5:GH5"/>
    <mergeCell ref="Y5:Z5"/>
    <mergeCell ref="AK5:AL5"/>
    <mergeCell ref="AM5:AN5"/>
    <mergeCell ref="G5:H5"/>
    <mergeCell ref="AO5:AP5"/>
    <mergeCell ref="I5:J5"/>
    <mergeCell ref="AQ5:AR5"/>
    <mergeCell ref="BI5:BJ5"/>
    <mergeCell ref="BA5:BB5"/>
    <mergeCell ref="BK5:BL5"/>
    <mergeCell ref="DK5:DL5"/>
    <mergeCell ref="BU5:BV5"/>
    <mergeCell ref="DC5:DD5"/>
    <mergeCell ref="BW5:BX5"/>
    <mergeCell ref="DE5:DF5"/>
    <mergeCell ref="DY5:DZ5"/>
    <mergeCell ref="FG5:FH5"/>
    <mergeCell ref="CA5:CB5"/>
    <mergeCell ref="CC5:CD5"/>
    <mergeCell ref="EC5:ED5"/>
  </mergeCells>
  <conditionalFormatting sqref="G7:G106">
    <cfRule type="expression" rank="0" priority="2" equalAverage="0" aboveAverage="0" dxfId="2" text="" percent="0" bottom="0">
      <formula>$B7=""</formula>
    </cfRule>
    <cfRule type="expression" rank="0" priority="3" equalAverage="0" aboveAverage="0" dxfId="1" text="" percent="0" bottom="0">
      <formula>AND(G7&lt;&gt;"",$E7&lt;&gt;"",G7&gt;$E7)</formula>
    </cfRule>
  </conditionalFormatting>
  <conditionalFormatting sqref="H7:H106">
    <cfRule type="expression" rank="0" priority="4" equalAverage="0" aboveAverage="0" dxfId="2" text="" percent="0" bottom="0">
      <formula>$B7=""</formula>
    </cfRule>
  </conditionalFormatting>
  <conditionalFormatting sqref="I7:I106">
    <cfRule type="expression" rank="0" priority="5" equalAverage="0" aboveAverage="0" dxfId="2" text="" percent="0" bottom="0">
      <formula>$B7=""</formula>
    </cfRule>
    <cfRule type="expression" rank="0" priority="6" equalAverage="0" aboveAverage="0" dxfId="1" text="" percent="0" bottom="0">
      <formula>AND(I7&lt;&gt;"",$E7&lt;&gt;"",I7&gt;$E7)</formula>
    </cfRule>
  </conditionalFormatting>
  <conditionalFormatting sqref="J7:J106">
    <cfRule type="expression" rank="0" priority="7" equalAverage="0" aboveAverage="0" dxfId="2" text="" percent="0" bottom="0">
      <formula>$B7=""</formula>
    </cfRule>
  </conditionalFormatting>
  <conditionalFormatting sqref="K7:K106">
    <cfRule type="expression" rank="0" priority="8" equalAverage="0" aboveAverage="0" dxfId="2" text="" percent="0" bottom="0">
      <formula>$B7=""</formula>
    </cfRule>
    <cfRule type="expression" rank="0" priority="9" equalAverage="0" aboveAverage="0" dxfId="1" text="" percent="0" bottom="0">
      <formula>AND(K7&lt;&gt;"",$E7&lt;&gt;"",K7&gt;$E7)</formula>
    </cfRule>
  </conditionalFormatting>
  <conditionalFormatting sqref="L7:L106">
    <cfRule type="expression" rank="0" priority="10" equalAverage="0" aboveAverage="0" dxfId="2" text="" percent="0" bottom="0">
      <formula>$B7=""</formula>
    </cfRule>
  </conditionalFormatting>
  <conditionalFormatting sqref="M7:M106">
    <cfRule type="expression" rank="0" priority="11" equalAverage="0" aboveAverage="0" dxfId="2" text="" percent="0" bottom="0">
      <formula>$B7=""</formula>
    </cfRule>
    <cfRule type="expression" rank="0" priority="12" equalAverage="0" aboveAverage="0" dxfId="1" text="" percent="0" bottom="0">
      <formula>AND(M7&lt;&gt;"",$E7&lt;&gt;"",M7&gt;$E7)</formula>
    </cfRule>
  </conditionalFormatting>
  <conditionalFormatting sqref="N7:N106">
    <cfRule type="expression" rank="0" priority="13" equalAverage="0" aboveAverage="0" dxfId="2" text="" percent="0" bottom="0">
      <formula>$B7=""</formula>
    </cfRule>
  </conditionalFormatting>
  <conditionalFormatting sqref="O7:O106">
    <cfRule type="expression" rank="0" priority="14" equalAverage="0" aboveAverage="0" dxfId="2" text="" percent="0" bottom="0">
      <formula>$B7=""</formula>
    </cfRule>
    <cfRule type="expression" rank="0" priority="15" equalAverage="0" aboveAverage="0" dxfId="1" text="" percent="0" bottom="0">
      <formula>AND(O7&lt;&gt;"",$E7&lt;&gt;"",O7&gt;$E7)</formula>
    </cfRule>
  </conditionalFormatting>
  <conditionalFormatting sqref="P7:P106">
    <cfRule type="expression" rank="0" priority="16" equalAverage="0" aboveAverage="0" dxfId="2" text="" percent="0" bottom="0">
      <formula>$B7=""</formula>
    </cfRule>
  </conditionalFormatting>
  <conditionalFormatting sqref="Q7:Q106">
    <cfRule type="expression" rank="0" priority="17" equalAverage="0" aboveAverage="0" dxfId="2" text="" percent="0" bottom="0">
      <formula>$B7=""</formula>
    </cfRule>
    <cfRule type="expression" rank="0" priority="18" equalAverage="0" aboveAverage="0" dxfId="1" text="" percent="0" bottom="0">
      <formula>AND(Q7&lt;&gt;"",$E7&lt;&gt;"",Q7&gt;$E7)</formula>
    </cfRule>
  </conditionalFormatting>
  <conditionalFormatting sqref="R7:R106">
    <cfRule type="expression" rank="0" priority="19" equalAverage="0" aboveAverage="0" dxfId="2" text="" percent="0" bottom="0">
      <formula>$B7=""</formula>
    </cfRule>
  </conditionalFormatting>
  <conditionalFormatting sqref="S7:S106">
    <cfRule type="expression" rank="0" priority="20" equalAverage="0" aboveAverage="0" dxfId="2" text="" percent="0" bottom="0">
      <formula>$B7=""</formula>
    </cfRule>
    <cfRule type="expression" rank="0" priority="21" equalAverage="0" aboveAverage="0" dxfId="1" text="" percent="0" bottom="0">
      <formula>AND(S7&lt;&gt;"",$E7&lt;&gt;"",S7&gt;$E7)</formula>
    </cfRule>
  </conditionalFormatting>
  <conditionalFormatting sqref="T7:T106">
    <cfRule type="expression" rank="0" priority="22" equalAverage="0" aboveAverage="0" dxfId="2" text="" percent="0" bottom="0">
      <formula>$B7=""</formula>
    </cfRule>
  </conditionalFormatting>
  <conditionalFormatting sqref="U7:U106">
    <cfRule type="expression" rank="0" priority="23" equalAverage="0" aboveAverage="0" dxfId="2" text="" percent="0" bottom="0">
      <formula>$B7=""</formula>
    </cfRule>
    <cfRule type="expression" rank="0" priority="24" equalAverage="0" aboveAverage="0" dxfId="1" text="" percent="0" bottom="0">
      <formula>AND(U7&lt;&gt;"",$E7&lt;&gt;"",U7&gt;$E7)</formula>
    </cfRule>
  </conditionalFormatting>
  <conditionalFormatting sqref="V7:V106">
    <cfRule type="expression" rank="0" priority="25" equalAverage="0" aboveAverage="0" dxfId="2" text="" percent="0" bottom="0">
      <formula>$B7=""</formula>
    </cfRule>
  </conditionalFormatting>
  <conditionalFormatting sqref="B7:B106">
    <cfRule type="expression" rank="0" priority="26" equalAverage="0" aboveAverage="0" dxfId="2" text="" percent="0" bottom="0">
      <formula>$B7=""</formula>
    </cfRule>
  </conditionalFormatting>
  <conditionalFormatting sqref="C7:C106">
    <cfRule type="expression" rank="0" priority="27" equalAverage="0" aboveAverage="0" dxfId="2" text="" percent="0" bottom="0">
      <formula>$B7=""</formula>
    </cfRule>
  </conditionalFormatting>
  <conditionalFormatting sqref="D7:D106">
    <cfRule type="expression" rank="0" priority="28" equalAverage="0" aboveAverage="0" dxfId="2" text="" percent="0" bottom="0">
      <formula>$B7=""</formula>
    </cfRule>
  </conditionalFormatting>
  <conditionalFormatting sqref="E7:E106">
    <cfRule type="expression" rank="0" priority="29" equalAverage="0" aboveAverage="0" dxfId="2" text="" percent="0" bottom="0">
      <formula>$B7=""</formula>
    </cfRule>
  </conditionalFormatting>
  <conditionalFormatting sqref="F7:F106">
    <cfRule type="expression" rank="0" priority="30" equalAverage="0" aboveAverage="0" dxfId="2" text="" percent="0" bottom="0">
      <formula>$B7=""</formula>
    </cfRule>
  </conditionalFormatting>
  <conditionalFormatting sqref="W7:W106 Y7:Y106 AA7:AA106 AC7:AC106 AE7:AE106 AG7:AG106 AI7:AI106 AK7:AK106 AM7:AM106 AO7:AO106 AQ7:AQ106 AS7:AS106 AU7:AU106 AW7:AW106 AY7:AY106 BA7:BA106 BC7:BC106 BE7:BE106 BG7:BG106 BI7:BI106 BK7:BK106 BM7:BM106 BO7:BO106 BQ7:BQ106 BS7:BS106 BU7:BU106 BW7:BW106 BY7:BY106 CA7:CA106 CC7:CC106 CE7:CE106 CG7:CG106 CI7:CI106 CK7:CK106 CM7:CM106 CO7:CO106 CQ7:CQ106 CS7:CS106 CU7:CU106 CW7:CW106 CY7:CY106 DA7:DA106 DC7:DC106 DE7:DE106 DG7:DG106 DI7:DI106 DK7:DK106 DM7:DM106 DO7:DO106 DQ7:DQ106 DS7:DS106 DU7:DU106 DW7:DW106 DY7:DY106 EA7:EA106 EC7:EC106 EE7:EE106 EG7:EG106 EI7:EI106 EK7:EK106 EM7:EM106 EO7:EO106 EQ7:EQ106 ES7:ES106 EU7:EU106 EW7:EW106 EY7:EY106 FA7:FA106 FC7:FC106 FE7:FE106 FG7:FG106 FI7:FI106 FK7:FK106 FM7:FM106 FO7:FO106 FQ7:FQ106 FS7:FS106 FU7:FU106 FW7:FW106 FY7:FY106 GA7:GA106 GC7:GC106 GE7:GE106 GG7:GG106 GI7:GI106 GK7:GK106 GM7:GM106 GO7:GO106 GQ7:GQ106 GS7:GS106 GU7:GU106 GW7:GW106">
    <cfRule type="expression" priority="23" dxfId="2">
      <formula>$B7=""</formula>
    </cfRule>
    <cfRule type="expression" priority="24" dxfId="1">
      <formula>AND(W7&lt;&gt;"",$E7&lt;&gt;"",W7&gt;$E7)</formula>
    </cfRule>
  </conditionalFormatting>
  <conditionalFormatting sqref="X7:X106 Z7:Z106 AB7:AB106 AD7:AD106 AF7:AF106 AH7:AH106 AJ7:AJ106 AL7:AL106 AN7:AN106 AP7:AP106 AR7:AR106 AT7:AT106 AV7:AV106 AX7:AX106 AZ7:AZ106 BB7:BB106 BD7:BD106 BF7:BF106 BH7:BH106 BJ7:BJ106 BL7:BL106 BN7:BN106 BP7:BP106 BR7:BR106 BT7:BT106 BV7:BV106 BX7:BX106 BZ7:BZ106 CB7:CB106 CD7:CD106 CF7:CF106 CH7:CH106 CJ7:CJ106 CL7:CL106 CN7:CN106 CP7:CP106 CR7:CR106 CT7:CT106 CV7:CV106 CX7:CX106 CZ7:CZ106 DB7:DB106 DD7:DD106 DF7:DF106 DH7:DH106 DJ7:DJ106 DL7:DL106 DN7:DN106 DP7:DP106 DR7:DR106 DT7:DT106 DV7:DV106 DX7:DX106 DZ7:DZ106 EB7:EB106 ED7:ED106 EF7:EF106 EH7:EH106 EJ7:EJ106 EL7:EL106 EN7:EN106 EP7:EP106 ER7:ER106 ET7:ET106 EV7:EV106 EX7:EX106 EZ7:EZ106 FB7:FB106 FD7:FD106 FF7:FF106 FH7:FH106 FJ7:FJ106 FL7:FL106 FN7:FN106 FP7:FP106 FR7:FR106 FT7:FT106 FV7:FV106 FX7:FX106 FZ7:FZ106 GB7:GB106 GD7:GD106 GF7:GF106 GH7:GH106 GJ7:GJ106 GL7:GL106 GN7:GN106 GP7:GP106 GR7:GR106 GT7:GT106 GV7:GV106 GX7:GX106">
    <cfRule type="expression" priority="25" dxfId="2">
      <formula>$B7=""</formula>
    </cfRule>
  </conditionalFormatting>
  <dataValidations count="9">
    <dataValidation sqref="G7:G106" showDropDown="0" showInputMessage="0" showErrorMessage="1" allowBlank="1" errorTitle="Ógilt þrep" error="Þrep verður að vera heil tala milli 1 og fjölda þrepa fyrir viðkomandi undirviðmið (hámark 10)." type="whole" errorStyle="stop" operator="between">
      <formula1>1</formula1>
      <formula2>8</formula2>
    </dataValidation>
    <dataValidation sqref="I7:I106" showDropDown="0" showInputMessage="0" showErrorMessage="1" allowBlank="1" errorTitle="Ógilt þrep" error="Þrep verður að vera heil tala milli 1 og fjölda þrepa fyrir viðkomandi undirviðmið (hámark 10)." type="whole" errorStyle="stop" operator="between">
      <formula1>1</formula1>
      <formula2>8</formula2>
    </dataValidation>
    <dataValidation sqref="K7:K106" showDropDown="0" showInputMessage="0" showErrorMessage="1" allowBlank="1" errorTitle="Ógilt þrep" error="Þrep verður að vera heil tala milli 1 og fjölda þrepa fyrir viðkomandi undirviðmið (hámark 10)." type="whole" errorStyle="stop" operator="between">
      <formula1>1</formula1>
      <formula2>8</formula2>
    </dataValidation>
    <dataValidation sqref="M7:M106" showDropDown="0" showInputMessage="0" showErrorMessage="1" allowBlank="1" errorTitle="Ógilt þrep" error="Þrep verður að vera heil tala milli 1 og fjölda þrepa fyrir viðkomandi undirviðmið (hámark 10)." type="whole" errorStyle="stop" operator="between">
      <formula1>1</formula1>
      <formula2>8</formula2>
    </dataValidation>
    <dataValidation sqref="O7:O106" showDropDown="0" showInputMessage="0" showErrorMessage="1" allowBlank="1" errorTitle="Ógilt þrep" error="Þrep verður að vera heil tala milli 1 og fjölda þrepa fyrir viðkomandi undirviðmið (hámark 10)." type="whole" errorStyle="stop" operator="between">
      <formula1>1</formula1>
      <formula2>8</formula2>
    </dataValidation>
    <dataValidation sqref="Q7:Q106" showDropDown="0" showInputMessage="0" showErrorMessage="1" allowBlank="1" errorTitle="Ógilt þrep" error="Þrep verður að vera heil tala milli 1 og fjölda þrepa fyrir viðkomandi undirviðmið (hámark 10)." type="whole" errorStyle="stop" operator="between">
      <formula1>1</formula1>
      <formula2>8</formula2>
    </dataValidation>
    <dataValidation sqref="S7:S106" showDropDown="0" showInputMessage="0" showErrorMessage="1" allowBlank="1" errorTitle="Ógilt þrep" error="Þrep verður að vera heil tala milli 1 og fjölda þrepa fyrir viðkomandi undirviðmið (hámark 10)." type="whole" errorStyle="stop" operator="between">
      <formula1>1</formula1>
      <formula2>8</formula2>
    </dataValidation>
    <dataValidation sqref="U7:U106" showDropDown="0" showInputMessage="0" showErrorMessage="1" allowBlank="1" errorTitle="Ógilt þrep" error="Þrep verður að vera heil tala milli 1 og fjölda þrepa fyrir viðkomandi undirviðmið (hámark 10)." type="whole" errorStyle="stop" operator="between">
      <formula1>1</formula1>
      <formula2>8</formula2>
    </dataValidation>
    <dataValidation sqref="W7:W106 Y7:Y106 AA7:AA106 AC7:AC106 AE7:AE106 AG7:AG106 AI7:AI106 AK7:AK106 AM7:AM106 AO7:AO106 AQ7:AQ106 AS7:AS106 AU7:AU106 AW7:AW106 AY7:AY106 BA7:BA106 BC7:BC106 BE7:BE106 BG7:BG106 BI7:BI106 BK7:BK106 BM7:BM106 BO7:BO106 BQ7:BQ106 BS7:BS106 BU7:BU106 BW7:BW106 BY7:BY106 CA7:CA106 CC7:CC106 CE7:CE106 CG7:CG106 CI7:CI106 CK7:CK106 CM7:CM106 CO7:CO106 CQ7:CQ106 CS7:CS106 CU7:CU106 CW7:CW106 CY7:CY106 DA7:DA106 DC7:DC106 DE7:DE106 DG7:DG106 DI7:DI106 DK7:DK106 DM7:DM106 DO7:DO106 DQ7:DQ106 DS7:DS106 DU7:DU106 DW7:DW106 DY7:DY106 EA7:EA106 EC7:EC106 EE7:EE106 EG7:EG106 EI7:EI106 EK7:EK106 EM7:EM106 EO7:EO106 EQ7:EQ106 ES7:ES106 EU7:EU106 EW7:EW106 EY7:EY106 FA7:FA106 FC7:FC106 FE7:FE106 FG7:FG106 FI7:FI106 FK7:FK106 FM7:FM106 FO7:FO106 FQ7:FQ106 FS7:FS106 FU7:FU106 FW7:FW106 FY7:FY106 GA7:GA106 GC7:GC106 GE7:GE106 GG7:GG106 GI7:GI106 GK7:GK106 GM7:GM106 GO7:GO106 GQ7:GQ106 GS7:GS106 GU7:GU106 GW7:GW106" showDropDown="0" showInputMessage="0" showErrorMessage="0" allowBlank="1" type="whole" operator="between">
      <formula1>1</formula1>
      <formula2>8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BC6C25"/>
    <outlinePr summaryBelow="1" summaryRight="1"/>
    <pageSetUpPr fitToPage="0"/>
  </sheetPr>
  <dimension ref="A2:GV5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outlineLevelCol="1" baseColWidth="8" defaultColWidth="8.6796875" defaultRowHeight="15" customHeight="0" zeroHeight="0" outlineLevelRow="0"/>
  <cols>
    <col width="4" customWidth="1" style="46" min="1" max="1"/>
    <col width="22" customWidth="1" style="46" min="2" max="2"/>
    <col width="20" customWidth="1" style="46" min="3" max="3"/>
    <col width="14" customWidth="1" style="46" min="4" max="4"/>
    <col width="10" customWidth="1" style="46" min="5" max="5"/>
    <col width="14" customWidth="1" style="46" min="6" max="6"/>
    <col width="10" customWidth="1" style="46" min="7" max="7"/>
    <col width="14" customWidth="1" style="46" min="8" max="8"/>
    <col width="10" customWidth="1" style="46" min="9" max="9"/>
    <col width="14" customWidth="1" style="46" min="10" max="10"/>
    <col width="10" customWidth="1" style="46" min="11" max="11"/>
    <col width="14" customWidth="1" style="46" min="12" max="12"/>
    <col width="10" customWidth="1" style="46" min="13" max="13"/>
    <col width="14" customWidth="1" style="46" min="14" max="14"/>
    <col width="10" customWidth="1" style="46" min="15" max="15"/>
    <col width="14" customWidth="1" style="46" min="16" max="16"/>
    <col width="10" customWidth="1" style="46" min="17" max="17"/>
    <col width="14" customWidth="1" style="46" min="18" max="18"/>
    <col width="10" customWidth="1" style="46" min="19" max="19"/>
    <col width="14" customWidth="1" style="46" min="20" max="20"/>
    <col width="10" customWidth="1" style="46" min="21" max="21"/>
    <col width="14" customWidth="1" style="46" min="22" max="22"/>
    <col width="10" customWidth="1" style="46" min="23" max="23"/>
    <col width="14" customWidth="1" style="46" min="24" max="24"/>
    <col width="10" customWidth="1" style="46" min="25" max="25"/>
    <col width="14" customWidth="1" style="46" min="26" max="26"/>
    <col width="10" customWidth="1" style="46" min="27" max="27"/>
    <col width="14" customWidth="1" style="46" min="28" max="28"/>
    <col width="10" customWidth="1" style="46" min="29" max="29"/>
    <col width="14" customWidth="1" style="46" min="30" max="30"/>
    <col width="10" customWidth="1" style="46" min="31" max="31"/>
    <col width="14" customWidth="1" style="46" min="32" max="32"/>
    <col width="10" customWidth="1" style="46" min="33" max="33"/>
    <col hidden="1" outlineLevel="1" width="14" customWidth="1" style="46" min="34" max="34"/>
    <col hidden="1" outlineLevel="1" width="10" customWidth="1" style="47" min="35" max="35"/>
    <col hidden="1" outlineLevel="1" width="14" customWidth="1" style="47" min="36" max="36"/>
    <col hidden="1" outlineLevel="1" width="10" customWidth="1" style="47" min="37" max="37"/>
    <col hidden="1" outlineLevel="1" width="14" customWidth="1" style="47" min="38" max="38"/>
    <col hidden="1" outlineLevel="1" width="10" customWidth="1" style="47" min="39" max="39"/>
    <col hidden="1" outlineLevel="1" width="14" customWidth="1" style="47" min="40" max="40"/>
    <col hidden="1" outlineLevel="1" width="10" customWidth="1" style="47" min="41" max="41"/>
    <col hidden="1" outlineLevel="1" width="14" customWidth="1" style="47" min="42" max="42"/>
    <col hidden="1" outlineLevel="1" width="10" customWidth="1" style="47" min="43" max="43"/>
    <col hidden="1" outlineLevel="1" width="14" customWidth="1" style="47" min="44" max="44"/>
    <col hidden="1" outlineLevel="1" width="10" customWidth="1" style="47" min="45" max="45"/>
    <col hidden="1" outlineLevel="1" width="14" customWidth="1" style="47" min="46" max="46"/>
    <col hidden="1" outlineLevel="1" width="10" customWidth="1" style="47" min="47" max="47"/>
    <col hidden="1" outlineLevel="1" width="14" customWidth="1" style="47" min="48" max="48"/>
    <col hidden="1" outlineLevel="1" width="10" customWidth="1" style="47" min="49" max="49"/>
    <col hidden="1" outlineLevel="1" width="14" customWidth="1" style="47" min="50" max="50"/>
    <col hidden="1" outlineLevel="1" width="10" customWidth="1" style="47" min="51" max="51"/>
    <col hidden="1" outlineLevel="1" width="14" customWidth="1" style="47" min="52" max="52"/>
    <col hidden="1" outlineLevel="1" width="10" customWidth="1" style="47" min="53" max="53"/>
    <col hidden="1" outlineLevel="1" width="14" customWidth="1" style="47" min="54" max="54"/>
    <col hidden="1" outlineLevel="1" width="10" customWidth="1" style="47" min="55" max="55"/>
    <col hidden="1" outlineLevel="1" width="14" customWidth="1" style="47" min="56" max="56"/>
    <col hidden="1" outlineLevel="1" width="10" customWidth="1" style="47" min="57" max="57"/>
    <col hidden="1" outlineLevel="1" width="14" customWidth="1" style="47" min="58" max="58"/>
    <col hidden="1" outlineLevel="1" width="10" customWidth="1" style="47" min="59" max="59"/>
    <col hidden="1" outlineLevel="1" width="14" customWidth="1" style="47" min="60" max="60"/>
    <col hidden="1" outlineLevel="1" width="10" customWidth="1" style="47" min="61" max="61"/>
    <col hidden="1" outlineLevel="1" width="14" customWidth="1" style="47" min="62" max="62"/>
    <col hidden="1" outlineLevel="1" width="10" customWidth="1" style="47" min="63" max="63"/>
    <col hidden="1" outlineLevel="1" width="14" customWidth="1" style="47" min="64" max="64"/>
    <col hidden="1" outlineLevel="1" width="10" customWidth="1" style="47" min="65" max="65"/>
    <col hidden="1" outlineLevel="1" width="14" customWidth="1" style="47" min="66" max="66"/>
    <col hidden="1" outlineLevel="1" width="10" customWidth="1" style="47" min="67" max="67"/>
    <col hidden="1" outlineLevel="1" width="14" customWidth="1" style="47" min="68" max="68"/>
    <col hidden="1" outlineLevel="1" width="10" customWidth="1" style="47" min="69" max="69"/>
    <col hidden="1" outlineLevel="1" width="14" customWidth="1" style="47" min="70" max="70"/>
    <col hidden="1" outlineLevel="1" width="10" customWidth="1" style="47" min="71" max="71"/>
    <col hidden="1" outlineLevel="1" width="14" customWidth="1" style="47" min="72" max="72"/>
    <col hidden="1" outlineLevel="1" width="10" customWidth="1" style="47" min="73" max="73"/>
    <col hidden="1" outlineLevel="1" width="14" customWidth="1" style="47" min="74" max="74"/>
    <col hidden="1" outlineLevel="1" width="10" customWidth="1" style="47" min="75" max="75"/>
    <col hidden="1" outlineLevel="1" width="14" customWidth="1" style="47" min="76" max="76"/>
    <col hidden="1" outlineLevel="1" width="10" customWidth="1" style="47" min="77" max="77"/>
    <col hidden="1" outlineLevel="1" width="14" customWidth="1" style="47" min="78" max="78"/>
    <col hidden="1" outlineLevel="1" width="10" customWidth="1" style="47" min="79" max="79"/>
    <col hidden="1" outlineLevel="1" width="14" customWidth="1" style="47" min="80" max="80"/>
    <col hidden="1" outlineLevel="1" width="10" customWidth="1" style="47" min="81" max="81"/>
    <col hidden="1" outlineLevel="1" width="14" customWidth="1" style="47" min="82" max="82"/>
    <col hidden="1" outlineLevel="1" width="10" customWidth="1" style="47" min="83" max="83"/>
    <col hidden="1" outlineLevel="1" width="14" customWidth="1" style="47" min="84" max="84"/>
    <col hidden="1" outlineLevel="1" width="10" customWidth="1" style="47" min="85" max="85"/>
    <col hidden="1" outlineLevel="1" width="14" customWidth="1" style="47" min="86" max="86"/>
    <col hidden="1" outlineLevel="1" width="10" customWidth="1" style="47" min="87" max="87"/>
    <col hidden="1" outlineLevel="1" width="14" customWidth="1" style="47" min="88" max="88"/>
    <col hidden="1" outlineLevel="1" width="10" customWidth="1" style="47" min="89" max="89"/>
    <col hidden="1" outlineLevel="1" width="14" customWidth="1" style="47" min="90" max="90"/>
    <col hidden="1" outlineLevel="1" width="10" customWidth="1" style="47" min="91" max="91"/>
    <col hidden="1" outlineLevel="1" width="14" customWidth="1" style="47" min="92" max="92"/>
    <col hidden="1" outlineLevel="1" width="10" customWidth="1" style="47" min="93" max="93"/>
    <col hidden="1" outlineLevel="1" width="14" customWidth="1" style="47" min="94" max="94"/>
    <col hidden="1" outlineLevel="1" width="10" customWidth="1" style="47" min="95" max="95"/>
    <col hidden="1" outlineLevel="1" width="14" customWidth="1" style="47" min="96" max="96"/>
    <col hidden="1" outlineLevel="1" width="10" customWidth="1" style="47" min="97" max="97"/>
    <col hidden="1" outlineLevel="1" width="14" customWidth="1" style="47" min="98" max="98"/>
    <col hidden="1" outlineLevel="1" width="10" customWidth="1" style="47" min="99" max="99"/>
    <col hidden="1" outlineLevel="1" width="14" customWidth="1" style="47" min="100" max="100"/>
    <col hidden="1" outlineLevel="1" width="10" customWidth="1" style="47" min="101" max="101"/>
    <col hidden="1" outlineLevel="1" width="14" customWidth="1" style="47" min="102" max="102"/>
    <col hidden="1" outlineLevel="1" width="10" customWidth="1" style="47" min="103" max="103"/>
    <col hidden="1" outlineLevel="1" width="14" customWidth="1" style="47" min="104" max="104"/>
    <col hidden="1" outlineLevel="1" width="10" customWidth="1" style="47" min="105" max="105"/>
    <col hidden="1" outlineLevel="1" width="14" customWidth="1" style="47" min="106" max="106"/>
    <col hidden="1" outlineLevel="1" width="10" customWidth="1" style="47" min="107" max="107"/>
    <col hidden="1" outlineLevel="1" width="14" customWidth="1" style="47" min="108" max="108"/>
    <col hidden="1" outlineLevel="1" width="10" customWidth="1" style="47" min="109" max="109"/>
    <col hidden="1" outlineLevel="1" width="14" customWidth="1" style="47" min="110" max="110"/>
    <col hidden="1" outlineLevel="1" width="10" customWidth="1" style="47" min="111" max="111"/>
    <col hidden="1" outlineLevel="1" width="14" customWidth="1" style="47" min="112" max="112"/>
    <col hidden="1" outlineLevel="1" width="10" customWidth="1" style="47" min="113" max="113"/>
    <col hidden="1" outlineLevel="1" width="14" customWidth="1" style="47" min="114" max="114"/>
    <col hidden="1" outlineLevel="1" width="10" customWidth="1" style="47" min="115" max="115"/>
    <col hidden="1" outlineLevel="1" width="14" customWidth="1" style="47" min="116" max="116"/>
    <col hidden="1" outlineLevel="1" width="10" customWidth="1" style="47" min="117" max="117"/>
    <col hidden="1" outlineLevel="1" width="14" customWidth="1" style="47" min="118" max="118"/>
    <col hidden="1" outlineLevel="1" width="10" customWidth="1" style="47" min="119" max="119"/>
    <col hidden="1" outlineLevel="1" width="14" customWidth="1" style="47" min="120" max="120"/>
    <col hidden="1" outlineLevel="1" width="10" customWidth="1" style="47" min="121" max="121"/>
    <col hidden="1" outlineLevel="1" width="14" customWidth="1" style="47" min="122" max="122"/>
    <col hidden="1" outlineLevel="1" width="10" customWidth="1" style="47" min="123" max="123"/>
    <col hidden="1" outlineLevel="1" width="14" customWidth="1" style="47" min="124" max="124"/>
    <col hidden="1" outlineLevel="1" width="10" customWidth="1" style="47" min="125" max="125"/>
    <col hidden="1" outlineLevel="1" width="14" customWidth="1" style="47" min="126" max="126"/>
    <col hidden="1" outlineLevel="1" width="10" customWidth="1" style="47" min="127" max="127"/>
    <col hidden="1" outlineLevel="1" width="14" customWidth="1" style="47" min="128" max="128"/>
    <col hidden="1" outlineLevel="1" width="10" customWidth="1" style="47" min="129" max="129"/>
    <col hidden="1" outlineLevel="1" width="14" customWidth="1" style="47" min="130" max="130"/>
    <col hidden="1" outlineLevel="1" width="10" customWidth="1" style="47" min="131" max="131"/>
    <col hidden="1" outlineLevel="1" width="14" customWidth="1" style="47" min="132" max="132"/>
    <col hidden="1" outlineLevel="1" width="10" customWidth="1" style="47" min="133" max="133"/>
    <col hidden="1" outlineLevel="1" width="14" customWidth="1" style="47" min="134" max="134"/>
    <col hidden="1" outlineLevel="1" width="10" customWidth="1" style="47" min="135" max="135"/>
    <col hidden="1" outlineLevel="1" width="14" customWidth="1" style="47" min="136" max="136"/>
    <col hidden="1" outlineLevel="1" width="10" customWidth="1" style="47" min="137" max="137"/>
    <col hidden="1" outlineLevel="1" width="14" customWidth="1" style="47" min="138" max="138"/>
    <col hidden="1" outlineLevel="1" width="10" customWidth="1" style="47" min="139" max="139"/>
    <col hidden="1" outlineLevel="1" width="14" customWidth="1" style="47" min="140" max="140"/>
    <col hidden="1" outlineLevel="1" width="10" customWidth="1" style="47" min="141" max="141"/>
    <col hidden="1" outlineLevel="1" width="14" customWidth="1" style="47" min="142" max="142"/>
    <col hidden="1" outlineLevel="1" width="10" customWidth="1" style="47" min="143" max="143"/>
    <col hidden="1" outlineLevel="1" width="14" customWidth="1" style="47" min="144" max="144"/>
    <col hidden="1" outlineLevel="1" width="10" customWidth="1" style="47" min="145" max="145"/>
    <col hidden="1" outlineLevel="1" width="14" customWidth="1" style="47" min="146" max="146"/>
    <col hidden="1" outlineLevel="1" width="10" customWidth="1" style="47" min="147" max="147"/>
    <col hidden="1" outlineLevel="1" width="14" customWidth="1" style="47" min="148" max="148"/>
    <col hidden="1" outlineLevel="1" width="10" customWidth="1" style="47" min="149" max="149"/>
    <col hidden="1" outlineLevel="1" width="14" customWidth="1" style="47" min="150" max="150"/>
    <col hidden="1" outlineLevel="1" width="10" customWidth="1" style="47" min="151" max="151"/>
    <col hidden="1" outlineLevel="1" width="14" customWidth="1" style="47" min="152" max="152"/>
    <col hidden="1" outlineLevel="1" width="10" customWidth="1" style="47" min="153" max="153"/>
    <col hidden="1" outlineLevel="1" width="14" customWidth="1" style="47" min="154" max="154"/>
    <col hidden="1" outlineLevel="1" width="10" customWidth="1" style="47" min="155" max="155"/>
    <col hidden="1" outlineLevel="1" width="14" customWidth="1" style="47" min="156" max="156"/>
    <col hidden="1" outlineLevel="1" width="10" customWidth="1" style="47" min="157" max="157"/>
    <col hidden="1" outlineLevel="1" width="14" customWidth="1" style="47" min="158" max="158"/>
    <col hidden="1" outlineLevel="1" width="10" customWidth="1" style="47" min="159" max="159"/>
    <col hidden="1" outlineLevel="1" width="14" customWidth="1" style="47" min="160" max="160"/>
    <col hidden="1" outlineLevel="1" width="10" customWidth="1" style="47" min="161" max="161"/>
    <col hidden="1" outlineLevel="1" width="14" customWidth="1" style="47" min="162" max="162"/>
    <col hidden="1" outlineLevel="1" width="10" customWidth="1" style="47" min="163" max="163"/>
    <col hidden="1" outlineLevel="1" width="14" customWidth="1" style="47" min="164" max="164"/>
    <col hidden="1" outlineLevel="1" width="10" customWidth="1" style="47" min="165" max="165"/>
    <col hidden="1" outlineLevel="1" width="14" customWidth="1" style="47" min="166" max="166"/>
    <col hidden="1" outlineLevel="1" width="10" customWidth="1" style="47" min="167" max="167"/>
    <col hidden="1" outlineLevel="1" width="14" customWidth="1" style="47" min="168" max="168"/>
    <col hidden="1" outlineLevel="1" width="10" customWidth="1" style="47" min="169" max="169"/>
    <col hidden="1" outlineLevel="1" width="14" customWidth="1" style="47" min="170" max="170"/>
    <col hidden="1" outlineLevel="1" width="10" customWidth="1" style="47" min="171" max="171"/>
    <col hidden="1" outlineLevel="1" width="14" customWidth="1" style="47" min="172" max="172"/>
    <col hidden="1" outlineLevel="1" width="10" customWidth="1" style="47" min="173" max="173"/>
    <col hidden="1" outlineLevel="1" width="14" customWidth="1" style="47" min="174" max="174"/>
    <col hidden="1" outlineLevel="1" width="10" customWidth="1" style="47" min="175" max="175"/>
    <col hidden="1" outlineLevel="1" width="14" customWidth="1" style="47" min="176" max="176"/>
    <col hidden="1" outlineLevel="1" width="10" customWidth="1" style="47" min="177" max="177"/>
    <col hidden="1" outlineLevel="1" width="14" customWidth="1" style="47" min="178" max="178"/>
    <col hidden="1" outlineLevel="1" width="10" customWidth="1" style="47" min="179" max="179"/>
    <col hidden="1" outlineLevel="1" width="14" customWidth="1" style="47" min="180" max="180"/>
    <col hidden="1" outlineLevel="1" width="10" customWidth="1" style="47" min="181" max="181"/>
    <col hidden="1" outlineLevel="1" width="14" customWidth="1" style="47" min="182" max="182"/>
    <col hidden="1" outlineLevel="1" width="10" customWidth="1" style="47" min="183" max="183"/>
    <col hidden="1" outlineLevel="1" width="14" customWidth="1" style="47" min="184" max="184"/>
    <col hidden="1" outlineLevel="1" width="10" customWidth="1" style="47" min="185" max="185"/>
    <col hidden="1" outlineLevel="1" width="14" customWidth="1" style="47" min="186" max="186"/>
    <col hidden="1" outlineLevel="1" width="10" customWidth="1" style="47" min="187" max="187"/>
    <col hidden="1" outlineLevel="1" width="14" customWidth="1" style="47" min="188" max="188"/>
    <col hidden="1" outlineLevel="1" width="10" customWidth="1" style="47" min="189" max="189"/>
    <col hidden="1" outlineLevel="1" width="14" customWidth="1" style="47" min="190" max="190"/>
    <col hidden="1" outlineLevel="1" width="10" customWidth="1" style="47" min="191" max="191"/>
    <col hidden="1" outlineLevel="1" width="14" customWidth="1" style="47" min="192" max="192"/>
    <col hidden="1" outlineLevel="1" width="10" customWidth="1" style="47" min="193" max="193"/>
    <col hidden="1" outlineLevel="1" width="14" customWidth="1" style="47" min="194" max="194"/>
    <col hidden="1" outlineLevel="1" width="10" customWidth="1" style="47" min="195" max="195"/>
    <col hidden="1" outlineLevel="1" width="14" customWidth="1" style="47" min="196" max="196"/>
    <col hidden="1" outlineLevel="1" width="10" customWidth="1" style="47" min="197" max="197"/>
    <col hidden="1" outlineLevel="1" width="14" customWidth="1" style="47" min="198" max="198"/>
    <col hidden="1" outlineLevel="1" width="10" customWidth="1" style="47" min="199" max="199"/>
    <col hidden="1" outlineLevel="1" width="14" customWidth="1" style="47" min="200" max="200"/>
    <col hidden="1" outlineLevel="1" width="10" customWidth="1" style="47" min="201" max="201"/>
    <col hidden="1" outlineLevel="1" width="14" customWidth="1" style="47" min="202" max="202"/>
    <col hidden="1" outlineLevel="1" width="10" customWidth="1" style="47" min="203" max="203"/>
    <col collapsed="1" width="14" customWidth="1" style="47" min="204" max="204"/>
  </cols>
  <sheetData>
    <row r="2" ht="19.5" customHeight="1" s="47">
      <c r="B2" s="55" t="s">
        <v>11</v>
      </c>
    </row>
    <row r="3" ht="15" customHeight="1" s="47">
      <c r="B3" s="56" t="s">
        <v>182</v>
      </c>
    </row>
    <row r="4" hidden="1" ht="15" customHeight="1" s="47">
      <c r="D4" s="80">
        <f t="array" ref="D4">IFERROR(SMALL(IF(Undirviðmið!$G$6:$G$205="Persónubundinn",ROW(Undirviðmið!$G$6:$G$205)-5),(COLUMN()-2)/2),0)</f>
        <v/>
      </c>
      <c r="F4" s="80">
        <f t="array" ref="F4">IFERROR(SMALL(IF(Undirviðmið!$G$6:$G$205="Persónubundinn",ROW(Undirviðmið!$G$6:$G$205)-5),(COLUMN()-2)/2),0)</f>
        <v/>
      </c>
      <c r="H4" s="80">
        <f t="array" ref="H4">IFERROR(SMALL(IF(Undirviðmið!$G$6:$G$205="Persónubundinn",ROW(Undirviðmið!$G$6:$G$205)-5),(COLUMN()-2)/2),0)</f>
        <v/>
      </c>
      <c r="J4" s="80">
        <f t="array" ref="J4">IFERROR(SMALL(IF(Undirviðmið!$G$6:$G$205="Persónubundinn",ROW(Undirviðmið!$G$6:$G$205)-5),(COLUMN()-2)/2),0)</f>
        <v/>
      </c>
      <c r="L4" s="80">
        <f t="array" ref="L4">IFERROR(SMALL(IF(Undirviðmið!$G$6:$G$205="Persónubundinn",ROW(Undirviðmið!$G$6:$G$205)-5),(COLUMN()-2)/2),0)</f>
        <v/>
      </c>
      <c r="N4" s="80">
        <f t="array" ref="N4">IFERROR(SMALL(IF(Undirviðmið!$G$6:$G$205="Persónubundinn",ROW(Undirviðmið!$G$6:$G$205)-5),(COLUMN()-2)/2),0)</f>
        <v/>
      </c>
      <c r="P4" s="80">
        <f t="array" ref="P4">IFERROR(SMALL(IF(Undirviðmið!$G$6:$G$205="Persónubundinn",ROW(Undirviðmið!$G$6:$G$205)-5),(COLUMN()-2)/2),0)</f>
        <v/>
      </c>
      <c r="R4" s="80">
        <f t="array" ref="R4">IFERROR(SMALL(IF(Undirviðmið!$G$6:$G$205="Persónubundinn",ROW(Undirviðmið!$G$6:$G$205)-5),(COLUMN()-2)/2),0)</f>
        <v/>
      </c>
      <c r="T4" s="80">
        <f t="array" ref="T4">IFERROR(SMALL(IF(Undirviðmið!$G$6:$G$205="Persónubundinn",ROW(Undirviðmið!$G$6:$G$205)-5),(COLUMN()-2)/2),0)</f>
        <v/>
      </c>
      <c r="V4" s="80">
        <f t="array" ref="V4">IFERROR(SMALL(IF(Undirviðmið!$G$6:$G$205="Persónubundinn",ROW(Undirviðmið!$G$6:$G$205)-5),(COLUMN()-2)/2),0)</f>
        <v/>
      </c>
      <c r="X4" s="80">
        <f t="array" ref="X4">IFERROR(SMALL(IF(Undirviðmið!$G$6:$G$205="Persónubundinn",ROW(Undirviðmið!$G$6:$G$205)-5),(COLUMN()-2)/2),0)</f>
        <v/>
      </c>
      <c r="Z4" s="80">
        <f t="array" ref="Z4">IFERROR(SMALL(IF(Undirviðmið!$G$6:$G$205="Persónubundinn",ROW(Undirviðmið!$G$6:$G$205)-5),(COLUMN()-2)/2),0)</f>
        <v/>
      </c>
      <c r="AB4" s="80">
        <f t="array" ref="AB4">IFERROR(SMALL(IF(Undirviðmið!$G$6:$G$205="Persónubundinn",ROW(Undirviðmið!$G$6:$G$205)-5),(COLUMN()-2)/2),0)</f>
        <v/>
      </c>
      <c r="AD4" s="80">
        <f t="array" ref="AD4">IFERROR(SMALL(IF(Undirviðmið!$G$6:$G$205="Persónubundinn",ROW(Undirviðmið!$G$6:$G$205)-5),(COLUMN()-2)/2),0)</f>
        <v/>
      </c>
      <c r="AF4" s="80">
        <f t="array" ref="AF4">IFERROR(SMALL(IF(Undirviðmið!$G$6:$G$205="Persónubundinn",ROW(Undirviðmið!$G$6:$G$205)-5),(COLUMN()-2)/2),0)</f>
        <v/>
      </c>
      <c r="AH4" s="80">
        <f t="array" ref="AH4">IFERROR(SMALL(IF(Undirviðmið!$G$6:$G$205="Persónubundinn",ROW(Undirviðmið!$G$6:$G$205)-5),(COLUMN()-2)/2),0)</f>
        <v/>
      </c>
      <c r="AJ4" s="80">
        <f t="array" ref="AJ4">IFERROR(SMALL(IF(Undirviðmið!$G$6:$G$205="Persónubundinn",ROW(Undirviðmið!$G$6:$G$205)-5),(COLUMN()-2)/2),0)</f>
        <v/>
      </c>
      <c r="AL4" s="80">
        <f t="array" ref="AL4">IFERROR(SMALL(IF(Undirviðmið!$G$6:$G$205="Persónubundinn",ROW(Undirviðmið!$G$6:$G$205)-5),(COLUMN()-2)/2),0)</f>
        <v/>
      </c>
      <c r="AN4" s="80">
        <f t="array" ref="AN4">IFERROR(SMALL(IF(Undirviðmið!$G$6:$G$205="Persónubundinn",ROW(Undirviðmið!$G$6:$G$205)-5),(COLUMN()-2)/2),0)</f>
        <v/>
      </c>
      <c r="AP4" s="80">
        <f t="array" ref="AP4">IFERROR(SMALL(IF(Undirviðmið!$G$6:$G$205="Persónubundinn",ROW(Undirviðmið!$G$6:$G$205)-5),(COLUMN()-2)/2),0)</f>
        <v/>
      </c>
      <c r="AR4" s="80">
        <f t="array" ref="AR4">IFERROR(SMALL(IF(Undirviðmið!$G$6:$G$205="Persónubundinn",ROW(Undirviðmið!$G$6:$G$205)-5),(COLUMN()-2)/2),0)</f>
        <v/>
      </c>
      <c r="AT4" s="80">
        <f t="array" ref="AT4">IFERROR(SMALL(IF(Undirviðmið!$G$6:$G$205="Persónubundinn",ROW(Undirviðmið!$G$6:$G$205)-5),(COLUMN()-2)/2),0)</f>
        <v/>
      </c>
      <c r="AV4" s="80">
        <f t="array" ref="AV4">IFERROR(SMALL(IF(Undirviðmið!$G$6:$G$205="Persónubundinn",ROW(Undirviðmið!$G$6:$G$205)-5),(COLUMN()-2)/2),0)</f>
        <v/>
      </c>
      <c r="AX4" s="80">
        <f t="array" ref="AX4">IFERROR(SMALL(IF(Undirviðmið!$G$6:$G$205="Persónubundinn",ROW(Undirviðmið!$G$6:$G$205)-5),(COLUMN()-2)/2),0)</f>
        <v/>
      </c>
      <c r="AZ4" s="80">
        <f t="array" ref="AZ4">IFERROR(SMALL(IF(Undirviðmið!$G$6:$G$205="Persónubundinn",ROW(Undirviðmið!$G$6:$G$205)-5),(COLUMN()-2)/2),0)</f>
        <v/>
      </c>
      <c r="BB4" s="80">
        <f t="array" ref="BB4">IFERROR(SMALL(IF(Undirviðmið!$G$6:$G$205="Persónubundinn",ROW(Undirviðmið!$G$6:$G$205)-5),(COLUMN()-2)/2),0)</f>
        <v/>
      </c>
      <c r="BD4" s="80">
        <f t="array" ref="BD4">IFERROR(SMALL(IF(Undirviðmið!$G$6:$G$205="Persónubundinn",ROW(Undirviðmið!$G$6:$G$205)-5),(COLUMN()-2)/2),0)</f>
        <v/>
      </c>
      <c r="BF4" s="80">
        <f t="array" ref="BF4">IFERROR(SMALL(IF(Undirviðmið!$G$6:$G$205="Persónubundinn",ROW(Undirviðmið!$G$6:$G$205)-5),(COLUMN()-2)/2),0)</f>
        <v/>
      </c>
      <c r="BH4" s="80">
        <f t="array" ref="BH4">IFERROR(SMALL(IF(Undirviðmið!$G$6:$G$205="Persónubundinn",ROW(Undirviðmið!$G$6:$G$205)-5),(COLUMN()-2)/2),0)</f>
        <v/>
      </c>
      <c r="BJ4" s="80">
        <f t="array" ref="BJ4">IFERROR(SMALL(IF(Undirviðmið!$G$6:$G$205="Persónubundinn",ROW(Undirviðmið!$G$6:$G$205)-5),(COLUMN()-2)/2),0)</f>
        <v/>
      </c>
      <c r="BL4" s="80">
        <f t="array" ref="BL4">IFERROR(SMALL(IF(Undirviðmið!$G$6:$G$205="Persónubundinn",ROW(Undirviðmið!$G$6:$G$205)-5),(COLUMN()-2)/2),0)</f>
        <v/>
      </c>
      <c r="BN4" s="80">
        <f t="array" ref="BN4">IFERROR(SMALL(IF(Undirviðmið!$G$6:$G$205="Persónubundinn",ROW(Undirviðmið!$G$6:$G$205)-5),(COLUMN()-2)/2),0)</f>
        <v/>
      </c>
      <c r="BP4" s="80">
        <f t="array" ref="BP4">IFERROR(SMALL(IF(Undirviðmið!$G$6:$G$205="Persónubundinn",ROW(Undirviðmið!$G$6:$G$205)-5),(COLUMN()-2)/2),0)</f>
        <v/>
      </c>
      <c r="BR4" s="80">
        <f t="array" ref="BR4">IFERROR(SMALL(IF(Undirviðmið!$G$6:$G$205="Persónubundinn",ROW(Undirviðmið!$G$6:$G$205)-5),(COLUMN()-2)/2),0)</f>
        <v/>
      </c>
      <c r="BT4" s="80">
        <f t="array" ref="BT4">IFERROR(SMALL(IF(Undirviðmið!$G$6:$G$205="Persónubundinn",ROW(Undirviðmið!$G$6:$G$205)-5),(COLUMN()-2)/2),0)</f>
        <v/>
      </c>
      <c r="BV4" s="80">
        <f t="array" ref="BV4">IFERROR(SMALL(IF(Undirviðmið!$G$6:$G$205="Persónubundinn",ROW(Undirviðmið!$G$6:$G$205)-5),(COLUMN()-2)/2),0)</f>
        <v/>
      </c>
      <c r="BX4" s="80">
        <f t="array" ref="BX4">IFERROR(SMALL(IF(Undirviðmið!$G$6:$G$205="Persónubundinn",ROW(Undirviðmið!$G$6:$G$205)-5),(COLUMN()-2)/2),0)</f>
        <v/>
      </c>
      <c r="BZ4" s="80">
        <f t="array" ref="BZ4">IFERROR(SMALL(IF(Undirviðmið!$G$6:$G$205="Persónubundinn",ROW(Undirviðmið!$G$6:$G$205)-5),(COLUMN()-2)/2),0)</f>
        <v/>
      </c>
      <c r="CB4" s="80">
        <f t="array" ref="CB4">IFERROR(SMALL(IF(Undirviðmið!$G$6:$G$205="Persónubundinn",ROW(Undirviðmið!$G$6:$G$205)-5),(COLUMN()-2)/2),0)</f>
        <v/>
      </c>
      <c r="CD4" s="80">
        <f t="array" ref="CD4">IFERROR(SMALL(IF(Undirviðmið!$G$6:$G$205="Persónubundinn",ROW(Undirviðmið!$G$6:$G$205)-5),(COLUMN()-2)/2),0)</f>
        <v/>
      </c>
      <c r="CF4" s="80">
        <f t="array" ref="CF4">IFERROR(SMALL(IF(Undirviðmið!$G$6:$G$205="Persónubundinn",ROW(Undirviðmið!$G$6:$G$205)-5),(COLUMN()-2)/2),0)</f>
        <v/>
      </c>
      <c r="CH4" s="80">
        <f t="array" ref="CH4">IFERROR(SMALL(IF(Undirviðmið!$G$6:$G$205="Persónubundinn",ROW(Undirviðmið!$G$6:$G$205)-5),(COLUMN()-2)/2),0)</f>
        <v/>
      </c>
      <c r="CJ4" s="80">
        <f t="array" ref="CJ4">IFERROR(SMALL(IF(Undirviðmið!$G$6:$G$205="Persónubundinn",ROW(Undirviðmið!$G$6:$G$205)-5),(COLUMN()-2)/2),0)</f>
        <v/>
      </c>
      <c r="CL4" s="80">
        <f t="array" ref="CL4">IFERROR(SMALL(IF(Undirviðmið!$G$6:$G$205="Persónubundinn",ROW(Undirviðmið!$G$6:$G$205)-5),(COLUMN()-2)/2),0)</f>
        <v/>
      </c>
      <c r="CN4" s="80">
        <f t="array" ref="CN4">IFERROR(SMALL(IF(Undirviðmið!$G$6:$G$205="Persónubundinn",ROW(Undirviðmið!$G$6:$G$205)-5),(COLUMN()-2)/2),0)</f>
        <v/>
      </c>
      <c r="CP4" s="80">
        <f t="array" ref="CP4">IFERROR(SMALL(IF(Undirviðmið!$G$6:$G$205="Persónubundinn",ROW(Undirviðmið!$G$6:$G$205)-5),(COLUMN()-2)/2),0)</f>
        <v/>
      </c>
      <c r="CR4" s="80">
        <f t="array" ref="CR4">IFERROR(SMALL(IF(Undirviðmið!$G$6:$G$205="Persónubundinn",ROW(Undirviðmið!$G$6:$G$205)-5),(COLUMN()-2)/2),0)</f>
        <v/>
      </c>
      <c r="CT4" s="80">
        <f t="array" ref="CT4">IFERROR(SMALL(IF(Undirviðmið!$G$6:$G$205="Persónubundinn",ROW(Undirviðmið!$G$6:$G$205)-5),(COLUMN()-2)/2),0)</f>
        <v/>
      </c>
      <c r="CV4" s="80">
        <f t="array" ref="CV4">IFERROR(SMALL(IF(Undirviðmið!$G$6:$G$205="Persónubundinn",ROW(Undirviðmið!$G$6:$G$205)-5),(COLUMN()-2)/2),0)</f>
        <v/>
      </c>
      <c r="CX4" s="80">
        <f t="array" ref="CX4">IFERROR(SMALL(IF(Undirviðmið!$G$6:$G$205="Persónubundinn",ROW(Undirviðmið!$G$6:$G$205)-5),(COLUMN()-2)/2),0)</f>
        <v/>
      </c>
      <c r="CZ4" s="80">
        <f t="array" ref="CZ4">IFERROR(SMALL(IF(Undirviðmið!$G$6:$G$205="Persónubundinn",ROW(Undirviðmið!$G$6:$G$205)-5),(COLUMN()-2)/2),0)</f>
        <v/>
      </c>
      <c r="DB4" s="80">
        <f t="array" ref="DB4">IFERROR(SMALL(IF(Undirviðmið!$G$6:$G$205="Persónubundinn",ROW(Undirviðmið!$G$6:$G$205)-5),(COLUMN()-2)/2),0)</f>
        <v/>
      </c>
      <c r="DD4" s="80">
        <f t="array" ref="DD4">IFERROR(SMALL(IF(Undirviðmið!$G$6:$G$205="Persónubundinn",ROW(Undirviðmið!$G$6:$G$205)-5),(COLUMN()-2)/2),0)</f>
        <v/>
      </c>
      <c r="DF4" s="80">
        <f t="array" ref="DF4">IFERROR(SMALL(IF(Undirviðmið!$G$6:$G$205="Persónubundinn",ROW(Undirviðmið!$G$6:$G$205)-5),(COLUMN()-2)/2),0)</f>
        <v/>
      </c>
      <c r="DH4" s="80">
        <f t="array" ref="DH4">IFERROR(SMALL(IF(Undirviðmið!$G$6:$G$205="Persónubundinn",ROW(Undirviðmið!$G$6:$G$205)-5),(COLUMN()-2)/2),0)</f>
        <v/>
      </c>
      <c r="DJ4" s="80">
        <f t="array" ref="DJ4">IFERROR(SMALL(IF(Undirviðmið!$G$6:$G$205="Persónubundinn",ROW(Undirviðmið!$G$6:$G$205)-5),(COLUMN()-2)/2),0)</f>
        <v/>
      </c>
      <c r="DL4" s="80">
        <f t="array" ref="DL4">IFERROR(SMALL(IF(Undirviðmið!$G$6:$G$205="Persónubundinn",ROW(Undirviðmið!$G$6:$G$205)-5),(COLUMN()-2)/2),0)</f>
        <v/>
      </c>
      <c r="DN4" s="80">
        <f t="array" ref="DN4">IFERROR(SMALL(IF(Undirviðmið!$G$6:$G$205="Persónubundinn",ROW(Undirviðmið!$G$6:$G$205)-5),(COLUMN()-2)/2),0)</f>
        <v/>
      </c>
      <c r="DP4" s="80">
        <f t="array" ref="DP4">IFERROR(SMALL(IF(Undirviðmið!$G$6:$G$205="Persónubundinn",ROW(Undirviðmið!$G$6:$G$205)-5),(COLUMN()-2)/2),0)</f>
        <v/>
      </c>
      <c r="DR4" s="80">
        <f t="array" ref="DR4">IFERROR(SMALL(IF(Undirviðmið!$G$6:$G$205="Persónubundinn",ROW(Undirviðmið!$G$6:$G$205)-5),(COLUMN()-2)/2),0)</f>
        <v/>
      </c>
      <c r="DT4" s="80">
        <f t="array" ref="DT4">IFERROR(SMALL(IF(Undirviðmið!$G$6:$G$205="Persónubundinn",ROW(Undirviðmið!$G$6:$G$205)-5),(COLUMN()-2)/2),0)</f>
        <v/>
      </c>
      <c r="DV4" s="80">
        <f t="array" ref="DV4">IFERROR(SMALL(IF(Undirviðmið!$G$6:$G$205="Persónubundinn",ROW(Undirviðmið!$G$6:$G$205)-5),(COLUMN()-2)/2),0)</f>
        <v/>
      </c>
      <c r="DX4" s="80">
        <f t="array" ref="DX4">IFERROR(SMALL(IF(Undirviðmið!$G$6:$G$205="Persónubundinn",ROW(Undirviðmið!$G$6:$G$205)-5),(COLUMN()-2)/2),0)</f>
        <v/>
      </c>
      <c r="DZ4" s="80">
        <f t="array" ref="DZ4">IFERROR(SMALL(IF(Undirviðmið!$G$6:$G$205="Persónubundinn",ROW(Undirviðmið!$G$6:$G$205)-5),(COLUMN()-2)/2),0)</f>
        <v/>
      </c>
      <c r="EB4" s="80">
        <f t="array" ref="EB4">IFERROR(SMALL(IF(Undirviðmið!$G$6:$G$205="Persónubundinn",ROW(Undirviðmið!$G$6:$G$205)-5),(COLUMN()-2)/2),0)</f>
        <v/>
      </c>
      <c r="ED4" s="80">
        <f t="array" ref="ED4">IFERROR(SMALL(IF(Undirviðmið!$G$6:$G$205="Persónubundinn",ROW(Undirviðmið!$G$6:$G$205)-5),(COLUMN()-2)/2),0)</f>
        <v/>
      </c>
      <c r="EF4" s="80">
        <f t="array" ref="EF4">IFERROR(SMALL(IF(Undirviðmið!$G$6:$G$205="Persónubundinn",ROW(Undirviðmið!$G$6:$G$205)-5),(COLUMN()-2)/2),0)</f>
        <v/>
      </c>
      <c r="EH4" s="80">
        <f t="array" ref="EH4">IFERROR(SMALL(IF(Undirviðmið!$G$6:$G$205="Persónubundinn",ROW(Undirviðmið!$G$6:$G$205)-5),(COLUMN()-2)/2),0)</f>
        <v/>
      </c>
      <c r="EJ4" s="80">
        <f t="array" ref="EJ4">IFERROR(SMALL(IF(Undirviðmið!$G$6:$G$205="Persónubundinn",ROW(Undirviðmið!$G$6:$G$205)-5),(COLUMN()-2)/2),0)</f>
        <v/>
      </c>
      <c r="EL4" s="80">
        <f t="array" ref="EL4">IFERROR(SMALL(IF(Undirviðmið!$G$6:$G$205="Persónubundinn",ROW(Undirviðmið!$G$6:$G$205)-5),(COLUMN()-2)/2),0)</f>
        <v/>
      </c>
      <c r="EN4" s="80">
        <f t="array" ref="EN4">IFERROR(SMALL(IF(Undirviðmið!$G$6:$G$205="Persónubundinn",ROW(Undirviðmið!$G$6:$G$205)-5),(COLUMN()-2)/2),0)</f>
        <v/>
      </c>
      <c r="EP4" s="80">
        <f t="array" ref="EP4">IFERROR(SMALL(IF(Undirviðmið!$G$6:$G$205="Persónubundinn",ROW(Undirviðmið!$G$6:$G$205)-5),(COLUMN()-2)/2),0)</f>
        <v/>
      </c>
      <c r="ER4" s="80">
        <f t="array" ref="ER4">IFERROR(SMALL(IF(Undirviðmið!$G$6:$G$205="Persónubundinn",ROW(Undirviðmið!$G$6:$G$205)-5),(COLUMN()-2)/2),0)</f>
        <v/>
      </c>
      <c r="ET4" s="80">
        <f t="array" ref="ET4">IFERROR(SMALL(IF(Undirviðmið!$G$6:$G$205="Persónubundinn",ROW(Undirviðmið!$G$6:$G$205)-5),(COLUMN()-2)/2),0)</f>
        <v/>
      </c>
      <c r="EV4" s="80">
        <f t="array" ref="EV4">IFERROR(SMALL(IF(Undirviðmið!$G$6:$G$205="Persónubundinn",ROW(Undirviðmið!$G$6:$G$205)-5),(COLUMN()-2)/2),0)</f>
        <v/>
      </c>
      <c r="EX4" s="80">
        <f t="array" ref="EX4">IFERROR(SMALL(IF(Undirviðmið!$G$6:$G$205="Persónubundinn",ROW(Undirviðmið!$G$6:$G$205)-5),(COLUMN()-2)/2),0)</f>
        <v/>
      </c>
      <c r="EZ4" s="80">
        <f t="array" ref="EZ4">IFERROR(SMALL(IF(Undirviðmið!$G$6:$G$205="Persónubundinn",ROW(Undirviðmið!$G$6:$G$205)-5),(COLUMN()-2)/2),0)</f>
        <v/>
      </c>
      <c r="FB4" s="80">
        <f t="array" ref="FB4">IFERROR(SMALL(IF(Undirviðmið!$G$6:$G$205="Persónubundinn",ROW(Undirviðmið!$G$6:$G$205)-5),(COLUMN()-2)/2),0)</f>
        <v/>
      </c>
      <c r="FD4" s="80">
        <f t="array" ref="FD4">IFERROR(SMALL(IF(Undirviðmið!$G$6:$G$205="Persónubundinn",ROW(Undirviðmið!$G$6:$G$205)-5),(COLUMN()-2)/2),0)</f>
        <v/>
      </c>
      <c r="FF4" s="80">
        <f t="array" ref="FF4">IFERROR(SMALL(IF(Undirviðmið!$G$6:$G$205="Persónubundinn",ROW(Undirviðmið!$G$6:$G$205)-5),(COLUMN()-2)/2),0)</f>
        <v/>
      </c>
      <c r="FH4" s="80">
        <f t="array" ref="FH4">IFERROR(SMALL(IF(Undirviðmið!$G$6:$G$205="Persónubundinn",ROW(Undirviðmið!$G$6:$G$205)-5),(COLUMN()-2)/2),0)</f>
        <v/>
      </c>
      <c r="FJ4" s="80">
        <f t="array" ref="FJ4">IFERROR(SMALL(IF(Undirviðmið!$G$6:$G$205="Persónubundinn",ROW(Undirviðmið!$G$6:$G$205)-5),(COLUMN()-2)/2),0)</f>
        <v/>
      </c>
      <c r="FL4" s="80">
        <f t="array" ref="FL4">IFERROR(SMALL(IF(Undirviðmið!$G$6:$G$205="Persónubundinn",ROW(Undirviðmið!$G$6:$G$205)-5),(COLUMN()-2)/2),0)</f>
        <v/>
      </c>
      <c r="FN4" s="80">
        <f t="array" ref="FN4">IFERROR(SMALL(IF(Undirviðmið!$G$6:$G$205="Persónubundinn",ROW(Undirviðmið!$G$6:$G$205)-5),(COLUMN()-2)/2),0)</f>
        <v/>
      </c>
      <c r="FP4" s="80">
        <f t="array" ref="FP4">IFERROR(SMALL(IF(Undirviðmið!$G$6:$G$205="Persónubundinn",ROW(Undirviðmið!$G$6:$G$205)-5),(COLUMN()-2)/2),0)</f>
        <v/>
      </c>
      <c r="FR4" s="80">
        <f t="array" ref="FR4">IFERROR(SMALL(IF(Undirviðmið!$G$6:$G$205="Persónubundinn",ROW(Undirviðmið!$G$6:$G$205)-5),(COLUMN()-2)/2),0)</f>
        <v/>
      </c>
      <c r="FT4" s="80">
        <f t="array" ref="FT4">IFERROR(SMALL(IF(Undirviðmið!$G$6:$G$205="Persónubundinn",ROW(Undirviðmið!$G$6:$G$205)-5),(COLUMN()-2)/2),0)</f>
        <v/>
      </c>
      <c r="FV4" s="80">
        <f t="array" ref="FV4">IFERROR(SMALL(IF(Undirviðmið!$G$6:$G$205="Persónubundinn",ROW(Undirviðmið!$G$6:$G$205)-5),(COLUMN()-2)/2),0)</f>
        <v/>
      </c>
      <c r="FX4" s="80">
        <f t="array" ref="FX4">IFERROR(SMALL(IF(Undirviðmið!$G$6:$G$205="Persónubundinn",ROW(Undirviðmið!$G$6:$G$205)-5),(COLUMN()-2)/2),0)</f>
        <v/>
      </c>
      <c r="FZ4" s="80">
        <f t="array" ref="FZ4">IFERROR(SMALL(IF(Undirviðmið!$G$6:$G$205="Persónubundinn",ROW(Undirviðmið!$G$6:$G$205)-5),(COLUMN()-2)/2),0)</f>
        <v/>
      </c>
      <c r="GB4" s="80">
        <f t="array" ref="GB4">IFERROR(SMALL(IF(Undirviðmið!$G$6:$G$205="Persónubundinn",ROW(Undirviðmið!$G$6:$G$205)-5),(COLUMN()-2)/2),0)</f>
        <v/>
      </c>
      <c r="GD4" s="80">
        <f t="array" ref="GD4">IFERROR(SMALL(IF(Undirviðmið!$G$6:$G$205="Persónubundinn",ROW(Undirviðmið!$G$6:$G$205)-5),(COLUMN()-2)/2),0)</f>
        <v/>
      </c>
      <c r="GF4" s="80">
        <f t="array" ref="GF4">IFERROR(SMALL(IF(Undirviðmið!$G$6:$G$205="Persónubundinn",ROW(Undirviðmið!$G$6:$G$205)-5),(COLUMN()-2)/2),0)</f>
        <v/>
      </c>
      <c r="GH4" s="80">
        <f t="array" ref="GH4">IFERROR(SMALL(IF(Undirviðmið!$G$6:$G$205="Persónubundinn",ROW(Undirviðmið!$G$6:$G$205)-5),(COLUMN()-2)/2),0)</f>
        <v/>
      </c>
      <c r="GJ4" s="80">
        <f t="array" ref="GJ4">IFERROR(SMALL(IF(Undirviðmið!$G$6:$G$205="Persónubundinn",ROW(Undirviðmið!$G$6:$G$205)-5),(COLUMN()-2)/2),0)</f>
        <v/>
      </c>
      <c r="GL4" s="80">
        <f t="array" ref="GL4">IFERROR(SMALL(IF(Undirviðmið!$G$6:$G$205="Persónubundinn",ROW(Undirviðmið!$G$6:$G$205)-5),(COLUMN()-2)/2),0)</f>
        <v/>
      </c>
      <c r="GN4" s="80">
        <f t="array" ref="GN4">IFERROR(SMALL(IF(Undirviðmið!$G$6:$G$205="Persónubundinn",ROW(Undirviðmið!$G$6:$G$205)-5),(COLUMN()-2)/2),0)</f>
        <v/>
      </c>
      <c r="GP4" s="80">
        <f t="array" ref="GP4">IFERROR(SMALL(IF(Undirviðmið!$G$6:$G$205="Persónubundinn",ROW(Undirviðmið!$G$6:$G$205)-5),(COLUMN()-2)/2),0)</f>
        <v/>
      </c>
      <c r="GR4" s="80">
        <f t="array" ref="GR4">IFERROR(SMALL(IF(Undirviðmið!$G$6:$G$205="Persónubundinn",ROW(Undirviðmið!$G$6:$G$205)-5),(COLUMN()-2)/2),0)</f>
        <v/>
      </c>
      <c r="GT4" s="80">
        <f t="array" ref="GT4">IFERROR(SMALL(IF(Undirviðmið!$G$6:$G$205="Persónubundinn",ROW(Undirviðmið!$G$6:$G$205)-5),(COLUMN()-2)/2),0)</f>
        <v/>
      </c>
    </row>
    <row r="5" ht="39.75" customHeight="1" s="47">
      <c r="A5" s="57" t="s">
        <v>95</v>
      </c>
      <c r="B5" s="57" t="s">
        <v>51</v>
      </c>
      <c r="C5" s="57" t="s">
        <v>160</v>
      </c>
      <c r="D5" s="81">
        <f>IF(D$4=0,"",INDEX(Undirviðmið!$C$6:$C$205,D$4))</f>
        <v/>
      </c>
      <c r="E5" s="74" t="n"/>
      <c r="F5" s="81">
        <f>IF(F$4=0,"",INDEX(Undirviðmið!$C$6:$C$205,F$4))</f>
        <v/>
      </c>
      <c r="G5" s="74" t="n"/>
      <c r="H5" s="81">
        <f>IF(H$4=0,"",INDEX(Undirviðmið!$C$6:$C$205,H$4))</f>
        <v/>
      </c>
      <c r="I5" s="74" t="n"/>
      <c r="J5" s="81">
        <f>IF(J$4=0,"",INDEX(Undirviðmið!$C$6:$C$205,J$4))</f>
        <v/>
      </c>
      <c r="K5" s="74" t="n"/>
      <c r="L5" s="81">
        <f>IF(L$4=0,"",INDEX(Undirviðmið!$C$6:$C$205,L$4))</f>
        <v/>
      </c>
      <c r="M5" s="74" t="n"/>
      <c r="N5" s="81">
        <f>IF(N$4=0,"",INDEX(Undirviðmið!$C$6:$C$205,N$4))</f>
        <v/>
      </c>
      <c r="O5" s="74" t="n"/>
      <c r="P5" s="81">
        <f>IF(P$4=0,"",INDEX(Undirviðmið!$C$6:$C$205,P$4))</f>
        <v/>
      </c>
      <c r="Q5" s="74" t="n"/>
      <c r="R5" s="81">
        <f>IF(R$4=0,"",INDEX(Undirviðmið!$C$6:$C$205,R$4))</f>
        <v/>
      </c>
      <c r="S5" s="74" t="n"/>
      <c r="T5" s="81">
        <f>IF(T$4=0,"",INDEX(Undirviðmið!$C$6:$C$205,T$4))</f>
        <v/>
      </c>
      <c r="U5" s="74" t="n"/>
      <c r="V5" s="81">
        <f>IF(V$4=0,"",INDEX(Undirviðmið!$C$6:$C$205,V$4))</f>
        <v/>
      </c>
      <c r="W5" s="74" t="n"/>
      <c r="X5" s="81">
        <f>IF(X$4=0,"",INDEX(Undirviðmið!$C$6:$C$205,X$4))</f>
        <v/>
      </c>
      <c r="Y5" s="74" t="n"/>
      <c r="Z5" s="81">
        <f>IF(Z$4=0,"",INDEX(Undirviðmið!$C$6:$C$205,Z$4))</f>
        <v/>
      </c>
      <c r="AA5" s="74" t="n"/>
      <c r="AB5" s="81">
        <f>IF(AB$4=0,"",INDEX(Undirviðmið!$C$6:$C$205,AB$4))</f>
        <v/>
      </c>
      <c r="AC5" s="74" t="n"/>
      <c r="AD5" s="81">
        <f>IF(AD$4=0,"",INDEX(Undirviðmið!$C$6:$C$205,AD$4))</f>
        <v/>
      </c>
      <c r="AE5" s="74" t="n"/>
      <c r="AF5" s="81">
        <f>IF(AF$4=0,"",INDEX(Undirviðmið!$C$6:$C$205,AF$4))</f>
        <v/>
      </c>
      <c r="AG5" s="74" t="n"/>
      <c r="AH5" s="81">
        <f>IF(AH$4=0,"",INDEX(Undirviðmið!$C$6:$C$205,AH$4))</f>
        <v/>
      </c>
      <c r="AI5" s="74" t="n"/>
      <c r="AJ5" s="81">
        <f>IF(AJ$4=0,"",INDEX(Undirviðmið!$C$6:$C$205,AJ$4))</f>
        <v/>
      </c>
      <c r="AK5" s="74" t="n"/>
      <c r="AL5" s="81">
        <f>IF(AL$4=0,"",INDEX(Undirviðmið!$C$6:$C$205,AL$4))</f>
        <v/>
      </c>
      <c r="AM5" s="74" t="n"/>
      <c r="AN5" s="81">
        <f>IF(AN$4=0,"",INDEX(Undirviðmið!$C$6:$C$205,AN$4))</f>
        <v/>
      </c>
      <c r="AO5" s="74" t="n"/>
      <c r="AP5" s="81">
        <f>IF(AP$4=0,"",INDEX(Undirviðmið!$C$6:$C$205,AP$4))</f>
        <v/>
      </c>
      <c r="AQ5" s="74" t="n"/>
      <c r="AR5" s="81">
        <f>IF(AR$4=0,"",INDEX(Undirviðmið!$C$6:$C$205,AR$4))</f>
        <v/>
      </c>
      <c r="AS5" s="74" t="n"/>
      <c r="AT5" s="81">
        <f>IF(AT$4=0,"",INDEX(Undirviðmið!$C$6:$C$205,AT$4))</f>
        <v/>
      </c>
      <c r="AU5" s="74" t="n"/>
      <c r="AV5" s="81">
        <f>IF(AV$4=0,"",INDEX(Undirviðmið!$C$6:$C$205,AV$4))</f>
        <v/>
      </c>
      <c r="AW5" s="74" t="n"/>
      <c r="AX5" s="81">
        <f>IF(AX$4=0,"",INDEX(Undirviðmið!$C$6:$C$205,AX$4))</f>
        <v/>
      </c>
      <c r="AY5" s="74" t="n"/>
      <c r="AZ5" s="81">
        <f>IF(AZ$4=0,"",INDEX(Undirviðmið!$C$6:$C$205,AZ$4))</f>
        <v/>
      </c>
      <c r="BA5" s="74" t="n"/>
      <c r="BB5" s="81">
        <f>IF(BB$4=0,"",INDEX(Undirviðmið!$C$6:$C$205,BB$4))</f>
        <v/>
      </c>
      <c r="BC5" s="74" t="n"/>
      <c r="BD5" s="81">
        <f>IF(BD$4=0,"",INDEX(Undirviðmið!$C$6:$C$205,BD$4))</f>
        <v/>
      </c>
      <c r="BE5" s="74" t="n"/>
      <c r="BF5" s="81">
        <f>IF(BF$4=0,"",INDEX(Undirviðmið!$C$6:$C$205,BF$4))</f>
        <v/>
      </c>
      <c r="BG5" s="74" t="n"/>
      <c r="BH5" s="81">
        <f>IF(BH$4=0,"",INDEX(Undirviðmið!$C$6:$C$205,BH$4))</f>
        <v/>
      </c>
      <c r="BI5" s="74" t="n"/>
      <c r="BJ5" s="81">
        <f>IF(BJ$4=0,"",INDEX(Undirviðmið!$C$6:$C$205,BJ$4))</f>
        <v/>
      </c>
      <c r="BK5" s="74" t="n"/>
      <c r="BL5" s="81">
        <f>IF(BL$4=0,"",INDEX(Undirviðmið!$C$6:$C$205,BL$4))</f>
        <v/>
      </c>
      <c r="BM5" s="74" t="n"/>
      <c r="BN5" s="81">
        <f>IF(BN$4=0,"",INDEX(Undirviðmið!$C$6:$C$205,BN$4))</f>
        <v/>
      </c>
      <c r="BO5" s="74" t="n"/>
      <c r="BP5" s="81">
        <f>IF(BP$4=0,"",INDEX(Undirviðmið!$C$6:$C$205,BP$4))</f>
        <v/>
      </c>
      <c r="BQ5" s="74" t="n"/>
      <c r="BR5" s="81">
        <f>IF(BR$4=0,"",INDEX(Undirviðmið!$C$6:$C$205,BR$4))</f>
        <v/>
      </c>
      <c r="BS5" s="74" t="n"/>
      <c r="BT5" s="81">
        <f>IF(BT$4=0,"",INDEX(Undirviðmið!$C$6:$C$205,BT$4))</f>
        <v/>
      </c>
      <c r="BU5" s="74" t="n"/>
      <c r="BV5" s="81">
        <f>IF(BV$4=0,"",INDEX(Undirviðmið!$C$6:$C$205,BV$4))</f>
        <v/>
      </c>
      <c r="BW5" s="74" t="n"/>
      <c r="BX5" s="81">
        <f>IF(BX$4=0,"",INDEX(Undirviðmið!$C$6:$C$205,BX$4))</f>
        <v/>
      </c>
      <c r="BY5" s="74" t="n"/>
      <c r="BZ5" s="81">
        <f>IF(BZ$4=0,"",INDEX(Undirviðmið!$C$6:$C$205,BZ$4))</f>
        <v/>
      </c>
      <c r="CA5" s="74" t="n"/>
      <c r="CB5" s="81">
        <f>IF(CB$4=0,"",INDEX(Undirviðmið!$C$6:$C$205,CB$4))</f>
        <v/>
      </c>
      <c r="CC5" s="74" t="n"/>
      <c r="CD5" s="81">
        <f>IF(CD$4=0,"",INDEX(Undirviðmið!$C$6:$C$205,CD$4))</f>
        <v/>
      </c>
      <c r="CE5" s="74" t="n"/>
      <c r="CF5" s="81">
        <f>IF(CF$4=0,"",INDEX(Undirviðmið!$C$6:$C$205,CF$4))</f>
        <v/>
      </c>
      <c r="CG5" s="74" t="n"/>
      <c r="CH5" s="81">
        <f>IF(CH$4=0,"",INDEX(Undirviðmið!$C$6:$C$205,CH$4))</f>
        <v/>
      </c>
      <c r="CI5" s="74" t="n"/>
      <c r="CJ5" s="81">
        <f>IF(CJ$4=0,"",INDEX(Undirviðmið!$C$6:$C$205,CJ$4))</f>
        <v/>
      </c>
      <c r="CK5" s="74" t="n"/>
      <c r="CL5" s="81">
        <f>IF(CL$4=0,"",INDEX(Undirviðmið!$C$6:$C$205,CL$4))</f>
        <v/>
      </c>
      <c r="CM5" s="74" t="n"/>
      <c r="CN5" s="81">
        <f>IF(CN$4=0,"",INDEX(Undirviðmið!$C$6:$C$205,CN$4))</f>
        <v/>
      </c>
      <c r="CO5" s="74" t="n"/>
      <c r="CP5" s="81">
        <f>IF(CP$4=0,"",INDEX(Undirviðmið!$C$6:$C$205,CP$4))</f>
        <v/>
      </c>
      <c r="CQ5" s="74" t="n"/>
      <c r="CR5" s="81">
        <f>IF(CR$4=0,"",INDEX(Undirviðmið!$C$6:$C$205,CR$4))</f>
        <v/>
      </c>
      <c r="CS5" s="74" t="n"/>
      <c r="CT5" s="81">
        <f>IF(CT$4=0,"",INDEX(Undirviðmið!$C$6:$C$205,CT$4))</f>
        <v/>
      </c>
      <c r="CU5" s="74" t="n"/>
      <c r="CV5" s="81">
        <f>IF(CV$4=0,"",INDEX(Undirviðmið!$C$6:$C$205,CV$4))</f>
        <v/>
      </c>
      <c r="CW5" s="74" t="n"/>
      <c r="CX5" s="81">
        <f>IF(CX$4=0,"",INDEX(Undirviðmið!$C$6:$C$205,CX$4))</f>
        <v/>
      </c>
      <c r="CY5" s="74" t="n"/>
      <c r="CZ5" s="81">
        <f>IF(CZ$4=0,"",INDEX(Undirviðmið!$C$6:$C$205,CZ$4))</f>
        <v/>
      </c>
      <c r="DA5" s="74" t="n"/>
      <c r="DB5" s="81">
        <f>IF(DB$4=0,"",INDEX(Undirviðmið!$C$6:$C$205,DB$4))</f>
        <v/>
      </c>
      <c r="DC5" s="74" t="n"/>
      <c r="DD5" s="81">
        <f>IF(DD$4=0,"",INDEX(Undirviðmið!$C$6:$C$205,DD$4))</f>
        <v/>
      </c>
      <c r="DE5" s="74" t="n"/>
      <c r="DF5" s="81">
        <f>IF(DF$4=0,"",INDEX(Undirviðmið!$C$6:$C$205,DF$4))</f>
        <v/>
      </c>
      <c r="DG5" s="74" t="n"/>
      <c r="DH5" s="81">
        <f>IF(DH$4=0,"",INDEX(Undirviðmið!$C$6:$C$205,DH$4))</f>
        <v/>
      </c>
      <c r="DI5" s="74" t="n"/>
      <c r="DJ5" s="81">
        <f>IF(DJ$4=0,"",INDEX(Undirviðmið!$C$6:$C$205,DJ$4))</f>
        <v/>
      </c>
      <c r="DK5" s="74" t="n"/>
      <c r="DL5" s="81">
        <f>IF(DL$4=0,"",INDEX(Undirviðmið!$C$6:$C$205,DL$4))</f>
        <v/>
      </c>
      <c r="DM5" s="74" t="n"/>
      <c r="DN5" s="81">
        <f>IF(DN$4=0,"",INDEX(Undirviðmið!$C$6:$C$205,DN$4))</f>
        <v/>
      </c>
      <c r="DO5" s="74" t="n"/>
      <c r="DP5" s="81">
        <f>IF(DP$4=0,"",INDEX(Undirviðmið!$C$6:$C$205,DP$4))</f>
        <v/>
      </c>
      <c r="DQ5" s="74" t="n"/>
      <c r="DR5" s="81">
        <f>IF(DR$4=0,"",INDEX(Undirviðmið!$C$6:$C$205,DR$4))</f>
        <v/>
      </c>
      <c r="DS5" s="74" t="n"/>
      <c r="DT5" s="81">
        <f>IF(DT$4=0,"",INDEX(Undirviðmið!$C$6:$C$205,DT$4))</f>
        <v/>
      </c>
      <c r="DU5" s="74" t="n"/>
      <c r="DV5" s="81">
        <f>IF(DV$4=0,"",INDEX(Undirviðmið!$C$6:$C$205,DV$4))</f>
        <v/>
      </c>
      <c r="DW5" s="74" t="n"/>
      <c r="DX5" s="81">
        <f>IF(DX$4=0,"",INDEX(Undirviðmið!$C$6:$C$205,DX$4))</f>
        <v/>
      </c>
      <c r="DY5" s="74" t="n"/>
      <c r="DZ5" s="81">
        <f>IF(DZ$4=0,"",INDEX(Undirviðmið!$C$6:$C$205,DZ$4))</f>
        <v/>
      </c>
      <c r="EA5" s="74" t="n"/>
      <c r="EB5" s="81">
        <f>IF(EB$4=0,"",INDEX(Undirviðmið!$C$6:$C$205,EB$4))</f>
        <v/>
      </c>
      <c r="EC5" s="74" t="n"/>
      <c r="ED5" s="81">
        <f>IF(ED$4=0,"",INDEX(Undirviðmið!$C$6:$C$205,ED$4))</f>
        <v/>
      </c>
      <c r="EE5" s="74" t="n"/>
      <c r="EF5" s="81">
        <f>IF(EF$4=0,"",INDEX(Undirviðmið!$C$6:$C$205,EF$4))</f>
        <v/>
      </c>
      <c r="EG5" s="74" t="n"/>
      <c r="EH5" s="81">
        <f>IF(EH$4=0,"",INDEX(Undirviðmið!$C$6:$C$205,EH$4))</f>
        <v/>
      </c>
      <c r="EI5" s="74" t="n"/>
      <c r="EJ5" s="81">
        <f>IF(EJ$4=0,"",INDEX(Undirviðmið!$C$6:$C$205,EJ$4))</f>
        <v/>
      </c>
      <c r="EK5" s="74" t="n"/>
      <c r="EL5" s="81">
        <f>IF(EL$4=0,"",INDEX(Undirviðmið!$C$6:$C$205,EL$4))</f>
        <v/>
      </c>
      <c r="EM5" s="74" t="n"/>
      <c r="EN5" s="81">
        <f>IF(EN$4=0,"",INDEX(Undirviðmið!$C$6:$C$205,EN$4))</f>
        <v/>
      </c>
      <c r="EO5" s="74" t="n"/>
      <c r="EP5" s="81">
        <f>IF(EP$4=0,"",INDEX(Undirviðmið!$C$6:$C$205,EP$4))</f>
        <v/>
      </c>
      <c r="EQ5" s="74" t="n"/>
      <c r="ER5" s="81">
        <f>IF(ER$4=0,"",INDEX(Undirviðmið!$C$6:$C$205,ER$4))</f>
        <v/>
      </c>
      <c r="ES5" s="74" t="n"/>
      <c r="ET5" s="81">
        <f>IF(ET$4=0,"",INDEX(Undirviðmið!$C$6:$C$205,ET$4))</f>
        <v/>
      </c>
      <c r="EU5" s="74" t="n"/>
      <c r="EV5" s="81">
        <f>IF(EV$4=0,"",INDEX(Undirviðmið!$C$6:$C$205,EV$4))</f>
        <v/>
      </c>
      <c r="EW5" s="74" t="n"/>
      <c r="EX5" s="81">
        <f>IF(EX$4=0,"",INDEX(Undirviðmið!$C$6:$C$205,EX$4))</f>
        <v/>
      </c>
      <c r="EY5" s="74" t="n"/>
      <c r="EZ5" s="81">
        <f>IF(EZ$4=0,"",INDEX(Undirviðmið!$C$6:$C$205,EZ$4))</f>
        <v/>
      </c>
      <c r="FA5" s="74" t="n"/>
      <c r="FB5" s="81">
        <f>IF(FB$4=0,"",INDEX(Undirviðmið!$C$6:$C$205,FB$4))</f>
        <v/>
      </c>
      <c r="FC5" s="74" t="n"/>
      <c r="FD5" s="81">
        <f>IF(FD$4=0,"",INDEX(Undirviðmið!$C$6:$C$205,FD$4))</f>
        <v/>
      </c>
      <c r="FE5" s="74" t="n"/>
      <c r="FF5" s="81">
        <f>IF(FF$4=0,"",INDEX(Undirviðmið!$C$6:$C$205,FF$4))</f>
        <v/>
      </c>
      <c r="FG5" s="74" t="n"/>
      <c r="FH5" s="81">
        <f>IF(FH$4=0,"",INDEX(Undirviðmið!$C$6:$C$205,FH$4))</f>
        <v/>
      </c>
      <c r="FI5" s="74" t="n"/>
      <c r="FJ5" s="81">
        <f>IF(FJ$4=0,"",INDEX(Undirviðmið!$C$6:$C$205,FJ$4))</f>
        <v/>
      </c>
      <c r="FK5" s="74" t="n"/>
      <c r="FL5" s="81">
        <f>IF(FL$4=0,"",INDEX(Undirviðmið!$C$6:$C$205,FL$4))</f>
        <v/>
      </c>
      <c r="FM5" s="74" t="n"/>
      <c r="FN5" s="81">
        <f>IF(FN$4=0,"",INDEX(Undirviðmið!$C$6:$C$205,FN$4))</f>
        <v/>
      </c>
      <c r="FO5" s="74" t="n"/>
      <c r="FP5" s="81">
        <f>IF(FP$4=0,"",INDEX(Undirviðmið!$C$6:$C$205,FP$4))</f>
        <v/>
      </c>
      <c r="FQ5" s="74" t="n"/>
      <c r="FR5" s="81">
        <f>IF(FR$4=0,"",INDEX(Undirviðmið!$C$6:$C$205,FR$4))</f>
        <v/>
      </c>
      <c r="FS5" s="74" t="n"/>
      <c r="FT5" s="81">
        <f>IF(FT$4=0,"",INDEX(Undirviðmið!$C$6:$C$205,FT$4))</f>
        <v/>
      </c>
      <c r="FU5" s="74" t="n"/>
      <c r="FV5" s="81">
        <f>IF(FV$4=0,"",INDEX(Undirviðmið!$C$6:$C$205,FV$4))</f>
        <v/>
      </c>
      <c r="FW5" s="74" t="n"/>
      <c r="FX5" s="81">
        <f>IF(FX$4=0,"",INDEX(Undirviðmið!$C$6:$C$205,FX$4))</f>
        <v/>
      </c>
      <c r="FY5" s="74" t="n"/>
      <c r="FZ5" s="81">
        <f>IF(FZ$4=0,"",INDEX(Undirviðmið!$C$6:$C$205,FZ$4))</f>
        <v/>
      </c>
      <c r="GA5" s="74" t="n"/>
      <c r="GB5" s="81">
        <f>IF(GB$4=0,"",INDEX(Undirviðmið!$C$6:$C$205,GB$4))</f>
        <v/>
      </c>
      <c r="GC5" s="74" t="n"/>
      <c r="GD5" s="81">
        <f>IF(GD$4=0,"",INDEX(Undirviðmið!$C$6:$C$205,GD$4))</f>
        <v/>
      </c>
      <c r="GE5" s="74" t="n"/>
      <c r="GF5" s="81">
        <f>IF(GF$4=0,"",INDEX(Undirviðmið!$C$6:$C$205,GF$4))</f>
        <v/>
      </c>
      <c r="GG5" s="74" t="n"/>
      <c r="GH5" s="81">
        <f>IF(GH$4=0,"",INDEX(Undirviðmið!$C$6:$C$205,GH$4))</f>
        <v/>
      </c>
      <c r="GI5" s="74" t="n"/>
      <c r="GJ5" s="81">
        <f>IF(GJ$4=0,"",INDEX(Undirviðmið!$C$6:$C$205,GJ$4))</f>
        <v/>
      </c>
      <c r="GK5" s="74" t="n"/>
      <c r="GL5" s="81">
        <f>IF(GL$4=0,"",INDEX(Undirviðmið!$C$6:$C$205,GL$4))</f>
        <v/>
      </c>
      <c r="GM5" s="74" t="n"/>
      <c r="GN5" s="81">
        <f>IF(GN$4=0,"",INDEX(Undirviðmið!$C$6:$C$205,GN$4))</f>
        <v/>
      </c>
      <c r="GO5" s="74" t="n"/>
      <c r="GP5" s="81">
        <f>IF(GP$4=0,"",INDEX(Undirviðmið!$C$6:$C$205,GP$4))</f>
        <v/>
      </c>
      <c r="GQ5" s="74" t="n"/>
      <c r="GR5" s="81">
        <f>IF(GR$4=0,"",INDEX(Undirviðmið!$C$6:$C$205,GR$4))</f>
        <v/>
      </c>
      <c r="GS5" s="74" t="n"/>
      <c r="GT5" s="81">
        <f>IF(GT$4=0,"",INDEX(Undirviðmið!$C$6:$C$205,GT$4))</f>
        <v/>
      </c>
      <c r="GU5" s="74" t="n"/>
      <c r="GV5" s="57" t="s">
        <v>183</v>
      </c>
    </row>
    <row r="6" ht="19.5" customHeight="1" s="47">
      <c r="A6" s="75" t="n"/>
      <c r="B6" s="75" t="n"/>
      <c r="C6" s="75" t="n"/>
      <c r="D6" s="76">
        <f>IF(D$4=0,"","Þrep")</f>
        <v/>
      </c>
      <c r="E6" s="76">
        <f>IF(D$4=0,"","Stig")</f>
        <v/>
      </c>
      <c r="F6" s="76">
        <f>IF(F$4=0,"","Þrep")</f>
        <v/>
      </c>
      <c r="G6" s="76">
        <f>IF(F$4=0,"","Stig")</f>
        <v/>
      </c>
      <c r="H6" s="76">
        <f>IF(H$4=0,"","Þrep")</f>
        <v/>
      </c>
      <c r="I6" s="76">
        <f>IF(H$4=0,"","Stig")</f>
        <v/>
      </c>
      <c r="J6" s="76">
        <f>IF(J$4=0,"","Þrep")</f>
        <v/>
      </c>
      <c r="K6" s="76">
        <f>IF(J$4=0,"","Stig")</f>
        <v/>
      </c>
      <c r="L6" s="76">
        <f>IF(L$4=0,"","Þrep")</f>
        <v/>
      </c>
      <c r="M6" s="76">
        <f>IF(L$4=0,"","Stig")</f>
        <v/>
      </c>
      <c r="N6" s="76">
        <f>IF(N$4=0,"","Þrep")</f>
        <v/>
      </c>
      <c r="O6" s="76">
        <f>IF(N$4=0,"","Stig")</f>
        <v/>
      </c>
      <c r="P6" s="76">
        <f>IF(P$4=0,"","Þrep")</f>
        <v/>
      </c>
      <c r="Q6" s="76">
        <f>IF(P$4=0,"","Stig")</f>
        <v/>
      </c>
      <c r="R6" s="76">
        <f>IF(R$4=0,"","Þrep")</f>
        <v/>
      </c>
      <c r="S6" s="76">
        <f>IF(R$4=0,"","Stig")</f>
        <v/>
      </c>
      <c r="T6" s="76">
        <f>IF(T$4=0,"","Þrep")</f>
        <v/>
      </c>
      <c r="U6" s="76">
        <f>IF(T$4=0,"","Stig")</f>
        <v/>
      </c>
      <c r="V6" s="76">
        <f>IF(V$4=0,"","Þrep")</f>
        <v/>
      </c>
      <c r="W6" s="76">
        <f>IF(V$4=0,"","Stig")</f>
        <v/>
      </c>
      <c r="X6" s="76">
        <f>IF(X$4=0,"","Þrep")</f>
        <v/>
      </c>
      <c r="Y6" s="76">
        <f>IF(X$4=0,"","Stig")</f>
        <v/>
      </c>
      <c r="Z6" s="76">
        <f>IF(Z$4=0,"","Þrep")</f>
        <v/>
      </c>
      <c r="AA6" s="76">
        <f>IF(Z$4=0,"","Stig")</f>
        <v/>
      </c>
      <c r="AB6" s="76">
        <f>IF(AB$4=0,"","Þrep")</f>
        <v/>
      </c>
      <c r="AC6" s="76">
        <f>IF(AB$4=0,"","Stig")</f>
        <v/>
      </c>
      <c r="AD6" s="76">
        <f>IF(AD$4=0,"","Þrep")</f>
        <v/>
      </c>
      <c r="AE6" s="76">
        <f>IF(AD$4=0,"","Stig")</f>
        <v/>
      </c>
      <c r="AF6" s="76">
        <f>IF(AF$4=0,"","Þrep")</f>
        <v/>
      </c>
      <c r="AG6" s="76">
        <f>IF(AF$4=0,"","Stig")</f>
        <v/>
      </c>
      <c r="AH6" s="76">
        <f>IF(AH$4=0,"","Þrep")</f>
        <v/>
      </c>
      <c r="AI6" s="76">
        <f>IF(AH$4=0,"","Stig")</f>
        <v/>
      </c>
      <c r="AJ6" s="76">
        <f>IF(AJ$4=0,"","Þrep")</f>
        <v/>
      </c>
      <c r="AK6" s="76">
        <f>IF(AJ$4=0,"","Stig")</f>
        <v/>
      </c>
      <c r="AL6" s="76">
        <f>IF(AL$4=0,"","Þrep")</f>
        <v/>
      </c>
      <c r="AM6" s="76">
        <f>IF(AL$4=0,"","Stig")</f>
        <v/>
      </c>
      <c r="AN6" s="76">
        <f>IF(AN$4=0,"","Þrep")</f>
        <v/>
      </c>
      <c r="AO6" s="76">
        <f>IF(AN$4=0,"","Stig")</f>
        <v/>
      </c>
      <c r="AP6" s="76">
        <f>IF(AP$4=0,"","Þrep")</f>
        <v/>
      </c>
      <c r="AQ6" s="76">
        <f>IF(AP$4=0,"","Stig")</f>
        <v/>
      </c>
      <c r="AR6" s="76">
        <f>IF(AR$4=0,"","Þrep")</f>
        <v/>
      </c>
      <c r="AS6" s="76">
        <f>IF(AR$4=0,"","Stig")</f>
        <v/>
      </c>
      <c r="AT6" s="76">
        <f>IF(AT$4=0,"","Þrep")</f>
        <v/>
      </c>
      <c r="AU6" s="76">
        <f>IF(AT$4=0,"","Stig")</f>
        <v/>
      </c>
      <c r="AV6" s="76">
        <f>IF(AV$4=0,"","Þrep")</f>
        <v/>
      </c>
      <c r="AW6" s="76">
        <f>IF(AV$4=0,"","Stig")</f>
        <v/>
      </c>
      <c r="AX6" s="76">
        <f>IF(AX$4=0,"","Þrep")</f>
        <v/>
      </c>
      <c r="AY6" s="76">
        <f>IF(AX$4=0,"","Stig")</f>
        <v/>
      </c>
      <c r="AZ6" s="76">
        <f>IF(AZ$4=0,"","Þrep")</f>
        <v/>
      </c>
      <c r="BA6" s="76">
        <f>IF(AZ$4=0,"","Stig")</f>
        <v/>
      </c>
      <c r="BB6" s="76">
        <f>IF(BB$4=0,"","Þrep")</f>
        <v/>
      </c>
      <c r="BC6" s="76">
        <f>IF(BB$4=0,"","Stig")</f>
        <v/>
      </c>
      <c r="BD6" s="76">
        <f>IF(BD$4=0,"","Þrep")</f>
        <v/>
      </c>
      <c r="BE6" s="76">
        <f>IF(BD$4=0,"","Stig")</f>
        <v/>
      </c>
      <c r="BF6" s="76">
        <f>IF(BF$4=0,"","Þrep")</f>
        <v/>
      </c>
      <c r="BG6" s="76">
        <f>IF(BF$4=0,"","Stig")</f>
        <v/>
      </c>
      <c r="BH6" s="76">
        <f>IF(BH$4=0,"","Þrep")</f>
        <v/>
      </c>
      <c r="BI6" s="76">
        <f>IF(BH$4=0,"","Stig")</f>
        <v/>
      </c>
      <c r="BJ6" s="76">
        <f>IF(BJ$4=0,"","Þrep")</f>
        <v/>
      </c>
      <c r="BK6" s="76">
        <f>IF(BJ$4=0,"","Stig")</f>
        <v/>
      </c>
      <c r="BL6" s="76">
        <f>IF(BL$4=0,"","Þrep")</f>
        <v/>
      </c>
      <c r="BM6" s="76">
        <f>IF(BL$4=0,"","Stig")</f>
        <v/>
      </c>
      <c r="BN6" s="76">
        <f>IF(BN$4=0,"","Þrep")</f>
        <v/>
      </c>
      <c r="BO6" s="76">
        <f>IF(BN$4=0,"","Stig")</f>
        <v/>
      </c>
      <c r="BP6" s="76">
        <f>IF(BP$4=0,"","Þrep")</f>
        <v/>
      </c>
      <c r="BQ6" s="76">
        <f>IF(BP$4=0,"","Stig")</f>
        <v/>
      </c>
      <c r="BR6" s="76">
        <f>IF(BR$4=0,"","Þrep")</f>
        <v/>
      </c>
      <c r="BS6" s="76">
        <f>IF(BR$4=0,"","Stig")</f>
        <v/>
      </c>
      <c r="BT6" s="76">
        <f>IF(BT$4=0,"","Þrep")</f>
        <v/>
      </c>
      <c r="BU6" s="76">
        <f>IF(BT$4=0,"","Stig")</f>
        <v/>
      </c>
      <c r="BV6" s="76">
        <f>IF(BV$4=0,"","Þrep")</f>
        <v/>
      </c>
      <c r="BW6" s="76">
        <f>IF(BV$4=0,"","Stig")</f>
        <v/>
      </c>
      <c r="BX6" s="76">
        <f>IF(BX$4=0,"","Þrep")</f>
        <v/>
      </c>
      <c r="BY6" s="76">
        <f>IF(BX$4=0,"","Stig")</f>
        <v/>
      </c>
      <c r="BZ6" s="76">
        <f>IF(BZ$4=0,"","Þrep")</f>
        <v/>
      </c>
      <c r="CA6" s="76">
        <f>IF(BZ$4=0,"","Stig")</f>
        <v/>
      </c>
      <c r="CB6" s="76">
        <f>IF(CB$4=0,"","Þrep")</f>
        <v/>
      </c>
      <c r="CC6" s="76">
        <f>IF(CB$4=0,"","Stig")</f>
        <v/>
      </c>
      <c r="CD6" s="76">
        <f>IF(CD$4=0,"","Þrep")</f>
        <v/>
      </c>
      <c r="CE6" s="76">
        <f>IF(CD$4=0,"","Stig")</f>
        <v/>
      </c>
      <c r="CF6" s="76">
        <f>IF(CF$4=0,"","Þrep")</f>
        <v/>
      </c>
      <c r="CG6" s="76">
        <f>IF(CF$4=0,"","Stig")</f>
        <v/>
      </c>
      <c r="CH6" s="76">
        <f>IF(CH$4=0,"","Þrep")</f>
        <v/>
      </c>
      <c r="CI6" s="76">
        <f>IF(CH$4=0,"","Stig")</f>
        <v/>
      </c>
      <c r="CJ6" s="76">
        <f>IF(CJ$4=0,"","Þrep")</f>
        <v/>
      </c>
      <c r="CK6" s="76">
        <f>IF(CJ$4=0,"","Stig")</f>
        <v/>
      </c>
      <c r="CL6" s="76">
        <f>IF(CL$4=0,"","Þrep")</f>
        <v/>
      </c>
      <c r="CM6" s="76">
        <f>IF(CL$4=0,"","Stig")</f>
        <v/>
      </c>
      <c r="CN6" s="76">
        <f>IF(CN$4=0,"","Þrep")</f>
        <v/>
      </c>
      <c r="CO6" s="76">
        <f>IF(CN$4=0,"","Stig")</f>
        <v/>
      </c>
      <c r="CP6" s="76">
        <f>IF(CP$4=0,"","Þrep")</f>
        <v/>
      </c>
      <c r="CQ6" s="76">
        <f>IF(CP$4=0,"","Stig")</f>
        <v/>
      </c>
      <c r="CR6" s="76">
        <f>IF(CR$4=0,"","Þrep")</f>
        <v/>
      </c>
      <c r="CS6" s="76">
        <f>IF(CR$4=0,"","Stig")</f>
        <v/>
      </c>
      <c r="CT6" s="76">
        <f>IF(CT$4=0,"","Þrep")</f>
        <v/>
      </c>
      <c r="CU6" s="76">
        <f>IF(CT$4=0,"","Stig")</f>
        <v/>
      </c>
      <c r="CV6" s="76">
        <f>IF(CV$4=0,"","Þrep")</f>
        <v/>
      </c>
      <c r="CW6" s="76">
        <f>IF(CV$4=0,"","Stig")</f>
        <v/>
      </c>
      <c r="CX6" s="76">
        <f>IF(CX$4=0,"","Þrep")</f>
        <v/>
      </c>
      <c r="CY6" s="76">
        <f>IF(CX$4=0,"","Stig")</f>
        <v/>
      </c>
      <c r="CZ6" s="76">
        <f>IF(CZ$4=0,"","Þrep")</f>
        <v/>
      </c>
      <c r="DA6" s="76">
        <f>IF(CZ$4=0,"","Stig")</f>
        <v/>
      </c>
      <c r="DB6" s="76">
        <f>IF(DB$4=0,"","Þrep")</f>
        <v/>
      </c>
      <c r="DC6" s="76">
        <f>IF(DB$4=0,"","Stig")</f>
        <v/>
      </c>
      <c r="DD6" s="76">
        <f>IF(DD$4=0,"","Þrep")</f>
        <v/>
      </c>
      <c r="DE6" s="76">
        <f>IF(DD$4=0,"","Stig")</f>
        <v/>
      </c>
      <c r="DF6" s="76">
        <f>IF(DF$4=0,"","Þrep")</f>
        <v/>
      </c>
      <c r="DG6" s="76">
        <f>IF(DF$4=0,"","Stig")</f>
        <v/>
      </c>
      <c r="DH6" s="76">
        <f>IF(DH$4=0,"","Þrep")</f>
        <v/>
      </c>
      <c r="DI6" s="76">
        <f>IF(DH$4=0,"","Stig")</f>
        <v/>
      </c>
      <c r="DJ6" s="76">
        <f>IF(DJ$4=0,"","Þrep")</f>
        <v/>
      </c>
      <c r="DK6" s="76">
        <f>IF(DJ$4=0,"","Stig")</f>
        <v/>
      </c>
      <c r="DL6" s="76">
        <f>IF(DL$4=0,"","Þrep")</f>
        <v/>
      </c>
      <c r="DM6" s="76">
        <f>IF(DL$4=0,"","Stig")</f>
        <v/>
      </c>
      <c r="DN6" s="76">
        <f>IF(DN$4=0,"","Þrep")</f>
        <v/>
      </c>
      <c r="DO6" s="76">
        <f>IF(DN$4=0,"","Stig")</f>
        <v/>
      </c>
      <c r="DP6" s="76">
        <f>IF(DP$4=0,"","Þrep")</f>
        <v/>
      </c>
      <c r="DQ6" s="76">
        <f>IF(DP$4=0,"","Stig")</f>
        <v/>
      </c>
      <c r="DR6" s="76">
        <f>IF(DR$4=0,"","Þrep")</f>
        <v/>
      </c>
      <c r="DS6" s="76">
        <f>IF(DR$4=0,"","Stig")</f>
        <v/>
      </c>
      <c r="DT6" s="76">
        <f>IF(DT$4=0,"","Þrep")</f>
        <v/>
      </c>
      <c r="DU6" s="76">
        <f>IF(DT$4=0,"","Stig")</f>
        <v/>
      </c>
      <c r="DV6" s="76">
        <f>IF(DV$4=0,"","Þrep")</f>
        <v/>
      </c>
      <c r="DW6" s="76">
        <f>IF(DV$4=0,"","Stig")</f>
        <v/>
      </c>
      <c r="DX6" s="76">
        <f>IF(DX$4=0,"","Þrep")</f>
        <v/>
      </c>
      <c r="DY6" s="76">
        <f>IF(DX$4=0,"","Stig")</f>
        <v/>
      </c>
      <c r="DZ6" s="76">
        <f>IF(DZ$4=0,"","Þrep")</f>
        <v/>
      </c>
      <c r="EA6" s="76">
        <f>IF(DZ$4=0,"","Stig")</f>
        <v/>
      </c>
      <c r="EB6" s="76">
        <f>IF(EB$4=0,"","Þrep")</f>
        <v/>
      </c>
      <c r="EC6" s="76">
        <f>IF(EB$4=0,"","Stig")</f>
        <v/>
      </c>
      <c r="ED6" s="76">
        <f>IF(ED$4=0,"","Þrep")</f>
        <v/>
      </c>
      <c r="EE6" s="76">
        <f>IF(ED$4=0,"","Stig")</f>
        <v/>
      </c>
      <c r="EF6" s="76">
        <f>IF(EF$4=0,"","Þrep")</f>
        <v/>
      </c>
      <c r="EG6" s="76">
        <f>IF(EF$4=0,"","Stig")</f>
        <v/>
      </c>
      <c r="EH6" s="76">
        <f>IF(EH$4=0,"","Þrep")</f>
        <v/>
      </c>
      <c r="EI6" s="76">
        <f>IF(EH$4=0,"","Stig")</f>
        <v/>
      </c>
      <c r="EJ6" s="76">
        <f>IF(EJ$4=0,"","Þrep")</f>
        <v/>
      </c>
      <c r="EK6" s="76">
        <f>IF(EJ$4=0,"","Stig")</f>
        <v/>
      </c>
      <c r="EL6" s="76">
        <f>IF(EL$4=0,"","Þrep")</f>
        <v/>
      </c>
      <c r="EM6" s="76">
        <f>IF(EL$4=0,"","Stig")</f>
        <v/>
      </c>
      <c r="EN6" s="76">
        <f>IF(EN$4=0,"","Þrep")</f>
        <v/>
      </c>
      <c r="EO6" s="76">
        <f>IF(EN$4=0,"","Stig")</f>
        <v/>
      </c>
      <c r="EP6" s="76">
        <f>IF(EP$4=0,"","Þrep")</f>
        <v/>
      </c>
      <c r="EQ6" s="76">
        <f>IF(EP$4=0,"","Stig")</f>
        <v/>
      </c>
      <c r="ER6" s="76">
        <f>IF(ER$4=0,"","Þrep")</f>
        <v/>
      </c>
      <c r="ES6" s="76">
        <f>IF(ER$4=0,"","Stig")</f>
        <v/>
      </c>
      <c r="ET6" s="76">
        <f>IF(ET$4=0,"","Þrep")</f>
        <v/>
      </c>
      <c r="EU6" s="76">
        <f>IF(ET$4=0,"","Stig")</f>
        <v/>
      </c>
      <c r="EV6" s="76">
        <f>IF(EV$4=0,"","Þrep")</f>
        <v/>
      </c>
      <c r="EW6" s="76">
        <f>IF(EV$4=0,"","Stig")</f>
        <v/>
      </c>
      <c r="EX6" s="76">
        <f>IF(EX$4=0,"","Þrep")</f>
        <v/>
      </c>
      <c r="EY6" s="76">
        <f>IF(EX$4=0,"","Stig")</f>
        <v/>
      </c>
      <c r="EZ6" s="76">
        <f>IF(EZ$4=0,"","Þrep")</f>
        <v/>
      </c>
      <c r="FA6" s="76">
        <f>IF(EZ$4=0,"","Stig")</f>
        <v/>
      </c>
      <c r="FB6" s="76">
        <f>IF(FB$4=0,"","Þrep")</f>
        <v/>
      </c>
      <c r="FC6" s="76">
        <f>IF(FB$4=0,"","Stig")</f>
        <v/>
      </c>
      <c r="FD6" s="76">
        <f>IF(FD$4=0,"","Þrep")</f>
        <v/>
      </c>
      <c r="FE6" s="76">
        <f>IF(FD$4=0,"","Stig")</f>
        <v/>
      </c>
      <c r="FF6" s="76">
        <f>IF(FF$4=0,"","Þrep")</f>
        <v/>
      </c>
      <c r="FG6" s="76">
        <f>IF(FF$4=0,"","Stig")</f>
        <v/>
      </c>
      <c r="FH6" s="76">
        <f>IF(FH$4=0,"","Þrep")</f>
        <v/>
      </c>
      <c r="FI6" s="76">
        <f>IF(FH$4=0,"","Stig")</f>
        <v/>
      </c>
      <c r="FJ6" s="76">
        <f>IF(FJ$4=0,"","Þrep")</f>
        <v/>
      </c>
      <c r="FK6" s="76">
        <f>IF(FJ$4=0,"","Stig")</f>
        <v/>
      </c>
      <c r="FL6" s="76">
        <f>IF(FL$4=0,"","Þrep")</f>
        <v/>
      </c>
      <c r="FM6" s="76">
        <f>IF(FL$4=0,"","Stig")</f>
        <v/>
      </c>
      <c r="FN6" s="76">
        <f>IF(FN$4=0,"","Þrep")</f>
        <v/>
      </c>
      <c r="FO6" s="76">
        <f>IF(FN$4=0,"","Stig")</f>
        <v/>
      </c>
      <c r="FP6" s="76">
        <f>IF(FP$4=0,"","Þrep")</f>
        <v/>
      </c>
      <c r="FQ6" s="76">
        <f>IF(FP$4=0,"","Stig")</f>
        <v/>
      </c>
      <c r="FR6" s="76">
        <f>IF(FR$4=0,"","Þrep")</f>
        <v/>
      </c>
      <c r="FS6" s="76">
        <f>IF(FR$4=0,"","Stig")</f>
        <v/>
      </c>
      <c r="FT6" s="76">
        <f>IF(FT$4=0,"","Þrep")</f>
        <v/>
      </c>
      <c r="FU6" s="76">
        <f>IF(FT$4=0,"","Stig")</f>
        <v/>
      </c>
      <c r="FV6" s="76">
        <f>IF(FV$4=0,"","Þrep")</f>
        <v/>
      </c>
      <c r="FW6" s="76">
        <f>IF(FV$4=0,"","Stig")</f>
        <v/>
      </c>
      <c r="FX6" s="76">
        <f>IF(FX$4=0,"","Þrep")</f>
        <v/>
      </c>
      <c r="FY6" s="76">
        <f>IF(FX$4=0,"","Stig")</f>
        <v/>
      </c>
      <c r="FZ6" s="76">
        <f>IF(FZ$4=0,"","Þrep")</f>
        <v/>
      </c>
      <c r="GA6" s="76">
        <f>IF(FZ$4=0,"","Stig")</f>
        <v/>
      </c>
      <c r="GB6" s="76">
        <f>IF(GB$4=0,"","Þrep")</f>
        <v/>
      </c>
      <c r="GC6" s="76">
        <f>IF(GB$4=0,"","Stig")</f>
        <v/>
      </c>
      <c r="GD6" s="76">
        <f>IF(GD$4=0,"","Þrep")</f>
        <v/>
      </c>
      <c r="GE6" s="76">
        <f>IF(GD$4=0,"","Stig")</f>
        <v/>
      </c>
      <c r="GF6" s="76">
        <f>IF(GF$4=0,"","Þrep")</f>
        <v/>
      </c>
      <c r="GG6" s="76">
        <f>IF(GF$4=0,"","Stig")</f>
        <v/>
      </c>
      <c r="GH6" s="76">
        <f>IF(GH$4=0,"","Þrep")</f>
        <v/>
      </c>
      <c r="GI6" s="76">
        <f>IF(GH$4=0,"","Stig")</f>
        <v/>
      </c>
      <c r="GJ6" s="76">
        <f>IF(GJ$4=0,"","Þrep")</f>
        <v/>
      </c>
      <c r="GK6" s="76">
        <f>IF(GJ$4=0,"","Stig")</f>
        <v/>
      </c>
      <c r="GL6" s="76">
        <f>IF(GL$4=0,"","Þrep")</f>
        <v/>
      </c>
      <c r="GM6" s="76">
        <f>IF(GL$4=0,"","Stig")</f>
        <v/>
      </c>
      <c r="GN6" s="76">
        <f>IF(GN$4=0,"","Þrep")</f>
        <v/>
      </c>
      <c r="GO6" s="76">
        <f>IF(GN$4=0,"","Stig")</f>
        <v/>
      </c>
      <c r="GP6" s="76">
        <f>IF(GP$4=0,"","Þrep")</f>
        <v/>
      </c>
      <c r="GQ6" s="76">
        <f>IF(GP$4=0,"","Stig")</f>
        <v/>
      </c>
      <c r="GR6" s="76">
        <f>IF(GR$4=0,"","Þrep")</f>
        <v/>
      </c>
      <c r="GS6" s="76">
        <f>IF(GR$4=0,"","Stig")</f>
        <v/>
      </c>
      <c r="GT6" s="76">
        <f>IF(GT$4=0,"","Þrep")</f>
        <v/>
      </c>
      <c r="GU6" s="76">
        <f>IF(GT$4=0,"","Stig")</f>
        <v/>
      </c>
      <c r="GV6" s="82" t="n"/>
    </row>
    <row r="7" ht="15" customHeight="1" s="47">
      <c r="A7" s="65">
        <f>ROW()-6</f>
        <v/>
      </c>
      <c r="B7" s="67">
        <f>IF(INDEX(Starfsmenn!$B$6:$B$10005,ROW()-6)="","",INDEX(Starfsmenn!$B$6:$B$10005,ROW()-6))</f>
        <v/>
      </c>
      <c r="C7" s="67">
        <f>IF(INDEX(Starfsmenn!$C$6:$C$10005,ROW()-6)="","",INDEX(Starfsmenn!$C$6:$C$10005,ROW()-6))</f>
        <v/>
      </c>
      <c r="D7" s="66" t="n"/>
      <c r="E7" s="78">
        <f>IF(OR(D$4=0,D7=""),"",IFERROR(ROUND(D7/INDEX(Undirviðmið!$F$6:$F$205,D$4)*INDEX(Undirviðmið!$E$6:$E$205,D$4)*KVARDI,2),""))</f>
        <v/>
      </c>
      <c r="F7" s="66" t="n"/>
      <c r="G7" s="78">
        <f>IF(OR(F$4=0,F7=""),"",IFERROR(ROUND(F7/INDEX(Undirviðmið!$F$6:$F$205,F$4)*INDEX(Undirviðmið!$E$6:$E$205,F$4)*KVARDI,2),""))</f>
        <v/>
      </c>
      <c r="H7" s="66" t="n"/>
      <c r="I7" s="78">
        <f>IF(OR(H$4=0,H7=""),"",IFERROR(ROUND(H7/INDEX(Undirviðmið!$F$6:$F$205,H$4)*INDEX(Undirviðmið!$E$6:$E$205,H$4)*KVARDI,2),""))</f>
        <v/>
      </c>
      <c r="J7" s="66" t="n"/>
      <c r="K7" s="78">
        <f>IF(OR(J$4=0,J7=""),"",IFERROR(ROUND(J7/INDEX(Undirviðmið!$F$6:$F$205,J$4)*INDEX(Undirviðmið!$E$6:$E$205,J$4)*KVARDI,2),""))</f>
        <v/>
      </c>
      <c r="L7" s="66" t="n"/>
      <c r="M7" s="78">
        <f>IF(OR(L$4=0,L7=""),"",IFERROR(ROUND(L7/INDEX(Undirviðmið!$F$6:$F$205,L$4)*INDEX(Undirviðmið!$E$6:$E$205,L$4)*KVARDI,2),""))</f>
        <v/>
      </c>
      <c r="N7" s="66" t="n"/>
      <c r="O7" s="78">
        <f>IF(OR(N$4=0,N7=""),"",IFERROR(ROUND(N7/INDEX(Undirviðmið!$F$6:$F$205,N$4)*INDEX(Undirviðmið!$E$6:$E$205,N$4)*KVARDI,2),""))</f>
        <v/>
      </c>
      <c r="P7" s="66" t="n"/>
      <c r="Q7" s="78">
        <f>IF(OR(P$4=0,P7=""),"",IFERROR(ROUND(P7/INDEX(Undirviðmið!$F$6:$F$205,P$4)*INDEX(Undirviðmið!$E$6:$E$205,P$4)*KVARDI,2),""))</f>
        <v/>
      </c>
      <c r="R7" s="66" t="n"/>
      <c r="S7" s="78">
        <f>IF(OR(R$4=0,R7=""),"",IFERROR(ROUND(R7/INDEX(Undirviðmið!$F$6:$F$205,R$4)*INDEX(Undirviðmið!$E$6:$E$205,R$4)*KVARDI,2),""))</f>
        <v/>
      </c>
      <c r="T7" s="66" t="n"/>
      <c r="U7" s="78">
        <f>IF(OR(T$4=0,T7=""),"",IFERROR(ROUND(T7/INDEX(Undirviðmið!$F$6:$F$205,T$4)*INDEX(Undirviðmið!$E$6:$E$205,T$4)*KVARDI,2),""))</f>
        <v/>
      </c>
      <c r="V7" s="66" t="n"/>
      <c r="W7" s="78">
        <f>IF(OR(V$4=0,V7=""),"",IFERROR(ROUND(V7/INDEX(Undirviðmið!$F$6:$F$205,V$4)*INDEX(Undirviðmið!$E$6:$E$205,V$4)*KVARDI,2),""))</f>
        <v/>
      </c>
      <c r="X7" s="66" t="n"/>
      <c r="Y7" s="78">
        <f>IF(OR(X$4=0,X7=""),"",IFERROR(ROUND(X7/INDEX(Undirviðmið!$F$6:$F$205,X$4)*INDEX(Undirviðmið!$E$6:$E$205,X$4)*KVARDI,2),""))</f>
        <v/>
      </c>
      <c r="Z7" s="66" t="n"/>
      <c r="AA7" s="78">
        <f>IF(OR(Z$4=0,Z7=""),"",IFERROR(ROUND(Z7/INDEX(Undirviðmið!$F$6:$F$205,Z$4)*INDEX(Undirviðmið!$E$6:$E$205,Z$4)*KVARDI,2),""))</f>
        <v/>
      </c>
      <c r="AB7" s="66" t="n"/>
      <c r="AC7" s="78">
        <f>IF(OR(AB$4=0,AB7=""),"",IFERROR(ROUND(AB7/INDEX(Undirviðmið!$F$6:$F$205,AB$4)*INDEX(Undirviðmið!$E$6:$E$205,AB$4)*KVARDI,2),""))</f>
        <v/>
      </c>
      <c r="AD7" s="66" t="n"/>
      <c r="AE7" s="78">
        <f>IF(OR(AD$4=0,AD7=""),"",IFERROR(ROUND(AD7/INDEX(Undirviðmið!$F$6:$F$205,AD$4)*INDEX(Undirviðmið!$E$6:$E$205,AD$4)*KVARDI,2),""))</f>
        <v/>
      </c>
      <c r="AF7" s="66" t="n"/>
      <c r="AG7" s="78">
        <f>IF(OR(AF$4=0,AF7=""),"",IFERROR(ROUND(AF7/INDEX(Undirviðmið!$F$6:$F$205,AF$4)*INDEX(Undirviðmið!$E$6:$E$205,AF$4)*KVARDI,2),""))</f>
        <v/>
      </c>
      <c r="AH7" s="66" t="n"/>
      <c r="AI7" s="78">
        <f>IF(OR(AH$4=0,AH7=""),"",IFERROR(ROUND(AH7/INDEX(Undirviðmið!$F$6:$F$205,AH$4)*INDEX(Undirviðmið!$E$6:$E$205,AH$4)*KVARDI,2),""))</f>
        <v/>
      </c>
      <c r="AJ7" s="66" t="n"/>
      <c r="AK7" s="78">
        <f>IF(OR(AJ$4=0,AJ7=""),"",IFERROR(ROUND(AJ7/INDEX(Undirviðmið!$F$6:$F$205,AJ$4)*INDEX(Undirviðmið!$E$6:$E$205,AJ$4)*KVARDI,2),""))</f>
        <v/>
      </c>
      <c r="AL7" s="66" t="n"/>
      <c r="AM7" s="78">
        <f>IF(OR(AL$4=0,AL7=""),"",IFERROR(ROUND(AL7/INDEX(Undirviðmið!$F$6:$F$205,AL$4)*INDEX(Undirviðmið!$E$6:$E$205,AL$4)*KVARDI,2),""))</f>
        <v/>
      </c>
      <c r="AN7" s="66" t="n"/>
      <c r="AO7" s="78">
        <f>IF(OR(AN$4=0,AN7=""),"",IFERROR(ROUND(AN7/INDEX(Undirviðmið!$F$6:$F$205,AN$4)*INDEX(Undirviðmið!$E$6:$E$205,AN$4)*KVARDI,2),""))</f>
        <v/>
      </c>
      <c r="AP7" s="66" t="n"/>
      <c r="AQ7" s="78">
        <f>IF(OR(AP$4=0,AP7=""),"",IFERROR(ROUND(AP7/INDEX(Undirviðmið!$F$6:$F$205,AP$4)*INDEX(Undirviðmið!$E$6:$E$205,AP$4)*KVARDI,2),""))</f>
        <v/>
      </c>
      <c r="AR7" s="66" t="n"/>
      <c r="AS7" s="78">
        <f>IF(OR(AR$4=0,AR7=""),"",IFERROR(ROUND(AR7/INDEX(Undirviðmið!$F$6:$F$205,AR$4)*INDEX(Undirviðmið!$E$6:$E$205,AR$4)*KVARDI,2),""))</f>
        <v/>
      </c>
      <c r="AT7" s="66" t="n"/>
      <c r="AU7" s="78">
        <f>IF(OR(AT$4=0,AT7=""),"",IFERROR(ROUND(AT7/INDEX(Undirviðmið!$F$6:$F$205,AT$4)*INDEX(Undirviðmið!$E$6:$E$205,AT$4)*KVARDI,2),""))</f>
        <v/>
      </c>
      <c r="AV7" s="66" t="n"/>
      <c r="AW7" s="78">
        <f>IF(OR(AV$4=0,AV7=""),"",IFERROR(ROUND(AV7/INDEX(Undirviðmið!$F$6:$F$205,AV$4)*INDEX(Undirviðmið!$E$6:$E$205,AV$4)*KVARDI,2),""))</f>
        <v/>
      </c>
      <c r="AX7" s="66" t="n"/>
      <c r="AY7" s="78">
        <f>IF(OR(AX$4=0,AX7=""),"",IFERROR(ROUND(AX7/INDEX(Undirviðmið!$F$6:$F$205,AX$4)*INDEX(Undirviðmið!$E$6:$E$205,AX$4)*KVARDI,2),""))</f>
        <v/>
      </c>
      <c r="AZ7" s="66" t="n"/>
      <c r="BA7" s="78">
        <f>IF(OR(AZ$4=0,AZ7=""),"",IFERROR(ROUND(AZ7/INDEX(Undirviðmið!$F$6:$F$205,AZ$4)*INDEX(Undirviðmið!$E$6:$E$205,AZ$4)*KVARDI,2),""))</f>
        <v/>
      </c>
      <c r="BB7" s="66" t="n"/>
      <c r="BC7" s="78">
        <f>IF(OR(BB$4=0,BB7=""),"",IFERROR(ROUND(BB7/INDEX(Undirviðmið!$F$6:$F$205,BB$4)*INDEX(Undirviðmið!$E$6:$E$205,BB$4)*KVARDI,2),""))</f>
        <v/>
      </c>
      <c r="BD7" s="66" t="n"/>
      <c r="BE7" s="78">
        <f>IF(OR(BD$4=0,BD7=""),"",IFERROR(ROUND(BD7/INDEX(Undirviðmið!$F$6:$F$205,BD$4)*INDEX(Undirviðmið!$E$6:$E$205,BD$4)*KVARDI,2),""))</f>
        <v/>
      </c>
      <c r="BF7" s="66" t="n"/>
      <c r="BG7" s="78">
        <f>IF(OR(BF$4=0,BF7=""),"",IFERROR(ROUND(BF7/INDEX(Undirviðmið!$F$6:$F$205,BF$4)*INDEX(Undirviðmið!$E$6:$E$205,BF$4)*KVARDI,2),""))</f>
        <v/>
      </c>
      <c r="BH7" s="66" t="n"/>
      <c r="BI7" s="78">
        <f>IF(OR(BH$4=0,BH7=""),"",IFERROR(ROUND(BH7/INDEX(Undirviðmið!$F$6:$F$205,BH$4)*INDEX(Undirviðmið!$E$6:$E$205,BH$4)*KVARDI,2),""))</f>
        <v/>
      </c>
      <c r="BJ7" s="66" t="n"/>
      <c r="BK7" s="78">
        <f>IF(OR(BJ$4=0,BJ7=""),"",IFERROR(ROUND(BJ7/INDEX(Undirviðmið!$F$6:$F$205,BJ$4)*INDEX(Undirviðmið!$E$6:$E$205,BJ$4)*KVARDI,2),""))</f>
        <v/>
      </c>
      <c r="BL7" s="66" t="n"/>
      <c r="BM7" s="78">
        <f>IF(OR(BL$4=0,BL7=""),"",IFERROR(ROUND(BL7/INDEX(Undirviðmið!$F$6:$F$205,BL$4)*INDEX(Undirviðmið!$E$6:$E$205,BL$4)*KVARDI,2),""))</f>
        <v/>
      </c>
      <c r="BN7" s="66" t="n"/>
      <c r="BO7" s="78">
        <f>IF(OR(BN$4=0,BN7=""),"",IFERROR(ROUND(BN7/INDEX(Undirviðmið!$F$6:$F$205,BN$4)*INDEX(Undirviðmið!$E$6:$E$205,BN$4)*KVARDI,2),""))</f>
        <v/>
      </c>
      <c r="BP7" s="66" t="n"/>
      <c r="BQ7" s="78">
        <f>IF(OR(BP$4=0,BP7=""),"",IFERROR(ROUND(BP7/INDEX(Undirviðmið!$F$6:$F$205,BP$4)*INDEX(Undirviðmið!$E$6:$E$205,BP$4)*KVARDI,2),""))</f>
        <v/>
      </c>
      <c r="BR7" s="66" t="n"/>
      <c r="BS7" s="78">
        <f>IF(OR(BR$4=0,BR7=""),"",IFERROR(ROUND(BR7/INDEX(Undirviðmið!$F$6:$F$205,BR$4)*INDEX(Undirviðmið!$E$6:$E$205,BR$4)*KVARDI,2),""))</f>
        <v/>
      </c>
      <c r="BT7" s="66" t="n"/>
      <c r="BU7" s="78">
        <f>IF(OR(BT$4=0,BT7=""),"",IFERROR(ROUND(BT7/INDEX(Undirviðmið!$F$6:$F$205,BT$4)*INDEX(Undirviðmið!$E$6:$E$205,BT$4)*KVARDI,2),""))</f>
        <v/>
      </c>
      <c r="BV7" s="66" t="n"/>
      <c r="BW7" s="78">
        <f>IF(OR(BV$4=0,BV7=""),"",IFERROR(ROUND(BV7/INDEX(Undirviðmið!$F$6:$F$205,BV$4)*INDEX(Undirviðmið!$E$6:$E$205,BV$4)*KVARDI,2),""))</f>
        <v/>
      </c>
      <c r="BX7" s="66" t="n"/>
      <c r="BY7" s="78">
        <f>IF(OR(BX$4=0,BX7=""),"",IFERROR(ROUND(BX7/INDEX(Undirviðmið!$F$6:$F$205,BX$4)*INDEX(Undirviðmið!$E$6:$E$205,BX$4)*KVARDI,2),""))</f>
        <v/>
      </c>
      <c r="BZ7" s="66" t="n"/>
      <c r="CA7" s="78">
        <f>IF(OR(BZ$4=0,BZ7=""),"",IFERROR(ROUND(BZ7/INDEX(Undirviðmið!$F$6:$F$205,BZ$4)*INDEX(Undirviðmið!$E$6:$E$205,BZ$4)*KVARDI,2),""))</f>
        <v/>
      </c>
      <c r="CB7" s="66" t="n"/>
      <c r="CC7" s="78">
        <f>IF(OR(CB$4=0,CB7=""),"",IFERROR(ROUND(CB7/INDEX(Undirviðmið!$F$6:$F$205,CB$4)*INDEX(Undirviðmið!$E$6:$E$205,CB$4)*KVARDI,2),""))</f>
        <v/>
      </c>
      <c r="CD7" s="66" t="n"/>
      <c r="CE7" s="78">
        <f>IF(OR(CD$4=0,CD7=""),"",IFERROR(ROUND(CD7/INDEX(Undirviðmið!$F$6:$F$205,CD$4)*INDEX(Undirviðmið!$E$6:$E$205,CD$4)*KVARDI,2),""))</f>
        <v/>
      </c>
      <c r="CF7" s="66" t="n"/>
      <c r="CG7" s="78">
        <f>IF(OR(CF$4=0,CF7=""),"",IFERROR(ROUND(CF7/INDEX(Undirviðmið!$F$6:$F$205,CF$4)*INDEX(Undirviðmið!$E$6:$E$205,CF$4)*KVARDI,2),""))</f>
        <v/>
      </c>
      <c r="CH7" s="66" t="n"/>
      <c r="CI7" s="78">
        <f>IF(OR(CH$4=0,CH7=""),"",IFERROR(ROUND(CH7/INDEX(Undirviðmið!$F$6:$F$205,CH$4)*INDEX(Undirviðmið!$E$6:$E$205,CH$4)*KVARDI,2),""))</f>
        <v/>
      </c>
      <c r="CJ7" s="66" t="n"/>
      <c r="CK7" s="78">
        <f>IF(OR(CJ$4=0,CJ7=""),"",IFERROR(ROUND(CJ7/INDEX(Undirviðmið!$F$6:$F$205,CJ$4)*INDEX(Undirviðmið!$E$6:$E$205,CJ$4)*KVARDI,2),""))</f>
        <v/>
      </c>
      <c r="CL7" s="66" t="n"/>
      <c r="CM7" s="78">
        <f>IF(OR(CL$4=0,CL7=""),"",IFERROR(ROUND(CL7/INDEX(Undirviðmið!$F$6:$F$205,CL$4)*INDEX(Undirviðmið!$E$6:$E$205,CL$4)*KVARDI,2),""))</f>
        <v/>
      </c>
      <c r="CN7" s="66" t="n"/>
      <c r="CO7" s="78">
        <f>IF(OR(CN$4=0,CN7=""),"",IFERROR(ROUND(CN7/INDEX(Undirviðmið!$F$6:$F$205,CN$4)*INDEX(Undirviðmið!$E$6:$E$205,CN$4)*KVARDI,2),""))</f>
        <v/>
      </c>
      <c r="CP7" s="66" t="n"/>
      <c r="CQ7" s="78">
        <f>IF(OR(CP$4=0,CP7=""),"",IFERROR(ROUND(CP7/INDEX(Undirviðmið!$F$6:$F$205,CP$4)*INDEX(Undirviðmið!$E$6:$E$205,CP$4)*KVARDI,2),""))</f>
        <v/>
      </c>
      <c r="CR7" s="66" t="n"/>
      <c r="CS7" s="78">
        <f>IF(OR(CR$4=0,CR7=""),"",IFERROR(ROUND(CR7/INDEX(Undirviðmið!$F$6:$F$205,CR$4)*INDEX(Undirviðmið!$E$6:$E$205,CR$4)*KVARDI,2),""))</f>
        <v/>
      </c>
      <c r="CT7" s="66" t="n"/>
      <c r="CU7" s="78">
        <f>IF(OR(CT$4=0,CT7=""),"",IFERROR(ROUND(CT7/INDEX(Undirviðmið!$F$6:$F$205,CT$4)*INDEX(Undirviðmið!$E$6:$E$205,CT$4)*KVARDI,2),""))</f>
        <v/>
      </c>
      <c r="CV7" s="66" t="n"/>
      <c r="CW7" s="78">
        <f>IF(OR(CV$4=0,CV7=""),"",IFERROR(ROUND(CV7/INDEX(Undirviðmið!$F$6:$F$205,CV$4)*INDEX(Undirviðmið!$E$6:$E$205,CV$4)*KVARDI,2),""))</f>
        <v/>
      </c>
      <c r="CX7" s="66" t="n"/>
      <c r="CY7" s="78">
        <f>IF(OR(CX$4=0,CX7=""),"",IFERROR(ROUND(CX7/INDEX(Undirviðmið!$F$6:$F$205,CX$4)*INDEX(Undirviðmið!$E$6:$E$205,CX$4)*KVARDI,2),""))</f>
        <v/>
      </c>
      <c r="CZ7" s="66" t="n"/>
      <c r="DA7" s="78">
        <f>IF(OR(CZ$4=0,CZ7=""),"",IFERROR(ROUND(CZ7/INDEX(Undirviðmið!$F$6:$F$205,CZ$4)*INDEX(Undirviðmið!$E$6:$E$205,CZ$4)*KVARDI,2),""))</f>
        <v/>
      </c>
      <c r="DB7" s="66" t="n"/>
      <c r="DC7" s="78">
        <f>IF(OR(DB$4=0,DB7=""),"",IFERROR(ROUND(DB7/INDEX(Undirviðmið!$F$6:$F$205,DB$4)*INDEX(Undirviðmið!$E$6:$E$205,DB$4)*KVARDI,2),""))</f>
        <v/>
      </c>
      <c r="DD7" s="66" t="n"/>
      <c r="DE7" s="78">
        <f>IF(OR(DD$4=0,DD7=""),"",IFERROR(ROUND(DD7/INDEX(Undirviðmið!$F$6:$F$205,DD$4)*INDEX(Undirviðmið!$E$6:$E$205,DD$4)*KVARDI,2),""))</f>
        <v/>
      </c>
      <c r="DF7" s="66" t="n"/>
      <c r="DG7" s="78">
        <f>IF(OR(DF$4=0,DF7=""),"",IFERROR(ROUND(DF7/INDEX(Undirviðmið!$F$6:$F$205,DF$4)*INDEX(Undirviðmið!$E$6:$E$205,DF$4)*KVARDI,2),""))</f>
        <v/>
      </c>
      <c r="DH7" s="66" t="n"/>
      <c r="DI7" s="78">
        <f>IF(OR(DH$4=0,DH7=""),"",IFERROR(ROUND(DH7/INDEX(Undirviðmið!$F$6:$F$205,DH$4)*INDEX(Undirviðmið!$E$6:$E$205,DH$4)*KVARDI,2),""))</f>
        <v/>
      </c>
      <c r="DJ7" s="66" t="n"/>
      <c r="DK7" s="78">
        <f>IF(OR(DJ$4=0,DJ7=""),"",IFERROR(ROUND(DJ7/INDEX(Undirviðmið!$F$6:$F$205,DJ$4)*INDEX(Undirviðmið!$E$6:$E$205,DJ$4)*KVARDI,2),""))</f>
        <v/>
      </c>
      <c r="DL7" s="66" t="n"/>
      <c r="DM7" s="78">
        <f>IF(OR(DL$4=0,DL7=""),"",IFERROR(ROUND(DL7/INDEX(Undirviðmið!$F$6:$F$205,DL$4)*INDEX(Undirviðmið!$E$6:$E$205,DL$4)*KVARDI,2),""))</f>
        <v/>
      </c>
      <c r="DN7" s="66" t="n"/>
      <c r="DO7" s="78">
        <f>IF(OR(DN$4=0,DN7=""),"",IFERROR(ROUND(DN7/INDEX(Undirviðmið!$F$6:$F$205,DN$4)*INDEX(Undirviðmið!$E$6:$E$205,DN$4)*KVARDI,2),""))</f>
        <v/>
      </c>
      <c r="DP7" s="66" t="n"/>
      <c r="DQ7" s="78">
        <f>IF(OR(DP$4=0,DP7=""),"",IFERROR(ROUND(DP7/INDEX(Undirviðmið!$F$6:$F$205,DP$4)*INDEX(Undirviðmið!$E$6:$E$205,DP$4)*KVARDI,2),""))</f>
        <v/>
      </c>
      <c r="DR7" s="66" t="n"/>
      <c r="DS7" s="78">
        <f>IF(OR(DR$4=0,DR7=""),"",IFERROR(ROUND(DR7/INDEX(Undirviðmið!$F$6:$F$205,DR$4)*INDEX(Undirviðmið!$E$6:$E$205,DR$4)*KVARDI,2),""))</f>
        <v/>
      </c>
      <c r="DT7" s="66" t="n"/>
      <c r="DU7" s="78">
        <f>IF(OR(DT$4=0,DT7=""),"",IFERROR(ROUND(DT7/INDEX(Undirviðmið!$F$6:$F$205,DT$4)*INDEX(Undirviðmið!$E$6:$E$205,DT$4)*KVARDI,2),""))</f>
        <v/>
      </c>
      <c r="DV7" s="66" t="n"/>
      <c r="DW7" s="78">
        <f>IF(OR(DV$4=0,DV7=""),"",IFERROR(ROUND(DV7/INDEX(Undirviðmið!$F$6:$F$205,DV$4)*INDEX(Undirviðmið!$E$6:$E$205,DV$4)*KVARDI,2),""))</f>
        <v/>
      </c>
      <c r="DX7" s="66" t="n"/>
      <c r="DY7" s="78">
        <f>IF(OR(DX$4=0,DX7=""),"",IFERROR(ROUND(DX7/INDEX(Undirviðmið!$F$6:$F$205,DX$4)*INDEX(Undirviðmið!$E$6:$E$205,DX$4)*KVARDI,2),""))</f>
        <v/>
      </c>
      <c r="DZ7" s="66" t="n"/>
      <c r="EA7" s="78">
        <f>IF(OR(DZ$4=0,DZ7=""),"",IFERROR(ROUND(DZ7/INDEX(Undirviðmið!$F$6:$F$205,DZ$4)*INDEX(Undirviðmið!$E$6:$E$205,DZ$4)*KVARDI,2),""))</f>
        <v/>
      </c>
      <c r="EB7" s="66" t="n"/>
      <c r="EC7" s="78">
        <f>IF(OR(EB$4=0,EB7=""),"",IFERROR(ROUND(EB7/INDEX(Undirviðmið!$F$6:$F$205,EB$4)*INDEX(Undirviðmið!$E$6:$E$205,EB$4)*KVARDI,2),""))</f>
        <v/>
      </c>
      <c r="ED7" s="66" t="n"/>
      <c r="EE7" s="78">
        <f>IF(OR(ED$4=0,ED7=""),"",IFERROR(ROUND(ED7/INDEX(Undirviðmið!$F$6:$F$205,ED$4)*INDEX(Undirviðmið!$E$6:$E$205,ED$4)*KVARDI,2),""))</f>
        <v/>
      </c>
      <c r="EF7" s="66" t="n"/>
      <c r="EG7" s="78">
        <f>IF(OR(EF$4=0,EF7=""),"",IFERROR(ROUND(EF7/INDEX(Undirviðmið!$F$6:$F$205,EF$4)*INDEX(Undirviðmið!$E$6:$E$205,EF$4)*KVARDI,2),""))</f>
        <v/>
      </c>
      <c r="EH7" s="66" t="n"/>
      <c r="EI7" s="78">
        <f>IF(OR(EH$4=0,EH7=""),"",IFERROR(ROUND(EH7/INDEX(Undirviðmið!$F$6:$F$205,EH$4)*INDEX(Undirviðmið!$E$6:$E$205,EH$4)*KVARDI,2),""))</f>
        <v/>
      </c>
      <c r="EJ7" s="66" t="n"/>
      <c r="EK7" s="78">
        <f>IF(OR(EJ$4=0,EJ7=""),"",IFERROR(ROUND(EJ7/INDEX(Undirviðmið!$F$6:$F$205,EJ$4)*INDEX(Undirviðmið!$E$6:$E$205,EJ$4)*KVARDI,2),""))</f>
        <v/>
      </c>
      <c r="EL7" s="66" t="n"/>
      <c r="EM7" s="78">
        <f>IF(OR(EL$4=0,EL7=""),"",IFERROR(ROUND(EL7/INDEX(Undirviðmið!$F$6:$F$205,EL$4)*INDEX(Undirviðmið!$E$6:$E$205,EL$4)*KVARDI,2),""))</f>
        <v/>
      </c>
      <c r="EN7" s="66" t="n"/>
      <c r="EO7" s="78">
        <f>IF(OR(EN$4=0,EN7=""),"",IFERROR(ROUND(EN7/INDEX(Undirviðmið!$F$6:$F$205,EN$4)*INDEX(Undirviðmið!$E$6:$E$205,EN$4)*KVARDI,2),""))</f>
        <v/>
      </c>
      <c r="EP7" s="66" t="n"/>
      <c r="EQ7" s="78">
        <f>IF(OR(EP$4=0,EP7=""),"",IFERROR(ROUND(EP7/INDEX(Undirviðmið!$F$6:$F$205,EP$4)*INDEX(Undirviðmið!$E$6:$E$205,EP$4)*KVARDI,2),""))</f>
        <v/>
      </c>
      <c r="ER7" s="66" t="n"/>
      <c r="ES7" s="78">
        <f>IF(OR(ER$4=0,ER7=""),"",IFERROR(ROUND(ER7/INDEX(Undirviðmið!$F$6:$F$205,ER$4)*INDEX(Undirviðmið!$E$6:$E$205,ER$4)*KVARDI,2),""))</f>
        <v/>
      </c>
      <c r="ET7" s="66" t="n"/>
      <c r="EU7" s="78">
        <f>IF(OR(ET$4=0,ET7=""),"",IFERROR(ROUND(ET7/INDEX(Undirviðmið!$F$6:$F$205,ET$4)*INDEX(Undirviðmið!$E$6:$E$205,ET$4)*KVARDI,2),""))</f>
        <v/>
      </c>
      <c r="EV7" s="66" t="n"/>
      <c r="EW7" s="78">
        <f>IF(OR(EV$4=0,EV7=""),"",IFERROR(ROUND(EV7/INDEX(Undirviðmið!$F$6:$F$205,EV$4)*INDEX(Undirviðmið!$E$6:$E$205,EV$4)*KVARDI,2),""))</f>
        <v/>
      </c>
      <c r="EX7" s="66" t="n"/>
      <c r="EY7" s="78">
        <f>IF(OR(EX$4=0,EX7=""),"",IFERROR(ROUND(EX7/INDEX(Undirviðmið!$F$6:$F$205,EX$4)*INDEX(Undirviðmið!$E$6:$E$205,EX$4)*KVARDI,2),""))</f>
        <v/>
      </c>
      <c r="EZ7" s="66" t="n"/>
      <c r="FA7" s="78">
        <f>IF(OR(EZ$4=0,EZ7=""),"",IFERROR(ROUND(EZ7/INDEX(Undirviðmið!$F$6:$F$205,EZ$4)*INDEX(Undirviðmið!$E$6:$E$205,EZ$4)*KVARDI,2),""))</f>
        <v/>
      </c>
      <c r="FB7" s="66" t="n"/>
      <c r="FC7" s="78">
        <f>IF(OR(FB$4=0,FB7=""),"",IFERROR(ROUND(FB7/INDEX(Undirviðmið!$F$6:$F$205,FB$4)*INDEX(Undirviðmið!$E$6:$E$205,FB$4)*KVARDI,2),""))</f>
        <v/>
      </c>
      <c r="FD7" s="66" t="n"/>
      <c r="FE7" s="78">
        <f>IF(OR(FD$4=0,FD7=""),"",IFERROR(ROUND(FD7/INDEX(Undirviðmið!$F$6:$F$205,FD$4)*INDEX(Undirviðmið!$E$6:$E$205,FD$4)*KVARDI,2),""))</f>
        <v/>
      </c>
      <c r="FF7" s="66" t="n"/>
      <c r="FG7" s="78">
        <f>IF(OR(FF$4=0,FF7=""),"",IFERROR(ROUND(FF7/INDEX(Undirviðmið!$F$6:$F$205,FF$4)*INDEX(Undirviðmið!$E$6:$E$205,FF$4)*KVARDI,2),""))</f>
        <v/>
      </c>
      <c r="FH7" s="66" t="n"/>
      <c r="FI7" s="78">
        <f>IF(OR(FH$4=0,FH7=""),"",IFERROR(ROUND(FH7/INDEX(Undirviðmið!$F$6:$F$205,FH$4)*INDEX(Undirviðmið!$E$6:$E$205,FH$4)*KVARDI,2),""))</f>
        <v/>
      </c>
      <c r="FJ7" s="66" t="n"/>
      <c r="FK7" s="78">
        <f>IF(OR(FJ$4=0,FJ7=""),"",IFERROR(ROUND(FJ7/INDEX(Undirviðmið!$F$6:$F$205,FJ$4)*INDEX(Undirviðmið!$E$6:$E$205,FJ$4)*KVARDI,2),""))</f>
        <v/>
      </c>
      <c r="FL7" s="66" t="n"/>
      <c r="FM7" s="78">
        <f>IF(OR(FL$4=0,FL7=""),"",IFERROR(ROUND(FL7/INDEX(Undirviðmið!$F$6:$F$205,FL$4)*INDEX(Undirviðmið!$E$6:$E$205,FL$4)*KVARDI,2),""))</f>
        <v/>
      </c>
      <c r="FN7" s="66" t="n"/>
      <c r="FO7" s="78">
        <f>IF(OR(FN$4=0,FN7=""),"",IFERROR(ROUND(FN7/INDEX(Undirviðmið!$F$6:$F$205,FN$4)*INDEX(Undirviðmið!$E$6:$E$205,FN$4)*KVARDI,2),""))</f>
        <v/>
      </c>
      <c r="FP7" s="66" t="n"/>
      <c r="FQ7" s="78">
        <f>IF(OR(FP$4=0,FP7=""),"",IFERROR(ROUND(FP7/INDEX(Undirviðmið!$F$6:$F$205,FP$4)*INDEX(Undirviðmið!$E$6:$E$205,FP$4)*KVARDI,2),""))</f>
        <v/>
      </c>
      <c r="FR7" s="66" t="n"/>
      <c r="FS7" s="78">
        <f>IF(OR(FR$4=0,FR7=""),"",IFERROR(ROUND(FR7/INDEX(Undirviðmið!$F$6:$F$205,FR$4)*INDEX(Undirviðmið!$E$6:$E$205,FR$4)*KVARDI,2),""))</f>
        <v/>
      </c>
      <c r="FT7" s="66" t="n"/>
      <c r="FU7" s="78">
        <f>IF(OR(FT$4=0,FT7=""),"",IFERROR(ROUND(FT7/INDEX(Undirviðmið!$F$6:$F$205,FT$4)*INDEX(Undirviðmið!$E$6:$E$205,FT$4)*KVARDI,2),""))</f>
        <v/>
      </c>
      <c r="FV7" s="66" t="n"/>
      <c r="FW7" s="78">
        <f>IF(OR(FV$4=0,FV7=""),"",IFERROR(ROUND(FV7/INDEX(Undirviðmið!$F$6:$F$205,FV$4)*INDEX(Undirviðmið!$E$6:$E$205,FV$4)*KVARDI,2),""))</f>
        <v/>
      </c>
      <c r="FX7" s="66" t="n"/>
      <c r="FY7" s="78">
        <f>IF(OR(FX$4=0,FX7=""),"",IFERROR(ROUND(FX7/INDEX(Undirviðmið!$F$6:$F$205,FX$4)*INDEX(Undirviðmið!$E$6:$E$205,FX$4)*KVARDI,2),""))</f>
        <v/>
      </c>
      <c r="FZ7" s="66" t="n"/>
      <c r="GA7" s="78">
        <f>IF(OR(FZ$4=0,FZ7=""),"",IFERROR(ROUND(FZ7/INDEX(Undirviðmið!$F$6:$F$205,FZ$4)*INDEX(Undirviðmið!$E$6:$E$205,FZ$4)*KVARDI,2),""))</f>
        <v/>
      </c>
      <c r="GB7" s="66" t="n"/>
      <c r="GC7" s="78">
        <f>IF(OR(GB$4=0,GB7=""),"",IFERROR(ROUND(GB7/INDEX(Undirviðmið!$F$6:$F$205,GB$4)*INDEX(Undirviðmið!$E$6:$E$205,GB$4)*KVARDI,2),""))</f>
        <v/>
      </c>
      <c r="GD7" s="66" t="n"/>
      <c r="GE7" s="78">
        <f>IF(OR(GD$4=0,GD7=""),"",IFERROR(ROUND(GD7/INDEX(Undirviðmið!$F$6:$F$205,GD$4)*INDEX(Undirviðmið!$E$6:$E$205,GD$4)*KVARDI,2),""))</f>
        <v/>
      </c>
      <c r="GF7" s="66" t="n"/>
      <c r="GG7" s="78">
        <f>IF(OR(GF$4=0,GF7=""),"",IFERROR(ROUND(GF7/INDEX(Undirviðmið!$F$6:$F$205,GF$4)*INDEX(Undirviðmið!$E$6:$E$205,GF$4)*KVARDI,2),""))</f>
        <v/>
      </c>
      <c r="GH7" s="66" t="n"/>
      <c r="GI7" s="78">
        <f>IF(OR(GH$4=0,GH7=""),"",IFERROR(ROUND(GH7/INDEX(Undirviðmið!$F$6:$F$205,GH$4)*INDEX(Undirviðmið!$E$6:$E$205,GH$4)*KVARDI,2),""))</f>
        <v/>
      </c>
      <c r="GJ7" s="66" t="n"/>
      <c r="GK7" s="78">
        <f>IF(OR(GJ$4=0,GJ7=""),"",IFERROR(ROUND(GJ7/INDEX(Undirviðmið!$F$6:$F$205,GJ$4)*INDEX(Undirviðmið!$E$6:$E$205,GJ$4)*KVARDI,2),""))</f>
        <v/>
      </c>
      <c r="GL7" s="66" t="n"/>
      <c r="GM7" s="78">
        <f>IF(OR(GL$4=0,GL7=""),"",IFERROR(ROUND(GL7/INDEX(Undirviðmið!$F$6:$F$205,GL$4)*INDEX(Undirviðmið!$E$6:$E$205,GL$4)*KVARDI,2),""))</f>
        <v/>
      </c>
      <c r="GN7" s="66" t="n"/>
      <c r="GO7" s="78">
        <f>IF(OR(GN$4=0,GN7=""),"",IFERROR(ROUND(GN7/INDEX(Undirviðmið!$F$6:$F$205,GN$4)*INDEX(Undirviðmið!$E$6:$E$205,GN$4)*KVARDI,2),""))</f>
        <v/>
      </c>
      <c r="GP7" s="66" t="n"/>
      <c r="GQ7" s="78">
        <f>IF(OR(GP$4=0,GP7=""),"",IFERROR(ROUND(GP7/INDEX(Undirviðmið!$F$6:$F$205,GP$4)*INDEX(Undirviðmið!$E$6:$E$205,GP$4)*KVARDI,2),""))</f>
        <v/>
      </c>
      <c r="GR7" s="66" t="n"/>
      <c r="GS7" s="78">
        <f>IF(OR(GR$4=0,GR7=""),"",IFERROR(ROUND(GR7/INDEX(Undirviðmið!$F$6:$F$205,GR$4)*INDEX(Undirviðmið!$E$6:$E$205,GR$4)*KVARDI,2),""))</f>
        <v/>
      </c>
      <c r="GT7" s="66" t="n"/>
      <c r="GU7" s="78">
        <f>IF(OR(GT$4=0,GT7=""),"",IFERROR(ROUND(GT7/INDEX(Undirviðmið!$F$6:$F$205,GT$4)*INDEX(Undirviðmið!$E$6:$E$205,GT$4)*KVARDI,2),""))</f>
        <v/>
      </c>
      <c r="GV7" s="63">
        <f>IFERROR(SUMIF($D$6:GU$6,"Stig",$D7:GU7),0)</f>
        <v/>
      </c>
    </row>
    <row r="8" ht="15" customHeight="1" s="47">
      <c r="A8" s="65">
        <f>ROW()-6</f>
        <v/>
      </c>
      <c r="B8" s="67">
        <f>IF(INDEX(Starfsmenn!$B$6:$B$10005,ROW()-6)="","",INDEX(Starfsmenn!$B$6:$B$10005,ROW()-6))</f>
        <v/>
      </c>
      <c r="C8" s="67">
        <f>IF(INDEX(Starfsmenn!$C$6:$C$10005,ROW()-6)="","",INDEX(Starfsmenn!$C$6:$C$10005,ROW()-6))</f>
        <v/>
      </c>
      <c r="D8" s="66" t="n"/>
      <c r="E8" s="78">
        <f>IF(OR(D$4=0,D8=""),"",IFERROR(ROUND(D8/INDEX(Undirviðmið!$F$6:$F$205,D$4)*INDEX(Undirviðmið!$E$6:$E$205,D$4)*KVARDI,2),""))</f>
        <v/>
      </c>
      <c r="F8" s="66" t="n"/>
      <c r="G8" s="78">
        <f>IF(OR(F$4=0,F8=""),"",IFERROR(ROUND(F8/INDEX(Undirviðmið!$F$6:$F$205,F$4)*INDEX(Undirviðmið!$E$6:$E$205,F$4)*KVARDI,2),""))</f>
        <v/>
      </c>
      <c r="H8" s="66" t="n"/>
      <c r="I8" s="78">
        <f>IF(OR(H$4=0,H8=""),"",IFERROR(ROUND(H8/INDEX(Undirviðmið!$F$6:$F$205,H$4)*INDEX(Undirviðmið!$E$6:$E$205,H$4)*KVARDI,2),""))</f>
        <v/>
      </c>
      <c r="J8" s="66" t="n"/>
      <c r="K8" s="78">
        <f>IF(OR(J$4=0,J8=""),"",IFERROR(ROUND(J8/INDEX(Undirviðmið!$F$6:$F$205,J$4)*INDEX(Undirviðmið!$E$6:$E$205,J$4)*KVARDI,2),""))</f>
        <v/>
      </c>
      <c r="L8" s="66" t="n"/>
      <c r="M8" s="78">
        <f>IF(OR(L$4=0,L8=""),"",IFERROR(ROUND(L8/INDEX(Undirviðmið!$F$6:$F$205,L$4)*INDEX(Undirviðmið!$E$6:$E$205,L$4)*KVARDI,2),""))</f>
        <v/>
      </c>
      <c r="N8" s="66" t="n"/>
      <c r="O8" s="78">
        <f>IF(OR(N$4=0,N8=""),"",IFERROR(ROUND(N8/INDEX(Undirviðmið!$F$6:$F$205,N$4)*INDEX(Undirviðmið!$E$6:$E$205,N$4)*KVARDI,2),""))</f>
        <v/>
      </c>
      <c r="P8" s="66" t="n"/>
      <c r="Q8" s="78">
        <f>IF(OR(P$4=0,P8=""),"",IFERROR(ROUND(P8/INDEX(Undirviðmið!$F$6:$F$205,P$4)*INDEX(Undirviðmið!$E$6:$E$205,P$4)*KVARDI,2),""))</f>
        <v/>
      </c>
      <c r="R8" s="66" t="n"/>
      <c r="S8" s="78">
        <f>IF(OR(R$4=0,R8=""),"",IFERROR(ROUND(R8/INDEX(Undirviðmið!$F$6:$F$205,R$4)*INDEX(Undirviðmið!$E$6:$E$205,R$4)*KVARDI,2),""))</f>
        <v/>
      </c>
      <c r="T8" s="66" t="n"/>
      <c r="U8" s="78">
        <f>IF(OR(T$4=0,T8=""),"",IFERROR(ROUND(T8/INDEX(Undirviðmið!$F$6:$F$205,T$4)*INDEX(Undirviðmið!$E$6:$E$205,T$4)*KVARDI,2),""))</f>
        <v/>
      </c>
      <c r="V8" s="66" t="n"/>
      <c r="W8" s="78">
        <f>IF(OR(V$4=0,V8=""),"",IFERROR(ROUND(V8/INDEX(Undirviðmið!$F$6:$F$205,V$4)*INDEX(Undirviðmið!$E$6:$E$205,V$4)*KVARDI,2),""))</f>
        <v/>
      </c>
      <c r="X8" s="66" t="n"/>
      <c r="Y8" s="78">
        <f>IF(OR(X$4=0,X8=""),"",IFERROR(ROUND(X8/INDEX(Undirviðmið!$F$6:$F$205,X$4)*INDEX(Undirviðmið!$E$6:$E$205,X$4)*KVARDI,2),""))</f>
        <v/>
      </c>
      <c r="Z8" s="66" t="n"/>
      <c r="AA8" s="78">
        <f>IF(OR(Z$4=0,Z8=""),"",IFERROR(ROUND(Z8/INDEX(Undirviðmið!$F$6:$F$205,Z$4)*INDEX(Undirviðmið!$E$6:$E$205,Z$4)*KVARDI,2),""))</f>
        <v/>
      </c>
      <c r="AB8" s="66" t="n"/>
      <c r="AC8" s="78">
        <f>IF(OR(AB$4=0,AB8=""),"",IFERROR(ROUND(AB8/INDEX(Undirviðmið!$F$6:$F$205,AB$4)*INDEX(Undirviðmið!$E$6:$E$205,AB$4)*KVARDI,2),""))</f>
        <v/>
      </c>
      <c r="AD8" s="66" t="n"/>
      <c r="AE8" s="78">
        <f>IF(OR(AD$4=0,AD8=""),"",IFERROR(ROUND(AD8/INDEX(Undirviðmið!$F$6:$F$205,AD$4)*INDEX(Undirviðmið!$E$6:$E$205,AD$4)*KVARDI,2),""))</f>
        <v/>
      </c>
      <c r="AF8" s="66" t="n"/>
      <c r="AG8" s="78">
        <f>IF(OR(AF$4=0,AF8=""),"",IFERROR(ROUND(AF8/INDEX(Undirviðmið!$F$6:$F$205,AF$4)*INDEX(Undirviðmið!$E$6:$E$205,AF$4)*KVARDI,2),""))</f>
        <v/>
      </c>
      <c r="AH8" s="66" t="n"/>
      <c r="AI8" s="78">
        <f>IF(OR(AH$4=0,AH8=""),"",IFERROR(ROUND(AH8/INDEX(Undirviðmið!$F$6:$F$205,AH$4)*INDEX(Undirviðmið!$E$6:$E$205,AH$4)*KVARDI,2),""))</f>
        <v/>
      </c>
      <c r="AJ8" s="66" t="n"/>
      <c r="AK8" s="78">
        <f>IF(OR(AJ$4=0,AJ8=""),"",IFERROR(ROUND(AJ8/INDEX(Undirviðmið!$F$6:$F$205,AJ$4)*INDEX(Undirviðmið!$E$6:$E$205,AJ$4)*KVARDI,2),""))</f>
        <v/>
      </c>
      <c r="AL8" s="66" t="n"/>
      <c r="AM8" s="78">
        <f>IF(OR(AL$4=0,AL8=""),"",IFERROR(ROUND(AL8/INDEX(Undirviðmið!$F$6:$F$205,AL$4)*INDEX(Undirviðmið!$E$6:$E$205,AL$4)*KVARDI,2),""))</f>
        <v/>
      </c>
      <c r="AN8" s="66" t="n"/>
      <c r="AO8" s="78">
        <f>IF(OR(AN$4=0,AN8=""),"",IFERROR(ROUND(AN8/INDEX(Undirviðmið!$F$6:$F$205,AN$4)*INDEX(Undirviðmið!$E$6:$E$205,AN$4)*KVARDI,2),""))</f>
        <v/>
      </c>
      <c r="AP8" s="66" t="n"/>
      <c r="AQ8" s="78">
        <f>IF(OR(AP$4=0,AP8=""),"",IFERROR(ROUND(AP8/INDEX(Undirviðmið!$F$6:$F$205,AP$4)*INDEX(Undirviðmið!$E$6:$E$205,AP$4)*KVARDI,2),""))</f>
        <v/>
      </c>
      <c r="AR8" s="66" t="n"/>
      <c r="AS8" s="78">
        <f>IF(OR(AR$4=0,AR8=""),"",IFERROR(ROUND(AR8/INDEX(Undirviðmið!$F$6:$F$205,AR$4)*INDEX(Undirviðmið!$E$6:$E$205,AR$4)*KVARDI,2),""))</f>
        <v/>
      </c>
      <c r="AT8" s="66" t="n"/>
      <c r="AU8" s="78">
        <f>IF(OR(AT$4=0,AT8=""),"",IFERROR(ROUND(AT8/INDEX(Undirviðmið!$F$6:$F$205,AT$4)*INDEX(Undirviðmið!$E$6:$E$205,AT$4)*KVARDI,2),""))</f>
        <v/>
      </c>
      <c r="AV8" s="66" t="n"/>
      <c r="AW8" s="78">
        <f>IF(OR(AV$4=0,AV8=""),"",IFERROR(ROUND(AV8/INDEX(Undirviðmið!$F$6:$F$205,AV$4)*INDEX(Undirviðmið!$E$6:$E$205,AV$4)*KVARDI,2),""))</f>
        <v/>
      </c>
      <c r="AX8" s="66" t="n"/>
      <c r="AY8" s="78">
        <f>IF(OR(AX$4=0,AX8=""),"",IFERROR(ROUND(AX8/INDEX(Undirviðmið!$F$6:$F$205,AX$4)*INDEX(Undirviðmið!$E$6:$E$205,AX$4)*KVARDI,2),""))</f>
        <v/>
      </c>
      <c r="AZ8" s="66" t="n"/>
      <c r="BA8" s="78">
        <f>IF(OR(AZ$4=0,AZ8=""),"",IFERROR(ROUND(AZ8/INDEX(Undirviðmið!$F$6:$F$205,AZ$4)*INDEX(Undirviðmið!$E$6:$E$205,AZ$4)*KVARDI,2),""))</f>
        <v/>
      </c>
      <c r="BB8" s="66" t="n"/>
      <c r="BC8" s="78">
        <f>IF(OR(BB$4=0,BB8=""),"",IFERROR(ROUND(BB8/INDEX(Undirviðmið!$F$6:$F$205,BB$4)*INDEX(Undirviðmið!$E$6:$E$205,BB$4)*KVARDI,2),""))</f>
        <v/>
      </c>
      <c r="BD8" s="66" t="n"/>
      <c r="BE8" s="78">
        <f>IF(OR(BD$4=0,BD8=""),"",IFERROR(ROUND(BD8/INDEX(Undirviðmið!$F$6:$F$205,BD$4)*INDEX(Undirviðmið!$E$6:$E$205,BD$4)*KVARDI,2),""))</f>
        <v/>
      </c>
      <c r="BF8" s="66" t="n"/>
      <c r="BG8" s="78">
        <f>IF(OR(BF$4=0,BF8=""),"",IFERROR(ROUND(BF8/INDEX(Undirviðmið!$F$6:$F$205,BF$4)*INDEX(Undirviðmið!$E$6:$E$205,BF$4)*KVARDI,2),""))</f>
        <v/>
      </c>
      <c r="BH8" s="66" t="n"/>
      <c r="BI8" s="78">
        <f>IF(OR(BH$4=0,BH8=""),"",IFERROR(ROUND(BH8/INDEX(Undirviðmið!$F$6:$F$205,BH$4)*INDEX(Undirviðmið!$E$6:$E$205,BH$4)*KVARDI,2),""))</f>
        <v/>
      </c>
      <c r="BJ8" s="66" t="n"/>
      <c r="BK8" s="78">
        <f>IF(OR(BJ$4=0,BJ8=""),"",IFERROR(ROUND(BJ8/INDEX(Undirviðmið!$F$6:$F$205,BJ$4)*INDEX(Undirviðmið!$E$6:$E$205,BJ$4)*KVARDI,2),""))</f>
        <v/>
      </c>
      <c r="BL8" s="66" t="n"/>
      <c r="BM8" s="78">
        <f>IF(OR(BL$4=0,BL8=""),"",IFERROR(ROUND(BL8/INDEX(Undirviðmið!$F$6:$F$205,BL$4)*INDEX(Undirviðmið!$E$6:$E$205,BL$4)*KVARDI,2),""))</f>
        <v/>
      </c>
      <c r="BN8" s="66" t="n"/>
      <c r="BO8" s="78">
        <f>IF(OR(BN$4=0,BN8=""),"",IFERROR(ROUND(BN8/INDEX(Undirviðmið!$F$6:$F$205,BN$4)*INDEX(Undirviðmið!$E$6:$E$205,BN$4)*KVARDI,2),""))</f>
        <v/>
      </c>
      <c r="BP8" s="66" t="n"/>
      <c r="BQ8" s="78">
        <f>IF(OR(BP$4=0,BP8=""),"",IFERROR(ROUND(BP8/INDEX(Undirviðmið!$F$6:$F$205,BP$4)*INDEX(Undirviðmið!$E$6:$E$205,BP$4)*KVARDI,2),""))</f>
        <v/>
      </c>
      <c r="BR8" s="66" t="n"/>
      <c r="BS8" s="78">
        <f>IF(OR(BR$4=0,BR8=""),"",IFERROR(ROUND(BR8/INDEX(Undirviðmið!$F$6:$F$205,BR$4)*INDEX(Undirviðmið!$E$6:$E$205,BR$4)*KVARDI,2),""))</f>
        <v/>
      </c>
      <c r="BT8" s="66" t="n"/>
      <c r="BU8" s="78">
        <f>IF(OR(BT$4=0,BT8=""),"",IFERROR(ROUND(BT8/INDEX(Undirviðmið!$F$6:$F$205,BT$4)*INDEX(Undirviðmið!$E$6:$E$205,BT$4)*KVARDI,2),""))</f>
        <v/>
      </c>
      <c r="BV8" s="66" t="n"/>
      <c r="BW8" s="78">
        <f>IF(OR(BV$4=0,BV8=""),"",IFERROR(ROUND(BV8/INDEX(Undirviðmið!$F$6:$F$205,BV$4)*INDEX(Undirviðmið!$E$6:$E$205,BV$4)*KVARDI,2),""))</f>
        <v/>
      </c>
      <c r="BX8" s="66" t="n"/>
      <c r="BY8" s="78">
        <f>IF(OR(BX$4=0,BX8=""),"",IFERROR(ROUND(BX8/INDEX(Undirviðmið!$F$6:$F$205,BX$4)*INDEX(Undirviðmið!$E$6:$E$205,BX$4)*KVARDI,2),""))</f>
        <v/>
      </c>
      <c r="BZ8" s="66" t="n"/>
      <c r="CA8" s="78">
        <f>IF(OR(BZ$4=0,BZ8=""),"",IFERROR(ROUND(BZ8/INDEX(Undirviðmið!$F$6:$F$205,BZ$4)*INDEX(Undirviðmið!$E$6:$E$205,BZ$4)*KVARDI,2),""))</f>
        <v/>
      </c>
      <c r="CB8" s="66" t="n"/>
      <c r="CC8" s="78">
        <f>IF(OR(CB$4=0,CB8=""),"",IFERROR(ROUND(CB8/INDEX(Undirviðmið!$F$6:$F$205,CB$4)*INDEX(Undirviðmið!$E$6:$E$205,CB$4)*KVARDI,2),""))</f>
        <v/>
      </c>
      <c r="CD8" s="66" t="n"/>
      <c r="CE8" s="78">
        <f>IF(OR(CD$4=0,CD8=""),"",IFERROR(ROUND(CD8/INDEX(Undirviðmið!$F$6:$F$205,CD$4)*INDEX(Undirviðmið!$E$6:$E$205,CD$4)*KVARDI,2),""))</f>
        <v/>
      </c>
      <c r="CF8" s="66" t="n"/>
      <c r="CG8" s="78">
        <f>IF(OR(CF$4=0,CF8=""),"",IFERROR(ROUND(CF8/INDEX(Undirviðmið!$F$6:$F$205,CF$4)*INDEX(Undirviðmið!$E$6:$E$205,CF$4)*KVARDI,2),""))</f>
        <v/>
      </c>
      <c r="CH8" s="66" t="n"/>
      <c r="CI8" s="78">
        <f>IF(OR(CH$4=0,CH8=""),"",IFERROR(ROUND(CH8/INDEX(Undirviðmið!$F$6:$F$205,CH$4)*INDEX(Undirviðmið!$E$6:$E$205,CH$4)*KVARDI,2),""))</f>
        <v/>
      </c>
      <c r="CJ8" s="66" t="n"/>
      <c r="CK8" s="78">
        <f>IF(OR(CJ$4=0,CJ8=""),"",IFERROR(ROUND(CJ8/INDEX(Undirviðmið!$F$6:$F$205,CJ$4)*INDEX(Undirviðmið!$E$6:$E$205,CJ$4)*KVARDI,2),""))</f>
        <v/>
      </c>
      <c r="CL8" s="66" t="n"/>
      <c r="CM8" s="78">
        <f>IF(OR(CL$4=0,CL8=""),"",IFERROR(ROUND(CL8/INDEX(Undirviðmið!$F$6:$F$205,CL$4)*INDEX(Undirviðmið!$E$6:$E$205,CL$4)*KVARDI,2),""))</f>
        <v/>
      </c>
      <c r="CN8" s="66" t="n"/>
      <c r="CO8" s="78">
        <f>IF(OR(CN$4=0,CN8=""),"",IFERROR(ROUND(CN8/INDEX(Undirviðmið!$F$6:$F$205,CN$4)*INDEX(Undirviðmið!$E$6:$E$205,CN$4)*KVARDI,2),""))</f>
        <v/>
      </c>
      <c r="CP8" s="66" t="n"/>
      <c r="CQ8" s="78">
        <f>IF(OR(CP$4=0,CP8=""),"",IFERROR(ROUND(CP8/INDEX(Undirviðmið!$F$6:$F$205,CP$4)*INDEX(Undirviðmið!$E$6:$E$205,CP$4)*KVARDI,2),""))</f>
        <v/>
      </c>
      <c r="CR8" s="66" t="n"/>
      <c r="CS8" s="78">
        <f>IF(OR(CR$4=0,CR8=""),"",IFERROR(ROUND(CR8/INDEX(Undirviðmið!$F$6:$F$205,CR$4)*INDEX(Undirviðmið!$E$6:$E$205,CR$4)*KVARDI,2),""))</f>
        <v/>
      </c>
      <c r="CT8" s="66" t="n"/>
      <c r="CU8" s="78">
        <f>IF(OR(CT$4=0,CT8=""),"",IFERROR(ROUND(CT8/INDEX(Undirviðmið!$F$6:$F$205,CT$4)*INDEX(Undirviðmið!$E$6:$E$205,CT$4)*KVARDI,2),""))</f>
        <v/>
      </c>
      <c r="CV8" s="66" t="n"/>
      <c r="CW8" s="78">
        <f>IF(OR(CV$4=0,CV8=""),"",IFERROR(ROUND(CV8/INDEX(Undirviðmið!$F$6:$F$205,CV$4)*INDEX(Undirviðmið!$E$6:$E$205,CV$4)*KVARDI,2),""))</f>
        <v/>
      </c>
      <c r="CX8" s="66" t="n"/>
      <c r="CY8" s="78">
        <f>IF(OR(CX$4=0,CX8=""),"",IFERROR(ROUND(CX8/INDEX(Undirviðmið!$F$6:$F$205,CX$4)*INDEX(Undirviðmið!$E$6:$E$205,CX$4)*KVARDI,2),""))</f>
        <v/>
      </c>
      <c r="CZ8" s="66" t="n"/>
      <c r="DA8" s="78">
        <f>IF(OR(CZ$4=0,CZ8=""),"",IFERROR(ROUND(CZ8/INDEX(Undirviðmið!$F$6:$F$205,CZ$4)*INDEX(Undirviðmið!$E$6:$E$205,CZ$4)*KVARDI,2),""))</f>
        <v/>
      </c>
      <c r="DB8" s="66" t="n"/>
      <c r="DC8" s="78">
        <f>IF(OR(DB$4=0,DB8=""),"",IFERROR(ROUND(DB8/INDEX(Undirviðmið!$F$6:$F$205,DB$4)*INDEX(Undirviðmið!$E$6:$E$205,DB$4)*KVARDI,2),""))</f>
        <v/>
      </c>
      <c r="DD8" s="66" t="n"/>
      <c r="DE8" s="78">
        <f>IF(OR(DD$4=0,DD8=""),"",IFERROR(ROUND(DD8/INDEX(Undirviðmið!$F$6:$F$205,DD$4)*INDEX(Undirviðmið!$E$6:$E$205,DD$4)*KVARDI,2),""))</f>
        <v/>
      </c>
      <c r="DF8" s="66" t="n"/>
      <c r="DG8" s="78">
        <f>IF(OR(DF$4=0,DF8=""),"",IFERROR(ROUND(DF8/INDEX(Undirviðmið!$F$6:$F$205,DF$4)*INDEX(Undirviðmið!$E$6:$E$205,DF$4)*KVARDI,2),""))</f>
        <v/>
      </c>
      <c r="DH8" s="66" t="n"/>
      <c r="DI8" s="78">
        <f>IF(OR(DH$4=0,DH8=""),"",IFERROR(ROUND(DH8/INDEX(Undirviðmið!$F$6:$F$205,DH$4)*INDEX(Undirviðmið!$E$6:$E$205,DH$4)*KVARDI,2),""))</f>
        <v/>
      </c>
      <c r="DJ8" s="66" t="n"/>
      <c r="DK8" s="78">
        <f>IF(OR(DJ$4=0,DJ8=""),"",IFERROR(ROUND(DJ8/INDEX(Undirviðmið!$F$6:$F$205,DJ$4)*INDEX(Undirviðmið!$E$6:$E$205,DJ$4)*KVARDI,2),""))</f>
        <v/>
      </c>
      <c r="DL8" s="66" t="n"/>
      <c r="DM8" s="78">
        <f>IF(OR(DL$4=0,DL8=""),"",IFERROR(ROUND(DL8/INDEX(Undirviðmið!$F$6:$F$205,DL$4)*INDEX(Undirviðmið!$E$6:$E$205,DL$4)*KVARDI,2),""))</f>
        <v/>
      </c>
      <c r="DN8" s="66" t="n"/>
      <c r="DO8" s="78">
        <f>IF(OR(DN$4=0,DN8=""),"",IFERROR(ROUND(DN8/INDEX(Undirviðmið!$F$6:$F$205,DN$4)*INDEX(Undirviðmið!$E$6:$E$205,DN$4)*KVARDI,2),""))</f>
        <v/>
      </c>
      <c r="DP8" s="66" t="n"/>
      <c r="DQ8" s="78">
        <f>IF(OR(DP$4=0,DP8=""),"",IFERROR(ROUND(DP8/INDEX(Undirviðmið!$F$6:$F$205,DP$4)*INDEX(Undirviðmið!$E$6:$E$205,DP$4)*KVARDI,2),""))</f>
        <v/>
      </c>
      <c r="DR8" s="66" t="n"/>
      <c r="DS8" s="78">
        <f>IF(OR(DR$4=0,DR8=""),"",IFERROR(ROUND(DR8/INDEX(Undirviðmið!$F$6:$F$205,DR$4)*INDEX(Undirviðmið!$E$6:$E$205,DR$4)*KVARDI,2),""))</f>
        <v/>
      </c>
      <c r="DT8" s="66" t="n"/>
      <c r="DU8" s="78">
        <f>IF(OR(DT$4=0,DT8=""),"",IFERROR(ROUND(DT8/INDEX(Undirviðmið!$F$6:$F$205,DT$4)*INDEX(Undirviðmið!$E$6:$E$205,DT$4)*KVARDI,2),""))</f>
        <v/>
      </c>
      <c r="DV8" s="66" t="n"/>
      <c r="DW8" s="78">
        <f>IF(OR(DV$4=0,DV8=""),"",IFERROR(ROUND(DV8/INDEX(Undirviðmið!$F$6:$F$205,DV$4)*INDEX(Undirviðmið!$E$6:$E$205,DV$4)*KVARDI,2),""))</f>
        <v/>
      </c>
      <c r="DX8" s="66" t="n"/>
      <c r="DY8" s="78">
        <f>IF(OR(DX$4=0,DX8=""),"",IFERROR(ROUND(DX8/INDEX(Undirviðmið!$F$6:$F$205,DX$4)*INDEX(Undirviðmið!$E$6:$E$205,DX$4)*KVARDI,2),""))</f>
        <v/>
      </c>
      <c r="DZ8" s="66" t="n"/>
      <c r="EA8" s="78">
        <f>IF(OR(DZ$4=0,DZ8=""),"",IFERROR(ROUND(DZ8/INDEX(Undirviðmið!$F$6:$F$205,DZ$4)*INDEX(Undirviðmið!$E$6:$E$205,DZ$4)*KVARDI,2),""))</f>
        <v/>
      </c>
      <c r="EB8" s="66" t="n"/>
      <c r="EC8" s="78">
        <f>IF(OR(EB$4=0,EB8=""),"",IFERROR(ROUND(EB8/INDEX(Undirviðmið!$F$6:$F$205,EB$4)*INDEX(Undirviðmið!$E$6:$E$205,EB$4)*KVARDI,2),""))</f>
        <v/>
      </c>
      <c r="ED8" s="66" t="n"/>
      <c r="EE8" s="78">
        <f>IF(OR(ED$4=0,ED8=""),"",IFERROR(ROUND(ED8/INDEX(Undirviðmið!$F$6:$F$205,ED$4)*INDEX(Undirviðmið!$E$6:$E$205,ED$4)*KVARDI,2),""))</f>
        <v/>
      </c>
      <c r="EF8" s="66" t="n"/>
      <c r="EG8" s="78">
        <f>IF(OR(EF$4=0,EF8=""),"",IFERROR(ROUND(EF8/INDEX(Undirviðmið!$F$6:$F$205,EF$4)*INDEX(Undirviðmið!$E$6:$E$205,EF$4)*KVARDI,2),""))</f>
        <v/>
      </c>
      <c r="EH8" s="66" t="n"/>
      <c r="EI8" s="78">
        <f>IF(OR(EH$4=0,EH8=""),"",IFERROR(ROUND(EH8/INDEX(Undirviðmið!$F$6:$F$205,EH$4)*INDEX(Undirviðmið!$E$6:$E$205,EH$4)*KVARDI,2),""))</f>
        <v/>
      </c>
      <c r="EJ8" s="66" t="n"/>
      <c r="EK8" s="78">
        <f>IF(OR(EJ$4=0,EJ8=""),"",IFERROR(ROUND(EJ8/INDEX(Undirviðmið!$F$6:$F$205,EJ$4)*INDEX(Undirviðmið!$E$6:$E$205,EJ$4)*KVARDI,2),""))</f>
        <v/>
      </c>
      <c r="EL8" s="66" t="n"/>
      <c r="EM8" s="78">
        <f>IF(OR(EL$4=0,EL8=""),"",IFERROR(ROUND(EL8/INDEX(Undirviðmið!$F$6:$F$205,EL$4)*INDEX(Undirviðmið!$E$6:$E$205,EL$4)*KVARDI,2),""))</f>
        <v/>
      </c>
      <c r="EN8" s="66" t="n"/>
      <c r="EO8" s="78">
        <f>IF(OR(EN$4=0,EN8=""),"",IFERROR(ROUND(EN8/INDEX(Undirviðmið!$F$6:$F$205,EN$4)*INDEX(Undirviðmið!$E$6:$E$205,EN$4)*KVARDI,2),""))</f>
        <v/>
      </c>
      <c r="EP8" s="66" t="n"/>
      <c r="EQ8" s="78">
        <f>IF(OR(EP$4=0,EP8=""),"",IFERROR(ROUND(EP8/INDEX(Undirviðmið!$F$6:$F$205,EP$4)*INDEX(Undirviðmið!$E$6:$E$205,EP$4)*KVARDI,2),""))</f>
        <v/>
      </c>
      <c r="ER8" s="66" t="n"/>
      <c r="ES8" s="78">
        <f>IF(OR(ER$4=0,ER8=""),"",IFERROR(ROUND(ER8/INDEX(Undirviðmið!$F$6:$F$205,ER$4)*INDEX(Undirviðmið!$E$6:$E$205,ER$4)*KVARDI,2),""))</f>
        <v/>
      </c>
      <c r="ET8" s="66" t="n"/>
      <c r="EU8" s="78">
        <f>IF(OR(ET$4=0,ET8=""),"",IFERROR(ROUND(ET8/INDEX(Undirviðmið!$F$6:$F$205,ET$4)*INDEX(Undirviðmið!$E$6:$E$205,ET$4)*KVARDI,2),""))</f>
        <v/>
      </c>
      <c r="EV8" s="66" t="n"/>
      <c r="EW8" s="78">
        <f>IF(OR(EV$4=0,EV8=""),"",IFERROR(ROUND(EV8/INDEX(Undirviðmið!$F$6:$F$205,EV$4)*INDEX(Undirviðmið!$E$6:$E$205,EV$4)*KVARDI,2),""))</f>
        <v/>
      </c>
      <c r="EX8" s="66" t="n"/>
      <c r="EY8" s="78">
        <f>IF(OR(EX$4=0,EX8=""),"",IFERROR(ROUND(EX8/INDEX(Undirviðmið!$F$6:$F$205,EX$4)*INDEX(Undirviðmið!$E$6:$E$205,EX$4)*KVARDI,2),""))</f>
        <v/>
      </c>
      <c r="EZ8" s="66" t="n"/>
      <c r="FA8" s="78">
        <f>IF(OR(EZ$4=0,EZ8=""),"",IFERROR(ROUND(EZ8/INDEX(Undirviðmið!$F$6:$F$205,EZ$4)*INDEX(Undirviðmið!$E$6:$E$205,EZ$4)*KVARDI,2),""))</f>
        <v/>
      </c>
      <c r="FB8" s="66" t="n"/>
      <c r="FC8" s="78">
        <f>IF(OR(FB$4=0,FB8=""),"",IFERROR(ROUND(FB8/INDEX(Undirviðmið!$F$6:$F$205,FB$4)*INDEX(Undirviðmið!$E$6:$E$205,FB$4)*KVARDI,2),""))</f>
        <v/>
      </c>
      <c r="FD8" s="66" t="n"/>
      <c r="FE8" s="78">
        <f>IF(OR(FD$4=0,FD8=""),"",IFERROR(ROUND(FD8/INDEX(Undirviðmið!$F$6:$F$205,FD$4)*INDEX(Undirviðmið!$E$6:$E$205,FD$4)*KVARDI,2),""))</f>
        <v/>
      </c>
      <c r="FF8" s="66" t="n"/>
      <c r="FG8" s="78">
        <f>IF(OR(FF$4=0,FF8=""),"",IFERROR(ROUND(FF8/INDEX(Undirviðmið!$F$6:$F$205,FF$4)*INDEX(Undirviðmið!$E$6:$E$205,FF$4)*KVARDI,2),""))</f>
        <v/>
      </c>
      <c r="FH8" s="66" t="n"/>
      <c r="FI8" s="78">
        <f>IF(OR(FH$4=0,FH8=""),"",IFERROR(ROUND(FH8/INDEX(Undirviðmið!$F$6:$F$205,FH$4)*INDEX(Undirviðmið!$E$6:$E$205,FH$4)*KVARDI,2),""))</f>
        <v/>
      </c>
      <c r="FJ8" s="66" t="n"/>
      <c r="FK8" s="78">
        <f>IF(OR(FJ$4=0,FJ8=""),"",IFERROR(ROUND(FJ8/INDEX(Undirviðmið!$F$6:$F$205,FJ$4)*INDEX(Undirviðmið!$E$6:$E$205,FJ$4)*KVARDI,2),""))</f>
        <v/>
      </c>
      <c r="FL8" s="66" t="n"/>
      <c r="FM8" s="78">
        <f>IF(OR(FL$4=0,FL8=""),"",IFERROR(ROUND(FL8/INDEX(Undirviðmið!$F$6:$F$205,FL$4)*INDEX(Undirviðmið!$E$6:$E$205,FL$4)*KVARDI,2),""))</f>
        <v/>
      </c>
      <c r="FN8" s="66" t="n"/>
      <c r="FO8" s="78">
        <f>IF(OR(FN$4=0,FN8=""),"",IFERROR(ROUND(FN8/INDEX(Undirviðmið!$F$6:$F$205,FN$4)*INDEX(Undirviðmið!$E$6:$E$205,FN$4)*KVARDI,2),""))</f>
        <v/>
      </c>
      <c r="FP8" s="66" t="n"/>
      <c r="FQ8" s="78">
        <f>IF(OR(FP$4=0,FP8=""),"",IFERROR(ROUND(FP8/INDEX(Undirviðmið!$F$6:$F$205,FP$4)*INDEX(Undirviðmið!$E$6:$E$205,FP$4)*KVARDI,2),""))</f>
        <v/>
      </c>
      <c r="FR8" s="66" t="n"/>
      <c r="FS8" s="78">
        <f>IF(OR(FR$4=0,FR8=""),"",IFERROR(ROUND(FR8/INDEX(Undirviðmið!$F$6:$F$205,FR$4)*INDEX(Undirviðmið!$E$6:$E$205,FR$4)*KVARDI,2),""))</f>
        <v/>
      </c>
      <c r="FT8" s="66" t="n"/>
      <c r="FU8" s="78">
        <f>IF(OR(FT$4=0,FT8=""),"",IFERROR(ROUND(FT8/INDEX(Undirviðmið!$F$6:$F$205,FT$4)*INDEX(Undirviðmið!$E$6:$E$205,FT$4)*KVARDI,2),""))</f>
        <v/>
      </c>
      <c r="FV8" s="66" t="n"/>
      <c r="FW8" s="78">
        <f>IF(OR(FV$4=0,FV8=""),"",IFERROR(ROUND(FV8/INDEX(Undirviðmið!$F$6:$F$205,FV$4)*INDEX(Undirviðmið!$E$6:$E$205,FV$4)*KVARDI,2),""))</f>
        <v/>
      </c>
      <c r="FX8" s="66" t="n"/>
      <c r="FY8" s="78">
        <f>IF(OR(FX$4=0,FX8=""),"",IFERROR(ROUND(FX8/INDEX(Undirviðmið!$F$6:$F$205,FX$4)*INDEX(Undirviðmið!$E$6:$E$205,FX$4)*KVARDI,2),""))</f>
        <v/>
      </c>
      <c r="FZ8" s="66" t="n"/>
      <c r="GA8" s="78">
        <f>IF(OR(FZ$4=0,FZ8=""),"",IFERROR(ROUND(FZ8/INDEX(Undirviðmið!$F$6:$F$205,FZ$4)*INDEX(Undirviðmið!$E$6:$E$205,FZ$4)*KVARDI,2),""))</f>
        <v/>
      </c>
      <c r="GB8" s="66" t="n"/>
      <c r="GC8" s="78">
        <f>IF(OR(GB$4=0,GB8=""),"",IFERROR(ROUND(GB8/INDEX(Undirviðmið!$F$6:$F$205,GB$4)*INDEX(Undirviðmið!$E$6:$E$205,GB$4)*KVARDI,2),""))</f>
        <v/>
      </c>
      <c r="GD8" s="66" t="n"/>
      <c r="GE8" s="78">
        <f>IF(OR(GD$4=0,GD8=""),"",IFERROR(ROUND(GD8/INDEX(Undirviðmið!$F$6:$F$205,GD$4)*INDEX(Undirviðmið!$E$6:$E$205,GD$4)*KVARDI,2),""))</f>
        <v/>
      </c>
      <c r="GF8" s="66" t="n"/>
      <c r="GG8" s="78">
        <f>IF(OR(GF$4=0,GF8=""),"",IFERROR(ROUND(GF8/INDEX(Undirviðmið!$F$6:$F$205,GF$4)*INDEX(Undirviðmið!$E$6:$E$205,GF$4)*KVARDI,2),""))</f>
        <v/>
      </c>
      <c r="GH8" s="66" t="n"/>
      <c r="GI8" s="78">
        <f>IF(OR(GH$4=0,GH8=""),"",IFERROR(ROUND(GH8/INDEX(Undirviðmið!$F$6:$F$205,GH$4)*INDEX(Undirviðmið!$E$6:$E$205,GH$4)*KVARDI,2),""))</f>
        <v/>
      </c>
      <c r="GJ8" s="66" t="n"/>
      <c r="GK8" s="78">
        <f>IF(OR(GJ$4=0,GJ8=""),"",IFERROR(ROUND(GJ8/INDEX(Undirviðmið!$F$6:$F$205,GJ$4)*INDEX(Undirviðmið!$E$6:$E$205,GJ$4)*KVARDI,2),""))</f>
        <v/>
      </c>
      <c r="GL8" s="66" t="n"/>
      <c r="GM8" s="78">
        <f>IF(OR(GL$4=0,GL8=""),"",IFERROR(ROUND(GL8/INDEX(Undirviðmið!$F$6:$F$205,GL$4)*INDEX(Undirviðmið!$E$6:$E$205,GL$4)*KVARDI,2),""))</f>
        <v/>
      </c>
      <c r="GN8" s="66" t="n"/>
      <c r="GO8" s="78">
        <f>IF(OR(GN$4=0,GN8=""),"",IFERROR(ROUND(GN8/INDEX(Undirviðmið!$F$6:$F$205,GN$4)*INDEX(Undirviðmið!$E$6:$E$205,GN$4)*KVARDI,2),""))</f>
        <v/>
      </c>
      <c r="GP8" s="66" t="n"/>
      <c r="GQ8" s="78">
        <f>IF(OR(GP$4=0,GP8=""),"",IFERROR(ROUND(GP8/INDEX(Undirviðmið!$F$6:$F$205,GP$4)*INDEX(Undirviðmið!$E$6:$E$205,GP$4)*KVARDI,2),""))</f>
        <v/>
      </c>
      <c r="GR8" s="66" t="n"/>
      <c r="GS8" s="78">
        <f>IF(OR(GR$4=0,GR8=""),"",IFERROR(ROUND(GR8/INDEX(Undirviðmið!$F$6:$F$205,GR$4)*INDEX(Undirviðmið!$E$6:$E$205,GR$4)*KVARDI,2),""))</f>
        <v/>
      </c>
      <c r="GT8" s="66" t="n"/>
      <c r="GU8" s="78">
        <f>IF(OR(GT$4=0,GT8=""),"",IFERROR(ROUND(GT8/INDEX(Undirviðmið!$F$6:$F$205,GT$4)*INDEX(Undirviðmið!$E$6:$E$205,GT$4)*KVARDI,2),""))</f>
        <v/>
      </c>
      <c r="GV8" s="63">
        <f>IFERROR(SUMIF($D$6:GU$6,"Stig",$D8:GU8),0)</f>
        <v/>
      </c>
    </row>
    <row r="9" ht="15" customHeight="1" s="47">
      <c r="A9" s="65">
        <f>ROW()-6</f>
        <v/>
      </c>
      <c r="B9" s="67">
        <f>IF(INDEX(Starfsmenn!$B$6:$B$10005,ROW()-6)="","",INDEX(Starfsmenn!$B$6:$B$10005,ROW()-6))</f>
        <v/>
      </c>
      <c r="C9" s="67">
        <f>IF(INDEX(Starfsmenn!$C$6:$C$10005,ROW()-6)="","",INDEX(Starfsmenn!$C$6:$C$10005,ROW()-6))</f>
        <v/>
      </c>
      <c r="D9" s="66" t="n"/>
      <c r="E9" s="78">
        <f>IF(OR(D$4=0,D9=""),"",IFERROR(ROUND(D9/INDEX(Undirviðmið!$F$6:$F$205,D$4)*INDEX(Undirviðmið!$E$6:$E$205,D$4)*KVARDI,2),""))</f>
        <v/>
      </c>
      <c r="F9" s="66" t="n"/>
      <c r="G9" s="78">
        <f>IF(OR(F$4=0,F9=""),"",IFERROR(ROUND(F9/INDEX(Undirviðmið!$F$6:$F$205,F$4)*INDEX(Undirviðmið!$E$6:$E$205,F$4)*KVARDI,2),""))</f>
        <v/>
      </c>
      <c r="H9" s="66" t="n"/>
      <c r="I9" s="78">
        <f>IF(OR(H$4=0,H9=""),"",IFERROR(ROUND(H9/INDEX(Undirviðmið!$F$6:$F$205,H$4)*INDEX(Undirviðmið!$E$6:$E$205,H$4)*KVARDI,2),""))</f>
        <v/>
      </c>
      <c r="J9" s="66" t="n"/>
      <c r="K9" s="78">
        <f>IF(OR(J$4=0,J9=""),"",IFERROR(ROUND(J9/INDEX(Undirviðmið!$F$6:$F$205,J$4)*INDEX(Undirviðmið!$E$6:$E$205,J$4)*KVARDI,2),""))</f>
        <v/>
      </c>
      <c r="L9" s="66" t="n"/>
      <c r="M9" s="78">
        <f>IF(OR(L$4=0,L9=""),"",IFERROR(ROUND(L9/INDEX(Undirviðmið!$F$6:$F$205,L$4)*INDEX(Undirviðmið!$E$6:$E$205,L$4)*KVARDI,2),""))</f>
        <v/>
      </c>
      <c r="N9" s="66" t="n"/>
      <c r="O9" s="78">
        <f>IF(OR(N$4=0,N9=""),"",IFERROR(ROUND(N9/INDEX(Undirviðmið!$F$6:$F$205,N$4)*INDEX(Undirviðmið!$E$6:$E$205,N$4)*KVARDI,2),""))</f>
        <v/>
      </c>
      <c r="P9" s="66" t="n"/>
      <c r="Q9" s="78">
        <f>IF(OR(P$4=0,P9=""),"",IFERROR(ROUND(P9/INDEX(Undirviðmið!$F$6:$F$205,P$4)*INDEX(Undirviðmið!$E$6:$E$205,P$4)*KVARDI,2),""))</f>
        <v/>
      </c>
      <c r="R9" s="66" t="n"/>
      <c r="S9" s="78">
        <f>IF(OR(R$4=0,R9=""),"",IFERROR(ROUND(R9/INDEX(Undirviðmið!$F$6:$F$205,R$4)*INDEX(Undirviðmið!$E$6:$E$205,R$4)*KVARDI,2),""))</f>
        <v/>
      </c>
      <c r="T9" s="66" t="n"/>
      <c r="U9" s="78">
        <f>IF(OR(T$4=0,T9=""),"",IFERROR(ROUND(T9/INDEX(Undirviðmið!$F$6:$F$205,T$4)*INDEX(Undirviðmið!$E$6:$E$205,T$4)*KVARDI,2),""))</f>
        <v/>
      </c>
      <c r="V9" s="66" t="n"/>
      <c r="W9" s="78">
        <f>IF(OR(V$4=0,V9=""),"",IFERROR(ROUND(V9/INDEX(Undirviðmið!$F$6:$F$205,V$4)*INDEX(Undirviðmið!$E$6:$E$205,V$4)*KVARDI,2),""))</f>
        <v/>
      </c>
      <c r="X9" s="66" t="n"/>
      <c r="Y9" s="78">
        <f>IF(OR(X$4=0,X9=""),"",IFERROR(ROUND(X9/INDEX(Undirviðmið!$F$6:$F$205,X$4)*INDEX(Undirviðmið!$E$6:$E$205,X$4)*KVARDI,2),""))</f>
        <v/>
      </c>
      <c r="Z9" s="66" t="n"/>
      <c r="AA9" s="78">
        <f>IF(OR(Z$4=0,Z9=""),"",IFERROR(ROUND(Z9/INDEX(Undirviðmið!$F$6:$F$205,Z$4)*INDEX(Undirviðmið!$E$6:$E$205,Z$4)*KVARDI,2),""))</f>
        <v/>
      </c>
      <c r="AB9" s="66" t="n"/>
      <c r="AC9" s="78">
        <f>IF(OR(AB$4=0,AB9=""),"",IFERROR(ROUND(AB9/INDEX(Undirviðmið!$F$6:$F$205,AB$4)*INDEX(Undirviðmið!$E$6:$E$205,AB$4)*KVARDI,2),""))</f>
        <v/>
      </c>
      <c r="AD9" s="66" t="n"/>
      <c r="AE9" s="78">
        <f>IF(OR(AD$4=0,AD9=""),"",IFERROR(ROUND(AD9/INDEX(Undirviðmið!$F$6:$F$205,AD$4)*INDEX(Undirviðmið!$E$6:$E$205,AD$4)*KVARDI,2),""))</f>
        <v/>
      </c>
      <c r="AF9" s="66" t="n"/>
      <c r="AG9" s="78">
        <f>IF(OR(AF$4=0,AF9=""),"",IFERROR(ROUND(AF9/INDEX(Undirviðmið!$F$6:$F$205,AF$4)*INDEX(Undirviðmið!$E$6:$E$205,AF$4)*KVARDI,2),""))</f>
        <v/>
      </c>
      <c r="AH9" s="66" t="n"/>
      <c r="AI9" s="78">
        <f>IF(OR(AH$4=0,AH9=""),"",IFERROR(ROUND(AH9/INDEX(Undirviðmið!$F$6:$F$205,AH$4)*INDEX(Undirviðmið!$E$6:$E$205,AH$4)*KVARDI,2),""))</f>
        <v/>
      </c>
      <c r="AJ9" s="66" t="n"/>
      <c r="AK9" s="78">
        <f>IF(OR(AJ$4=0,AJ9=""),"",IFERROR(ROUND(AJ9/INDEX(Undirviðmið!$F$6:$F$205,AJ$4)*INDEX(Undirviðmið!$E$6:$E$205,AJ$4)*KVARDI,2),""))</f>
        <v/>
      </c>
      <c r="AL9" s="66" t="n"/>
      <c r="AM9" s="78">
        <f>IF(OR(AL$4=0,AL9=""),"",IFERROR(ROUND(AL9/INDEX(Undirviðmið!$F$6:$F$205,AL$4)*INDEX(Undirviðmið!$E$6:$E$205,AL$4)*KVARDI,2),""))</f>
        <v/>
      </c>
      <c r="AN9" s="66" t="n"/>
      <c r="AO9" s="78">
        <f>IF(OR(AN$4=0,AN9=""),"",IFERROR(ROUND(AN9/INDEX(Undirviðmið!$F$6:$F$205,AN$4)*INDEX(Undirviðmið!$E$6:$E$205,AN$4)*KVARDI,2),""))</f>
        <v/>
      </c>
      <c r="AP9" s="66" t="n"/>
      <c r="AQ9" s="78">
        <f>IF(OR(AP$4=0,AP9=""),"",IFERROR(ROUND(AP9/INDEX(Undirviðmið!$F$6:$F$205,AP$4)*INDEX(Undirviðmið!$E$6:$E$205,AP$4)*KVARDI,2),""))</f>
        <v/>
      </c>
      <c r="AR9" s="66" t="n"/>
      <c r="AS9" s="78">
        <f>IF(OR(AR$4=0,AR9=""),"",IFERROR(ROUND(AR9/INDEX(Undirviðmið!$F$6:$F$205,AR$4)*INDEX(Undirviðmið!$E$6:$E$205,AR$4)*KVARDI,2),""))</f>
        <v/>
      </c>
      <c r="AT9" s="66" t="n"/>
      <c r="AU9" s="78">
        <f>IF(OR(AT$4=0,AT9=""),"",IFERROR(ROUND(AT9/INDEX(Undirviðmið!$F$6:$F$205,AT$4)*INDEX(Undirviðmið!$E$6:$E$205,AT$4)*KVARDI,2),""))</f>
        <v/>
      </c>
      <c r="AV9" s="66" t="n"/>
      <c r="AW9" s="78">
        <f>IF(OR(AV$4=0,AV9=""),"",IFERROR(ROUND(AV9/INDEX(Undirviðmið!$F$6:$F$205,AV$4)*INDEX(Undirviðmið!$E$6:$E$205,AV$4)*KVARDI,2),""))</f>
        <v/>
      </c>
      <c r="AX9" s="66" t="n"/>
      <c r="AY9" s="78">
        <f>IF(OR(AX$4=0,AX9=""),"",IFERROR(ROUND(AX9/INDEX(Undirviðmið!$F$6:$F$205,AX$4)*INDEX(Undirviðmið!$E$6:$E$205,AX$4)*KVARDI,2),""))</f>
        <v/>
      </c>
      <c r="AZ9" s="66" t="n"/>
      <c r="BA9" s="78">
        <f>IF(OR(AZ$4=0,AZ9=""),"",IFERROR(ROUND(AZ9/INDEX(Undirviðmið!$F$6:$F$205,AZ$4)*INDEX(Undirviðmið!$E$6:$E$205,AZ$4)*KVARDI,2),""))</f>
        <v/>
      </c>
      <c r="BB9" s="66" t="n"/>
      <c r="BC9" s="78">
        <f>IF(OR(BB$4=0,BB9=""),"",IFERROR(ROUND(BB9/INDEX(Undirviðmið!$F$6:$F$205,BB$4)*INDEX(Undirviðmið!$E$6:$E$205,BB$4)*KVARDI,2),""))</f>
        <v/>
      </c>
      <c r="BD9" s="66" t="n"/>
      <c r="BE9" s="78">
        <f>IF(OR(BD$4=0,BD9=""),"",IFERROR(ROUND(BD9/INDEX(Undirviðmið!$F$6:$F$205,BD$4)*INDEX(Undirviðmið!$E$6:$E$205,BD$4)*KVARDI,2),""))</f>
        <v/>
      </c>
      <c r="BF9" s="66" t="n"/>
      <c r="BG9" s="78">
        <f>IF(OR(BF$4=0,BF9=""),"",IFERROR(ROUND(BF9/INDEX(Undirviðmið!$F$6:$F$205,BF$4)*INDEX(Undirviðmið!$E$6:$E$205,BF$4)*KVARDI,2),""))</f>
        <v/>
      </c>
      <c r="BH9" s="66" t="n"/>
      <c r="BI9" s="78">
        <f>IF(OR(BH$4=0,BH9=""),"",IFERROR(ROUND(BH9/INDEX(Undirviðmið!$F$6:$F$205,BH$4)*INDEX(Undirviðmið!$E$6:$E$205,BH$4)*KVARDI,2),""))</f>
        <v/>
      </c>
      <c r="BJ9" s="66" t="n"/>
      <c r="BK9" s="78">
        <f>IF(OR(BJ$4=0,BJ9=""),"",IFERROR(ROUND(BJ9/INDEX(Undirviðmið!$F$6:$F$205,BJ$4)*INDEX(Undirviðmið!$E$6:$E$205,BJ$4)*KVARDI,2),""))</f>
        <v/>
      </c>
      <c r="BL9" s="66" t="n"/>
      <c r="BM9" s="78">
        <f>IF(OR(BL$4=0,BL9=""),"",IFERROR(ROUND(BL9/INDEX(Undirviðmið!$F$6:$F$205,BL$4)*INDEX(Undirviðmið!$E$6:$E$205,BL$4)*KVARDI,2),""))</f>
        <v/>
      </c>
      <c r="BN9" s="66" t="n"/>
      <c r="BO9" s="78">
        <f>IF(OR(BN$4=0,BN9=""),"",IFERROR(ROUND(BN9/INDEX(Undirviðmið!$F$6:$F$205,BN$4)*INDEX(Undirviðmið!$E$6:$E$205,BN$4)*KVARDI,2),""))</f>
        <v/>
      </c>
      <c r="BP9" s="66" t="n"/>
      <c r="BQ9" s="78">
        <f>IF(OR(BP$4=0,BP9=""),"",IFERROR(ROUND(BP9/INDEX(Undirviðmið!$F$6:$F$205,BP$4)*INDEX(Undirviðmið!$E$6:$E$205,BP$4)*KVARDI,2),""))</f>
        <v/>
      </c>
      <c r="BR9" s="66" t="n"/>
      <c r="BS9" s="78">
        <f>IF(OR(BR$4=0,BR9=""),"",IFERROR(ROUND(BR9/INDEX(Undirviðmið!$F$6:$F$205,BR$4)*INDEX(Undirviðmið!$E$6:$E$205,BR$4)*KVARDI,2),""))</f>
        <v/>
      </c>
      <c r="BT9" s="66" t="n"/>
      <c r="BU9" s="78">
        <f>IF(OR(BT$4=0,BT9=""),"",IFERROR(ROUND(BT9/INDEX(Undirviðmið!$F$6:$F$205,BT$4)*INDEX(Undirviðmið!$E$6:$E$205,BT$4)*KVARDI,2),""))</f>
        <v/>
      </c>
      <c r="BV9" s="66" t="n"/>
      <c r="BW9" s="78">
        <f>IF(OR(BV$4=0,BV9=""),"",IFERROR(ROUND(BV9/INDEX(Undirviðmið!$F$6:$F$205,BV$4)*INDEX(Undirviðmið!$E$6:$E$205,BV$4)*KVARDI,2),""))</f>
        <v/>
      </c>
      <c r="BX9" s="66" t="n"/>
      <c r="BY9" s="78">
        <f>IF(OR(BX$4=0,BX9=""),"",IFERROR(ROUND(BX9/INDEX(Undirviðmið!$F$6:$F$205,BX$4)*INDEX(Undirviðmið!$E$6:$E$205,BX$4)*KVARDI,2),""))</f>
        <v/>
      </c>
      <c r="BZ9" s="66" t="n"/>
      <c r="CA9" s="78">
        <f>IF(OR(BZ$4=0,BZ9=""),"",IFERROR(ROUND(BZ9/INDEX(Undirviðmið!$F$6:$F$205,BZ$4)*INDEX(Undirviðmið!$E$6:$E$205,BZ$4)*KVARDI,2),""))</f>
        <v/>
      </c>
      <c r="CB9" s="66" t="n"/>
      <c r="CC9" s="78">
        <f>IF(OR(CB$4=0,CB9=""),"",IFERROR(ROUND(CB9/INDEX(Undirviðmið!$F$6:$F$205,CB$4)*INDEX(Undirviðmið!$E$6:$E$205,CB$4)*KVARDI,2),""))</f>
        <v/>
      </c>
      <c r="CD9" s="66" t="n"/>
      <c r="CE9" s="78">
        <f>IF(OR(CD$4=0,CD9=""),"",IFERROR(ROUND(CD9/INDEX(Undirviðmið!$F$6:$F$205,CD$4)*INDEX(Undirviðmið!$E$6:$E$205,CD$4)*KVARDI,2),""))</f>
        <v/>
      </c>
      <c r="CF9" s="66" t="n"/>
      <c r="CG9" s="78">
        <f>IF(OR(CF$4=0,CF9=""),"",IFERROR(ROUND(CF9/INDEX(Undirviðmið!$F$6:$F$205,CF$4)*INDEX(Undirviðmið!$E$6:$E$205,CF$4)*KVARDI,2),""))</f>
        <v/>
      </c>
      <c r="CH9" s="66" t="n"/>
      <c r="CI9" s="78">
        <f>IF(OR(CH$4=0,CH9=""),"",IFERROR(ROUND(CH9/INDEX(Undirviðmið!$F$6:$F$205,CH$4)*INDEX(Undirviðmið!$E$6:$E$205,CH$4)*KVARDI,2),""))</f>
        <v/>
      </c>
      <c r="CJ9" s="66" t="n"/>
      <c r="CK9" s="78">
        <f>IF(OR(CJ$4=0,CJ9=""),"",IFERROR(ROUND(CJ9/INDEX(Undirviðmið!$F$6:$F$205,CJ$4)*INDEX(Undirviðmið!$E$6:$E$205,CJ$4)*KVARDI,2),""))</f>
        <v/>
      </c>
      <c r="CL9" s="66" t="n"/>
      <c r="CM9" s="78">
        <f>IF(OR(CL$4=0,CL9=""),"",IFERROR(ROUND(CL9/INDEX(Undirviðmið!$F$6:$F$205,CL$4)*INDEX(Undirviðmið!$E$6:$E$205,CL$4)*KVARDI,2),""))</f>
        <v/>
      </c>
      <c r="CN9" s="66" t="n"/>
      <c r="CO9" s="78">
        <f>IF(OR(CN$4=0,CN9=""),"",IFERROR(ROUND(CN9/INDEX(Undirviðmið!$F$6:$F$205,CN$4)*INDEX(Undirviðmið!$E$6:$E$205,CN$4)*KVARDI,2),""))</f>
        <v/>
      </c>
      <c r="CP9" s="66" t="n"/>
      <c r="CQ9" s="78">
        <f>IF(OR(CP$4=0,CP9=""),"",IFERROR(ROUND(CP9/INDEX(Undirviðmið!$F$6:$F$205,CP$4)*INDEX(Undirviðmið!$E$6:$E$205,CP$4)*KVARDI,2),""))</f>
        <v/>
      </c>
      <c r="CR9" s="66" t="n"/>
      <c r="CS9" s="78">
        <f>IF(OR(CR$4=0,CR9=""),"",IFERROR(ROUND(CR9/INDEX(Undirviðmið!$F$6:$F$205,CR$4)*INDEX(Undirviðmið!$E$6:$E$205,CR$4)*KVARDI,2),""))</f>
        <v/>
      </c>
      <c r="CT9" s="66" t="n"/>
      <c r="CU9" s="78">
        <f>IF(OR(CT$4=0,CT9=""),"",IFERROR(ROUND(CT9/INDEX(Undirviðmið!$F$6:$F$205,CT$4)*INDEX(Undirviðmið!$E$6:$E$205,CT$4)*KVARDI,2),""))</f>
        <v/>
      </c>
      <c r="CV9" s="66" t="n"/>
      <c r="CW9" s="78">
        <f>IF(OR(CV$4=0,CV9=""),"",IFERROR(ROUND(CV9/INDEX(Undirviðmið!$F$6:$F$205,CV$4)*INDEX(Undirviðmið!$E$6:$E$205,CV$4)*KVARDI,2),""))</f>
        <v/>
      </c>
      <c r="CX9" s="66" t="n"/>
      <c r="CY9" s="78">
        <f>IF(OR(CX$4=0,CX9=""),"",IFERROR(ROUND(CX9/INDEX(Undirviðmið!$F$6:$F$205,CX$4)*INDEX(Undirviðmið!$E$6:$E$205,CX$4)*KVARDI,2),""))</f>
        <v/>
      </c>
      <c r="CZ9" s="66" t="n"/>
      <c r="DA9" s="78">
        <f>IF(OR(CZ$4=0,CZ9=""),"",IFERROR(ROUND(CZ9/INDEX(Undirviðmið!$F$6:$F$205,CZ$4)*INDEX(Undirviðmið!$E$6:$E$205,CZ$4)*KVARDI,2),""))</f>
        <v/>
      </c>
      <c r="DB9" s="66" t="n"/>
      <c r="DC9" s="78">
        <f>IF(OR(DB$4=0,DB9=""),"",IFERROR(ROUND(DB9/INDEX(Undirviðmið!$F$6:$F$205,DB$4)*INDEX(Undirviðmið!$E$6:$E$205,DB$4)*KVARDI,2),""))</f>
        <v/>
      </c>
      <c r="DD9" s="66" t="n"/>
      <c r="DE9" s="78">
        <f>IF(OR(DD$4=0,DD9=""),"",IFERROR(ROUND(DD9/INDEX(Undirviðmið!$F$6:$F$205,DD$4)*INDEX(Undirviðmið!$E$6:$E$205,DD$4)*KVARDI,2),""))</f>
        <v/>
      </c>
      <c r="DF9" s="66" t="n"/>
      <c r="DG9" s="78">
        <f>IF(OR(DF$4=0,DF9=""),"",IFERROR(ROUND(DF9/INDEX(Undirviðmið!$F$6:$F$205,DF$4)*INDEX(Undirviðmið!$E$6:$E$205,DF$4)*KVARDI,2),""))</f>
        <v/>
      </c>
      <c r="DH9" s="66" t="n"/>
      <c r="DI9" s="78">
        <f>IF(OR(DH$4=0,DH9=""),"",IFERROR(ROUND(DH9/INDEX(Undirviðmið!$F$6:$F$205,DH$4)*INDEX(Undirviðmið!$E$6:$E$205,DH$4)*KVARDI,2),""))</f>
        <v/>
      </c>
      <c r="DJ9" s="66" t="n"/>
      <c r="DK9" s="78">
        <f>IF(OR(DJ$4=0,DJ9=""),"",IFERROR(ROUND(DJ9/INDEX(Undirviðmið!$F$6:$F$205,DJ$4)*INDEX(Undirviðmið!$E$6:$E$205,DJ$4)*KVARDI,2),""))</f>
        <v/>
      </c>
      <c r="DL9" s="66" t="n"/>
      <c r="DM9" s="78">
        <f>IF(OR(DL$4=0,DL9=""),"",IFERROR(ROUND(DL9/INDEX(Undirviðmið!$F$6:$F$205,DL$4)*INDEX(Undirviðmið!$E$6:$E$205,DL$4)*KVARDI,2),""))</f>
        <v/>
      </c>
      <c r="DN9" s="66" t="n"/>
      <c r="DO9" s="78">
        <f>IF(OR(DN$4=0,DN9=""),"",IFERROR(ROUND(DN9/INDEX(Undirviðmið!$F$6:$F$205,DN$4)*INDEX(Undirviðmið!$E$6:$E$205,DN$4)*KVARDI,2),""))</f>
        <v/>
      </c>
      <c r="DP9" s="66" t="n"/>
      <c r="DQ9" s="78">
        <f>IF(OR(DP$4=0,DP9=""),"",IFERROR(ROUND(DP9/INDEX(Undirviðmið!$F$6:$F$205,DP$4)*INDEX(Undirviðmið!$E$6:$E$205,DP$4)*KVARDI,2),""))</f>
        <v/>
      </c>
      <c r="DR9" s="66" t="n"/>
      <c r="DS9" s="78">
        <f>IF(OR(DR$4=0,DR9=""),"",IFERROR(ROUND(DR9/INDEX(Undirviðmið!$F$6:$F$205,DR$4)*INDEX(Undirviðmið!$E$6:$E$205,DR$4)*KVARDI,2),""))</f>
        <v/>
      </c>
      <c r="DT9" s="66" t="n"/>
      <c r="DU9" s="78">
        <f>IF(OR(DT$4=0,DT9=""),"",IFERROR(ROUND(DT9/INDEX(Undirviðmið!$F$6:$F$205,DT$4)*INDEX(Undirviðmið!$E$6:$E$205,DT$4)*KVARDI,2),""))</f>
        <v/>
      </c>
      <c r="DV9" s="66" t="n"/>
      <c r="DW9" s="78">
        <f>IF(OR(DV$4=0,DV9=""),"",IFERROR(ROUND(DV9/INDEX(Undirviðmið!$F$6:$F$205,DV$4)*INDEX(Undirviðmið!$E$6:$E$205,DV$4)*KVARDI,2),""))</f>
        <v/>
      </c>
      <c r="DX9" s="66" t="n"/>
      <c r="DY9" s="78">
        <f>IF(OR(DX$4=0,DX9=""),"",IFERROR(ROUND(DX9/INDEX(Undirviðmið!$F$6:$F$205,DX$4)*INDEX(Undirviðmið!$E$6:$E$205,DX$4)*KVARDI,2),""))</f>
        <v/>
      </c>
      <c r="DZ9" s="66" t="n"/>
      <c r="EA9" s="78">
        <f>IF(OR(DZ$4=0,DZ9=""),"",IFERROR(ROUND(DZ9/INDEX(Undirviðmið!$F$6:$F$205,DZ$4)*INDEX(Undirviðmið!$E$6:$E$205,DZ$4)*KVARDI,2),""))</f>
        <v/>
      </c>
      <c r="EB9" s="66" t="n"/>
      <c r="EC9" s="78">
        <f>IF(OR(EB$4=0,EB9=""),"",IFERROR(ROUND(EB9/INDEX(Undirviðmið!$F$6:$F$205,EB$4)*INDEX(Undirviðmið!$E$6:$E$205,EB$4)*KVARDI,2),""))</f>
        <v/>
      </c>
      <c r="ED9" s="66" t="n"/>
      <c r="EE9" s="78">
        <f>IF(OR(ED$4=0,ED9=""),"",IFERROR(ROUND(ED9/INDEX(Undirviðmið!$F$6:$F$205,ED$4)*INDEX(Undirviðmið!$E$6:$E$205,ED$4)*KVARDI,2),""))</f>
        <v/>
      </c>
      <c r="EF9" s="66" t="n"/>
      <c r="EG9" s="78">
        <f>IF(OR(EF$4=0,EF9=""),"",IFERROR(ROUND(EF9/INDEX(Undirviðmið!$F$6:$F$205,EF$4)*INDEX(Undirviðmið!$E$6:$E$205,EF$4)*KVARDI,2),""))</f>
        <v/>
      </c>
      <c r="EH9" s="66" t="n"/>
      <c r="EI9" s="78">
        <f>IF(OR(EH$4=0,EH9=""),"",IFERROR(ROUND(EH9/INDEX(Undirviðmið!$F$6:$F$205,EH$4)*INDEX(Undirviðmið!$E$6:$E$205,EH$4)*KVARDI,2),""))</f>
        <v/>
      </c>
      <c r="EJ9" s="66" t="n"/>
      <c r="EK9" s="78">
        <f>IF(OR(EJ$4=0,EJ9=""),"",IFERROR(ROUND(EJ9/INDEX(Undirviðmið!$F$6:$F$205,EJ$4)*INDEX(Undirviðmið!$E$6:$E$205,EJ$4)*KVARDI,2),""))</f>
        <v/>
      </c>
      <c r="EL9" s="66" t="n"/>
      <c r="EM9" s="78">
        <f>IF(OR(EL$4=0,EL9=""),"",IFERROR(ROUND(EL9/INDEX(Undirviðmið!$F$6:$F$205,EL$4)*INDEX(Undirviðmið!$E$6:$E$205,EL$4)*KVARDI,2),""))</f>
        <v/>
      </c>
      <c r="EN9" s="66" t="n"/>
      <c r="EO9" s="78">
        <f>IF(OR(EN$4=0,EN9=""),"",IFERROR(ROUND(EN9/INDEX(Undirviðmið!$F$6:$F$205,EN$4)*INDEX(Undirviðmið!$E$6:$E$205,EN$4)*KVARDI,2),""))</f>
        <v/>
      </c>
      <c r="EP9" s="66" t="n"/>
      <c r="EQ9" s="78">
        <f>IF(OR(EP$4=0,EP9=""),"",IFERROR(ROUND(EP9/INDEX(Undirviðmið!$F$6:$F$205,EP$4)*INDEX(Undirviðmið!$E$6:$E$205,EP$4)*KVARDI,2),""))</f>
        <v/>
      </c>
      <c r="ER9" s="66" t="n"/>
      <c r="ES9" s="78">
        <f>IF(OR(ER$4=0,ER9=""),"",IFERROR(ROUND(ER9/INDEX(Undirviðmið!$F$6:$F$205,ER$4)*INDEX(Undirviðmið!$E$6:$E$205,ER$4)*KVARDI,2),""))</f>
        <v/>
      </c>
      <c r="ET9" s="66" t="n"/>
      <c r="EU9" s="78">
        <f>IF(OR(ET$4=0,ET9=""),"",IFERROR(ROUND(ET9/INDEX(Undirviðmið!$F$6:$F$205,ET$4)*INDEX(Undirviðmið!$E$6:$E$205,ET$4)*KVARDI,2),""))</f>
        <v/>
      </c>
      <c r="EV9" s="66" t="n"/>
      <c r="EW9" s="78">
        <f>IF(OR(EV$4=0,EV9=""),"",IFERROR(ROUND(EV9/INDEX(Undirviðmið!$F$6:$F$205,EV$4)*INDEX(Undirviðmið!$E$6:$E$205,EV$4)*KVARDI,2),""))</f>
        <v/>
      </c>
      <c r="EX9" s="66" t="n"/>
      <c r="EY9" s="78">
        <f>IF(OR(EX$4=0,EX9=""),"",IFERROR(ROUND(EX9/INDEX(Undirviðmið!$F$6:$F$205,EX$4)*INDEX(Undirviðmið!$E$6:$E$205,EX$4)*KVARDI,2),""))</f>
        <v/>
      </c>
      <c r="EZ9" s="66" t="n"/>
      <c r="FA9" s="78">
        <f>IF(OR(EZ$4=0,EZ9=""),"",IFERROR(ROUND(EZ9/INDEX(Undirviðmið!$F$6:$F$205,EZ$4)*INDEX(Undirviðmið!$E$6:$E$205,EZ$4)*KVARDI,2),""))</f>
        <v/>
      </c>
      <c r="FB9" s="66" t="n"/>
      <c r="FC9" s="78">
        <f>IF(OR(FB$4=0,FB9=""),"",IFERROR(ROUND(FB9/INDEX(Undirviðmið!$F$6:$F$205,FB$4)*INDEX(Undirviðmið!$E$6:$E$205,FB$4)*KVARDI,2),""))</f>
        <v/>
      </c>
      <c r="FD9" s="66" t="n"/>
      <c r="FE9" s="78">
        <f>IF(OR(FD$4=0,FD9=""),"",IFERROR(ROUND(FD9/INDEX(Undirviðmið!$F$6:$F$205,FD$4)*INDEX(Undirviðmið!$E$6:$E$205,FD$4)*KVARDI,2),""))</f>
        <v/>
      </c>
      <c r="FF9" s="66" t="n"/>
      <c r="FG9" s="78">
        <f>IF(OR(FF$4=0,FF9=""),"",IFERROR(ROUND(FF9/INDEX(Undirviðmið!$F$6:$F$205,FF$4)*INDEX(Undirviðmið!$E$6:$E$205,FF$4)*KVARDI,2),""))</f>
        <v/>
      </c>
      <c r="FH9" s="66" t="n"/>
      <c r="FI9" s="78">
        <f>IF(OR(FH$4=0,FH9=""),"",IFERROR(ROUND(FH9/INDEX(Undirviðmið!$F$6:$F$205,FH$4)*INDEX(Undirviðmið!$E$6:$E$205,FH$4)*KVARDI,2),""))</f>
        <v/>
      </c>
      <c r="FJ9" s="66" t="n"/>
      <c r="FK9" s="78">
        <f>IF(OR(FJ$4=0,FJ9=""),"",IFERROR(ROUND(FJ9/INDEX(Undirviðmið!$F$6:$F$205,FJ$4)*INDEX(Undirviðmið!$E$6:$E$205,FJ$4)*KVARDI,2),""))</f>
        <v/>
      </c>
      <c r="FL9" s="66" t="n"/>
      <c r="FM9" s="78">
        <f>IF(OR(FL$4=0,FL9=""),"",IFERROR(ROUND(FL9/INDEX(Undirviðmið!$F$6:$F$205,FL$4)*INDEX(Undirviðmið!$E$6:$E$205,FL$4)*KVARDI,2),""))</f>
        <v/>
      </c>
      <c r="FN9" s="66" t="n"/>
      <c r="FO9" s="78">
        <f>IF(OR(FN$4=0,FN9=""),"",IFERROR(ROUND(FN9/INDEX(Undirviðmið!$F$6:$F$205,FN$4)*INDEX(Undirviðmið!$E$6:$E$205,FN$4)*KVARDI,2),""))</f>
        <v/>
      </c>
      <c r="FP9" s="66" t="n"/>
      <c r="FQ9" s="78">
        <f>IF(OR(FP$4=0,FP9=""),"",IFERROR(ROUND(FP9/INDEX(Undirviðmið!$F$6:$F$205,FP$4)*INDEX(Undirviðmið!$E$6:$E$205,FP$4)*KVARDI,2),""))</f>
        <v/>
      </c>
      <c r="FR9" s="66" t="n"/>
      <c r="FS9" s="78">
        <f>IF(OR(FR$4=0,FR9=""),"",IFERROR(ROUND(FR9/INDEX(Undirviðmið!$F$6:$F$205,FR$4)*INDEX(Undirviðmið!$E$6:$E$205,FR$4)*KVARDI,2),""))</f>
        <v/>
      </c>
      <c r="FT9" s="66" t="n"/>
      <c r="FU9" s="78">
        <f>IF(OR(FT$4=0,FT9=""),"",IFERROR(ROUND(FT9/INDEX(Undirviðmið!$F$6:$F$205,FT$4)*INDEX(Undirviðmið!$E$6:$E$205,FT$4)*KVARDI,2),""))</f>
        <v/>
      </c>
      <c r="FV9" s="66" t="n"/>
      <c r="FW9" s="78">
        <f>IF(OR(FV$4=0,FV9=""),"",IFERROR(ROUND(FV9/INDEX(Undirviðmið!$F$6:$F$205,FV$4)*INDEX(Undirviðmið!$E$6:$E$205,FV$4)*KVARDI,2),""))</f>
        <v/>
      </c>
      <c r="FX9" s="66" t="n"/>
      <c r="FY9" s="78">
        <f>IF(OR(FX$4=0,FX9=""),"",IFERROR(ROUND(FX9/INDEX(Undirviðmið!$F$6:$F$205,FX$4)*INDEX(Undirviðmið!$E$6:$E$205,FX$4)*KVARDI,2),""))</f>
        <v/>
      </c>
      <c r="FZ9" s="66" t="n"/>
      <c r="GA9" s="78">
        <f>IF(OR(FZ$4=0,FZ9=""),"",IFERROR(ROUND(FZ9/INDEX(Undirviðmið!$F$6:$F$205,FZ$4)*INDEX(Undirviðmið!$E$6:$E$205,FZ$4)*KVARDI,2),""))</f>
        <v/>
      </c>
      <c r="GB9" s="66" t="n"/>
      <c r="GC9" s="78">
        <f>IF(OR(GB$4=0,GB9=""),"",IFERROR(ROUND(GB9/INDEX(Undirviðmið!$F$6:$F$205,GB$4)*INDEX(Undirviðmið!$E$6:$E$205,GB$4)*KVARDI,2),""))</f>
        <v/>
      </c>
      <c r="GD9" s="66" t="n"/>
      <c r="GE9" s="78">
        <f>IF(OR(GD$4=0,GD9=""),"",IFERROR(ROUND(GD9/INDEX(Undirviðmið!$F$6:$F$205,GD$4)*INDEX(Undirviðmið!$E$6:$E$205,GD$4)*KVARDI,2),""))</f>
        <v/>
      </c>
      <c r="GF9" s="66" t="n"/>
      <c r="GG9" s="78">
        <f>IF(OR(GF$4=0,GF9=""),"",IFERROR(ROUND(GF9/INDEX(Undirviðmið!$F$6:$F$205,GF$4)*INDEX(Undirviðmið!$E$6:$E$205,GF$4)*KVARDI,2),""))</f>
        <v/>
      </c>
      <c r="GH9" s="66" t="n"/>
      <c r="GI9" s="78">
        <f>IF(OR(GH$4=0,GH9=""),"",IFERROR(ROUND(GH9/INDEX(Undirviðmið!$F$6:$F$205,GH$4)*INDEX(Undirviðmið!$E$6:$E$205,GH$4)*KVARDI,2),""))</f>
        <v/>
      </c>
      <c r="GJ9" s="66" t="n"/>
      <c r="GK9" s="78">
        <f>IF(OR(GJ$4=0,GJ9=""),"",IFERROR(ROUND(GJ9/INDEX(Undirviðmið!$F$6:$F$205,GJ$4)*INDEX(Undirviðmið!$E$6:$E$205,GJ$4)*KVARDI,2),""))</f>
        <v/>
      </c>
      <c r="GL9" s="66" t="n"/>
      <c r="GM9" s="78">
        <f>IF(OR(GL$4=0,GL9=""),"",IFERROR(ROUND(GL9/INDEX(Undirviðmið!$F$6:$F$205,GL$4)*INDEX(Undirviðmið!$E$6:$E$205,GL$4)*KVARDI,2),""))</f>
        <v/>
      </c>
      <c r="GN9" s="66" t="n"/>
      <c r="GO9" s="78">
        <f>IF(OR(GN$4=0,GN9=""),"",IFERROR(ROUND(GN9/INDEX(Undirviðmið!$F$6:$F$205,GN$4)*INDEX(Undirviðmið!$E$6:$E$205,GN$4)*KVARDI,2),""))</f>
        <v/>
      </c>
      <c r="GP9" s="66" t="n"/>
      <c r="GQ9" s="78">
        <f>IF(OR(GP$4=0,GP9=""),"",IFERROR(ROUND(GP9/INDEX(Undirviðmið!$F$6:$F$205,GP$4)*INDEX(Undirviðmið!$E$6:$E$205,GP$4)*KVARDI,2),""))</f>
        <v/>
      </c>
      <c r="GR9" s="66" t="n"/>
      <c r="GS9" s="78">
        <f>IF(OR(GR$4=0,GR9=""),"",IFERROR(ROUND(GR9/INDEX(Undirviðmið!$F$6:$F$205,GR$4)*INDEX(Undirviðmið!$E$6:$E$205,GR$4)*KVARDI,2),""))</f>
        <v/>
      </c>
      <c r="GT9" s="66" t="n"/>
      <c r="GU9" s="78">
        <f>IF(OR(GT$4=0,GT9=""),"",IFERROR(ROUND(GT9/INDEX(Undirviðmið!$F$6:$F$205,GT$4)*INDEX(Undirviðmið!$E$6:$E$205,GT$4)*KVARDI,2),""))</f>
        <v/>
      </c>
      <c r="GV9" s="63">
        <f>IFERROR(SUMIF($D$6:GU$6,"Stig",$D9:GU9),0)</f>
        <v/>
      </c>
    </row>
    <row r="10" ht="15" customHeight="1" s="47">
      <c r="A10" s="65">
        <f>ROW()-6</f>
        <v/>
      </c>
      <c r="B10" s="67">
        <f>IF(INDEX(Starfsmenn!$B$6:$B$10005,ROW()-6)="","",INDEX(Starfsmenn!$B$6:$B$10005,ROW()-6))</f>
        <v/>
      </c>
      <c r="C10" s="67">
        <f>IF(INDEX(Starfsmenn!$C$6:$C$10005,ROW()-6)="","",INDEX(Starfsmenn!$C$6:$C$10005,ROW()-6))</f>
        <v/>
      </c>
      <c r="D10" s="66" t="n"/>
      <c r="E10" s="78">
        <f>IF(OR(D$4=0,D10=""),"",IFERROR(ROUND(D10/INDEX(Undirviðmið!$F$6:$F$205,D$4)*INDEX(Undirviðmið!$E$6:$E$205,D$4)*KVARDI,2),""))</f>
        <v/>
      </c>
      <c r="F10" s="66" t="n"/>
      <c r="G10" s="78">
        <f>IF(OR(F$4=0,F10=""),"",IFERROR(ROUND(F10/INDEX(Undirviðmið!$F$6:$F$205,F$4)*INDEX(Undirviðmið!$E$6:$E$205,F$4)*KVARDI,2),""))</f>
        <v/>
      </c>
      <c r="H10" s="66" t="n"/>
      <c r="I10" s="78">
        <f>IF(OR(H$4=0,H10=""),"",IFERROR(ROUND(H10/INDEX(Undirviðmið!$F$6:$F$205,H$4)*INDEX(Undirviðmið!$E$6:$E$205,H$4)*KVARDI,2),""))</f>
        <v/>
      </c>
      <c r="J10" s="66" t="n"/>
      <c r="K10" s="78">
        <f>IF(OR(J$4=0,J10=""),"",IFERROR(ROUND(J10/INDEX(Undirviðmið!$F$6:$F$205,J$4)*INDEX(Undirviðmið!$E$6:$E$205,J$4)*KVARDI,2),""))</f>
        <v/>
      </c>
      <c r="L10" s="66" t="n"/>
      <c r="M10" s="78">
        <f>IF(OR(L$4=0,L10=""),"",IFERROR(ROUND(L10/INDEX(Undirviðmið!$F$6:$F$205,L$4)*INDEX(Undirviðmið!$E$6:$E$205,L$4)*KVARDI,2),""))</f>
        <v/>
      </c>
      <c r="N10" s="66" t="n"/>
      <c r="O10" s="78">
        <f>IF(OR(N$4=0,N10=""),"",IFERROR(ROUND(N10/INDEX(Undirviðmið!$F$6:$F$205,N$4)*INDEX(Undirviðmið!$E$6:$E$205,N$4)*KVARDI,2),""))</f>
        <v/>
      </c>
      <c r="P10" s="66" t="n"/>
      <c r="Q10" s="78">
        <f>IF(OR(P$4=0,P10=""),"",IFERROR(ROUND(P10/INDEX(Undirviðmið!$F$6:$F$205,P$4)*INDEX(Undirviðmið!$E$6:$E$205,P$4)*KVARDI,2),""))</f>
        <v/>
      </c>
      <c r="R10" s="66" t="n"/>
      <c r="S10" s="78">
        <f>IF(OR(R$4=0,R10=""),"",IFERROR(ROUND(R10/INDEX(Undirviðmið!$F$6:$F$205,R$4)*INDEX(Undirviðmið!$E$6:$E$205,R$4)*KVARDI,2),""))</f>
        <v/>
      </c>
      <c r="T10" s="66" t="n"/>
      <c r="U10" s="78">
        <f>IF(OR(T$4=0,T10=""),"",IFERROR(ROUND(T10/INDEX(Undirviðmið!$F$6:$F$205,T$4)*INDEX(Undirviðmið!$E$6:$E$205,T$4)*KVARDI,2),""))</f>
        <v/>
      </c>
      <c r="V10" s="66" t="n"/>
      <c r="W10" s="78">
        <f>IF(OR(V$4=0,V10=""),"",IFERROR(ROUND(V10/INDEX(Undirviðmið!$F$6:$F$205,V$4)*INDEX(Undirviðmið!$E$6:$E$205,V$4)*KVARDI,2),""))</f>
        <v/>
      </c>
      <c r="X10" s="66" t="n"/>
      <c r="Y10" s="78">
        <f>IF(OR(X$4=0,X10=""),"",IFERROR(ROUND(X10/INDEX(Undirviðmið!$F$6:$F$205,X$4)*INDEX(Undirviðmið!$E$6:$E$205,X$4)*KVARDI,2),""))</f>
        <v/>
      </c>
      <c r="Z10" s="66" t="n"/>
      <c r="AA10" s="78">
        <f>IF(OR(Z$4=0,Z10=""),"",IFERROR(ROUND(Z10/INDEX(Undirviðmið!$F$6:$F$205,Z$4)*INDEX(Undirviðmið!$E$6:$E$205,Z$4)*KVARDI,2),""))</f>
        <v/>
      </c>
      <c r="AB10" s="66" t="n"/>
      <c r="AC10" s="78">
        <f>IF(OR(AB$4=0,AB10=""),"",IFERROR(ROUND(AB10/INDEX(Undirviðmið!$F$6:$F$205,AB$4)*INDEX(Undirviðmið!$E$6:$E$205,AB$4)*KVARDI,2),""))</f>
        <v/>
      </c>
      <c r="AD10" s="66" t="n"/>
      <c r="AE10" s="78">
        <f>IF(OR(AD$4=0,AD10=""),"",IFERROR(ROUND(AD10/INDEX(Undirviðmið!$F$6:$F$205,AD$4)*INDEX(Undirviðmið!$E$6:$E$205,AD$4)*KVARDI,2),""))</f>
        <v/>
      </c>
      <c r="AF10" s="66" t="n"/>
      <c r="AG10" s="78">
        <f>IF(OR(AF$4=0,AF10=""),"",IFERROR(ROUND(AF10/INDEX(Undirviðmið!$F$6:$F$205,AF$4)*INDEX(Undirviðmið!$E$6:$E$205,AF$4)*KVARDI,2),""))</f>
        <v/>
      </c>
      <c r="AH10" s="66" t="n"/>
      <c r="AI10" s="78">
        <f>IF(OR(AH$4=0,AH10=""),"",IFERROR(ROUND(AH10/INDEX(Undirviðmið!$F$6:$F$205,AH$4)*INDEX(Undirviðmið!$E$6:$E$205,AH$4)*KVARDI,2),""))</f>
        <v/>
      </c>
      <c r="AJ10" s="66" t="n"/>
      <c r="AK10" s="78">
        <f>IF(OR(AJ$4=0,AJ10=""),"",IFERROR(ROUND(AJ10/INDEX(Undirviðmið!$F$6:$F$205,AJ$4)*INDEX(Undirviðmið!$E$6:$E$205,AJ$4)*KVARDI,2),""))</f>
        <v/>
      </c>
      <c r="AL10" s="66" t="n"/>
      <c r="AM10" s="78">
        <f>IF(OR(AL$4=0,AL10=""),"",IFERROR(ROUND(AL10/INDEX(Undirviðmið!$F$6:$F$205,AL$4)*INDEX(Undirviðmið!$E$6:$E$205,AL$4)*KVARDI,2),""))</f>
        <v/>
      </c>
      <c r="AN10" s="66" t="n"/>
      <c r="AO10" s="78">
        <f>IF(OR(AN$4=0,AN10=""),"",IFERROR(ROUND(AN10/INDEX(Undirviðmið!$F$6:$F$205,AN$4)*INDEX(Undirviðmið!$E$6:$E$205,AN$4)*KVARDI,2),""))</f>
        <v/>
      </c>
      <c r="AP10" s="66" t="n"/>
      <c r="AQ10" s="78">
        <f>IF(OR(AP$4=0,AP10=""),"",IFERROR(ROUND(AP10/INDEX(Undirviðmið!$F$6:$F$205,AP$4)*INDEX(Undirviðmið!$E$6:$E$205,AP$4)*KVARDI,2),""))</f>
        <v/>
      </c>
      <c r="AR10" s="66" t="n"/>
      <c r="AS10" s="78">
        <f>IF(OR(AR$4=0,AR10=""),"",IFERROR(ROUND(AR10/INDEX(Undirviðmið!$F$6:$F$205,AR$4)*INDEX(Undirviðmið!$E$6:$E$205,AR$4)*KVARDI,2),""))</f>
        <v/>
      </c>
      <c r="AT10" s="66" t="n"/>
      <c r="AU10" s="78">
        <f>IF(OR(AT$4=0,AT10=""),"",IFERROR(ROUND(AT10/INDEX(Undirviðmið!$F$6:$F$205,AT$4)*INDEX(Undirviðmið!$E$6:$E$205,AT$4)*KVARDI,2),""))</f>
        <v/>
      </c>
      <c r="AV10" s="66" t="n"/>
      <c r="AW10" s="78">
        <f>IF(OR(AV$4=0,AV10=""),"",IFERROR(ROUND(AV10/INDEX(Undirviðmið!$F$6:$F$205,AV$4)*INDEX(Undirviðmið!$E$6:$E$205,AV$4)*KVARDI,2),""))</f>
        <v/>
      </c>
      <c r="AX10" s="66" t="n"/>
      <c r="AY10" s="78">
        <f>IF(OR(AX$4=0,AX10=""),"",IFERROR(ROUND(AX10/INDEX(Undirviðmið!$F$6:$F$205,AX$4)*INDEX(Undirviðmið!$E$6:$E$205,AX$4)*KVARDI,2),""))</f>
        <v/>
      </c>
      <c r="AZ10" s="66" t="n"/>
      <c r="BA10" s="78">
        <f>IF(OR(AZ$4=0,AZ10=""),"",IFERROR(ROUND(AZ10/INDEX(Undirviðmið!$F$6:$F$205,AZ$4)*INDEX(Undirviðmið!$E$6:$E$205,AZ$4)*KVARDI,2),""))</f>
        <v/>
      </c>
      <c r="BB10" s="66" t="n"/>
      <c r="BC10" s="78">
        <f>IF(OR(BB$4=0,BB10=""),"",IFERROR(ROUND(BB10/INDEX(Undirviðmið!$F$6:$F$205,BB$4)*INDEX(Undirviðmið!$E$6:$E$205,BB$4)*KVARDI,2),""))</f>
        <v/>
      </c>
      <c r="BD10" s="66" t="n"/>
      <c r="BE10" s="78">
        <f>IF(OR(BD$4=0,BD10=""),"",IFERROR(ROUND(BD10/INDEX(Undirviðmið!$F$6:$F$205,BD$4)*INDEX(Undirviðmið!$E$6:$E$205,BD$4)*KVARDI,2),""))</f>
        <v/>
      </c>
      <c r="BF10" s="66" t="n"/>
      <c r="BG10" s="78">
        <f>IF(OR(BF$4=0,BF10=""),"",IFERROR(ROUND(BF10/INDEX(Undirviðmið!$F$6:$F$205,BF$4)*INDEX(Undirviðmið!$E$6:$E$205,BF$4)*KVARDI,2),""))</f>
        <v/>
      </c>
      <c r="BH10" s="66" t="n"/>
      <c r="BI10" s="78">
        <f>IF(OR(BH$4=0,BH10=""),"",IFERROR(ROUND(BH10/INDEX(Undirviðmið!$F$6:$F$205,BH$4)*INDEX(Undirviðmið!$E$6:$E$205,BH$4)*KVARDI,2),""))</f>
        <v/>
      </c>
      <c r="BJ10" s="66" t="n"/>
      <c r="BK10" s="78">
        <f>IF(OR(BJ$4=0,BJ10=""),"",IFERROR(ROUND(BJ10/INDEX(Undirviðmið!$F$6:$F$205,BJ$4)*INDEX(Undirviðmið!$E$6:$E$205,BJ$4)*KVARDI,2),""))</f>
        <v/>
      </c>
      <c r="BL10" s="66" t="n"/>
      <c r="BM10" s="78">
        <f>IF(OR(BL$4=0,BL10=""),"",IFERROR(ROUND(BL10/INDEX(Undirviðmið!$F$6:$F$205,BL$4)*INDEX(Undirviðmið!$E$6:$E$205,BL$4)*KVARDI,2),""))</f>
        <v/>
      </c>
      <c r="BN10" s="66" t="n"/>
      <c r="BO10" s="78">
        <f>IF(OR(BN$4=0,BN10=""),"",IFERROR(ROUND(BN10/INDEX(Undirviðmið!$F$6:$F$205,BN$4)*INDEX(Undirviðmið!$E$6:$E$205,BN$4)*KVARDI,2),""))</f>
        <v/>
      </c>
      <c r="BP10" s="66" t="n"/>
      <c r="BQ10" s="78">
        <f>IF(OR(BP$4=0,BP10=""),"",IFERROR(ROUND(BP10/INDEX(Undirviðmið!$F$6:$F$205,BP$4)*INDEX(Undirviðmið!$E$6:$E$205,BP$4)*KVARDI,2),""))</f>
        <v/>
      </c>
      <c r="BR10" s="66" t="n"/>
      <c r="BS10" s="78">
        <f>IF(OR(BR$4=0,BR10=""),"",IFERROR(ROUND(BR10/INDEX(Undirviðmið!$F$6:$F$205,BR$4)*INDEX(Undirviðmið!$E$6:$E$205,BR$4)*KVARDI,2),""))</f>
        <v/>
      </c>
      <c r="BT10" s="66" t="n"/>
      <c r="BU10" s="78">
        <f>IF(OR(BT$4=0,BT10=""),"",IFERROR(ROUND(BT10/INDEX(Undirviðmið!$F$6:$F$205,BT$4)*INDEX(Undirviðmið!$E$6:$E$205,BT$4)*KVARDI,2),""))</f>
        <v/>
      </c>
      <c r="BV10" s="66" t="n"/>
      <c r="BW10" s="78">
        <f>IF(OR(BV$4=0,BV10=""),"",IFERROR(ROUND(BV10/INDEX(Undirviðmið!$F$6:$F$205,BV$4)*INDEX(Undirviðmið!$E$6:$E$205,BV$4)*KVARDI,2),""))</f>
        <v/>
      </c>
      <c r="BX10" s="66" t="n"/>
      <c r="BY10" s="78">
        <f>IF(OR(BX$4=0,BX10=""),"",IFERROR(ROUND(BX10/INDEX(Undirviðmið!$F$6:$F$205,BX$4)*INDEX(Undirviðmið!$E$6:$E$205,BX$4)*KVARDI,2),""))</f>
        <v/>
      </c>
      <c r="BZ10" s="66" t="n"/>
      <c r="CA10" s="78">
        <f>IF(OR(BZ$4=0,BZ10=""),"",IFERROR(ROUND(BZ10/INDEX(Undirviðmið!$F$6:$F$205,BZ$4)*INDEX(Undirviðmið!$E$6:$E$205,BZ$4)*KVARDI,2),""))</f>
        <v/>
      </c>
      <c r="CB10" s="66" t="n"/>
      <c r="CC10" s="78">
        <f>IF(OR(CB$4=0,CB10=""),"",IFERROR(ROUND(CB10/INDEX(Undirviðmið!$F$6:$F$205,CB$4)*INDEX(Undirviðmið!$E$6:$E$205,CB$4)*KVARDI,2),""))</f>
        <v/>
      </c>
      <c r="CD10" s="66" t="n"/>
      <c r="CE10" s="78">
        <f>IF(OR(CD$4=0,CD10=""),"",IFERROR(ROUND(CD10/INDEX(Undirviðmið!$F$6:$F$205,CD$4)*INDEX(Undirviðmið!$E$6:$E$205,CD$4)*KVARDI,2),""))</f>
        <v/>
      </c>
      <c r="CF10" s="66" t="n"/>
      <c r="CG10" s="78">
        <f>IF(OR(CF$4=0,CF10=""),"",IFERROR(ROUND(CF10/INDEX(Undirviðmið!$F$6:$F$205,CF$4)*INDEX(Undirviðmið!$E$6:$E$205,CF$4)*KVARDI,2),""))</f>
        <v/>
      </c>
      <c r="CH10" s="66" t="n"/>
      <c r="CI10" s="78">
        <f>IF(OR(CH$4=0,CH10=""),"",IFERROR(ROUND(CH10/INDEX(Undirviðmið!$F$6:$F$205,CH$4)*INDEX(Undirviðmið!$E$6:$E$205,CH$4)*KVARDI,2),""))</f>
        <v/>
      </c>
      <c r="CJ10" s="66" t="n"/>
      <c r="CK10" s="78">
        <f>IF(OR(CJ$4=0,CJ10=""),"",IFERROR(ROUND(CJ10/INDEX(Undirviðmið!$F$6:$F$205,CJ$4)*INDEX(Undirviðmið!$E$6:$E$205,CJ$4)*KVARDI,2),""))</f>
        <v/>
      </c>
      <c r="CL10" s="66" t="n"/>
      <c r="CM10" s="78">
        <f>IF(OR(CL$4=0,CL10=""),"",IFERROR(ROUND(CL10/INDEX(Undirviðmið!$F$6:$F$205,CL$4)*INDEX(Undirviðmið!$E$6:$E$205,CL$4)*KVARDI,2),""))</f>
        <v/>
      </c>
      <c r="CN10" s="66" t="n"/>
      <c r="CO10" s="78">
        <f>IF(OR(CN$4=0,CN10=""),"",IFERROR(ROUND(CN10/INDEX(Undirviðmið!$F$6:$F$205,CN$4)*INDEX(Undirviðmið!$E$6:$E$205,CN$4)*KVARDI,2),""))</f>
        <v/>
      </c>
      <c r="CP10" s="66" t="n"/>
      <c r="CQ10" s="78">
        <f>IF(OR(CP$4=0,CP10=""),"",IFERROR(ROUND(CP10/INDEX(Undirviðmið!$F$6:$F$205,CP$4)*INDEX(Undirviðmið!$E$6:$E$205,CP$4)*KVARDI,2),""))</f>
        <v/>
      </c>
      <c r="CR10" s="66" t="n"/>
      <c r="CS10" s="78">
        <f>IF(OR(CR$4=0,CR10=""),"",IFERROR(ROUND(CR10/INDEX(Undirviðmið!$F$6:$F$205,CR$4)*INDEX(Undirviðmið!$E$6:$E$205,CR$4)*KVARDI,2),""))</f>
        <v/>
      </c>
      <c r="CT10" s="66" t="n"/>
      <c r="CU10" s="78">
        <f>IF(OR(CT$4=0,CT10=""),"",IFERROR(ROUND(CT10/INDEX(Undirviðmið!$F$6:$F$205,CT$4)*INDEX(Undirviðmið!$E$6:$E$205,CT$4)*KVARDI,2),""))</f>
        <v/>
      </c>
      <c r="CV10" s="66" t="n"/>
      <c r="CW10" s="78">
        <f>IF(OR(CV$4=0,CV10=""),"",IFERROR(ROUND(CV10/INDEX(Undirviðmið!$F$6:$F$205,CV$4)*INDEX(Undirviðmið!$E$6:$E$205,CV$4)*KVARDI,2),""))</f>
        <v/>
      </c>
      <c r="CX10" s="66" t="n"/>
      <c r="CY10" s="78">
        <f>IF(OR(CX$4=0,CX10=""),"",IFERROR(ROUND(CX10/INDEX(Undirviðmið!$F$6:$F$205,CX$4)*INDEX(Undirviðmið!$E$6:$E$205,CX$4)*KVARDI,2),""))</f>
        <v/>
      </c>
      <c r="CZ10" s="66" t="n"/>
      <c r="DA10" s="78">
        <f>IF(OR(CZ$4=0,CZ10=""),"",IFERROR(ROUND(CZ10/INDEX(Undirviðmið!$F$6:$F$205,CZ$4)*INDEX(Undirviðmið!$E$6:$E$205,CZ$4)*KVARDI,2),""))</f>
        <v/>
      </c>
      <c r="DB10" s="66" t="n"/>
      <c r="DC10" s="78">
        <f>IF(OR(DB$4=0,DB10=""),"",IFERROR(ROUND(DB10/INDEX(Undirviðmið!$F$6:$F$205,DB$4)*INDEX(Undirviðmið!$E$6:$E$205,DB$4)*KVARDI,2),""))</f>
        <v/>
      </c>
      <c r="DD10" s="66" t="n"/>
      <c r="DE10" s="78">
        <f>IF(OR(DD$4=0,DD10=""),"",IFERROR(ROUND(DD10/INDEX(Undirviðmið!$F$6:$F$205,DD$4)*INDEX(Undirviðmið!$E$6:$E$205,DD$4)*KVARDI,2),""))</f>
        <v/>
      </c>
      <c r="DF10" s="66" t="n"/>
      <c r="DG10" s="78">
        <f>IF(OR(DF$4=0,DF10=""),"",IFERROR(ROUND(DF10/INDEX(Undirviðmið!$F$6:$F$205,DF$4)*INDEX(Undirviðmið!$E$6:$E$205,DF$4)*KVARDI,2),""))</f>
        <v/>
      </c>
      <c r="DH10" s="66" t="n"/>
      <c r="DI10" s="78">
        <f>IF(OR(DH$4=0,DH10=""),"",IFERROR(ROUND(DH10/INDEX(Undirviðmið!$F$6:$F$205,DH$4)*INDEX(Undirviðmið!$E$6:$E$205,DH$4)*KVARDI,2),""))</f>
        <v/>
      </c>
      <c r="DJ10" s="66" t="n"/>
      <c r="DK10" s="78">
        <f>IF(OR(DJ$4=0,DJ10=""),"",IFERROR(ROUND(DJ10/INDEX(Undirviðmið!$F$6:$F$205,DJ$4)*INDEX(Undirviðmið!$E$6:$E$205,DJ$4)*KVARDI,2),""))</f>
        <v/>
      </c>
      <c r="DL10" s="66" t="n"/>
      <c r="DM10" s="78">
        <f>IF(OR(DL$4=0,DL10=""),"",IFERROR(ROUND(DL10/INDEX(Undirviðmið!$F$6:$F$205,DL$4)*INDEX(Undirviðmið!$E$6:$E$205,DL$4)*KVARDI,2),""))</f>
        <v/>
      </c>
      <c r="DN10" s="66" t="n"/>
      <c r="DO10" s="78">
        <f>IF(OR(DN$4=0,DN10=""),"",IFERROR(ROUND(DN10/INDEX(Undirviðmið!$F$6:$F$205,DN$4)*INDEX(Undirviðmið!$E$6:$E$205,DN$4)*KVARDI,2),""))</f>
        <v/>
      </c>
      <c r="DP10" s="66" t="n"/>
      <c r="DQ10" s="78">
        <f>IF(OR(DP$4=0,DP10=""),"",IFERROR(ROUND(DP10/INDEX(Undirviðmið!$F$6:$F$205,DP$4)*INDEX(Undirviðmið!$E$6:$E$205,DP$4)*KVARDI,2),""))</f>
        <v/>
      </c>
      <c r="DR10" s="66" t="n"/>
      <c r="DS10" s="78">
        <f>IF(OR(DR$4=0,DR10=""),"",IFERROR(ROUND(DR10/INDEX(Undirviðmið!$F$6:$F$205,DR$4)*INDEX(Undirviðmið!$E$6:$E$205,DR$4)*KVARDI,2),""))</f>
        <v/>
      </c>
      <c r="DT10" s="66" t="n"/>
      <c r="DU10" s="78">
        <f>IF(OR(DT$4=0,DT10=""),"",IFERROR(ROUND(DT10/INDEX(Undirviðmið!$F$6:$F$205,DT$4)*INDEX(Undirviðmið!$E$6:$E$205,DT$4)*KVARDI,2),""))</f>
        <v/>
      </c>
      <c r="DV10" s="66" t="n"/>
      <c r="DW10" s="78">
        <f>IF(OR(DV$4=0,DV10=""),"",IFERROR(ROUND(DV10/INDEX(Undirviðmið!$F$6:$F$205,DV$4)*INDEX(Undirviðmið!$E$6:$E$205,DV$4)*KVARDI,2),""))</f>
        <v/>
      </c>
      <c r="DX10" s="66" t="n"/>
      <c r="DY10" s="78">
        <f>IF(OR(DX$4=0,DX10=""),"",IFERROR(ROUND(DX10/INDEX(Undirviðmið!$F$6:$F$205,DX$4)*INDEX(Undirviðmið!$E$6:$E$205,DX$4)*KVARDI,2),""))</f>
        <v/>
      </c>
      <c r="DZ10" s="66" t="n"/>
      <c r="EA10" s="78">
        <f>IF(OR(DZ$4=0,DZ10=""),"",IFERROR(ROUND(DZ10/INDEX(Undirviðmið!$F$6:$F$205,DZ$4)*INDEX(Undirviðmið!$E$6:$E$205,DZ$4)*KVARDI,2),""))</f>
        <v/>
      </c>
      <c r="EB10" s="66" t="n"/>
      <c r="EC10" s="78">
        <f>IF(OR(EB$4=0,EB10=""),"",IFERROR(ROUND(EB10/INDEX(Undirviðmið!$F$6:$F$205,EB$4)*INDEX(Undirviðmið!$E$6:$E$205,EB$4)*KVARDI,2),""))</f>
        <v/>
      </c>
      <c r="ED10" s="66" t="n"/>
      <c r="EE10" s="78">
        <f>IF(OR(ED$4=0,ED10=""),"",IFERROR(ROUND(ED10/INDEX(Undirviðmið!$F$6:$F$205,ED$4)*INDEX(Undirviðmið!$E$6:$E$205,ED$4)*KVARDI,2),""))</f>
        <v/>
      </c>
      <c r="EF10" s="66" t="n"/>
      <c r="EG10" s="78">
        <f>IF(OR(EF$4=0,EF10=""),"",IFERROR(ROUND(EF10/INDEX(Undirviðmið!$F$6:$F$205,EF$4)*INDEX(Undirviðmið!$E$6:$E$205,EF$4)*KVARDI,2),""))</f>
        <v/>
      </c>
      <c r="EH10" s="66" t="n"/>
      <c r="EI10" s="78">
        <f>IF(OR(EH$4=0,EH10=""),"",IFERROR(ROUND(EH10/INDEX(Undirviðmið!$F$6:$F$205,EH$4)*INDEX(Undirviðmið!$E$6:$E$205,EH$4)*KVARDI,2),""))</f>
        <v/>
      </c>
      <c r="EJ10" s="66" t="n"/>
      <c r="EK10" s="78">
        <f>IF(OR(EJ$4=0,EJ10=""),"",IFERROR(ROUND(EJ10/INDEX(Undirviðmið!$F$6:$F$205,EJ$4)*INDEX(Undirviðmið!$E$6:$E$205,EJ$4)*KVARDI,2),""))</f>
        <v/>
      </c>
      <c r="EL10" s="66" t="n"/>
      <c r="EM10" s="78">
        <f>IF(OR(EL$4=0,EL10=""),"",IFERROR(ROUND(EL10/INDEX(Undirviðmið!$F$6:$F$205,EL$4)*INDEX(Undirviðmið!$E$6:$E$205,EL$4)*KVARDI,2),""))</f>
        <v/>
      </c>
      <c r="EN10" s="66" t="n"/>
      <c r="EO10" s="78">
        <f>IF(OR(EN$4=0,EN10=""),"",IFERROR(ROUND(EN10/INDEX(Undirviðmið!$F$6:$F$205,EN$4)*INDEX(Undirviðmið!$E$6:$E$205,EN$4)*KVARDI,2),""))</f>
        <v/>
      </c>
      <c r="EP10" s="66" t="n"/>
      <c r="EQ10" s="78">
        <f>IF(OR(EP$4=0,EP10=""),"",IFERROR(ROUND(EP10/INDEX(Undirviðmið!$F$6:$F$205,EP$4)*INDEX(Undirviðmið!$E$6:$E$205,EP$4)*KVARDI,2),""))</f>
        <v/>
      </c>
      <c r="ER10" s="66" t="n"/>
      <c r="ES10" s="78">
        <f>IF(OR(ER$4=0,ER10=""),"",IFERROR(ROUND(ER10/INDEX(Undirviðmið!$F$6:$F$205,ER$4)*INDEX(Undirviðmið!$E$6:$E$205,ER$4)*KVARDI,2),""))</f>
        <v/>
      </c>
      <c r="ET10" s="66" t="n"/>
      <c r="EU10" s="78">
        <f>IF(OR(ET$4=0,ET10=""),"",IFERROR(ROUND(ET10/INDEX(Undirviðmið!$F$6:$F$205,ET$4)*INDEX(Undirviðmið!$E$6:$E$205,ET$4)*KVARDI,2),""))</f>
        <v/>
      </c>
      <c r="EV10" s="66" t="n"/>
      <c r="EW10" s="78">
        <f>IF(OR(EV$4=0,EV10=""),"",IFERROR(ROUND(EV10/INDEX(Undirviðmið!$F$6:$F$205,EV$4)*INDEX(Undirviðmið!$E$6:$E$205,EV$4)*KVARDI,2),""))</f>
        <v/>
      </c>
      <c r="EX10" s="66" t="n"/>
      <c r="EY10" s="78">
        <f>IF(OR(EX$4=0,EX10=""),"",IFERROR(ROUND(EX10/INDEX(Undirviðmið!$F$6:$F$205,EX$4)*INDEX(Undirviðmið!$E$6:$E$205,EX$4)*KVARDI,2),""))</f>
        <v/>
      </c>
      <c r="EZ10" s="66" t="n"/>
      <c r="FA10" s="78">
        <f>IF(OR(EZ$4=0,EZ10=""),"",IFERROR(ROUND(EZ10/INDEX(Undirviðmið!$F$6:$F$205,EZ$4)*INDEX(Undirviðmið!$E$6:$E$205,EZ$4)*KVARDI,2),""))</f>
        <v/>
      </c>
      <c r="FB10" s="66" t="n"/>
      <c r="FC10" s="78">
        <f>IF(OR(FB$4=0,FB10=""),"",IFERROR(ROUND(FB10/INDEX(Undirviðmið!$F$6:$F$205,FB$4)*INDEX(Undirviðmið!$E$6:$E$205,FB$4)*KVARDI,2),""))</f>
        <v/>
      </c>
      <c r="FD10" s="66" t="n"/>
      <c r="FE10" s="78">
        <f>IF(OR(FD$4=0,FD10=""),"",IFERROR(ROUND(FD10/INDEX(Undirviðmið!$F$6:$F$205,FD$4)*INDEX(Undirviðmið!$E$6:$E$205,FD$4)*KVARDI,2),""))</f>
        <v/>
      </c>
      <c r="FF10" s="66" t="n"/>
      <c r="FG10" s="78">
        <f>IF(OR(FF$4=0,FF10=""),"",IFERROR(ROUND(FF10/INDEX(Undirviðmið!$F$6:$F$205,FF$4)*INDEX(Undirviðmið!$E$6:$E$205,FF$4)*KVARDI,2),""))</f>
        <v/>
      </c>
      <c r="FH10" s="66" t="n"/>
      <c r="FI10" s="78">
        <f>IF(OR(FH$4=0,FH10=""),"",IFERROR(ROUND(FH10/INDEX(Undirviðmið!$F$6:$F$205,FH$4)*INDEX(Undirviðmið!$E$6:$E$205,FH$4)*KVARDI,2),""))</f>
        <v/>
      </c>
      <c r="FJ10" s="66" t="n"/>
      <c r="FK10" s="78">
        <f>IF(OR(FJ$4=0,FJ10=""),"",IFERROR(ROUND(FJ10/INDEX(Undirviðmið!$F$6:$F$205,FJ$4)*INDEX(Undirviðmið!$E$6:$E$205,FJ$4)*KVARDI,2),""))</f>
        <v/>
      </c>
      <c r="FL10" s="66" t="n"/>
      <c r="FM10" s="78">
        <f>IF(OR(FL$4=0,FL10=""),"",IFERROR(ROUND(FL10/INDEX(Undirviðmið!$F$6:$F$205,FL$4)*INDEX(Undirviðmið!$E$6:$E$205,FL$4)*KVARDI,2),""))</f>
        <v/>
      </c>
      <c r="FN10" s="66" t="n"/>
      <c r="FO10" s="78">
        <f>IF(OR(FN$4=0,FN10=""),"",IFERROR(ROUND(FN10/INDEX(Undirviðmið!$F$6:$F$205,FN$4)*INDEX(Undirviðmið!$E$6:$E$205,FN$4)*KVARDI,2),""))</f>
        <v/>
      </c>
      <c r="FP10" s="66" t="n"/>
      <c r="FQ10" s="78">
        <f>IF(OR(FP$4=0,FP10=""),"",IFERROR(ROUND(FP10/INDEX(Undirviðmið!$F$6:$F$205,FP$4)*INDEX(Undirviðmið!$E$6:$E$205,FP$4)*KVARDI,2),""))</f>
        <v/>
      </c>
      <c r="FR10" s="66" t="n"/>
      <c r="FS10" s="78">
        <f>IF(OR(FR$4=0,FR10=""),"",IFERROR(ROUND(FR10/INDEX(Undirviðmið!$F$6:$F$205,FR$4)*INDEX(Undirviðmið!$E$6:$E$205,FR$4)*KVARDI,2),""))</f>
        <v/>
      </c>
      <c r="FT10" s="66" t="n"/>
      <c r="FU10" s="78">
        <f>IF(OR(FT$4=0,FT10=""),"",IFERROR(ROUND(FT10/INDEX(Undirviðmið!$F$6:$F$205,FT$4)*INDEX(Undirviðmið!$E$6:$E$205,FT$4)*KVARDI,2),""))</f>
        <v/>
      </c>
      <c r="FV10" s="66" t="n"/>
      <c r="FW10" s="78">
        <f>IF(OR(FV$4=0,FV10=""),"",IFERROR(ROUND(FV10/INDEX(Undirviðmið!$F$6:$F$205,FV$4)*INDEX(Undirviðmið!$E$6:$E$205,FV$4)*KVARDI,2),""))</f>
        <v/>
      </c>
      <c r="FX10" s="66" t="n"/>
      <c r="FY10" s="78">
        <f>IF(OR(FX$4=0,FX10=""),"",IFERROR(ROUND(FX10/INDEX(Undirviðmið!$F$6:$F$205,FX$4)*INDEX(Undirviðmið!$E$6:$E$205,FX$4)*KVARDI,2),""))</f>
        <v/>
      </c>
      <c r="FZ10" s="66" t="n"/>
      <c r="GA10" s="78">
        <f>IF(OR(FZ$4=0,FZ10=""),"",IFERROR(ROUND(FZ10/INDEX(Undirviðmið!$F$6:$F$205,FZ$4)*INDEX(Undirviðmið!$E$6:$E$205,FZ$4)*KVARDI,2),""))</f>
        <v/>
      </c>
      <c r="GB10" s="66" t="n"/>
      <c r="GC10" s="78">
        <f>IF(OR(GB$4=0,GB10=""),"",IFERROR(ROUND(GB10/INDEX(Undirviðmið!$F$6:$F$205,GB$4)*INDEX(Undirviðmið!$E$6:$E$205,GB$4)*KVARDI,2),""))</f>
        <v/>
      </c>
      <c r="GD10" s="66" t="n"/>
      <c r="GE10" s="78">
        <f>IF(OR(GD$4=0,GD10=""),"",IFERROR(ROUND(GD10/INDEX(Undirviðmið!$F$6:$F$205,GD$4)*INDEX(Undirviðmið!$E$6:$E$205,GD$4)*KVARDI,2),""))</f>
        <v/>
      </c>
      <c r="GF10" s="66" t="n"/>
      <c r="GG10" s="78">
        <f>IF(OR(GF$4=0,GF10=""),"",IFERROR(ROUND(GF10/INDEX(Undirviðmið!$F$6:$F$205,GF$4)*INDEX(Undirviðmið!$E$6:$E$205,GF$4)*KVARDI,2),""))</f>
        <v/>
      </c>
      <c r="GH10" s="66" t="n"/>
      <c r="GI10" s="78">
        <f>IF(OR(GH$4=0,GH10=""),"",IFERROR(ROUND(GH10/INDEX(Undirviðmið!$F$6:$F$205,GH$4)*INDEX(Undirviðmið!$E$6:$E$205,GH$4)*KVARDI,2),""))</f>
        <v/>
      </c>
      <c r="GJ10" s="66" t="n"/>
      <c r="GK10" s="78">
        <f>IF(OR(GJ$4=0,GJ10=""),"",IFERROR(ROUND(GJ10/INDEX(Undirviðmið!$F$6:$F$205,GJ$4)*INDEX(Undirviðmið!$E$6:$E$205,GJ$4)*KVARDI,2),""))</f>
        <v/>
      </c>
      <c r="GL10" s="66" t="n"/>
      <c r="GM10" s="78">
        <f>IF(OR(GL$4=0,GL10=""),"",IFERROR(ROUND(GL10/INDEX(Undirviðmið!$F$6:$F$205,GL$4)*INDEX(Undirviðmið!$E$6:$E$205,GL$4)*KVARDI,2),""))</f>
        <v/>
      </c>
      <c r="GN10" s="66" t="n"/>
      <c r="GO10" s="78">
        <f>IF(OR(GN$4=0,GN10=""),"",IFERROR(ROUND(GN10/INDEX(Undirviðmið!$F$6:$F$205,GN$4)*INDEX(Undirviðmið!$E$6:$E$205,GN$4)*KVARDI,2),""))</f>
        <v/>
      </c>
      <c r="GP10" s="66" t="n"/>
      <c r="GQ10" s="78">
        <f>IF(OR(GP$4=0,GP10=""),"",IFERROR(ROUND(GP10/INDEX(Undirviðmið!$F$6:$F$205,GP$4)*INDEX(Undirviðmið!$E$6:$E$205,GP$4)*KVARDI,2),""))</f>
        <v/>
      </c>
      <c r="GR10" s="66" t="n"/>
      <c r="GS10" s="78">
        <f>IF(OR(GR$4=0,GR10=""),"",IFERROR(ROUND(GR10/INDEX(Undirviðmið!$F$6:$F$205,GR$4)*INDEX(Undirviðmið!$E$6:$E$205,GR$4)*KVARDI,2),""))</f>
        <v/>
      </c>
      <c r="GT10" s="66" t="n"/>
      <c r="GU10" s="78">
        <f>IF(OR(GT$4=0,GT10=""),"",IFERROR(ROUND(GT10/INDEX(Undirviðmið!$F$6:$F$205,GT$4)*INDEX(Undirviðmið!$E$6:$E$205,GT$4)*KVARDI,2),""))</f>
        <v/>
      </c>
      <c r="GV10" s="63">
        <f>IFERROR(SUMIF($D$6:GU$6,"Stig",$D10:GU10),0)</f>
        <v/>
      </c>
    </row>
    <row r="11" ht="15" customHeight="1" s="47">
      <c r="A11" s="65">
        <f>ROW()-6</f>
        <v/>
      </c>
      <c r="B11" s="67">
        <f>IF(INDEX(Starfsmenn!$B$6:$B$10005,ROW()-6)="","",INDEX(Starfsmenn!$B$6:$B$10005,ROW()-6))</f>
        <v/>
      </c>
      <c r="C11" s="67">
        <f>IF(INDEX(Starfsmenn!$C$6:$C$10005,ROW()-6)="","",INDEX(Starfsmenn!$C$6:$C$10005,ROW()-6))</f>
        <v/>
      </c>
      <c r="D11" s="66" t="n"/>
      <c r="E11" s="78">
        <f>IF(OR(D$4=0,D11=""),"",IFERROR(ROUND(D11/INDEX(Undirviðmið!$F$6:$F$205,D$4)*INDEX(Undirviðmið!$E$6:$E$205,D$4)*KVARDI,2),""))</f>
        <v/>
      </c>
      <c r="F11" s="66" t="n"/>
      <c r="G11" s="78">
        <f>IF(OR(F$4=0,F11=""),"",IFERROR(ROUND(F11/INDEX(Undirviðmið!$F$6:$F$205,F$4)*INDEX(Undirviðmið!$E$6:$E$205,F$4)*KVARDI,2),""))</f>
        <v/>
      </c>
      <c r="H11" s="66" t="n"/>
      <c r="I11" s="78">
        <f>IF(OR(H$4=0,H11=""),"",IFERROR(ROUND(H11/INDEX(Undirviðmið!$F$6:$F$205,H$4)*INDEX(Undirviðmið!$E$6:$E$205,H$4)*KVARDI,2),""))</f>
        <v/>
      </c>
      <c r="J11" s="66" t="n"/>
      <c r="K11" s="78">
        <f>IF(OR(J$4=0,J11=""),"",IFERROR(ROUND(J11/INDEX(Undirviðmið!$F$6:$F$205,J$4)*INDEX(Undirviðmið!$E$6:$E$205,J$4)*KVARDI,2),""))</f>
        <v/>
      </c>
      <c r="L11" s="66" t="n"/>
      <c r="M11" s="78">
        <f>IF(OR(L$4=0,L11=""),"",IFERROR(ROUND(L11/INDEX(Undirviðmið!$F$6:$F$205,L$4)*INDEX(Undirviðmið!$E$6:$E$205,L$4)*KVARDI,2),""))</f>
        <v/>
      </c>
      <c r="N11" s="66" t="n"/>
      <c r="O11" s="78">
        <f>IF(OR(N$4=0,N11=""),"",IFERROR(ROUND(N11/INDEX(Undirviðmið!$F$6:$F$205,N$4)*INDEX(Undirviðmið!$E$6:$E$205,N$4)*KVARDI,2),""))</f>
        <v/>
      </c>
      <c r="P11" s="66" t="n"/>
      <c r="Q11" s="78">
        <f>IF(OR(P$4=0,P11=""),"",IFERROR(ROUND(P11/INDEX(Undirviðmið!$F$6:$F$205,P$4)*INDEX(Undirviðmið!$E$6:$E$205,P$4)*KVARDI,2),""))</f>
        <v/>
      </c>
      <c r="R11" s="66" t="n"/>
      <c r="S11" s="78">
        <f>IF(OR(R$4=0,R11=""),"",IFERROR(ROUND(R11/INDEX(Undirviðmið!$F$6:$F$205,R$4)*INDEX(Undirviðmið!$E$6:$E$205,R$4)*KVARDI,2),""))</f>
        <v/>
      </c>
      <c r="T11" s="66" t="n"/>
      <c r="U11" s="78">
        <f>IF(OR(T$4=0,T11=""),"",IFERROR(ROUND(T11/INDEX(Undirviðmið!$F$6:$F$205,T$4)*INDEX(Undirviðmið!$E$6:$E$205,T$4)*KVARDI,2),""))</f>
        <v/>
      </c>
      <c r="V11" s="66" t="n"/>
      <c r="W11" s="78">
        <f>IF(OR(V$4=0,V11=""),"",IFERROR(ROUND(V11/INDEX(Undirviðmið!$F$6:$F$205,V$4)*INDEX(Undirviðmið!$E$6:$E$205,V$4)*KVARDI,2),""))</f>
        <v/>
      </c>
      <c r="X11" s="66" t="n"/>
      <c r="Y11" s="78">
        <f>IF(OR(X$4=0,X11=""),"",IFERROR(ROUND(X11/INDEX(Undirviðmið!$F$6:$F$205,X$4)*INDEX(Undirviðmið!$E$6:$E$205,X$4)*KVARDI,2),""))</f>
        <v/>
      </c>
      <c r="Z11" s="66" t="n"/>
      <c r="AA11" s="78">
        <f>IF(OR(Z$4=0,Z11=""),"",IFERROR(ROUND(Z11/INDEX(Undirviðmið!$F$6:$F$205,Z$4)*INDEX(Undirviðmið!$E$6:$E$205,Z$4)*KVARDI,2),""))</f>
        <v/>
      </c>
      <c r="AB11" s="66" t="n"/>
      <c r="AC11" s="78">
        <f>IF(OR(AB$4=0,AB11=""),"",IFERROR(ROUND(AB11/INDEX(Undirviðmið!$F$6:$F$205,AB$4)*INDEX(Undirviðmið!$E$6:$E$205,AB$4)*KVARDI,2),""))</f>
        <v/>
      </c>
      <c r="AD11" s="66" t="n"/>
      <c r="AE11" s="78">
        <f>IF(OR(AD$4=0,AD11=""),"",IFERROR(ROUND(AD11/INDEX(Undirviðmið!$F$6:$F$205,AD$4)*INDEX(Undirviðmið!$E$6:$E$205,AD$4)*KVARDI,2),""))</f>
        <v/>
      </c>
      <c r="AF11" s="66" t="n"/>
      <c r="AG11" s="78">
        <f>IF(OR(AF$4=0,AF11=""),"",IFERROR(ROUND(AF11/INDEX(Undirviðmið!$F$6:$F$205,AF$4)*INDEX(Undirviðmið!$E$6:$E$205,AF$4)*KVARDI,2),""))</f>
        <v/>
      </c>
      <c r="AH11" s="66" t="n"/>
      <c r="AI11" s="78">
        <f>IF(OR(AH$4=0,AH11=""),"",IFERROR(ROUND(AH11/INDEX(Undirviðmið!$F$6:$F$205,AH$4)*INDEX(Undirviðmið!$E$6:$E$205,AH$4)*KVARDI,2),""))</f>
        <v/>
      </c>
      <c r="AJ11" s="66" t="n"/>
      <c r="AK11" s="78">
        <f>IF(OR(AJ$4=0,AJ11=""),"",IFERROR(ROUND(AJ11/INDEX(Undirviðmið!$F$6:$F$205,AJ$4)*INDEX(Undirviðmið!$E$6:$E$205,AJ$4)*KVARDI,2),""))</f>
        <v/>
      </c>
      <c r="AL11" s="66" t="n"/>
      <c r="AM11" s="78">
        <f>IF(OR(AL$4=0,AL11=""),"",IFERROR(ROUND(AL11/INDEX(Undirviðmið!$F$6:$F$205,AL$4)*INDEX(Undirviðmið!$E$6:$E$205,AL$4)*KVARDI,2),""))</f>
        <v/>
      </c>
      <c r="AN11" s="66" t="n"/>
      <c r="AO11" s="78">
        <f>IF(OR(AN$4=0,AN11=""),"",IFERROR(ROUND(AN11/INDEX(Undirviðmið!$F$6:$F$205,AN$4)*INDEX(Undirviðmið!$E$6:$E$205,AN$4)*KVARDI,2),""))</f>
        <v/>
      </c>
      <c r="AP11" s="66" t="n"/>
      <c r="AQ11" s="78">
        <f>IF(OR(AP$4=0,AP11=""),"",IFERROR(ROUND(AP11/INDEX(Undirviðmið!$F$6:$F$205,AP$4)*INDEX(Undirviðmið!$E$6:$E$205,AP$4)*KVARDI,2),""))</f>
        <v/>
      </c>
      <c r="AR11" s="66" t="n"/>
      <c r="AS11" s="78">
        <f>IF(OR(AR$4=0,AR11=""),"",IFERROR(ROUND(AR11/INDEX(Undirviðmið!$F$6:$F$205,AR$4)*INDEX(Undirviðmið!$E$6:$E$205,AR$4)*KVARDI,2),""))</f>
        <v/>
      </c>
      <c r="AT11" s="66" t="n"/>
      <c r="AU11" s="78">
        <f>IF(OR(AT$4=0,AT11=""),"",IFERROR(ROUND(AT11/INDEX(Undirviðmið!$F$6:$F$205,AT$4)*INDEX(Undirviðmið!$E$6:$E$205,AT$4)*KVARDI,2),""))</f>
        <v/>
      </c>
      <c r="AV11" s="66" t="n"/>
      <c r="AW11" s="78">
        <f>IF(OR(AV$4=0,AV11=""),"",IFERROR(ROUND(AV11/INDEX(Undirviðmið!$F$6:$F$205,AV$4)*INDEX(Undirviðmið!$E$6:$E$205,AV$4)*KVARDI,2),""))</f>
        <v/>
      </c>
      <c r="AX11" s="66" t="n"/>
      <c r="AY11" s="78">
        <f>IF(OR(AX$4=0,AX11=""),"",IFERROR(ROUND(AX11/INDEX(Undirviðmið!$F$6:$F$205,AX$4)*INDEX(Undirviðmið!$E$6:$E$205,AX$4)*KVARDI,2),""))</f>
        <v/>
      </c>
      <c r="AZ11" s="66" t="n"/>
      <c r="BA11" s="78">
        <f>IF(OR(AZ$4=0,AZ11=""),"",IFERROR(ROUND(AZ11/INDEX(Undirviðmið!$F$6:$F$205,AZ$4)*INDEX(Undirviðmið!$E$6:$E$205,AZ$4)*KVARDI,2),""))</f>
        <v/>
      </c>
      <c r="BB11" s="66" t="n"/>
      <c r="BC11" s="78">
        <f>IF(OR(BB$4=0,BB11=""),"",IFERROR(ROUND(BB11/INDEX(Undirviðmið!$F$6:$F$205,BB$4)*INDEX(Undirviðmið!$E$6:$E$205,BB$4)*KVARDI,2),""))</f>
        <v/>
      </c>
      <c r="BD11" s="66" t="n"/>
      <c r="BE11" s="78">
        <f>IF(OR(BD$4=0,BD11=""),"",IFERROR(ROUND(BD11/INDEX(Undirviðmið!$F$6:$F$205,BD$4)*INDEX(Undirviðmið!$E$6:$E$205,BD$4)*KVARDI,2),""))</f>
        <v/>
      </c>
      <c r="BF11" s="66" t="n"/>
      <c r="BG11" s="78">
        <f>IF(OR(BF$4=0,BF11=""),"",IFERROR(ROUND(BF11/INDEX(Undirviðmið!$F$6:$F$205,BF$4)*INDEX(Undirviðmið!$E$6:$E$205,BF$4)*KVARDI,2),""))</f>
        <v/>
      </c>
      <c r="BH11" s="66" t="n"/>
      <c r="BI11" s="78">
        <f>IF(OR(BH$4=0,BH11=""),"",IFERROR(ROUND(BH11/INDEX(Undirviðmið!$F$6:$F$205,BH$4)*INDEX(Undirviðmið!$E$6:$E$205,BH$4)*KVARDI,2),""))</f>
        <v/>
      </c>
      <c r="BJ11" s="66" t="n"/>
      <c r="BK11" s="78">
        <f>IF(OR(BJ$4=0,BJ11=""),"",IFERROR(ROUND(BJ11/INDEX(Undirviðmið!$F$6:$F$205,BJ$4)*INDEX(Undirviðmið!$E$6:$E$205,BJ$4)*KVARDI,2),""))</f>
        <v/>
      </c>
      <c r="BL11" s="66" t="n"/>
      <c r="BM11" s="78">
        <f>IF(OR(BL$4=0,BL11=""),"",IFERROR(ROUND(BL11/INDEX(Undirviðmið!$F$6:$F$205,BL$4)*INDEX(Undirviðmið!$E$6:$E$205,BL$4)*KVARDI,2),""))</f>
        <v/>
      </c>
      <c r="BN11" s="66" t="n"/>
      <c r="BO11" s="78">
        <f>IF(OR(BN$4=0,BN11=""),"",IFERROR(ROUND(BN11/INDEX(Undirviðmið!$F$6:$F$205,BN$4)*INDEX(Undirviðmið!$E$6:$E$205,BN$4)*KVARDI,2),""))</f>
        <v/>
      </c>
      <c r="BP11" s="66" t="n"/>
      <c r="BQ11" s="78">
        <f>IF(OR(BP$4=0,BP11=""),"",IFERROR(ROUND(BP11/INDEX(Undirviðmið!$F$6:$F$205,BP$4)*INDEX(Undirviðmið!$E$6:$E$205,BP$4)*KVARDI,2),""))</f>
        <v/>
      </c>
      <c r="BR11" s="66" t="n"/>
      <c r="BS11" s="78">
        <f>IF(OR(BR$4=0,BR11=""),"",IFERROR(ROUND(BR11/INDEX(Undirviðmið!$F$6:$F$205,BR$4)*INDEX(Undirviðmið!$E$6:$E$205,BR$4)*KVARDI,2),""))</f>
        <v/>
      </c>
      <c r="BT11" s="66" t="n"/>
      <c r="BU11" s="78">
        <f>IF(OR(BT$4=0,BT11=""),"",IFERROR(ROUND(BT11/INDEX(Undirviðmið!$F$6:$F$205,BT$4)*INDEX(Undirviðmið!$E$6:$E$205,BT$4)*KVARDI,2),""))</f>
        <v/>
      </c>
      <c r="BV11" s="66" t="n"/>
      <c r="BW11" s="78">
        <f>IF(OR(BV$4=0,BV11=""),"",IFERROR(ROUND(BV11/INDEX(Undirviðmið!$F$6:$F$205,BV$4)*INDEX(Undirviðmið!$E$6:$E$205,BV$4)*KVARDI,2),""))</f>
        <v/>
      </c>
      <c r="BX11" s="66" t="n"/>
      <c r="BY11" s="78">
        <f>IF(OR(BX$4=0,BX11=""),"",IFERROR(ROUND(BX11/INDEX(Undirviðmið!$F$6:$F$205,BX$4)*INDEX(Undirviðmið!$E$6:$E$205,BX$4)*KVARDI,2),""))</f>
        <v/>
      </c>
      <c r="BZ11" s="66" t="n"/>
      <c r="CA11" s="78">
        <f>IF(OR(BZ$4=0,BZ11=""),"",IFERROR(ROUND(BZ11/INDEX(Undirviðmið!$F$6:$F$205,BZ$4)*INDEX(Undirviðmið!$E$6:$E$205,BZ$4)*KVARDI,2),""))</f>
        <v/>
      </c>
      <c r="CB11" s="66" t="n"/>
      <c r="CC11" s="78">
        <f>IF(OR(CB$4=0,CB11=""),"",IFERROR(ROUND(CB11/INDEX(Undirviðmið!$F$6:$F$205,CB$4)*INDEX(Undirviðmið!$E$6:$E$205,CB$4)*KVARDI,2),""))</f>
        <v/>
      </c>
      <c r="CD11" s="66" t="n"/>
      <c r="CE11" s="78">
        <f>IF(OR(CD$4=0,CD11=""),"",IFERROR(ROUND(CD11/INDEX(Undirviðmið!$F$6:$F$205,CD$4)*INDEX(Undirviðmið!$E$6:$E$205,CD$4)*KVARDI,2),""))</f>
        <v/>
      </c>
      <c r="CF11" s="66" t="n"/>
      <c r="CG11" s="78">
        <f>IF(OR(CF$4=0,CF11=""),"",IFERROR(ROUND(CF11/INDEX(Undirviðmið!$F$6:$F$205,CF$4)*INDEX(Undirviðmið!$E$6:$E$205,CF$4)*KVARDI,2),""))</f>
        <v/>
      </c>
      <c r="CH11" s="66" t="n"/>
      <c r="CI11" s="78">
        <f>IF(OR(CH$4=0,CH11=""),"",IFERROR(ROUND(CH11/INDEX(Undirviðmið!$F$6:$F$205,CH$4)*INDEX(Undirviðmið!$E$6:$E$205,CH$4)*KVARDI,2),""))</f>
        <v/>
      </c>
      <c r="CJ11" s="66" t="n"/>
      <c r="CK11" s="78">
        <f>IF(OR(CJ$4=0,CJ11=""),"",IFERROR(ROUND(CJ11/INDEX(Undirviðmið!$F$6:$F$205,CJ$4)*INDEX(Undirviðmið!$E$6:$E$205,CJ$4)*KVARDI,2),""))</f>
        <v/>
      </c>
      <c r="CL11" s="66" t="n"/>
      <c r="CM11" s="78">
        <f>IF(OR(CL$4=0,CL11=""),"",IFERROR(ROUND(CL11/INDEX(Undirviðmið!$F$6:$F$205,CL$4)*INDEX(Undirviðmið!$E$6:$E$205,CL$4)*KVARDI,2),""))</f>
        <v/>
      </c>
      <c r="CN11" s="66" t="n"/>
      <c r="CO11" s="78">
        <f>IF(OR(CN$4=0,CN11=""),"",IFERROR(ROUND(CN11/INDEX(Undirviðmið!$F$6:$F$205,CN$4)*INDEX(Undirviðmið!$E$6:$E$205,CN$4)*KVARDI,2),""))</f>
        <v/>
      </c>
      <c r="CP11" s="66" t="n"/>
      <c r="CQ11" s="78">
        <f>IF(OR(CP$4=0,CP11=""),"",IFERROR(ROUND(CP11/INDEX(Undirviðmið!$F$6:$F$205,CP$4)*INDEX(Undirviðmið!$E$6:$E$205,CP$4)*KVARDI,2),""))</f>
        <v/>
      </c>
      <c r="CR11" s="66" t="n"/>
      <c r="CS11" s="78">
        <f>IF(OR(CR$4=0,CR11=""),"",IFERROR(ROUND(CR11/INDEX(Undirviðmið!$F$6:$F$205,CR$4)*INDEX(Undirviðmið!$E$6:$E$205,CR$4)*KVARDI,2),""))</f>
        <v/>
      </c>
      <c r="CT11" s="66" t="n"/>
      <c r="CU11" s="78">
        <f>IF(OR(CT$4=0,CT11=""),"",IFERROR(ROUND(CT11/INDEX(Undirviðmið!$F$6:$F$205,CT$4)*INDEX(Undirviðmið!$E$6:$E$205,CT$4)*KVARDI,2),""))</f>
        <v/>
      </c>
      <c r="CV11" s="66" t="n"/>
      <c r="CW11" s="78">
        <f>IF(OR(CV$4=0,CV11=""),"",IFERROR(ROUND(CV11/INDEX(Undirviðmið!$F$6:$F$205,CV$4)*INDEX(Undirviðmið!$E$6:$E$205,CV$4)*KVARDI,2),""))</f>
        <v/>
      </c>
      <c r="CX11" s="66" t="n"/>
      <c r="CY11" s="78">
        <f>IF(OR(CX$4=0,CX11=""),"",IFERROR(ROUND(CX11/INDEX(Undirviðmið!$F$6:$F$205,CX$4)*INDEX(Undirviðmið!$E$6:$E$205,CX$4)*KVARDI,2),""))</f>
        <v/>
      </c>
      <c r="CZ11" s="66" t="n"/>
      <c r="DA11" s="78">
        <f>IF(OR(CZ$4=0,CZ11=""),"",IFERROR(ROUND(CZ11/INDEX(Undirviðmið!$F$6:$F$205,CZ$4)*INDEX(Undirviðmið!$E$6:$E$205,CZ$4)*KVARDI,2),""))</f>
        <v/>
      </c>
      <c r="DB11" s="66" t="n"/>
      <c r="DC11" s="78">
        <f>IF(OR(DB$4=0,DB11=""),"",IFERROR(ROUND(DB11/INDEX(Undirviðmið!$F$6:$F$205,DB$4)*INDEX(Undirviðmið!$E$6:$E$205,DB$4)*KVARDI,2),""))</f>
        <v/>
      </c>
      <c r="DD11" s="66" t="n"/>
      <c r="DE11" s="78">
        <f>IF(OR(DD$4=0,DD11=""),"",IFERROR(ROUND(DD11/INDEX(Undirviðmið!$F$6:$F$205,DD$4)*INDEX(Undirviðmið!$E$6:$E$205,DD$4)*KVARDI,2),""))</f>
        <v/>
      </c>
      <c r="DF11" s="66" t="n"/>
      <c r="DG11" s="78">
        <f>IF(OR(DF$4=0,DF11=""),"",IFERROR(ROUND(DF11/INDEX(Undirviðmið!$F$6:$F$205,DF$4)*INDEX(Undirviðmið!$E$6:$E$205,DF$4)*KVARDI,2),""))</f>
        <v/>
      </c>
      <c r="DH11" s="66" t="n"/>
      <c r="DI11" s="78">
        <f>IF(OR(DH$4=0,DH11=""),"",IFERROR(ROUND(DH11/INDEX(Undirviðmið!$F$6:$F$205,DH$4)*INDEX(Undirviðmið!$E$6:$E$205,DH$4)*KVARDI,2),""))</f>
        <v/>
      </c>
      <c r="DJ11" s="66" t="n"/>
      <c r="DK11" s="78">
        <f>IF(OR(DJ$4=0,DJ11=""),"",IFERROR(ROUND(DJ11/INDEX(Undirviðmið!$F$6:$F$205,DJ$4)*INDEX(Undirviðmið!$E$6:$E$205,DJ$4)*KVARDI,2),""))</f>
        <v/>
      </c>
      <c r="DL11" s="66" t="n"/>
      <c r="DM11" s="78">
        <f>IF(OR(DL$4=0,DL11=""),"",IFERROR(ROUND(DL11/INDEX(Undirviðmið!$F$6:$F$205,DL$4)*INDEX(Undirviðmið!$E$6:$E$205,DL$4)*KVARDI,2),""))</f>
        <v/>
      </c>
      <c r="DN11" s="66" t="n"/>
      <c r="DO11" s="78">
        <f>IF(OR(DN$4=0,DN11=""),"",IFERROR(ROUND(DN11/INDEX(Undirviðmið!$F$6:$F$205,DN$4)*INDEX(Undirviðmið!$E$6:$E$205,DN$4)*KVARDI,2),""))</f>
        <v/>
      </c>
      <c r="DP11" s="66" t="n"/>
      <c r="DQ11" s="78">
        <f>IF(OR(DP$4=0,DP11=""),"",IFERROR(ROUND(DP11/INDEX(Undirviðmið!$F$6:$F$205,DP$4)*INDEX(Undirviðmið!$E$6:$E$205,DP$4)*KVARDI,2),""))</f>
        <v/>
      </c>
      <c r="DR11" s="66" t="n"/>
      <c r="DS11" s="78">
        <f>IF(OR(DR$4=0,DR11=""),"",IFERROR(ROUND(DR11/INDEX(Undirviðmið!$F$6:$F$205,DR$4)*INDEX(Undirviðmið!$E$6:$E$205,DR$4)*KVARDI,2),""))</f>
        <v/>
      </c>
      <c r="DT11" s="66" t="n"/>
      <c r="DU11" s="78">
        <f>IF(OR(DT$4=0,DT11=""),"",IFERROR(ROUND(DT11/INDEX(Undirviðmið!$F$6:$F$205,DT$4)*INDEX(Undirviðmið!$E$6:$E$205,DT$4)*KVARDI,2),""))</f>
        <v/>
      </c>
      <c r="DV11" s="66" t="n"/>
      <c r="DW11" s="78">
        <f>IF(OR(DV$4=0,DV11=""),"",IFERROR(ROUND(DV11/INDEX(Undirviðmið!$F$6:$F$205,DV$4)*INDEX(Undirviðmið!$E$6:$E$205,DV$4)*KVARDI,2),""))</f>
        <v/>
      </c>
      <c r="DX11" s="66" t="n"/>
      <c r="DY11" s="78">
        <f>IF(OR(DX$4=0,DX11=""),"",IFERROR(ROUND(DX11/INDEX(Undirviðmið!$F$6:$F$205,DX$4)*INDEX(Undirviðmið!$E$6:$E$205,DX$4)*KVARDI,2),""))</f>
        <v/>
      </c>
      <c r="DZ11" s="66" t="n"/>
      <c r="EA11" s="78">
        <f>IF(OR(DZ$4=0,DZ11=""),"",IFERROR(ROUND(DZ11/INDEX(Undirviðmið!$F$6:$F$205,DZ$4)*INDEX(Undirviðmið!$E$6:$E$205,DZ$4)*KVARDI,2),""))</f>
        <v/>
      </c>
      <c r="EB11" s="66" t="n"/>
      <c r="EC11" s="78">
        <f>IF(OR(EB$4=0,EB11=""),"",IFERROR(ROUND(EB11/INDEX(Undirviðmið!$F$6:$F$205,EB$4)*INDEX(Undirviðmið!$E$6:$E$205,EB$4)*KVARDI,2),""))</f>
        <v/>
      </c>
      <c r="ED11" s="66" t="n"/>
      <c r="EE11" s="78">
        <f>IF(OR(ED$4=0,ED11=""),"",IFERROR(ROUND(ED11/INDEX(Undirviðmið!$F$6:$F$205,ED$4)*INDEX(Undirviðmið!$E$6:$E$205,ED$4)*KVARDI,2),""))</f>
        <v/>
      </c>
      <c r="EF11" s="66" t="n"/>
      <c r="EG11" s="78">
        <f>IF(OR(EF$4=0,EF11=""),"",IFERROR(ROUND(EF11/INDEX(Undirviðmið!$F$6:$F$205,EF$4)*INDEX(Undirviðmið!$E$6:$E$205,EF$4)*KVARDI,2),""))</f>
        <v/>
      </c>
      <c r="EH11" s="66" t="n"/>
      <c r="EI11" s="78">
        <f>IF(OR(EH$4=0,EH11=""),"",IFERROR(ROUND(EH11/INDEX(Undirviðmið!$F$6:$F$205,EH$4)*INDEX(Undirviðmið!$E$6:$E$205,EH$4)*KVARDI,2),""))</f>
        <v/>
      </c>
      <c r="EJ11" s="66" t="n"/>
      <c r="EK11" s="78">
        <f>IF(OR(EJ$4=0,EJ11=""),"",IFERROR(ROUND(EJ11/INDEX(Undirviðmið!$F$6:$F$205,EJ$4)*INDEX(Undirviðmið!$E$6:$E$205,EJ$4)*KVARDI,2),""))</f>
        <v/>
      </c>
      <c r="EL11" s="66" t="n"/>
      <c r="EM11" s="78">
        <f>IF(OR(EL$4=0,EL11=""),"",IFERROR(ROUND(EL11/INDEX(Undirviðmið!$F$6:$F$205,EL$4)*INDEX(Undirviðmið!$E$6:$E$205,EL$4)*KVARDI,2),""))</f>
        <v/>
      </c>
      <c r="EN11" s="66" t="n"/>
      <c r="EO11" s="78">
        <f>IF(OR(EN$4=0,EN11=""),"",IFERROR(ROUND(EN11/INDEX(Undirviðmið!$F$6:$F$205,EN$4)*INDEX(Undirviðmið!$E$6:$E$205,EN$4)*KVARDI,2),""))</f>
        <v/>
      </c>
      <c r="EP11" s="66" t="n"/>
      <c r="EQ11" s="78">
        <f>IF(OR(EP$4=0,EP11=""),"",IFERROR(ROUND(EP11/INDEX(Undirviðmið!$F$6:$F$205,EP$4)*INDEX(Undirviðmið!$E$6:$E$205,EP$4)*KVARDI,2),""))</f>
        <v/>
      </c>
      <c r="ER11" s="66" t="n"/>
      <c r="ES11" s="78">
        <f>IF(OR(ER$4=0,ER11=""),"",IFERROR(ROUND(ER11/INDEX(Undirviðmið!$F$6:$F$205,ER$4)*INDEX(Undirviðmið!$E$6:$E$205,ER$4)*KVARDI,2),""))</f>
        <v/>
      </c>
      <c r="ET11" s="66" t="n"/>
      <c r="EU11" s="78">
        <f>IF(OR(ET$4=0,ET11=""),"",IFERROR(ROUND(ET11/INDEX(Undirviðmið!$F$6:$F$205,ET$4)*INDEX(Undirviðmið!$E$6:$E$205,ET$4)*KVARDI,2),""))</f>
        <v/>
      </c>
      <c r="EV11" s="66" t="n"/>
      <c r="EW11" s="78">
        <f>IF(OR(EV$4=0,EV11=""),"",IFERROR(ROUND(EV11/INDEX(Undirviðmið!$F$6:$F$205,EV$4)*INDEX(Undirviðmið!$E$6:$E$205,EV$4)*KVARDI,2),""))</f>
        <v/>
      </c>
      <c r="EX11" s="66" t="n"/>
      <c r="EY11" s="78">
        <f>IF(OR(EX$4=0,EX11=""),"",IFERROR(ROUND(EX11/INDEX(Undirviðmið!$F$6:$F$205,EX$4)*INDEX(Undirviðmið!$E$6:$E$205,EX$4)*KVARDI,2),""))</f>
        <v/>
      </c>
      <c r="EZ11" s="66" t="n"/>
      <c r="FA11" s="78">
        <f>IF(OR(EZ$4=0,EZ11=""),"",IFERROR(ROUND(EZ11/INDEX(Undirviðmið!$F$6:$F$205,EZ$4)*INDEX(Undirviðmið!$E$6:$E$205,EZ$4)*KVARDI,2),""))</f>
        <v/>
      </c>
      <c r="FB11" s="66" t="n"/>
      <c r="FC11" s="78">
        <f>IF(OR(FB$4=0,FB11=""),"",IFERROR(ROUND(FB11/INDEX(Undirviðmið!$F$6:$F$205,FB$4)*INDEX(Undirviðmið!$E$6:$E$205,FB$4)*KVARDI,2),""))</f>
        <v/>
      </c>
      <c r="FD11" s="66" t="n"/>
      <c r="FE11" s="78">
        <f>IF(OR(FD$4=0,FD11=""),"",IFERROR(ROUND(FD11/INDEX(Undirviðmið!$F$6:$F$205,FD$4)*INDEX(Undirviðmið!$E$6:$E$205,FD$4)*KVARDI,2),""))</f>
        <v/>
      </c>
      <c r="FF11" s="66" t="n"/>
      <c r="FG11" s="78">
        <f>IF(OR(FF$4=0,FF11=""),"",IFERROR(ROUND(FF11/INDEX(Undirviðmið!$F$6:$F$205,FF$4)*INDEX(Undirviðmið!$E$6:$E$205,FF$4)*KVARDI,2),""))</f>
        <v/>
      </c>
      <c r="FH11" s="66" t="n"/>
      <c r="FI11" s="78">
        <f>IF(OR(FH$4=0,FH11=""),"",IFERROR(ROUND(FH11/INDEX(Undirviðmið!$F$6:$F$205,FH$4)*INDEX(Undirviðmið!$E$6:$E$205,FH$4)*KVARDI,2),""))</f>
        <v/>
      </c>
      <c r="FJ11" s="66" t="n"/>
      <c r="FK11" s="78">
        <f>IF(OR(FJ$4=0,FJ11=""),"",IFERROR(ROUND(FJ11/INDEX(Undirviðmið!$F$6:$F$205,FJ$4)*INDEX(Undirviðmið!$E$6:$E$205,FJ$4)*KVARDI,2),""))</f>
        <v/>
      </c>
      <c r="FL11" s="66" t="n"/>
      <c r="FM11" s="78">
        <f>IF(OR(FL$4=0,FL11=""),"",IFERROR(ROUND(FL11/INDEX(Undirviðmið!$F$6:$F$205,FL$4)*INDEX(Undirviðmið!$E$6:$E$205,FL$4)*KVARDI,2),""))</f>
        <v/>
      </c>
      <c r="FN11" s="66" t="n"/>
      <c r="FO11" s="78">
        <f>IF(OR(FN$4=0,FN11=""),"",IFERROR(ROUND(FN11/INDEX(Undirviðmið!$F$6:$F$205,FN$4)*INDEX(Undirviðmið!$E$6:$E$205,FN$4)*KVARDI,2),""))</f>
        <v/>
      </c>
      <c r="FP11" s="66" t="n"/>
      <c r="FQ11" s="78">
        <f>IF(OR(FP$4=0,FP11=""),"",IFERROR(ROUND(FP11/INDEX(Undirviðmið!$F$6:$F$205,FP$4)*INDEX(Undirviðmið!$E$6:$E$205,FP$4)*KVARDI,2),""))</f>
        <v/>
      </c>
      <c r="FR11" s="66" t="n"/>
      <c r="FS11" s="78">
        <f>IF(OR(FR$4=0,FR11=""),"",IFERROR(ROUND(FR11/INDEX(Undirviðmið!$F$6:$F$205,FR$4)*INDEX(Undirviðmið!$E$6:$E$205,FR$4)*KVARDI,2),""))</f>
        <v/>
      </c>
      <c r="FT11" s="66" t="n"/>
      <c r="FU11" s="78">
        <f>IF(OR(FT$4=0,FT11=""),"",IFERROR(ROUND(FT11/INDEX(Undirviðmið!$F$6:$F$205,FT$4)*INDEX(Undirviðmið!$E$6:$E$205,FT$4)*KVARDI,2),""))</f>
        <v/>
      </c>
      <c r="FV11" s="66" t="n"/>
      <c r="FW11" s="78">
        <f>IF(OR(FV$4=0,FV11=""),"",IFERROR(ROUND(FV11/INDEX(Undirviðmið!$F$6:$F$205,FV$4)*INDEX(Undirviðmið!$E$6:$E$205,FV$4)*KVARDI,2),""))</f>
        <v/>
      </c>
      <c r="FX11" s="66" t="n"/>
      <c r="FY11" s="78">
        <f>IF(OR(FX$4=0,FX11=""),"",IFERROR(ROUND(FX11/INDEX(Undirviðmið!$F$6:$F$205,FX$4)*INDEX(Undirviðmið!$E$6:$E$205,FX$4)*KVARDI,2),""))</f>
        <v/>
      </c>
      <c r="FZ11" s="66" t="n"/>
      <c r="GA11" s="78">
        <f>IF(OR(FZ$4=0,FZ11=""),"",IFERROR(ROUND(FZ11/INDEX(Undirviðmið!$F$6:$F$205,FZ$4)*INDEX(Undirviðmið!$E$6:$E$205,FZ$4)*KVARDI,2),""))</f>
        <v/>
      </c>
      <c r="GB11" s="66" t="n"/>
      <c r="GC11" s="78">
        <f>IF(OR(GB$4=0,GB11=""),"",IFERROR(ROUND(GB11/INDEX(Undirviðmið!$F$6:$F$205,GB$4)*INDEX(Undirviðmið!$E$6:$E$205,GB$4)*KVARDI,2),""))</f>
        <v/>
      </c>
      <c r="GD11" s="66" t="n"/>
      <c r="GE11" s="78">
        <f>IF(OR(GD$4=0,GD11=""),"",IFERROR(ROUND(GD11/INDEX(Undirviðmið!$F$6:$F$205,GD$4)*INDEX(Undirviðmið!$E$6:$E$205,GD$4)*KVARDI,2),""))</f>
        <v/>
      </c>
      <c r="GF11" s="66" t="n"/>
      <c r="GG11" s="78">
        <f>IF(OR(GF$4=0,GF11=""),"",IFERROR(ROUND(GF11/INDEX(Undirviðmið!$F$6:$F$205,GF$4)*INDEX(Undirviðmið!$E$6:$E$205,GF$4)*KVARDI,2),""))</f>
        <v/>
      </c>
      <c r="GH11" s="66" t="n"/>
      <c r="GI11" s="78">
        <f>IF(OR(GH$4=0,GH11=""),"",IFERROR(ROUND(GH11/INDEX(Undirviðmið!$F$6:$F$205,GH$4)*INDEX(Undirviðmið!$E$6:$E$205,GH$4)*KVARDI,2),""))</f>
        <v/>
      </c>
      <c r="GJ11" s="66" t="n"/>
      <c r="GK11" s="78">
        <f>IF(OR(GJ$4=0,GJ11=""),"",IFERROR(ROUND(GJ11/INDEX(Undirviðmið!$F$6:$F$205,GJ$4)*INDEX(Undirviðmið!$E$6:$E$205,GJ$4)*KVARDI,2),""))</f>
        <v/>
      </c>
      <c r="GL11" s="66" t="n"/>
      <c r="GM11" s="78">
        <f>IF(OR(GL$4=0,GL11=""),"",IFERROR(ROUND(GL11/INDEX(Undirviðmið!$F$6:$F$205,GL$4)*INDEX(Undirviðmið!$E$6:$E$205,GL$4)*KVARDI,2),""))</f>
        <v/>
      </c>
      <c r="GN11" s="66" t="n"/>
      <c r="GO11" s="78">
        <f>IF(OR(GN$4=0,GN11=""),"",IFERROR(ROUND(GN11/INDEX(Undirviðmið!$F$6:$F$205,GN$4)*INDEX(Undirviðmið!$E$6:$E$205,GN$4)*KVARDI,2),""))</f>
        <v/>
      </c>
      <c r="GP11" s="66" t="n"/>
      <c r="GQ11" s="78">
        <f>IF(OR(GP$4=0,GP11=""),"",IFERROR(ROUND(GP11/INDEX(Undirviðmið!$F$6:$F$205,GP$4)*INDEX(Undirviðmið!$E$6:$E$205,GP$4)*KVARDI,2),""))</f>
        <v/>
      </c>
      <c r="GR11" s="66" t="n"/>
      <c r="GS11" s="78">
        <f>IF(OR(GR$4=0,GR11=""),"",IFERROR(ROUND(GR11/INDEX(Undirviðmið!$F$6:$F$205,GR$4)*INDEX(Undirviðmið!$E$6:$E$205,GR$4)*KVARDI,2),""))</f>
        <v/>
      </c>
      <c r="GT11" s="66" t="n"/>
      <c r="GU11" s="78">
        <f>IF(OR(GT$4=0,GT11=""),"",IFERROR(ROUND(GT11/INDEX(Undirviðmið!$F$6:$F$205,GT$4)*INDEX(Undirviðmið!$E$6:$E$205,GT$4)*KVARDI,2),""))</f>
        <v/>
      </c>
      <c r="GV11" s="63">
        <f>IFERROR(SUMIF($D$6:GU$6,"Stig",$D11:GU11),0)</f>
        <v/>
      </c>
    </row>
    <row r="12" ht="15" customHeight="1" s="47">
      <c r="A12" s="65">
        <f>ROW()-6</f>
        <v/>
      </c>
      <c r="B12" s="67">
        <f>IF(INDEX(Starfsmenn!$B$6:$B$10005,ROW()-6)="","",INDEX(Starfsmenn!$B$6:$B$10005,ROW()-6))</f>
        <v/>
      </c>
      <c r="C12" s="67">
        <f>IF(INDEX(Starfsmenn!$C$6:$C$10005,ROW()-6)="","",INDEX(Starfsmenn!$C$6:$C$10005,ROW()-6))</f>
        <v/>
      </c>
      <c r="D12" s="66" t="n"/>
      <c r="E12" s="78">
        <f>IF(OR(D$4=0,D12=""),"",IFERROR(ROUND(D12/INDEX(Undirviðmið!$F$6:$F$205,D$4)*INDEX(Undirviðmið!$E$6:$E$205,D$4)*KVARDI,2),""))</f>
        <v/>
      </c>
      <c r="F12" s="66" t="n"/>
      <c r="G12" s="78">
        <f>IF(OR(F$4=0,F12=""),"",IFERROR(ROUND(F12/INDEX(Undirviðmið!$F$6:$F$205,F$4)*INDEX(Undirviðmið!$E$6:$E$205,F$4)*KVARDI,2),""))</f>
        <v/>
      </c>
      <c r="H12" s="66" t="n"/>
      <c r="I12" s="78">
        <f>IF(OR(H$4=0,H12=""),"",IFERROR(ROUND(H12/INDEX(Undirviðmið!$F$6:$F$205,H$4)*INDEX(Undirviðmið!$E$6:$E$205,H$4)*KVARDI,2),""))</f>
        <v/>
      </c>
      <c r="J12" s="66" t="n"/>
      <c r="K12" s="78">
        <f>IF(OR(J$4=0,J12=""),"",IFERROR(ROUND(J12/INDEX(Undirviðmið!$F$6:$F$205,J$4)*INDEX(Undirviðmið!$E$6:$E$205,J$4)*KVARDI,2),""))</f>
        <v/>
      </c>
      <c r="L12" s="66" t="n"/>
      <c r="M12" s="78">
        <f>IF(OR(L$4=0,L12=""),"",IFERROR(ROUND(L12/INDEX(Undirviðmið!$F$6:$F$205,L$4)*INDEX(Undirviðmið!$E$6:$E$205,L$4)*KVARDI,2),""))</f>
        <v/>
      </c>
      <c r="N12" s="66" t="n"/>
      <c r="O12" s="78">
        <f>IF(OR(N$4=0,N12=""),"",IFERROR(ROUND(N12/INDEX(Undirviðmið!$F$6:$F$205,N$4)*INDEX(Undirviðmið!$E$6:$E$205,N$4)*KVARDI,2),""))</f>
        <v/>
      </c>
      <c r="P12" s="66" t="n"/>
      <c r="Q12" s="78">
        <f>IF(OR(P$4=0,P12=""),"",IFERROR(ROUND(P12/INDEX(Undirviðmið!$F$6:$F$205,P$4)*INDEX(Undirviðmið!$E$6:$E$205,P$4)*KVARDI,2),""))</f>
        <v/>
      </c>
      <c r="R12" s="66" t="n"/>
      <c r="S12" s="78">
        <f>IF(OR(R$4=0,R12=""),"",IFERROR(ROUND(R12/INDEX(Undirviðmið!$F$6:$F$205,R$4)*INDEX(Undirviðmið!$E$6:$E$205,R$4)*KVARDI,2),""))</f>
        <v/>
      </c>
      <c r="T12" s="66" t="n"/>
      <c r="U12" s="78">
        <f>IF(OR(T$4=0,T12=""),"",IFERROR(ROUND(T12/INDEX(Undirviðmið!$F$6:$F$205,T$4)*INDEX(Undirviðmið!$E$6:$E$205,T$4)*KVARDI,2),""))</f>
        <v/>
      </c>
      <c r="V12" s="66" t="n"/>
      <c r="W12" s="78">
        <f>IF(OR(V$4=0,V12=""),"",IFERROR(ROUND(V12/INDEX(Undirviðmið!$F$6:$F$205,V$4)*INDEX(Undirviðmið!$E$6:$E$205,V$4)*KVARDI,2),""))</f>
        <v/>
      </c>
      <c r="X12" s="66" t="n"/>
      <c r="Y12" s="78">
        <f>IF(OR(X$4=0,X12=""),"",IFERROR(ROUND(X12/INDEX(Undirviðmið!$F$6:$F$205,X$4)*INDEX(Undirviðmið!$E$6:$E$205,X$4)*KVARDI,2),""))</f>
        <v/>
      </c>
      <c r="Z12" s="66" t="n"/>
      <c r="AA12" s="78">
        <f>IF(OR(Z$4=0,Z12=""),"",IFERROR(ROUND(Z12/INDEX(Undirviðmið!$F$6:$F$205,Z$4)*INDEX(Undirviðmið!$E$6:$E$205,Z$4)*KVARDI,2),""))</f>
        <v/>
      </c>
      <c r="AB12" s="66" t="n"/>
      <c r="AC12" s="78">
        <f>IF(OR(AB$4=0,AB12=""),"",IFERROR(ROUND(AB12/INDEX(Undirviðmið!$F$6:$F$205,AB$4)*INDEX(Undirviðmið!$E$6:$E$205,AB$4)*KVARDI,2),""))</f>
        <v/>
      </c>
      <c r="AD12" s="66" t="n"/>
      <c r="AE12" s="78">
        <f>IF(OR(AD$4=0,AD12=""),"",IFERROR(ROUND(AD12/INDEX(Undirviðmið!$F$6:$F$205,AD$4)*INDEX(Undirviðmið!$E$6:$E$205,AD$4)*KVARDI,2),""))</f>
        <v/>
      </c>
      <c r="AF12" s="66" t="n"/>
      <c r="AG12" s="78">
        <f>IF(OR(AF$4=0,AF12=""),"",IFERROR(ROUND(AF12/INDEX(Undirviðmið!$F$6:$F$205,AF$4)*INDEX(Undirviðmið!$E$6:$E$205,AF$4)*KVARDI,2),""))</f>
        <v/>
      </c>
      <c r="AH12" s="66" t="n"/>
      <c r="AI12" s="78">
        <f>IF(OR(AH$4=0,AH12=""),"",IFERROR(ROUND(AH12/INDEX(Undirviðmið!$F$6:$F$205,AH$4)*INDEX(Undirviðmið!$E$6:$E$205,AH$4)*KVARDI,2),""))</f>
        <v/>
      </c>
      <c r="AJ12" s="66" t="n"/>
      <c r="AK12" s="78">
        <f>IF(OR(AJ$4=0,AJ12=""),"",IFERROR(ROUND(AJ12/INDEX(Undirviðmið!$F$6:$F$205,AJ$4)*INDEX(Undirviðmið!$E$6:$E$205,AJ$4)*KVARDI,2),""))</f>
        <v/>
      </c>
      <c r="AL12" s="66" t="n"/>
      <c r="AM12" s="78">
        <f>IF(OR(AL$4=0,AL12=""),"",IFERROR(ROUND(AL12/INDEX(Undirviðmið!$F$6:$F$205,AL$4)*INDEX(Undirviðmið!$E$6:$E$205,AL$4)*KVARDI,2),""))</f>
        <v/>
      </c>
      <c r="AN12" s="66" t="n"/>
      <c r="AO12" s="78">
        <f>IF(OR(AN$4=0,AN12=""),"",IFERROR(ROUND(AN12/INDEX(Undirviðmið!$F$6:$F$205,AN$4)*INDEX(Undirviðmið!$E$6:$E$205,AN$4)*KVARDI,2),""))</f>
        <v/>
      </c>
      <c r="AP12" s="66" t="n"/>
      <c r="AQ12" s="78">
        <f>IF(OR(AP$4=0,AP12=""),"",IFERROR(ROUND(AP12/INDEX(Undirviðmið!$F$6:$F$205,AP$4)*INDEX(Undirviðmið!$E$6:$E$205,AP$4)*KVARDI,2),""))</f>
        <v/>
      </c>
      <c r="AR12" s="66" t="n"/>
      <c r="AS12" s="78">
        <f>IF(OR(AR$4=0,AR12=""),"",IFERROR(ROUND(AR12/INDEX(Undirviðmið!$F$6:$F$205,AR$4)*INDEX(Undirviðmið!$E$6:$E$205,AR$4)*KVARDI,2),""))</f>
        <v/>
      </c>
      <c r="AT12" s="66" t="n"/>
      <c r="AU12" s="78">
        <f>IF(OR(AT$4=0,AT12=""),"",IFERROR(ROUND(AT12/INDEX(Undirviðmið!$F$6:$F$205,AT$4)*INDEX(Undirviðmið!$E$6:$E$205,AT$4)*KVARDI,2),""))</f>
        <v/>
      </c>
      <c r="AV12" s="66" t="n"/>
      <c r="AW12" s="78">
        <f>IF(OR(AV$4=0,AV12=""),"",IFERROR(ROUND(AV12/INDEX(Undirviðmið!$F$6:$F$205,AV$4)*INDEX(Undirviðmið!$E$6:$E$205,AV$4)*KVARDI,2),""))</f>
        <v/>
      </c>
      <c r="AX12" s="66" t="n"/>
      <c r="AY12" s="78">
        <f>IF(OR(AX$4=0,AX12=""),"",IFERROR(ROUND(AX12/INDEX(Undirviðmið!$F$6:$F$205,AX$4)*INDEX(Undirviðmið!$E$6:$E$205,AX$4)*KVARDI,2),""))</f>
        <v/>
      </c>
      <c r="AZ12" s="66" t="n"/>
      <c r="BA12" s="78">
        <f>IF(OR(AZ$4=0,AZ12=""),"",IFERROR(ROUND(AZ12/INDEX(Undirviðmið!$F$6:$F$205,AZ$4)*INDEX(Undirviðmið!$E$6:$E$205,AZ$4)*KVARDI,2),""))</f>
        <v/>
      </c>
      <c r="BB12" s="66" t="n"/>
      <c r="BC12" s="78">
        <f>IF(OR(BB$4=0,BB12=""),"",IFERROR(ROUND(BB12/INDEX(Undirviðmið!$F$6:$F$205,BB$4)*INDEX(Undirviðmið!$E$6:$E$205,BB$4)*KVARDI,2),""))</f>
        <v/>
      </c>
      <c r="BD12" s="66" t="n"/>
      <c r="BE12" s="78">
        <f>IF(OR(BD$4=0,BD12=""),"",IFERROR(ROUND(BD12/INDEX(Undirviðmið!$F$6:$F$205,BD$4)*INDEX(Undirviðmið!$E$6:$E$205,BD$4)*KVARDI,2),""))</f>
        <v/>
      </c>
      <c r="BF12" s="66" t="n"/>
      <c r="BG12" s="78">
        <f>IF(OR(BF$4=0,BF12=""),"",IFERROR(ROUND(BF12/INDEX(Undirviðmið!$F$6:$F$205,BF$4)*INDEX(Undirviðmið!$E$6:$E$205,BF$4)*KVARDI,2),""))</f>
        <v/>
      </c>
      <c r="BH12" s="66" t="n"/>
      <c r="BI12" s="78">
        <f>IF(OR(BH$4=0,BH12=""),"",IFERROR(ROUND(BH12/INDEX(Undirviðmið!$F$6:$F$205,BH$4)*INDEX(Undirviðmið!$E$6:$E$205,BH$4)*KVARDI,2),""))</f>
        <v/>
      </c>
      <c r="BJ12" s="66" t="n"/>
      <c r="BK12" s="78">
        <f>IF(OR(BJ$4=0,BJ12=""),"",IFERROR(ROUND(BJ12/INDEX(Undirviðmið!$F$6:$F$205,BJ$4)*INDEX(Undirviðmið!$E$6:$E$205,BJ$4)*KVARDI,2),""))</f>
        <v/>
      </c>
      <c r="BL12" s="66" t="n"/>
      <c r="BM12" s="78">
        <f>IF(OR(BL$4=0,BL12=""),"",IFERROR(ROUND(BL12/INDEX(Undirviðmið!$F$6:$F$205,BL$4)*INDEX(Undirviðmið!$E$6:$E$205,BL$4)*KVARDI,2),""))</f>
        <v/>
      </c>
      <c r="BN12" s="66" t="n"/>
      <c r="BO12" s="78">
        <f>IF(OR(BN$4=0,BN12=""),"",IFERROR(ROUND(BN12/INDEX(Undirviðmið!$F$6:$F$205,BN$4)*INDEX(Undirviðmið!$E$6:$E$205,BN$4)*KVARDI,2),""))</f>
        <v/>
      </c>
      <c r="BP12" s="66" t="n"/>
      <c r="BQ12" s="78">
        <f>IF(OR(BP$4=0,BP12=""),"",IFERROR(ROUND(BP12/INDEX(Undirviðmið!$F$6:$F$205,BP$4)*INDEX(Undirviðmið!$E$6:$E$205,BP$4)*KVARDI,2),""))</f>
        <v/>
      </c>
      <c r="BR12" s="66" t="n"/>
      <c r="BS12" s="78">
        <f>IF(OR(BR$4=0,BR12=""),"",IFERROR(ROUND(BR12/INDEX(Undirviðmið!$F$6:$F$205,BR$4)*INDEX(Undirviðmið!$E$6:$E$205,BR$4)*KVARDI,2),""))</f>
        <v/>
      </c>
      <c r="BT12" s="66" t="n"/>
      <c r="BU12" s="78">
        <f>IF(OR(BT$4=0,BT12=""),"",IFERROR(ROUND(BT12/INDEX(Undirviðmið!$F$6:$F$205,BT$4)*INDEX(Undirviðmið!$E$6:$E$205,BT$4)*KVARDI,2),""))</f>
        <v/>
      </c>
      <c r="BV12" s="66" t="n"/>
      <c r="BW12" s="78">
        <f>IF(OR(BV$4=0,BV12=""),"",IFERROR(ROUND(BV12/INDEX(Undirviðmið!$F$6:$F$205,BV$4)*INDEX(Undirviðmið!$E$6:$E$205,BV$4)*KVARDI,2),""))</f>
        <v/>
      </c>
      <c r="BX12" s="66" t="n"/>
      <c r="BY12" s="78">
        <f>IF(OR(BX$4=0,BX12=""),"",IFERROR(ROUND(BX12/INDEX(Undirviðmið!$F$6:$F$205,BX$4)*INDEX(Undirviðmið!$E$6:$E$205,BX$4)*KVARDI,2),""))</f>
        <v/>
      </c>
      <c r="BZ12" s="66" t="n"/>
      <c r="CA12" s="78">
        <f>IF(OR(BZ$4=0,BZ12=""),"",IFERROR(ROUND(BZ12/INDEX(Undirviðmið!$F$6:$F$205,BZ$4)*INDEX(Undirviðmið!$E$6:$E$205,BZ$4)*KVARDI,2),""))</f>
        <v/>
      </c>
      <c r="CB12" s="66" t="n"/>
      <c r="CC12" s="78">
        <f>IF(OR(CB$4=0,CB12=""),"",IFERROR(ROUND(CB12/INDEX(Undirviðmið!$F$6:$F$205,CB$4)*INDEX(Undirviðmið!$E$6:$E$205,CB$4)*KVARDI,2),""))</f>
        <v/>
      </c>
      <c r="CD12" s="66" t="n"/>
      <c r="CE12" s="78">
        <f>IF(OR(CD$4=0,CD12=""),"",IFERROR(ROUND(CD12/INDEX(Undirviðmið!$F$6:$F$205,CD$4)*INDEX(Undirviðmið!$E$6:$E$205,CD$4)*KVARDI,2),""))</f>
        <v/>
      </c>
      <c r="CF12" s="66" t="n"/>
      <c r="CG12" s="78">
        <f>IF(OR(CF$4=0,CF12=""),"",IFERROR(ROUND(CF12/INDEX(Undirviðmið!$F$6:$F$205,CF$4)*INDEX(Undirviðmið!$E$6:$E$205,CF$4)*KVARDI,2),""))</f>
        <v/>
      </c>
      <c r="CH12" s="66" t="n"/>
      <c r="CI12" s="78">
        <f>IF(OR(CH$4=0,CH12=""),"",IFERROR(ROUND(CH12/INDEX(Undirviðmið!$F$6:$F$205,CH$4)*INDEX(Undirviðmið!$E$6:$E$205,CH$4)*KVARDI,2),""))</f>
        <v/>
      </c>
      <c r="CJ12" s="66" t="n"/>
      <c r="CK12" s="78">
        <f>IF(OR(CJ$4=0,CJ12=""),"",IFERROR(ROUND(CJ12/INDEX(Undirviðmið!$F$6:$F$205,CJ$4)*INDEX(Undirviðmið!$E$6:$E$205,CJ$4)*KVARDI,2),""))</f>
        <v/>
      </c>
      <c r="CL12" s="66" t="n"/>
      <c r="CM12" s="78">
        <f>IF(OR(CL$4=0,CL12=""),"",IFERROR(ROUND(CL12/INDEX(Undirviðmið!$F$6:$F$205,CL$4)*INDEX(Undirviðmið!$E$6:$E$205,CL$4)*KVARDI,2),""))</f>
        <v/>
      </c>
      <c r="CN12" s="66" t="n"/>
      <c r="CO12" s="78">
        <f>IF(OR(CN$4=0,CN12=""),"",IFERROR(ROUND(CN12/INDEX(Undirviðmið!$F$6:$F$205,CN$4)*INDEX(Undirviðmið!$E$6:$E$205,CN$4)*KVARDI,2),""))</f>
        <v/>
      </c>
      <c r="CP12" s="66" t="n"/>
      <c r="CQ12" s="78">
        <f>IF(OR(CP$4=0,CP12=""),"",IFERROR(ROUND(CP12/INDEX(Undirviðmið!$F$6:$F$205,CP$4)*INDEX(Undirviðmið!$E$6:$E$205,CP$4)*KVARDI,2),""))</f>
        <v/>
      </c>
      <c r="CR12" s="66" t="n"/>
      <c r="CS12" s="78">
        <f>IF(OR(CR$4=0,CR12=""),"",IFERROR(ROUND(CR12/INDEX(Undirviðmið!$F$6:$F$205,CR$4)*INDEX(Undirviðmið!$E$6:$E$205,CR$4)*KVARDI,2),""))</f>
        <v/>
      </c>
      <c r="CT12" s="66" t="n"/>
      <c r="CU12" s="78">
        <f>IF(OR(CT$4=0,CT12=""),"",IFERROR(ROUND(CT12/INDEX(Undirviðmið!$F$6:$F$205,CT$4)*INDEX(Undirviðmið!$E$6:$E$205,CT$4)*KVARDI,2),""))</f>
        <v/>
      </c>
      <c r="CV12" s="66" t="n"/>
      <c r="CW12" s="78">
        <f>IF(OR(CV$4=0,CV12=""),"",IFERROR(ROUND(CV12/INDEX(Undirviðmið!$F$6:$F$205,CV$4)*INDEX(Undirviðmið!$E$6:$E$205,CV$4)*KVARDI,2),""))</f>
        <v/>
      </c>
      <c r="CX12" s="66" t="n"/>
      <c r="CY12" s="78">
        <f>IF(OR(CX$4=0,CX12=""),"",IFERROR(ROUND(CX12/INDEX(Undirviðmið!$F$6:$F$205,CX$4)*INDEX(Undirviðmið!$E$6:$E$205,CX$4)*KVARDI,2),""))</f>
        <v/>
      </c>
      <c r="CZ12" s="66" t="n"/>
      <c r="DA12" s="78">
        <f>IF(OR(CZ$4=0,CZ12=""),"",IFERROR(ROUND(CZ12/INDEX(Undirviðmið!$F$6:$F$205,CZ$4)*INDEX(Undirviðmið!$E$6:$E$205,CZ$4)*KVARDI,2),""))</f>
        <v/>
      </c>
      <c r="DB12" s="66" t="n"/>
      <c r="DC12" s="78">
        <f>IF(OR(DB$4=0,DB12=""),"",IFERROR(ROUND(DB12/INDEX(Undirviðmið!$F$6:$F$205,DB$4)*INDEX(Undirviðmið!$E$6:$E$205,DB$4)*KVARDI,2),""))</f>
        <v/>
      </c>
      <c r="DD12" s="66" t="n"/>
      <c r="DE12" s="78">
        <f>IF(OR(DD$4=0,DD12=""),"",IFERROR(ROUND(DD12/INDEX(Undirviðmið!$F$6:$F$205,DD$4)*INDEX(Undirviðmið!$E$6:$E$205,DD$4)*KVARDI,2),""))</f>
        <v/>
      </c>
      <c r="DF12" s="66" t="n"/>
      <c r="DG12" s="78">
        <f>IF(OR(DF$4=0,DF12=""),"",IFERROR(ROUND(DF12/INDEX(Undirviðmið!$F$6:$F$205,DF$4)*INDEX(Undirviðmið!$E$6:$E$205,DF$4)*KVARDI,2),""))</f>
        <v/>
      </c>
      <c r="DH12" s="66" t="n"/>
      <c r="DI12" s="78">
        <f>IF(OR(DH$4=0,DH12=""),"",IFERROR(ROUND(DH12/INDEX(Undirviðmið!$F$6:$F$205,DH$4)*INDEX(Undirviðmið!$E$6:$E$205,DH$4)*KVARDI,2),""))</f>
        <v/>
      </c>
      <c r="DJ12" s="66" t="n"/>
      <c r="DK12" s="78">
        <f>IF(OR(DJ$4=0,DJ12=""),"",IFERROR(ROUND(DJ12/INDEX(Undirviðmið!$F$6:$F$205,DJ$4)*INDEX(Undirviðmið!$E$6:$E$205,DJ$4)*KVARDI,2),""))</f>
        <v/>
      </c>
      <c r="DL12" s="66" t="n"/>
      <c r="DM12" s="78">
        <f>IF(OR(DL$4=0,DL12=""),"",IFERROR(ROUND(DL12/INDEX(Undirviðmið!$F$6:$F$205,DL$4)*INDEX(Undirviðmið!$E$6:$E$205,DL$4)*KVARDI,2),""))</f>
        <v/>
      </c>
      <c r="DN12" s="66" t="n"/>
      <c r="DO12" s="78">
        <f>IF(OR(DN$4=0,DN12=""),"",IFERROR(ROUND(DN12/INDEX(Undirviðmið!$F$6:$F$205,DN$4)*INDEX(Undirviðmið!$E$6:$E$205,DN$4)*KVARDI,2),""))</f>
        <v/>
      </c>
      <c r="DP12" s="66" t="n"/>
      <c r="DQ12" s="78">
        <f>IF(OR(DP$4=0,DP12=""),"",IFERROR(ROUND(DP12/INDEX(Undirviðmið!$F$6:$F$205,DP$4)*INDEX(Undirviðmið!$E$6:$E$205,DP$4)*KVARDI,2),""))</f>
        <v/>
      </c>
      <c r="DR12" s="66" t="n"/>
      <c r="DS12" s="78">
        <f>IF(OR(DR$4=0,DR12=""),"",IFERROR(ROUND(DR12/INDEX(Undirviðmið!$F$6:$F$205,DR$4)*INDEX(Undirviðmið!$E$6:$E$205,DR$4)*KVARDI,2),""))</f>
        <v/>
      </c>
      <c r="DT12" s="66" t="n"/>
      <c r="DU12" s="78">
        <f>IF(OR(DT$4=0,DT12=""),"",IFERROR(ROUND(DT12/INDEX(Undirviðmið!$F$6:$F$205,DT$4)*INDEX(Undirviðmið!$E$6:$E$205,DT$4)*KVARDI,2),""))</f>
        <v/>
      </c>
      <c r="DV12" s="66" t="n"/>
      <c r="DW12" s="78">
        <f>IF(OR(DV$4=0,DV12=""),"",IFERROR(ROUND(DV12/INDEX(Undirviðmið!$F$6:$F$205,DV$4)*INDEX(Undirviðmið!$E$6:$E$205,DV$4)*KVARDI,2),""))</f>
        <v/>
      </c>
      <c r="DX12" s="66" t="n"/>
      <c r="DY12" s="78">
        <f>IF(OR(DX$4=0,DX12=""),"",IFERROR(ROUND(DX12/INDEX(Undirviðmið!$F$6:$F$205,DX$4)*INDEX(Undirviðmið!$E$6:$E$205,DX$4)*KVARDI,2),""))</f>
        <v/>
      </c>
      <c r="DZ12" s="66" t="n"/>
      <c r="EA12" s="78">
        <f>IF(OR(DZ$4=0,DZ12=""),"",IFERROR(ROUND(DZ12/INDEX(Undirviðmið!$F$6:$F$205,DZ$4)*INDEX(Undirviðmið!$E$6:$E$205,DZ$4)*KVARDI,2),""))</f>
        <v/>
      </c>
      <c r="EB12" s="66" t="n"/>
      <c r="EC12" s="78">
        <f>IF(OR(EB$4=0,EB12=""),"",IFERROR(ROUND(EB12/INDEX(Undirviðmið!$F$6:$F$205,EB$4)*INDEX(Undirviðmið!$E$6:$E$205,EB$4)*KVARDI,2),""))</f>
        <v/>
      </c>
      <c r="ED12" s="66" t="n"/>
      <c r="EE12" s="78">
        <f>IF(OR(ED$4=0,ED12=""),"",IFERROR(ROUND(ED12/INDEX(Undirviðmið!$F$6:$F$205,ED$4)*INDEX(Undirviðmið!$E$6:$E$205,ED$4)*KVARDI,2),""))</f>
        <v/>
      </c>
      <c r="EF12" s="66" t="n"/>
      <c r="EG12" s="78">
        <f>IF(OR(EF$4=0,EF12=""),"",IFERROR(ROUND(EF12/INDEX(Undirviðmið!$F$6:$F$205,EF$4)*INDEX(Undirviðmið!$E$6:$E$205,EF$4)*KVARDI,2),""))</f>
        <v/>
      </c>
      <c r="EH12" s="66" t="n"/>
      <c r="EI12" s="78">
        <f>IF(OR(EH$4=0,EH12=""),"",IFERROR(ROUND(EH12/INDEX(Undirviðmið!$F$6:$F$205,EH$4)*INDEX(Undirviðmið!$E$6:$E$205,EH$4)*KVARDI,2),""))</f>
        <v/>
      </c>
      <c r="EJ12" s="66" t="n"/>
      <c r="EK12" s="78">
        <f>IF(OR(EJ$4=0,EJ12=""),"",IFERROR(ROUND(EJ12/INDEX(Undirviðmið!$F$6:$F$205,EJ$4)*INDEX(Undirviðmið!$E$6:$E$205,EJ$4)*KVARDI,2),""))</f>
        <v/>
      </c>
      <c r="EL12" s="66" t="n"/>
      <c r="EM12" s="78">
        <f>IF(OR(EL$4=0,EL12=""),"",IFERROR(ROUND(EL12/INDEX(Undirviðmið!$F$6:$F$205,EL$4)*INDEX(Undirviðmið!$E$6:$E$205,EL$4)*KVARDI,2),""))</f>
        <v/>
      </c>
      <c r="EN12" s="66" t="n"/>
      <c r="EO12" s="78">
        <f>IF(OR(EN$4=0,EN12=""),"",IFERROR(ROUND(EN12/INDEX(Undirviðmið!$F$6:$F$205,EN$4)*INDEX(Undirviðmið!$E$6:$E$205,EN$4)*KVARDI,2),""))</f>
        <v/>
      </c>
      <c r="EP12" s="66" t="n"/>
      <c r="EQ12" s="78">
        <f>IF(OR(EP$4=0,EP12=""),"",IFERROR(ROUND(EP12/INDEX(Undirviðmið!$F$6:$F$205,EP$4)*INDEX(Undirviðmið!$E$6:$E$205,EP$4)*KVARDI,2),""))</f>
        <v/>
      </c>
      <c r="ER12" s="66" t="n"/>
      <c r="ES12" s="78">
        <f>IF(OR(ER$4=0,ER12=""),"",IFERROR(ROUND(ER12/INDEX(Undirviðmið!$F$6:$F$205,ER$4)*INDEX(Undirviðmið!$E$6:$E$205,ER$4)*KVARDI,2),""))</f>
        <v/>
      </c>
      <c r="ET12" s="66" t="n"/>
      <c r="EU12" s="78">
        <f>IF(OR(ET$4=0,ET12=""),"",IFERROR(ROUND(ET12/INDEX(Undirviðmið!$F$6:$F$205,ET$4)*INDEX(Undirviðmið!$E$6:$E$205,ET$4)*KVARDI,2),""))</f>
        <v/>
      </c>
      <c r="EV12" s="66" t="n"/>
      <c r="EW12" s="78">
        <f>IF(OR(EV$4=0,EV12=""),"",IFERROR(ROUND(EV12/INDEX(Undirviðmið!$F$6:$F$205,EV$4)*INDEX(Undirviðmið!$E$6:$E$205,EV$4)*KVARDI,2),""))</f>
        <v/>
      </c>
      <c r="EX12" s="66" t="n"/>
      <c r="EY12" s="78">
        <f>IF(OR(EX$4=0,EX12=""),"",IFERROR(ROUND(EX12/INDEX(Undirviðmið!$F$6:$F$205,EX$4)*INDEX(Undirviðmið!$E$6:$E$205,EX$4)*KVARDI,2),""))</f>
        <v/>
      </c>
      <c r="EZ12" s="66" t="n"/>
      <c r="FA12" s="78">
        <f>IF(OR(EZ$4=0,EZ12=""),"",IFERROR(ROUND(EZ12/INDEX(Undirviðmið!$F$6:$F$205,EZ$4)*INDEX(Undirviðmið!$E$6:$E$205,EZ$4)*KVARDI,2),""))</f>
        <v/>
      </c>
      <c r="FB12" s="66" t="n"/>
      <c r="FC12" s="78">
        <f>IF(OR(FB$4=0,FB12=""),"",IFERROR(ROUND(FB12/INDEX(Undirviðmið!$F$6:$F$205,FB$4)*INDEX(Undirviðmið!$E$6:$E$205,FB$4)*KVARDI,2),""))</f>
        <v/>
      </c>
      <c r="FD12" s="66" t="n"/>
      <c r="FE12" s="78">
        <f>IF(OR(FD$4=0,FD12=""),"",IFERROR(ROUND(FD12/INDEX(Undirviðmið!$F$6:$F$205,FD$4)*INDEX(Undirviðmið!$E$6:$E$205,FD$4)*KVARDI,2),""))</f>
        <v/>
      </c>
      <c r="FF12" s="66" t="n"/>
      <c r="FG12" s="78">
        <f>IF(OR(FF$4=0,FF12=""),"",IFERROR(ROUND(FF12/INDEX(Undirviðmið!$F$6:$F$205,FF$4)*INDEX(Undirviðmið!$E$6:$E$205,FF$4)*KVARDI,2),""))</f>
        <v/>
      </c>
      <c r="FH12" s="66" t="n"/>
      <c r="FI12" s="78">
        <f>IF(OR(FH$4=0,FH12=""),"",IFERROR(ROUND(FH12/INDEX(Undirviðmið!$F$6:$F$205,FH$4)*INDEX(Undirviðmið!$E$6:$E$205,FH$4)*KVARDI,2),""))</f>
        <v/>
      </c>
      <c r="FJ12" s="66" t="n"/>
      <c r="FK12" s="78">
        <f>IF(OR(FJ$4=0,FJ12=""),"",IFERROR(ROUND(FJ12/INDEX(Undirviðmið!$F$6:$F$205,FJ$4)*INDEX(Undirviðmið!$E$6:$E$205,FJ$4)*KVARDI,2),""))</f>
        <v/>
      </c>
      <c r="FL12" s="66" t="n"/>
      <c r="FM12" s="78">
        <f>IF(OR(FL$4=0,FL12=""),"",IFERROR(ROUND(FL12/INDEX(Undirviðmið!$F$6:$F$205,FL$4)*INDEX(Undirviðmið!$E$6:$E$205,FL$4)*KVARDI,2),""))</f>
        <v/>
      </c>
      <c r="FN12" s="66" t="n"/>
      <c r="FO12" s="78">
        <f>IF(OR(FN$4=0,FN12=""),"",IFERROR(ROUND(FN12/INDEX(Undirviðmið!$F$6:$F$205,FN$4)*INDEX(Undirviðmið!$E$6:$E$205,FN$4)*KVARDI,2),""))</f>
        <v/>
      </c>
      <c r="FP12" s="66" t="n"/>
      <c r="FQ12" s="78">
        <f>IF(OR(FP$4=0,FP12=""),"",IFERROR(ROUND(FP12/INDEX(Undirviðmið!$F$6:$F$205,FP$4)*INDEX(Undirviðmið!$E$6:$E$205,FP$4)*KVARDI,2),""))</f>
        <v/>
      </c>
      <c r="FR12" s="66" t="n"/>
      <c r="FS12" s="78">
        <f>IF(OR(FR$4=0,FR12=""),"",IFERROR(ROUND(FR12/INDEX(Undirviðmið!$F$6:$F$205,FR$4)*INDEX(Undirviðmið!$E$6:$E$205,FR$4)*KVARDI,2),""))</f>
        <v/>
      </c>
      <c r="FT12" s="66" t="n"/>
      <c r="FU12" s="78">
        <f>IF(OR(FT$4=0,FT12=""),"",IFERROR(ROUND(FT12/INDEX(Undirviðmið!$F$6:$F$205,FT$4)*INDEX(Undirviðmið!$E$6:$E$205,FT$4)*KVARDI,2),""))</f>
        <v/>
      </c>
      <c r="FV12" s="66" t="n"/>
      <c r="FW12" s="78">
        <f>IF(OR(FV$4=0,FV12=""),"",IFERROR(ROUND(FV12/INDEX(Undirviðmið!$F$6:$F$205,FV$4)*INDEX(Undirviðmið!$E$6:$E$205,FV$4)*KVARDI,2),""))</f>
        <v/>
      </c>
      <c r="FX12" s="66" t="n"/>
      <c r="FY12" s="78">
        <f>IF(OR(FX$4=0,FX12=""),"",IFERROR(ROUND(FX12/INDEX(Undirviðmið!$F$6:$F$205,FX$4)*INDEX(Undirviðmið!$E$6:$E$205,FX$4)*KVARDI,2),""))</f>
        <v/>
      </c>
      <c r="FZ12" s="66" t="n"/>
      <c r="GA12" s="78">
        <f>IF(OR(FZ$4=0,FZ12=""),"",IFERROR(ROUND(FZ12/INDEX(Undirviðmið!$F$6:$F$205,FZ$4)*INDEX(Undirviðmið!$E$6:$E$205,FZ$4)*KVARDI,2),""))</f>
        <v/>
      </c>
      <c r="GB12" s="66" t="n"/>
      <c r="GC12" s="78">
        <f>IF(OR(GB$4=0,GB12=""),"",IFERROR(ROUND(GB12/INDEX(Undirviðmið!$F$6:$F$205,GB$4)*INDEX(Undirviðmið!$E$6:$E$205,GB$4)*KVARDI,2),""))</f>
        <v/>
      </c>
      <c r="GD12" s="66" t="n"/>
      <c r="GE12" s="78">
        <f>IF(OR(GD$4=0,GD12=""),"",IFERROR(ROUND(GD12/INDEX(Undirviðmið!$F$6:$F$205,GD$4)*INDEX(Undirviðmið!$E$6:$E$205,GD$4)*KVARDI,2),""))</f>
        <v/>
      </c>
      <c r="GF12" s="66" t="n"/>
      <c r="GG12" s="78">
        <f>IF(OR(GF$4=0,GF12=""),"",IFERROR(ROUND(GF12/INDEX(Undirviðmið!$F$6:$F$205,GF$4)*INDEX(Undirviðmið!$E$6:$E$205,GF$4)*KVARDI,2),""))</f>
        <v/>
      </c>
      <c r="GH12" s="66" t="n"/>
      <c r="GI12" s="78">
        <f>IF(OR(GH$4=0,GH12=""),"",IFERROR(ROUND(GH12/INDEX(Undirviðmið!$F$6:$F$205,GH$4)*INDEX(Undirviðmið!$E$6:$E$205,GH$4)*KVARDI,2),""))</f>
        <v/>
      </c>
      <c r="GJ12" s="66" t="n"/>
      <c r="GK12" s="78">
        <f>IF(OR(GJ$4=0,GJ12=""),"",IFERROR(ROUND(GJ12/INDEX(Undirviðmið!$F$6:$F$205,GJ$4)*INDEX(Undirviðmið!$E$6:$E$205,GJ$4)*KVARDI,2),""))</f>
        <v/>
      </c>
      <c r="GL12" s="66" t="n"/>
      <c r="GM12" s="78">
        <f>IF(OR(GL$4=0,GL12=""),"",IFERROR(ROUND(GL12/INDEX(Undirviðmið!$F$6:$F$205,GL$4)*INDEX(Undirviðmið!$E$6:$E$205,GL$4)*KVARDI,2),""))</f>
        <v/>
      </c>
      <c r="GN12" s="66" t="n"/>
      <c r="GO12" s="78">
        <f>IF(OR(GN$4=0,GN12=""),"",IFERROR(ROUND(GN12/INDEX(Undirviðmið!$F$6:$F$205,GN$4)*INDEX(Undirviðmið!$E$6:$E$205,GN$4)*KVARDI,2),""))</f>
        <v/>
      </c>
      <c r="GP12" s="66" t="n"/>
      <c r="GQ12" s="78">
        <f>IF(OR(GP$4=0,GP12=""),"",IFERROR(ROUND(GP12/INDEX(Undirviðmið!$F$6:$F$205,GP$4)*INDEX(Undirviðmið!$E$6:$E$205,GP$4)*KVARDI,2),""))</f>
        <v/>
      </c>
      <c r="GR12" s="66" t="n"/>
      <c r="GS12" s="78">
        <f>IF(OR(GR$4=0,GR12=""),"",IFERROR(ROUND(GR12/INDEX(Undirviðmið!$F$6:$F$205,GR$4)*INDEX(Undirviðmið!$E$6:$E$205,GR$4)*KVARDI,2),""))</f>
        <v/>
      </c>
      <c r="GT12" s="66" t="n"/>
      <c r="GU12" s="78">
        <f>IF(OR(GT$4=0,GT12=""),"",IFERROR(ROUND(GT12/INDEX(Undirviðmið!$F$6:$F$205,GT$4)*INDEX(Undirviðmið!$E$6:$E$205,GT$4)*KVARDI,2),""))</f>
        <v/>
      </c>
      <c r="GV12" s="63">
        <f>IFERROR(SUMIF($D$6:GU$6,"Stig",$D12:GU12),0)</f>
        <v/>
      </c>
    </row>
    <row r="13" ht="15" customHeight="1" s="47">
      <c r="A13" s="65">
        <f>ROW()-6</f>
        <v/>
      </c>
      <c r="B13" s="67">
        <f>IF(INDEX(Starfsmenn!$B$6:$B$10005,ROW()-6)="","",INDEX(Starfsmenn!$B$6:$B$10005,ROW()-6))</f>
        <v/>
      </c>
      <c r="C13" s="67">
        <f>IF(INDEX(Starfsmenn!$C$6:$C$10005,ROW()-6)="","",INDEX(Starfsmenn!$C$6:$C$10005,ROW()-6))</f>
        <v/>
      </c>
      <c r="D13" s="66" t="n"/>
      <c r="E13" s="78">
        <f>IF(OR(D$4=0,D13=""),"",IFERROR(ROUND(D13/INDEX(Undirviðmið!$F$6:$F$205,D$4)*INDEX(Undirviðmið!$E$6:$E$205,D$4)*KVARDI,2),""))</f>
        <v/>
      </c>
      <c r="F13" s="66" t="n"/>
      <c r="G13" s="78">
        <f>IF(OR(F$4=0,F13=""),"",IFERROR(ROUND(F13/INDEX(Undirviðmið!$F$6:$F$205,F$4)*INDEX(Undirviðmið!$E$6:$E$205,F$4)*KVARDI,2),""))</f>
        <v/>
      </c>
      <c r="H13" s="66" t="n"/>
      <c r="I13" s="78">
        <f>IF(OR(H$4=0,H13=""),"",IFERROR(ROUND(H13/INDEX(Undirviðmið!$F$6:$F$205,H$4)*INDEX(Undirviðmið!$E$6:$E$205,H$4)*KVARDI,2),""))</f>
        <v/>
      </c>
      <c r="J13" s="66" t="n"/>
      <c r="K13" s="78">
        <f>IF(OR(J$4=0,J13=""),"",IFERROR(ROUND(J13/INDEX(Undirviðmið!$F$6:$F$205,J$4)*INDEX(Undirviðmið!$E$6:$E$205,J$4)*KVARDI,2),""))</f>
        <v/>
      </c>
      <c r="L13" s="66" t="n"/>
      <c r="M13" s="78">
        <f>IF(OR(L$4=0,L13=""),"",IFERROR(ROUND(L13/INDEX(Undirviðmið!$F$6:$F$205,L$4)*INDEX(Undirviðmið!$E$6:$E$205,L$4)*KVARDI,2),""))</f>
        <v/>
      </c>
      <c r="N13" s="66" t="n"/>
      <c r="O13" s="78">
        <f>IF(OR(N$4=0,N13=""),"",IFERROR(ROUND(N13/INDEX(Undirviðmið!$F$6:$F$205,N$4)*INDEX(Undirviðmið!$E$6:$E$205,N$4)*KVARDI,2),""))</f>
        <v/>
      </c>
      <c r="P13" s="66" t="n"/>
      <c r="Q13" s="78">
        <f>IF(OR(P$4=0,P13=""),"",IFERROR(ROUND(P13/INDEX(Undirviðmið!$F$6:$F$205,P$4)*INDEX(Undirviðmið!$E$6:$E$205,P$4)*KVARDI,2),""))</f>
        <v/>
      </c>
      <c r="R13" s="66" t="n"/>
      <c r="S13" s="78">
        <f>IF(OR(R$4=0,R13=""),"",IFERROR(ROUND(R13/INDEX(Undirviðmið!$F$6:$F$205,R$4)*INDEX(Undirviðmið!$E$6:$E$205,R$4)*KVARDI,2),""))</f>
        <v/>
      </c>
      <c r="T13" s="66" t="n"/>
      <c r="U13" s="78">
        <f>IF(OR(T$4=0,T13=""),"",IFERROR(ROUND(T13/INDEX(Undirviðmið!$F$6:$F$205,T$4)*INDEX(Undirviðmið!$E$6:$E$205,T$4)*KVARDI,2),""))</f>
        <v/>
      </c>
      <c r="V13" s="66" t="n"/>
      <c r="W13" s="78">
        <f>IF(OR(V$4=0,V13=""),"",IFERROR(ROUND(V13/INDEX(Undirviðmið!$F$6:$F$205,V$4)*INDEX(Undirviðmið!$E$6:$E$205,V$4)*KVARDI,2),""))</f>
        <v/>
      </c>
      <c r="X13" s="66" t="n"/>
      <c r="Y13" s="78">
        <f>IF(OR(X$4=0,X13=""),"",IFERROR(ROUND(X13/INDEX(Undirviðmið!$F$6:$F$205,X$4)*INDEX(Undirviðmið!$E$6:$E$205,X$4)*KVARDI,2),""))</f>
        <v/>
      </c>
      <c r="Z13" s="66" t="n"/>
      <c r="AA13" s="78">
        <f>IF(OR(Z$4=0,Z13=""),"",IFERROR(ROUND(Z13/INDEX(Undirviðmið!$F$6:$F$205,Z$4)*INDEX(Undirviðmið!$E$6:$E$205,Z$4)*KVARDI,2),""))</f>
        <v/>
      </c>
      <c r="AB13" s="66" t="n"/>
      <c r="AC13" s="78">
        <f>IF(OR(AB$4=0,AB13=""),"",IFERROR(ROUND(AB13/INDEX(Undirviðmið!$F$6:$F$205,AB$4)*INDEX(Undirviðmið!$E$6:$E$205,AB$4)*KVARDI,2),""))</f>
        <v/>
      </c>
      <c r="AD13" s="66" t="n"/>
      <c r="AE13" s="78">
        <f>IF(OR(AD$4=0,AD13=""),"",IFERROR(ROUND(AD13/INDEX(Undirviðmið!$F$6:$F$205,AD$4)*INDEX(Undirviðmið!$E$6:$E$205,AD$4)*KVARDI,2),""))</f>
        <v/>
      </c>
      <c r="AF13" s="66" t="n"/>
      <c r="AG13" s="78">
        <f>IF(OR(AF$4=0,AF13=""),"",IFERROR(ROUND(AF13/INDEX(Undirviðmið!$F$6:$F$205,AF$4)*INDEX(Undirviðmið!$E$6:$E$205,AF$4)*KVARDI,2),""))</f>
        <v/>
      </c>
      <c r="AH13" s="66" t="n"/>
      <c r="AI13" s="78">
        <f>IF(OR(AH$4=0,AH13=""),"",IFERROR(ROUND(AH13/INDEX(Undirviðmið!$F$6:$F$205,AH$4)*INDEX(Undirviðmið!$E$6:$E$205,AH$4)*KVARDI,2),""))</f>
        <v/>
      </c>
      <c r="AJ13" s="66" t="n"/>
      <c r="AK13" s="78">
        <f>IF(OR(AJ$4=0,AJ13=""),"",IFERROR(ROUND(AJ13/INDEX(Undirviðmið!$F$6:$F$205,AJ$4)*INDEX(Undirviðmið!$E$6:$E$205,AJ$4)*KVARDI,2),""))</f>
        <v/>
      </c>
      <c r="AL13" s="66" t="n"/>
      <c r="AM13" s="78">
        <f>IF(OR(AL$4=0,AL13=""),"",IFERROR(ROUND(AL13/INDEX(Undirviðmið!$F$6:$F$205,AL$4)*INDEX(Undirviðmið!$E$6:$E$205,AL$4)*KVARDI,2),""))</f>
        <v/>
      </c>
      <c r="AN13" s="66" t="n"/>
      <c r="AO13" s="78">
        <f>IF(OR(AN$4=0,AN13=""),"",IFERROR(ROUND(AN13/INDEX(Undirviðmið!$F$6:$F$205,AN$4)*INDEX(Undirviðmið!$E$6:$E$205,AN$4)*KVARDI,2),""))</f>
        <v/>
      </c>
      <c r="AP13" s="66" t="n"/>
      <c r="AQ13" s="78">
        <f>IF(OR(AP$4=0,AP13=""),"",IFERROR(ROUND(AP13/INDEX(Undirviðmið!$F$6:$F$205,AP$4)*INDEX(Undirviðmið!$E$6:$E$205,AP$4)*KVARDI,2),""))</f>
        <v/>
      </c>
      <c r="AR13" s="66" t="n"/>
      <c r="AS13" s="78">
        <f>IF(OR(AR$4=0,AR13=""),"",IFERROR(ROUND(AR13/INDEX(Undirviðmið!$F$6:$F$205,AR$4)*INDEX(Undirviðmið!$E$6:$E$205,AR$4)*KVARDI,2),""))</f>
        <v/>
      </c>
      <c r="AT13" s="66" t="n"/>
      <c r="AU13" s="78">
        <f>IF(OR(AT$4=0,AT13=""),"",IFERROR(ROUND(AT13/INDEX(Undirviðmið!$F$6:$F$205,AT$4)*INDEX(Undirviðmið!$E$6:$E$205,AT$4)*KVARDI,2),""))</f>
        <v/>
      </c>
      <c r="AV13" s="66" t="n"/>
      <c r="AW13" s="78">
        <f>IF(OR(AV$4=0,AV13=""),"",IFERROR(ROUND(AV13/INDEX(Undirviðmið!$F$6:$F$205,AV$4)*INDEX(Undirviðmið!$E$6:$E$205,AV$4)*KVARDI,2),""))</f>
        <v/>
      </c>
      <c r="AX13" s="66" t="n"/>
      <c r="AY13" s="78">
        <f>IF(OR(AX$4=0,AX13=""),"",IFERROR(ROUND(AX13/INDEX(Undirviðmið!$F$6:$F$205,AX$4)*INDEX(Undirviðmið!$E$6:$E$205,AX$4)*KVARDI,2),""))</f>
        <v/>
      </c>
      <c r="AZ13" s="66" t="n"/>
      <c r="BA13" s="78">
        <f>IF(OR(AZ$4=0,AZ13=""),"",IFERROR(ROUND(AZ13/INDEX(Undirviðmið!$F$6:$F$205,AZ$4)*INDEX(Undirviðmið!$E$6:$E$205,AZ$4)*KVARDI,2),""))</f>
        <v/>
      </c>
      <c r="BB13" s="66" t="n"/>
      <c r="BC13" s="78">
        <f>IF(OR(BB$4=0,BB13=""),"",IFERROR(ROUND(BB13/INDEX(Undirviðmið!$F$6:$F$205,BB$4)*INDEX(Undirviðmið!$E$6:$E$205,BB$4)*KVARDI,2),""))</f>
        <v/>
      </c>
      <c r="BD13" s="66" t="n"/>
      <c r="BE13" s="78">
        <f>IF(OR(BD$4=0,BD13=""),"",IFERROR(ROUND(BD13/INDEX(Undirviðmið!$F$6:$F$205,BD$4)*INDEX(Undirviðmið!$E$6:$E$205,BD$4)*KVARDI,2),""))</f>
        <v/>
      </c>
      <c r="BF13" s="66" t="n"/>
      <c r="BG13" s="78">
        <f>IF(OR(BF$4=0,BF13=""),"",IFERROR(ROUND(BF13/INDEX(Undirviðmið!$F$6:$F$205,BF$4)*INDEX(Undirviðmið!$E$6:$E$205,BF$4)*KVARDI,2),""))</f>
        <v/>
      </c>
      <c r="BH13" s="66" t="n"/>
      <c r="BI13" s="78">
        <f>IF(OR(BH$4=0,BH13=""),"",IFERROR(ROUND(BH13/INDEX(Undirviðmið!$F$6:$F$205,BH$4)*INDEX(Undirviðmið!$E$6:$E$205,BH$4)*KVARDI,2),""))</f>
        <v/>
      </c>
      <c r="BJ13" s="66" t="n"/>
      <c r="BK13" s="78">
        <f>IF(OR(BJ$4=0,BJ13=""),"",IFERROR(ROUND(BJ13/INDEX(Undirviðmið!$F$6:$F$205,BJ$4)*INDEX(Undirviðmið!$E$6:$E$205,BJ$4)*KVARDI,2),""))</f>
        <v/>
      </c>
      <c r="BL13" s="66" t="n"/>
      <c r="BM13" s="78">
        <f>IF(OR(BL$4=0,BL13=""),"",IFERROR(ROUND(BL13/INDEX(Undirviðmið!$F$6:$F$205,BL$4)*INDEX(Undirviðmið!$E$6:$E$205,BL$4)*KVARDI,2),""))</f>
        <v/>
      </c>
      <c r="BN13" s="66" t="n"/>
      <c r="BO13" s="78">
        <f>IF(OR(BN$4=0,BN13=""),"",IFERROR(ROUND(BN13/INDEX(Undirviðmið!$F$6:$F$205,BN$4)*INDEX(Undirviðmið!$E$6:$E$205,BN$4)*KVARDI,2),""))</f>
        <v/>
      </c>
      <c r="BP13" s="66" t="n"/>
      <c r="BQ13" s="78">
        <f>IF(OR(BP$4=0,BP13=""),"",IFERROR(ROUND(BP13/INDEX(Undirviðmið!$F$6:$F$205,BP$4)*INDEX(Undirviðmið!$E$6:$E$205,BP$4)*KVARDI,2),""))</f>
        <v/>
      </c>
      <c r="BR13" s="66" t="n"/>
      <c r="BS13" s="78">
        <f>IF(OR(BR$4=0,BR13=""),"",IFERROR(ROUND(BR13/INDEX(Undirviðmið!$F$6:$F$205,BR$4)*INDEX(Undirviðmið!$E$6:$E$205,BR$4)*KVARDI,2),""))</f>
        <v/>
      </c>
      <c r="BT13" s="66" t="n"/>
      <c r="BU13" s="78">
        <f>IF(OR(BT$4=0,BT13=""),"",IFERROR(ROUND(BT13/INDEX(Undirviðmið!$F$6:$F$205,BT$4)*INDEX(Undirviðmið!$E$6:$E$205,BT$4)*KVARDI,2),""))</f>
        <v/>
      </c>
      <c r="BV13" s="66" t="n"/>
      <c r="BW13" s="78">
        <f>IF(OR(BV$4=0,BV13=""),"",IFERROR(ROUND(BV13/INDEX(Undirviðmið!$F$6:$F$205,BV$4)*INDEX(Undirviðmið!$E$6:$E$205,BV$4)*KVARDI,2),""))</f>
        <v/>
      </c>
      <c r="BX13" s="66" t="n"/>
      <c r="BY13" s="78">
        <f>IF(OR(BX$4=0,BX13=""),"",IFERROR(ROUND(BX13/INDEX(Undirviðmið!$F$6:$F$205,BX$4)*INDEX(Undirviðmið!$E$6:$E$205,BX$4)*KVARDI,2),""))</f>
        <v/>
      </c>
      <c r="BZ13" s="66" t="n"/>
      <c r="CA13" s="78">
        <f>IF(OR(BZ$4=0,BZ13=""),"",IFERROR(ROUND(BZ13/INDEX(Undirviðmið!$F$6:$F$205,BZ$4)*INDEX(Undirviðmið!$E$6:$E$205,BZ$4)*KVARDI,2),""))</f>
        <v/>
      </c>
      <c r="CB13" s="66" t="n"/>
      <c r="CC13" s="78">
        <f>IF(OR(CB$4=0,CB13=""),"",IFERROR(ROUND(CB13/INDEX(Undirviðmið!$F$6:$F$205,CB$4)*INDEX(Undirviðmið!$E$6:$E$205,CB$4)*KVARDI,2),""))</f>
        <v/>
      </c>
      <c r="CD13" s="66" t="n"/>
      <c r="CE13" s="78">
        <f>IF(OR(CD$4=0,CD13=""),"",IFERROR(ROUND(CD13/INDEX(Undirviðmið!$F$6:$F$205,CD$4)*INDEX(Undirviðmið!$E$6:$E$205,CD$4)*KVARDI,2),""))</f>
        <v/>
      </c>
      <c r="CF13" s="66" t="n"/>
      <c r="CG13" s="78">
        <f>IF(OR(CF$4=0,CF13=""),"",IFERROR(ROUND(CF13/INDEX(Undirviðmið!$F$6:$F$205,CF$4)*INDEX(Undirviðmið!$E$6:$E$205,CF$4)*KVARDI,2),""))</f>
        <v/>
      </c>
      <c r="CH13" s="66" t="n"/>
      <c r="CI13" s="78">
        <f>IF(OR(CH$4=0,CH13=""),"",IFERROR(ROUND(CH13/INDEX(Undirviðmið!$F$6:$F$205,CH$4)*INDEX(Undirviðmið!$E$6:$E$205,CH$4)*KVARDI,2),""))</f>
        <v/>
      </c>
      <c r="CJ13" s="66" t="n"/>
      <c r="CK13" s="78">
        <f>IF(OR(CJ$4=0,CJ13=""),"",IFERROR(ROUND(CJ13/INDEX(Undirviðmið!$F$6:$F$205,CJ$4)*INDEX(Undirviðmið!$E$6:$E$205,CJ$4)*KVARDI,2),""))</f>
        <v/>
      </c>
      <c r="CL13" s="66" t="n"/>
      <c r="CM13" s="78">
        <f>IF(OR(CL$4=0,CL13=""),"",IFERROR(ROUND(CL13/INDEX(Undirviðmið!$F$6:$F$205,CL$4)*INDEX(Undirviðmið!$E$6:$E$205,CL$4)*KVARDI,2),""))</f>
        <v/>
      </c>
      <c r="CN13" s="66" t="n"/>
      <c r="CO13" s="78">
        <f>IF(OR(CN$4=0,CN13=""),"",IFERROR(ROUND(CN13/INDEX(Undirviðmið!$F$6:$F$205,CN$4)*INDEX(Undirviðmið!$E$6:$E$205,CN$4)*KVARDI,2),""))</f>
        <v/>
      </c>
      <c r="CP13" s="66" t="n"/>
      <c r="CQ13" s="78">
        <f>IF(OR(CP$4=0,CP13=""),"",IFERROR(ROUND(CP13/INDEX(Undirviðmið!$F$6:$F$205,CP$4)*INDEX(Undirviðmið!$E$6:$E$205,CP$4)*KVARDI,2),""))</f>
        <v/>
      </c>
      <c r="CR13" s="66" t="n"/>
      <c r="CS13" s="78">
        <f>IF(OR(CR$4=0,CR13=""),"",IFERROR(ROUND(CR13/INDEX(Undirviðmið!$F$6:$F$205,CR$4)*INDEX(Undirviðmið!$E$6:$E$205,CR$4)*KVARDI,2),""))</f>
        <v/>
      </c>
      <c r="CT13" s="66" t="n"/>
      <c r="CU13" s="78">
        <f>IF(OR(CT$4=0,CT13=""),"",IFERROR(ROUND(CT13/INDEX(Undirviðmið!$F$6:$F$205,CT$4)*INDEX(Undirviðmið!$E$6:$E$205,CT$4)*KVARDI,2),""))</f>
        <v/>
      </c>
      <c r="CV13" s="66" t="n"/>
      <c r="CW13" s="78">
        <f>IF(OR(CV$4=0,CV13=""),"",IFERROR(ROUND(CV13/INDEX(Undirviðmið!$F$6:$F$205,CV$4)*INDEX(Undirviðmið!$E$6:$E$205,CV$4)*KVARDI,2),""))</f>
        <v/>
      </c>
      <c r="CX13" s="66" t="n"/>
      <c r="CY13" s="78">
        <f>IF(OR(CX$4=0,CX13=""),"",IFERROR(ROUND(CX13/INDEX(Undirviðmið!$F$6:$F$205,CX$4)*INDEX(Undirviðmið!$E$6:$E$205,CX$4)*KVARDI,2),""))</f>
        <v/>
      </c>
      <c r="CZ13" s="66" t="n"/>
      <c r="DA13" s="78">
        <f>IF(OR(CZ$4=0,CZ13=""),"",IFERROR(ROUND(CZ13/INDEX(Undirviðmið!$F$6:$F$205,CZ$4)*INDEX(Undirviðmið!$E$6:$E$205,CZ$4)*KVARDI,2),""))</f>
        <v/>
      </c>
      <c r="DB13" s="66" t="n"/>
      <c r="DC13" s="78">
        <f>IF(OR(DB$4=0,DB13=""),"",IFERROR(ROUND(DB13/INDEX(Undirviðmið!$F$6:$F$205,DB$4)*INDEX(Undirviðmið!$E$6:$E$205,DB$4)*KVARDI,2),""))</f>
        <v/>
      </c>
      <c r="DD13" s="66" t="n"/>
      <c r="DE13" s="78">
        <f>IF(OR(DD$4=0,DD13=""),"",IFERROR(ROUND(DD13/INDEX(Undirviðmið!$F$6:$F$205,DD$4)*INDEX(Undirviðmið!$E$6:$E$205,DD$4)*KVARDI,2),""))</f>
        <v/>
      </c>
      <c r="DF13" s="66" t="n"/>
      <c r="DG13" s="78">
        <f>IF(OR(DF$4=0,DF13=""),"",IFERROR(ROUND(DF13/INDEX(Undirviðmið!$F$6:$F$205,DF$4)*INDEX(Undirviðmið!$E$6:$E$205,DF$4)*KVARDI,2),""))</f>
        <v/>
      </c>
      <c r="DH13" s="66" t="n"/>
      <c r="DI13" s="78">
        <f>IF(OR(DH$4=0,DH13=""),"",IFERROR(ROUND(DH13/INDEX(Undirviðmið!$F$6:$F$205,DH$4)*INDEX(Undirviðmið!$E$6:$E$205,DH$4)*KVARDI,2),""))</f>
        <v/>
      </c>
      <c r="DJ13" s="66" t="n"/>
      <c r="DK13" s="78">
        <f>IF(OR(DJ$4=0,DJ13=""),"",IFERROR(ROUND(DJ13/INDEX(Undirviðmið!$F$6:$F$205,DJ$4)*INDEX(Undirviðmið!$E$6:$E$205,DJ$4)*KVARDI,2),""))</f>
        <v/>
      </c>
      <c r="DL13" s="66" t="n"/>
      <c r="DM13" s="78">
        <f>IF(OR(DL$4=0,DL13=""),"",IFERROR(ROUND(DL13/INDEX(Undirviðmið!$F$6:$F$205,DL$4)*INDEX(Undirviðmið!$E$6:$E$205,DL$4)*KVARDI,2),""))</f>
        <v/>
      </c>
      <c r="DN13" s="66" t="n"/>
      <c r="DO13" s="78">
        <f>IF(OR(DN$4=0,DN13=""),"",IFERROR(ROUND(DN13/INDEX(Undirviðmið!$F$6:$F$205,DN$4)*INDEX(Undirviðmið!$E$6:$E$205,DN$4)*KVARDI,2),""))</f>
        <v/>
      </c>
      <c r="DP13" s="66" t="n"/>
      <c r="DQ13" s="78">
        <f>IF(OR(DP$4=0,DP13=""),"",IFERROR(ROUND(DP13/INDEX(Undirviðmið!$F$6:$F$205,DP$4)*INDEX(Undirviðmið!$E$6:$E$205,DP$4)*KVARDI,2),""))</f>
        <v/>
      </c>
      <c r="DR13" s="66" t="n"/>
      <c r="DS13" s="78">
        <f>IF(OR(DR$4=0,DR13=""),"",IFERROR(ROUND(DR13/INDEX(Undirviðmið!$F$6:$F$205,DR$4)*INDEX(Undirviðmið!$E$6:$E$205,DR$4)*KVARDI,2),""))</f>
        <v/>
      </c>
      <c r="DT13" s="66" t="n"/>
      <c r="DU13" s="78">
        <f>IF(OR(DT$4=0,DT13=""),"",IFERROR(ROUND(DT13/INDEX(Undirviðmið!$F$6:$F$205,DT$4)*INDEX(Undirviðmið!$E$6:$E$205,DT$4)*KVARDI,2),""))</f>
        <v/>
      </c>
      <c r="DV13" s="66" t="n"/>
      <c r="DW13" s="78">
        <f>IF(OR(DV$4=0,DV13=""),"",IFERROR(ROUND(DV13/INDEX(Undirviðmið!$F$6:$F$205,DV$4)*INDEX(Undirviðmið!$E$6:$E$205,DV$4)*KVARDI,2),""))</f>
        <v/>
      </c>
      <c r="DX13" s="66" t="n"/>
      <c r="DY13" s="78">
        <f>IF(OR(DX$4=0,DX13=""),"",IFERROR(ROUND(DX13/INDEX(Undirviðmið!$F$6:$F$205,DX$4)*INDEX(Undirviðmið!$E$6:$E$205,DX$4)*KVARDI,2),""))</f>
        <v/>
      </c>
      <c r="DZ13" s="66" t="n"/>
      <c r="EA13" s="78">
        <f>IF(OR(DZ$4=0,DZ13=""),"",IFERROR(ROUND(DZ13/INDEX(Undirviðmið!$F$6:$F$205,DZ$4)*INDEX(Undirviðmið!$E$6:$E$205,DZ$4)*KVARDI,2),""))</f>
        <v/>
      </c>
      <c r="EB13" s="66" t="n"/>
      <c r="EC13" s="78">
        <f>IF(OR(EB$4=0,EB13=""),"",IFERROR(ROUND(EB13/INDEX(Undirviðmið!$F$6:$F$205,EB$4)*INDEX(Undirviðmið!$E$6:$E$205,EB$4)*KVARDI,2),""))</f>
        <v/>
      </c>
      <c r="ED13" s="66" t="n"/>
      <c r="EE13" s="78">
        <f>IF(OR(ED$4=0,ED13=""),"",IFERROR(ROUND(ED13/INDEX(Undirviðmið!$F$6:$F$205,ED$4)*INDEX(Undirviðmið!$E$6:$E$205,ED$4)*KVARDI,2),""))</f>
        <v/>
      </c>
      <c r="EF13" s="66" t="n"/>
      <c r="EG13" s="78">
        <f>IF(OR(EF$4=0,EF13=""),"",IFERROR(ROUND(EF13/INDEX(Undirviðmið!$F$6:$F$205,EF$4)*INDEX(Undirviðmið!$E$6:$E$205,EF$4)*KVARDI,2),""))</f>
        <v/>
      </c>
      <c r="EH13" s="66" t="n"/>
      <c r="EI13" s="78">
        <f>IF(OR(EH$4=0,EH13=""),"",IFERROR(ROUND(EH13/INDEX(Undirviðmið!$F$6:$F$205,EH$4)*INDEX(Undirviðmið!$E$6:$E$205,EH$4)*KVARDI,2),""))</f>
        <v/>
      </c>
      <c r="EJ13" s="66" t="n"/>
      <c r="EK13" s="78">
        <f>IF(OR(EJ$4=0,EJ13=""),"",IFERROR(ROUND(EJ13/INDEX(Undirviðmið!$F$6:$F$205,EJ$4)*INDEX(Undirviðmið!$E$6:$E$205,EJ$4)*KVARDI,2),""))</f>
        <v/>
      </c>
      <c r="EL13" s="66" t="n"/>
      <c r="EM13" s="78">
        <f>IF(OR(EL$4=0,EL13=""),"",IFERROR(ROUND(EL13/INDEX(Undirviðmið!$F$6:$F$205,EL$4)*INDEX(Undirviðmið!$E$6:$E$205,EL$4)*KVARDI,2),""))</f>
        <v/>
      </c>
      <c r="EN13" s="66" t="n"/>
      <c r="EO13" s="78">
        <f>IF(OR(EN$4=0,EN13=""),"",IFERROR(ROUND(EN13/INDEX(Undirviðmið!$F$6:$F$205,EN$4)*INDEX(Undirviðmið!$E$6:$E$205,EN$4)*KVARDI,2),""))</f>
        <v/>
      </c>
      <c r="EP13" s="66" t="n"/>
      <c r="EQ13" s="78">
        <f>IF(OR(EP$4=0,EP13=""),"",IFERROR(ROUND(EP13/INDEX(Undirviðmið!$F$6:$F$205,EP$4)*INDEX(Undirviðmið!$E$6:$E$205,EP$4)*KVARDI,2),""))</f>
        <v/>
      </c>
      <c r="ER13" s="66" t="n"/>
      <c r="ES13" s="78">
        <f>IF(OR(ER$4=0,ER13=""),"",IFERROR(ROUND(ER13/INDEX(Undirviðmið!$F$6:$F$205,ER$4)*INDEX(Undirviðmið!$E$6:$E$205,ER$4)*KVARDI,2),""))</f>
        <v/>
      </c>
      <c r="ET13" s="66" t="n"/>
      <c r="EU13" s="78">
        <f>IF(OR(ET$4=0,ET13=""),"",IFERROR(ROUND(ET13/INDEX(Undirviðmið!$F$6:$F$205,ET$4)*INDEX(Undirviðmið!$E$6:$E$205,ET$4)*KVARDI,2),""))</f>
        <v/>
      </c>
      <c r="EV13" s="66" t="n"/>
      <c r="EW13" s="78">
        <f>IF(OR(EV$4=0,EV13=""),"",IFERROR(ROUND(EV13/INDEX(Undirviðmið!$F$6:$F$205,EV$4)*INDEX(Undirviðmið!$E$6:$E$205,EV$4)*KVARDI,2),""))</f>
        <v/>
      </c>
      <c r="EX13" s="66" t="n"/>
      <c r="EY13" s="78">
        <f>IF(OR(EX$4=0,EX13=""),"",IFERROR(ROUND(EX13/INDEX(Undirviðmið!$F$6:$F$205,EX$4)*INDEX(Undirviðmið!$E$6:$E$205,EX$4)*KVARDI,2),""))</f>
        <v/>
      </c>
      <c r="EZ13" s="66" t="n"/>
      <c r="FA13" s="78">
        <f>IF(OR(EZ$4=0,EZ13=""),"",IFERROR(ROUND(EZ13/INDEX(Undirviðmið!$F$6:$F$205,EZ$4)*INDEX(Undirviðmið!$E$6:$E$205,EZ$4)*KVARDI,2),""))</f>
        <v/>
      </c>
      <c r="FB13" s="66" t="n"/>
      <c r="FC13" s="78">
        <f>IF(OR(FB$4=0,FB13=""),"",IFERROR(ROUND(FB13/INDEX(Undirviðmið!$F$6:$F$205,FB$4)*INDEX(Undirviðmið!$E$6:$E$205,FB$4)*KVARDI,2),""))</f>
        <v/>
      </c>
      <c r="FD13" s="66" t="n"/>
      <c r="FE13" s="78">
        <f>IF(OR(FD$4=0,FD13=""),"",IFERROR(ROUND(FD13/INDEX(Undirviðmið!$F$6:$F$205,FD$4)*INDEX(Undirviðmið!$E$6:$E$205,FD$4)*KVARDI,2),""))</f>
        <v/>
      </c>
      <c r="FF13" s="66" t="n"/>
      <c r="FG13" s="78">
        <f>IF(OR(FF$4=0,FF13=""),"",IFERROR(ROUND(FF13/INDEX(Undirviðmið!$F$6:$F$205,FF$4)*INDEX(Undirviðmið!$E$6:$E$205,FF$4)*KVARDI,2),""))</f>
        <v/>
      </c>
      <c r="FH13" s="66" t="n"/>
      <c r="FI13" s="78">
        <f>IF(OR(FH$4=0,FH13=""),"",IFERROR(ROUND(FH13/INDEX(Undirviðmið!$F$6:$F$205,FH$4)*INDEX(Undirviðmið!$E$6:$E$205,FH$4)*KVARDI,2),""))</f>
        <v/>
      </c>
      <c r="FJ13" s="66" t="n"/>
      <c r="FK13" s="78">
        <f>IF(OR(FJ$4=0,FJ13=""),"",IFERROR(ROUND(FJ13/INDEX(Undirviðmið!$F$6:$F$205,FJ$4)*INDEX(Undirviðmið!$E$6:$E$205,FJ$4)*KVARDI,2),""))</f>
        <v/>
      </c>
      <c r="FL13" s="66" t="n"/>
      <c r="FM13" s="78">
        <f>IF(OR(FL$4=0,FL13=""),"",IFERROR(ROUND(FL13/INDEX(Undirviðmið!$F$6:$F$205,FL$4)*INDEX(Undirviðmið!$E$6:$E$205,FL$4)*KVARDI,2),""))</f>
        <v/>
      </c>
      <c r="FN13" s="66" t="n"/>
      <c r="FO13" s="78">
        <f>IF(OR(FN$4=0,FN13=""),"",IFERROR(ROUND(FN13/INDEX(Undirviðmið!$F$6:$F$205,FN$4)*INDEX(Undirviðmið!$E$6:$E$205,FN$4)*KVARDI,2),""))</f>
        <v/>
      </c>
      <c r="FP13" s="66" t="n"/>
      <c r="FQ13" s="78">
        <f>IF(OR(FP$4=0,FP13=""),"",IFERROR(ROUND(FP13/INDEX(Undirviðmið!$F$6:$F$205,FP$4)*INDEX(Undirviðmið!$E$6:$E$205,FP$4)*KVARDI,2),""))</f>
        <v/>
      </c>
      <c r="FR13" s="66" t="n"/>
      <c r="FS13" s="78">
        <f>IF(OR(FR$4=0,FR13=""),"",IFERROR(ROUND(FR13/INDEX(Undirviðmið!$F$6:$F$205,FR$4)*INDEX(Undirviðmið!$E$6:$E$205,FR$4)*KVARDI,2),""))</f>
        <v/>
      </c>
      <c r="FT13" s="66" t="n"/>
      <c r="FU13" s="78">
        <f>IF(OR(FT$4=0,FT13=""),"",IFERROR(ROUND(FT13/INDEX(Undirviðmið!$F$6:$F$205,FT$4)*INDEX(Undirviðmið!$E$6:$E$205,FT$4)*KVARDI,2),""))</f>
        <v/>
      </c>
      <c r="FV13" s="66" t="n"/>
      <c r="FW13" s="78">
        <f>IF(OR(FV$4=0,FV13=""),"",IFERROR(ROUND(FV13/INDEX(Undirviðmið!$F$6:$F$205,FV$4)*INDEX(Undirviðmið!$E$6:$E$205,FV$4)*KVARDI,2),""))</f>
        <v/>
      </c>
      <c r="FX13" s="66" t="n"/>
      <c r="FY13" s="78">
        <f>IF(OR(FX$4=0,FX13=""),"",IFERROR(ROUND(FX13/INDEX(Undirviðmið!$F$6:$F$205,FX$4)*INDEX(Undirviðmið!$E$6:$E$205,FX$4)*KVARDI,2),""))</f>
        <v/>
      </c>
      <c r="FZ13" s="66" t="n"/>
      <c r="GA13" s="78">
        <f>IF(OR(FZ$4=0,FZ13=""),"",IFERROR(ROUND(FZ13/INDEX(Undirviðmið!$F$6:$F$205,FZ$4)*INDEX(Undirviðmið!$E$6:$E$205,FZ$4)*KVARDI,2),""))</f>
        <v/>
      </c>
      <c r="GB13" s="66" t="n"/>
      <c r="GC13" s="78">
        <f>IF(OR(GB$4=0,GB13=""),"",IFERROR(ROUND(GB13/INDEX(Undirviðmið!$F$6:$F$205,GB$4)*INDEX(Undirviðmið!$E$6:$E$205,GB$4)*KVARDI,2),""))</f>
        <v/>
      </c>
      <c r="GD13" s="66" t="n"/>
      <c r="GE13" s="78">
        <f>IF(OR(GD$4=0,GD13=""),"",IFERROR(ROUND(GD13/INDEX(Undirviðmið!$F$6:$F$205,GD$4)*INDEX(Undirviðmið!$E$6:$E$205,GD$4)*KVARDI,2),""))</f>
        <v/>
      </c>
      <c r="GF13" s="66" t="n"/>
      <c r="GG13" s="78">
        <f>IF(OR(GF$4=0,GF13=""),"",IFERROR(ROUND(GF13/INDEX(Undirviðmið!$F$6:$F$205,GF$4)*INDEX(Undirviðmið!$E$6:$E$205,GF$4)*KVARDI,2),""))</f>
        <v/>
      </c>
      <c r="GH13" s="66" t="n"/>
      <c r="GI13" s="78">
        <f>IF(OR(GH$4=0,GH13=""),"",IFERROR(ROUND(GH13/INDEX(Undirviðmið!$F$6:$F$205,GH$4)*INDEX(Undirviðmið!$E$6:$E$205,GH$4)*KVARDI,2),""))</f>
        <v/>
      </c>
      <c r="GJ13" s="66" t="n"/>
      <c r="GK13" s="78">
        <f>IF(OR(GJ$4=0,GJ13=""),"",IFERROR(ROUND(GJ13/INDEX(Undirviðmið!$F$6:$F$205,GJ$4)*INDEX(Undirviðmið!$E$6:$E$205,GJ$4)*KVARDI,2),""))</f>
        <v/>
      </c>
      <c r="GL13" s="66" t="n"/>
      <c r="GM13" s="78">
        <f>IF(OR(GL$4=0,GL13=""),"",IFERROR(ROUND(GL13/INDEX(Undirviðmið!$F$6:$F$205,GL$4)*INDEX(Undirviðmið!$E$6:$E$205,GL$4)*KVARDI,2),""))</f>
        <v/>
      </c>
      <c r="GN13" s="66" t="n"/>
      <c r="GO13" s="78">
        <f>IF(OR(GN$4=0,GN13=""),"",IFERROR(ROUND(GN13/INDEX(Undirviðmið!$F$6:$F$205,GN$4)*INDEX(Undirviðmið!$E$6:$E$205,GN$4)*KVARDI,2),""))</f>
        <v/>
      </c>
      <c r="GP13" s="66" t="n"/>
      <c r="GQ13" s="78">
        <f>IF(OR(GP$4=0,GP13=""),"",IFERROR(ROUND(GP13/INDEX(Undirviðmið!$F$6:$F$205,GP$4)*INDEX(Undirviðmið!$E$6:$E$205,GP$4)*KVARDI,2),""))</f>
        <v/>
      </c>
      <c r="GR13" s="66" t="n"/>
      <c r="GS13" s="78">
        <f>IF(OR(GR$4=0,GR13=""),"",IFERROR(ROUND(GR13/INDEX(Undirviðmið!$F$6:$F$205,GR$4)*INDEX(Undirviðmið!$E$6:$E$205,GR$4)*KVARDI,2),""))</f>
        <v/>
      </c>
      <c r="GT13" s="66" t="n"/>
      <c r="GU13" s="78">
        <f>IF(OR(GT$4=0,GT13=""),"",IFERROR(ROUND(GT13/INDEX(Undirviðmið!$F$6:$F$205,GT$4)*INDEX(Undirviðmið!$E$6:$E$205,GT$4)*KVARDI,2),""))</f>
        <v/>
      </c>
      <c r="GV13" s="63">
        <f>IFERROR(SUMIF($D$6:GU$6,"Stig",$D13:GU13),0)</f>
        <v/>
      </c>
    </row>
    <row r="14" ht="15" customHeight="1" s="47">
      <c r="A14" s="65">
        <f>ROW()-6</f>
        <v/>
      </c>
      <c r="B14" s="67">
        <f>IF(INDEX(Starfsmenn!$B$6:$B$10005,ROW()-6)="","",INDEX(Starfsmenn!$B$6:$B$10005,ROW()-6))</f>
        <v/>
      </c>
      <c r="C14" s="67">
        <f>IF(INDEX(Starfsmenn!$C$6:$C$10005,ROW()-6)="","",INDEX(Starfsmenn!$C$6:$C$10005,ROW()-6))</f>
        <v/>
      </c>
      <c r="D14" s="66" t="n"/>
      <c r="E14" s="78">
        <f>IF(OR(D$4=0,D14=""),"",IFERROR(ROUND(D14/INDEX(Undirviðmið!$F$6:$F$205,D$4)*INDEX(Undirviðmið!$E$6:$E$205,D$4)*KVARDI,2),""))</f>
        <v/>
      </c>
      <c r="F14" s="66" t="n"/>
      <c r="G14" s="78">
        <f>IF(OR(F$4=0,F14=""),"",IFERROR(ROUND(F14/INDEX(Undirviðmið!$F$6:$F$205,F$4)*INDEX(Undirviðmið!$E$6:$E$205,F$4)*KVARDI,2),""))</f>
        <v/>
      </c>
      <c r="H14" s="66" t="n"/>
      <c r="I14" s="78">
        <f>IF(OR(H$4=0,H14=""),"",IFERROR(ROUND(H14/INDEX(Undirviðmið!$F$6:$F$205,H$4)*INDEX(Undirviðmið!$E$6:$E$205,H$4)*KVARDI,2),""))</f>
        <v/>
      </c>
      <c r="J14" s="66" t="n"/>
      <c r="K14" s="78">
        <f>IF(OR(J$4=0,J14=""),"",IFERROR(ROUND(J14/INDEX(Undirviðmið!$F$6:$F$205,J$4)*INDEX(Undirviðmið!$E$6:$E$205,J$4)*KVARDI,2),""))</f>
        <v/>
      </c>
      <c r="L14" s="66" t="n"/>
      <c r="M14" s="78">
        <f>IF(OR(L$4=0,L14=""),"",IFERROR(ROUND(L14/INDEX(Undirviðmið!$F$6:$F$205,L$4)*INDEX(Undirviðmið!$E$6:$E$205,L$4)*KVARDI,2),""))</f>
        <v/>
      </c>
      <c r="N14" s="66" t="n"/>
      <c r="O14" s="78">
        <f>IF(OR(N$4=0,N14=""),"",IFERROR(ROUND(N14/INDEX(Undirviðmið!$F$6:$F$205,N$4)*INDEX(Undirviðmið!$E$6:$E$205,N$4)*KVARDI,2),""))</f>
        <v/>
      </c>
      <c r="P14" s="66" t="n"/>
      <c r="Q14" s="78">
        <f>IF(OR(P$4=0,P14=""),"",IFERROR(ROUND(P14/INDEX(Undirviðmið!$F$6:$F$205,P$4)*INDEX(Undirviðmið!$E$6:$E$205,P$4)*KVARDI,2),""))</f>
        <v/>
      </c>
      <c r="R14" s="66" t="n"/>
      <c r="S14" s="78">
        <f>IF(OR(R$4=0,R14=""),"",IFERROR(ROUND(R14/INDEX(Undirviðmið!$F$6:$F$205,R$4)*INDEX(Undirviðmið!$E$6:$E$205,R$4)*KVARDI,2),""))</f>
        <v/>
      </c>
      <c r="T14" s="66" t="n"/>
      <c r="U14" s="78">
        <f>IF(OR(T$4=0,T14=""),"",IFERROR(ROUND(T14/INDEX(Undirviðmið!$F$6:$F$205,T$4)*INDEX(Undirviðmið!$E$6:$E$205,T$4)*KVARDI,2),""))</f>
        <v/>
      </c>
      <c r="V14" s="66" t="n"/>
      <c r="W14" s="78">
        <f>IF(OR(V$4=0,V14=""),"",IFERROR(ROUND(V14/INDEX(Undirviðmið!$F$6:$F$205,V$4)*INDEX(Undirviðmið!$E$6:$E$205,V$4)*KVARDI,2),""))</f>
        <v/>
      </c>
      <c r="X14" s="66" t="n"/>
      <c r="Y14" s="78">
        <f>IF(OR(X$4=0,X14=""),"",IFERROR(ROUND(X14/INDEX(Undirviðmið!$F$6:$F$205,X$4)*INDEX(Undirviðmið!$E$6:$E$205,X$4)*KVARDI,2),""))</f>
        <v/>
      </c>
      <c r="Z14" s="66" t="n"/>
      <c r="AA14" s="78">
        <f>IF(OR(Z$4=0,Z14=""),"",IFERROR(ROUND(Z14/INDEX(Undirviðmið!$F$6:$F$205,Z$4)*INDEX(Undirviðmið!$E$6:$E$205,Z$4)*KVARDI,2),""))</f>
        <v/>
      </c>
      <c r="AB14" s="66" t="n"/>
      <c r="AC14" s="78">
        <f>IF(OR(AB$4=0,AB14=""),"",IFERROR(ROUND(AB14/INDEX(Undirviðmið!$F$6:$F$205,AB$4)*INDEX(Undirviðmið!$E$6:$E$205,AB$4)*KVARDI,2),""))</f>
        <v/>
      </c>
      <c r="AD14" s="66" t="n"/>
      <c r="AE14" s="78">
        <f>IF(OR(AD$4=0,AD14=""),"",IFERROR(ROUND(AD14/INDEX(Undirviðmið!$F$6:$F$205,AD$4)*INDEX(Undirviðmið!$E$6:$E$205,AD$4)*KVARDI,2),""))</f>
        <v/>
      </c>
      <c r="AF14" s="66" t="n"/>
      <c r="AG14" s="78">
        <f>IF(OR(AF$4=0,AF14=""),"",IFERROR(ROUND(AF14/INDEX(Undirviðmið!$F$6:$F$205,AF$4)*INDEX(Undirviðmið!$E$6:$E$205,AF$4)*KVARDI,2),""))</f>
        <v/>
      </c>
      <c r="AH14" s="66" t="n"/>
      <c r="AI14" s="78">
        <f>IF(OR(AH$4=0,AH14=""),"",IFERROR(ROUND(AH14/INDEX(Undirviðmið!$F$6:$F$205,AH$4)*INDEX(Undirviðmið!$E$6:$E$205,AH$4)*KVARDI,2),""))</f>
        <v/>
      </c>
      <c r="AJ14" s="66" t="n"/>
      <c r="AK14" s="78">
        <f>IF(OR(AJ$4=0,AJ14=""),"",IFERROR(ROUND(AJ14/INDEX(Undirviðmið!$F$6:$F$205,AJ$4)*INDEX(Undirviðmið!$E$6:$E$205,AJ$4)*KVARDI,2),""))</f>
        <v/>
      </c>
      <c r="AL14" s="66" t="n"/>
      <c r="AM14" s="78">
        <f>IF(OR(AL$4=0,AL14=""),"",IFERROR(ROUND(AL14/INDEX(Undirviðmið!$F$6:$F$205,AL$4)*INDEX(Undirviðmið!$E$6:$E$205,AL$4)*KVARDI,2),""))</f>
        <v/>
      </c>
      <c r="AN14" s="66" t="n"/>
      <c r="AO14" s="78">
        <f>IF(OR(AN$4=0,AN14=""),"",IFERROR(ROUND(AN14/INDEX(Undirviðmið!$F$6:$F$205,AN$4)*INDEX(Undirviðmið!$E$6:$E$205,AN$4)*KVARDI,2),""))</f>
        <v/>
      </c>
      <c r="AP14" s="66" t="n"/>
      <c r="AQ14" s="78">
        <f>IF(OR(AP$4=0,AP14=""),"",IFERROR(ROUND(AP14/INDEX(Undirviðmið!$F$6:$F$205,AP$4)*INDEX(Undirviðmið!$E$6:$E$205,AP$4)*KVARDI,2),""))</f>
        <v/>
      </c>
      <c r="AR14" s="66" t="n"/>
      <c r="AS14" s="78">
        <f>IF(OR(AR$4=0,AR14=""),"",IFERROR(ROUND(AR14/INDEX(Undirviðmið!$F$6:$F$205,AR$4)*INDEX(Undirviðmið!$E$6:$E$205,AR$4)*KVARDI,2),""))</f>
        <v/>
      </c>
      <c r="AT14" s="66" t="n"/>
      <c r="AU14" s="78">
        <f>IF(OR(AT$4=0,AT14=""),"",IFERROR(ROUND(AT14/INDEX(Undirviðmið!$F$6:$F$205,AT$4)*INDEX(Undirviðmið!$E$6:$E$205,AT$4)*KVARDI,2),""))</f>
        <v/>
      </c>
      <c r="AV14" s="66" t="n"/>
      <c r="AW14" s="78">
        <f>IF(OR(AV$4=0,AV14=""),"",IFERROR(ROUND(AV14/INDEX(Undirviðmið!$F$6:$F$205,AV$4)*INDEX(Undirviðmið!$E$6:$E$205,AV$4)*KVARDI,2),""))</f>
        <v/>
      </c>
      <c r="AX14" s="66" t="n"/>
      <c r="AY14" s="78">
        <f>IF(OR(AX$4=0,AX14=""),"",IFERROR(ROUND(AX14/INDEX(Undirviðmið!$F$6:$F$205,AX$4)*INDEX(Undirviðmið!$E$6:$E$205,AX$4)*KVARDI,2),""))</f>
        <v/>
      </c>
      <c r="AZ14" s="66" t="n"/>
      <c r="BA14" s="78">
        <f>IF(OR(AZ$4=0,AZ14=""),"",IFERROR(ROUND(AZ14/INDEX(Undirviðmið!$F$6:$F$205,AZ$4)*INDEX(Undirviðmið!$E$6:$E$205,AZ$4)*KVARDI,2),""))</f>
        <v/>
      </c>
      <c r="BB14" s="66" t="n"/>
      <c r="BC14" s="78">
        <f>IF(OR(BB$4=0,BB14=""),"",IFERROR(ROUND(BB14/INDEX(Undirviðmið!$F$6:$F$205,BB$4)*INDEX(Undirviðmið!$E$6:$E$205,BB$4)*KVARDI,2),""))</f>
        <v/>
      </c>
      <c r="BD14" s="66" t="n"/>
      <c r="BE14" s="78">
        <f>IF(OR(BD$4=0,BD14=""),"",IFERROR(ROUND(BD14/INDEX(Undirviðmið!$F$6:$F$205,BD$4)*INDEX(Undirviðmið!$E$6:$E$205,BD$4)*KVARDI,2),""))</f>
        <v/>
      </c>
      <c r="BF14" s="66" t="n"/>
      <c r="BG14" s="78">
        <f>IF(OR(BF$4=0,BF14=""),"",IFERROR(ROUND(BF14/INDEX(Undirviðmið!$F$6:$F$205,BF$4)*INDEX(Undirviðmið!$E$6:$E$205,BF$4)*KVARDI,2),""))</f>
        <v/>
      </c>
      <c r="BH14" s="66" t="n"/>
      <c r="BI14" s="78">
        <f>IF(OR(BH$4=0,BH14=""),"",IFERROR(ROUND(BH14/INDEX(Undirviðmið!$F$6:$F$205,BH$4)*INDEX(Undirviðmið!$E$6:$E$205,BH$4)*KVARDI,2),""))</f>
        <v/>
      </c>
      <c r="BJ14" s="66" t="n"/>
      <c r="BK14" s="78">
        <f>IF(OR(BJ$4=0,BJ14=""),"",IFERROR(ROUND(BJ14/INDEX(Undirviðmið!$F$6:$F$205,BJ$4)*INDEX(Undirviðmið!$E$6:$E$205,BJ$4)*KVARDI,2),""))</f>
        <v/>
      </c>
      <c r="BL14" s="66" t="n"/>
      <c r="BM14" s="78">
        <f>IF(OR(BL$4=0,BL14=""),"",IFERROR(ROUND(BL14/INDEX(Undirviðmið!$F$6:$F$205,BL$4)*INDEX(Undirviðmið!$E$6:$E$205,BL$4)*KVARDI,2),""))</f>
        <v/>
      </c>
      <c r="BN14" s="66" t="n"/>
      <c r="BO14" s="78">
        <f>IF(OR(BN$4=0,BN14=""),"",IFERROR(ROUND(BN14/INDEX(Undirviðmið!$F$6:$F$205,BN$4)*INDEX(Undirviðmið!$E$6:$E$205,BN$4)*KVARDI,2),""))</f>
        <v/>
      </c>
      <c r="BP14" s="66" t="n"/>
      <c r="BQ14" s="78">
        <f>IF(OR(BP$4=0,BP14=""),"",IFERROR(ROUND(BP14/INDEX(Undirviðmið!$F$6:$F$205,BP$4)*INDEX(Undirviðmið!$E$6:$E$205,BP$4)*KVARDI,2),""))</f>
        <v/>
      </c>
      <c r="BR14" s="66" t="n"/>
      <c r="BS14" s="78">
        <f>IF(OR(BR$4=0,BR14=""),"",IFERROR(ROUND(BR14/INDEX(Undirviðmið!$F$6:$F$205,BR$4)*INDEX(Undirviðmið!$E$6:$E$205,BR$4)*KVARDI,2),""))</f>
        <v/>
      </c>
      <c r="BT14" s="66" t="n"/>
      <c r="BU14" s="78">
        <f>IF(OR(BT$4=0,BT14=""),"",IFERROR(ROUND(BT14/INDEX(Undirviðmið!$F$6:$F$205,BT$4)*INDEX(Undirviðmið!$E$6:$E$205,BT$4)*KVARDI,2),""))</f>
        <v/>
      </c>
      <c r="BV14" s="66" t="n"/>
      <c r="BW14" s="78">
        <f>IF(OR(BV$4=0,BV14=""),"",IFERROR(ROUND(BV14/INDEX(Undirviðmið!$F$6:$F$205,BV$4)*INDEX(Undirviðmið!$E$6:$E$205,BV$4)*KVARDI,2),""))</f>
        <v/>
      </c>
      <c r="BX14" s="66" t="n"/>
      <c r="BY14" s="78">
        <f>IF(OR(BX$4=0,BX14=""),"",IFERROR(ROUND(BX14/INDEX(Undirviðmið!$F$6:$F$205,BX$4)*INDEX(Undirviðmið!$E$6:$E$205,BX$4)*KVARDI,2),""))</f>
        <v/>
      </c>
      <c r="BZ14" s="66" t="n"/>
      <c r="CA14" s="78">
        <f>IF(OR(BZ$4=0,BZ14=""),"",IFERROR(ROUND(BZ14/INDEX(Undirviðmið!$F$6:$F$205,BZ$4)*INDEX(Undirviðmið!$E$6:$E$205,BZ$4)*KVARDI,2),""))</f>
        <v/>
      </c>
      <c r="CB14" s="66" t="n"/>
      <c r="CC14" s="78">
        <f>IF(OR(CB$4=0,CB14=""),"",IFERROR(ROUND(CB14/INDEX(Undirviðmið!$F$6:$F$205,CB$4)*INDEX(Undirviðmið!$E$6:$E$205,CB$4)*KVARDI,2),""))</f>
        <v/>
      </c>
      <c r="CD14" s="66" t="n"/>
      <c r="CE14" s="78">
        <f>IF(OR(CD$4=0,CD14=""),"",IFERROR(ROUND(CD14/INDEX(Undirviðmið!$F$6:$F$205,CD$4)*INDEX(Undirviðmið!$E$6:$E$205,CD$4)*KVARDI,2),""))</f>
        <v/>
      </c>
      <c r="CF14" s="66" t="n"/>
      <c r="CG14" s="78">
        <f>IF(OR(CF$4=0,CF14=""),"",IFERROR(ROUND(CF14/INDEX(Undirviðmið!$F$6:$F$205,CF$4)*INDEX(Undirviðmið!$E$6:$E$205,CF$4)*KVARDI,2),""))</f>
        <v/>
      </c>
      <c r="CH14" s="66" t="n"/>
      <c r="CI14" s="78">
        <f>IF(OR(CH$4=0,CH14=""),"",IFERROR(ROUND(CH14/INDEX(Undirviðmið!$F$6:$F$205,CH$4)*INDEX(Undirviðmið!$E$6:$E$205,CH$4)*KVARDI,2),""))</f>
        <v/>
      </c>
      <c r="CJ14" s="66" t="n"/>
      <c r="CK14" s="78">
        <f>IF(OR(CJ$4=0,CJ14=""),"",IFERROR(ROUND(CJ14/INDEX(Undirviðmið!$F$6:$F$205,CJ$4)*INDEX(Undirviðmið!$E$6:$E$205,CJ$4)*KVARDI,2),""))</f>
        <v/>
      </c>
      <c r="CL14" s="66" t="n"/>
      <c r="CM14" s="78">
        <f>IF(OR(CL$4=0,CL14=""),"",IFERROR(ROUND(CL14/INDEX(Undirviðmið!$F$6:$F$205,CL$4)*INDEX(Undirviðmið!$E$6:$E$205,CL$4)*KVARDI,2),""))</f>
        <v/>
      </c>
      <c r="CN14" s="66" t="n"/>
      <c r="CO14" s="78">
        <f>IF(OR(CN$4=0,CN14=""),"",IFERROR(ROUND(CN14/INDEX(Undirviðmið!$F$6:$F$205,CN$4)*INDEX(Undirviðmið!$E$6:$E$205,CN$4)*KVARDI,2),""))</f>
        <v/>
      </c>
      <c r="CP14" s="66" t="n"/>
      <c r="CQ14" s="78">
        <f>IF(OR(CP$4=0,CP14=""),"",IFERROR(ROUND(CP14/INDEX(Undirviðmið!$F$6:$F$205,CP$4)*INDEX(Undirviðmið!$E$6:$E$205,CP$4)*KVARDI,2),""))</f>
        <v/>
      </c>
      <c r="CR14" s="66" t="n"/>
      <c r="CS14" s="78">
        <f>IF(OR(CR$4=0,CR14=""),"",IFERROR(ROUND(CR14/INDEX(Undirviðmið!$F$6:$F$205,CR$4)*INDEX(Undirviðmið!$E$6:$E$205,CR$4)*KVARDI,2),""))</f>
        <v/>
      </c>
      <c r="CT14" s="66" t="n"/>
      <c r="CU14" s="78">
        <f>IF(OR(CT$4=0,CT14=""),"",IFERROR(ROUND(CT14/INDEX(Undirviðmið!$F$6:$F$205,CT$4)*INDEX(Undirviðmið!$E$6:$E$205,CT$4)*KVARDI,2),""))</f>
        <v/>
      </c>
      <c r="CV14" s="66" t="n"/>
      <c r="CW14" s="78">
        <f>IF(OR(CV$4=0,CV14=""),"",IFERROR(ROUND(CV14/INDEX(Undirviðmið!$F$6:$F$205,CV$4)*INDEX(Undirviðmið!$E$6:$E$205,CV$4)*KVARDI,2),""))</f>
        <v/>
      </c>
      <c r="CX14" s="66" t="n"/>
      <c r="CY14" s="78">
        <f>IF(OR(CX$4=0,CX14=""),"",IFERROR(ROUND(CX14/INDEX(Undirviðmið!$F$6:$F$205,CX$4)*INDEX(Undirviðmið!$E$6:$E$205,CX$4)*KVARDI,2),""))</f>
        <v/>
      </c>
      <c r="CZ14" s="66" t="n"/>
      <c r="DA14" s="78">
        <f>IF(OR(CZ$4=0,CZ14=""),"",IFERROR(ROUND(CZ14/INDEX(Undirviðmið!$F$6:$F$205,CZ$4)*INDEX(Undirviðmið!$E$6:$E$205,CZ$4)*KVARDI,2),""))</f>
        <v/>
      </c>
      <c r="DB14" s="66" t="n"/>
      <c r="DC14" s="78">
        <f>IF(OR(DB$4=0,DB14=""),"",IFERROR(ROUND(DB14/INDEX(Undirviðmið!$F$6:$F$205,DB$4)*INDEX(Undirviðmið!$E$6:$E$205,DB$4)*KVARDI,2),""))</f>
        <v/>
      </c>
      <c r="DD14" s="66" t="n"/>
      <c r="DE14" s="78">
        <f>IF(OR(DD$4=0,DD14=""),"",IFERROR(ROUND(DD14/INDEX(Undirviðmið!$F$6:$F$205,DD$4)*INDEX(Undirviðmið!$E$6:$E$205,DD$4)*KVARDI,2),""))</f>
        <v/>
      </c>
      <c r="DF14" s="66" t="n"/>
      <c r="DG14" s="78">
        <f>IF(OR(DF$4=0,DF14=""),"",IFERROR(ROUND(DF14/INDEX(Undirviðmið!$F$6:$F$205,DF$4)*INDEX(Undirviðmið!$E$6:$E$205,DF$4)*KVARDI,2),""))</f>
        <v/>
      </c>
      <c r="DH14" s="66" t="n"/>
      <c r="DI14" s="78">
        <f>IF(OR(DH$4=0,DH14=""),"",IFERROR(ROUND(DH14/INDEX(Undirviðmið!$F$6:$F$205,DH$4)*INDEX(Undirviðmið!$E$6:$E$205,DH$4)*KVARDI,2),""))</f>
        <v/>
      </c>
      <c r="DJ14" s="66" t="n"/>
      <c r="DK14" s="78">
        <f>IF(OR(DJ$4=0,DJ14=""),"",IFERROR(ROUND(DJ14/INDEX(Undirviðmið!$F$6:$F$205,DJ$4)*INDEX(Undirviðmið!$E$6:$E$205,DJ$4)*KVARDI,2),""))</f>
        <v/>
      </c>
      <c r="DL14" s="66" t="n"/>
      <c r="DM14" s="78">
        <f>IF(OR(DL$4=0,DL14=""),"",IFERROR(ROUND(DL14/INDEX(Undirviðmið!$F$6:$F$205,DL$4)*INDEX(Undirviðmið!$E$6:$E$205,DL$4)*KVARDI,2),""))</f>
        <v/>
      </c>
      <c r="DN14" s="66" t="n"/>
      <c r="DO14" s="78">
        <f>IF(OR(DN$4=0,DN14=""),"",IFERROR(ROUND(DN14/INDEX(Undirviðmið!$F$6:$F$205,DN$4)*INDEX(Undirviðmið!$E$6:$E$205,DN$4)*KVARDI,2),""))</f>
        <v/>
      </c>
      <c r="DP14" s="66" t="n"/>
      <c r="DQ14" s="78">
        <f>IF(OR(DP$4=0,DP14=""),"",IFERROR(ROUND(DP14/INDEX(Undirviðmið!$F$6:$F$205,DP$4)*INDEX(Undirviðmið!$E$6:$E$205,DP$4)*KVARDI,2),""))</f>
        <v/>
      </c>
      <c r="DR14" s="66" t="n"/>
      <c r="DS14" s="78">
        <f>IF(OR(DR$4=0,DR14=""),"",IFERROR(ROUND(DR14/INDEX(Undirviðmið!$F$6:$F$205,DR$4)*INDEX(Undirviðmið!$E$6:$E$205,DR$4)*KVARDI,2),""))</f>
        <v/>
      </c>
      <c r="DT14" s="66" t="n"/>
      <c r="DU14" s="78">
        <f>IF(OR(DT$4=0,DT14=""),"",IFERROR(ROUND(DT14/INDEX(Undirviðmið!$F$6:$F$205,DT$4)*INDEX(Undirviðmið!$E$6:$E$205,DT$4)*KVARDI,2),""))</f>
        <v/>
      </c>
      <c r="DV14" s="66" t="n"/>
      <c r="DW14" s="78">
        <f>IF(OR(DV$4=0,DV14=""),"",IFERROR(ROUND(DV14/INDEX(Undirviðmið!$F$6:$F$205,DV$4)*INDEX(Undirviðmið!$E$6:$E$205,DV$4)*KVARDI,2),""))</f>
        <v/>
      </c>
      <c r="DX14" s="66" t="n"/>
      <c r="DY14" s="78">
        <f>IF(OR(DX$4=0,DX14=""),"",IFERROR(ROUND(DX14/INDEX(Undirviðmið!$F$6:$F$205,DX$4)*INDEX(Undirviðmið!$E$6:$E$205,DX$4)*KVARDI,2),""))</f>
        <v/>
      </c>
      <c r="DZ14" s="66" t="n"/>
      <c r="EA14" s="78">
        <f>IF(OR(DZ$4=0,DZ14=""),"",IFERROR(ROUND(DZ14/INDEX(Undirviðmið!$F$6:$F$205,DZ$4)*INDEX(Undirviðmið!$E$6:$E$205,DZ$4)*KVARDI,2),""))</f>
        <v/>
      </c>
      <c r="EB14" s="66" t="n"/>
      <c r="EC14" s="78">
        <f>IF(OR(EB$4=0,EB14=""),"",IFERROR(ROUND(EB14/INDEX(Undirviðmið!$F$6:$F$205,EB$4)*INDEX(Undirviðmið!$E$6:$E$205,EB$4)*KVARDI,2),""))</f>
        <v/>
      </c>
      <c r="ED14" s="66" t="n"/>
      <c r="EE14" s="78">
        <f>IF(OR(ED$4=0,ED14=""),"",IFERROR(ROUND(ED14/INDEX(Undirviðmið!$F$6:$F$205,ED$4)*INDEX(Undirviðmið!$E$6:$E$205,ED$4)*KVARDI,2),""))</f>
        <v/>
      </c>
      <c r="EF14" s="66" t="n"/>
      <c r="EG14" s="78">
        <f>IF(OR(EF$4=0,EF14=""),"",IFERROR(ROUND(EF14/INDEX(Undirviðmið!$F$6:$F$205,EF$4)*INDEX(Undirviðmið!$E$6:$E$205,EF$4)*KVARDI,2),""))</f>
        <v/>
      </c>
      <c r="EH14" s="66" t="n"/>
      <c r="EI14" s="78">
        <f>IF(OR(EH$4=0,EH14=""),"",IFERROR(ROUND(EH14/INDEX(Undirviðmið!$F$6:$F$205,EH$4)*INDEX(Undirviðmið!$E$6:$E$205,EH$4)*KVARDI,2),""))</f>
        <v/>
      </c>
      <c r="EJ14" s="66" t="n"/>
      <c r="EK14" s="78">
        <f>IF(OR(EJ$4=0,EJ14=""),"",IFERROR(ROUND(EJ14/INDEX(Undirviðmið!$F$6:$F$205,EJ$4)*INDEX(Undirviðmið!$E$6:$E$205,EJ$4)*KVARDI,2),""))</f>
        <v/>
      </c>
      <c r="EL14" s="66" t="n"/>
      <c r="EM14" s="78">
        <f>IF(OR(EL$4=0,EL14=""),"",IFERROR(ROUND(EL14/INDEX(Undirviðmið!$F$6:$F$205,EL$4)*INDEX(Undirviðmið!$E$6:$E$205,EL$4)*KVARDI,2),""))</f>
        <v/>
      </c>
      <c r="EN14" s="66" t="n"/>
      <c r="EO14" s="78">
        <f>IF(OR(EN$4=0,EN14=""),"",IFERROR(ROUND(EN14/INDEX(Undirviðmið!$F$6:$F$205,EN$4)*INDEX(Undirviðmið!$E$6:$E$205,EN$4)*KVARDI,2),""))</f>
        <v/>
      </c>
      <c r="EP14" s="66" t="n"/>
      <c r="EQ14" s="78">
        <f>IF(OR(EP$4=0,EP14=""),"",IFERROR(ROUND(EP14/INDEX(Undirviðmið!$F$6:$F$205,EP$4)*INDEX(Undirviðmið!$E$6:$E$205,EP$4)*KVARDI,2),""))</f>
        <v/>
      </c>
      <c r="ER14" s="66" t="n"/>
      <c r="ES14" s="78">
        <f>IF(OR(ER$4=0,ER14=""),"",IFERROR(ROUND(ER14/INDEX(Undirviðmið!$F$6:$F$205,ER$4)*INDEX(Undirviðmið!$E$6:$E$205,ER$4)*KVARDI,2),""))</f>
        <v/>
      </c>
      <c r="ET14" s="66" t="n"/>
      <c r="EU14" s="78">
        <f>IF(OR(ET$4=0,ET14=""),"",IFERROR(ROUND(ET14/INDEX(Undirviðmið!$F$6:$F$205,ET$4)*INDEX(Undirviðmið!$E$6:$E$205,ET$4)*KVARDI,2),""))</f>
        <v/>
      </c>
      <c r="EV14" s="66" t="n"/>
      <c r="EW14" s="78">
        <f>IF(OR(EV$4=0,EV14=""),"",IFERROR(ROUND(EV14/INDEX(Undirviðmið!$F$6:$F$205,EV$4)*INDEX(Undirviðmið!$E$6:$E$205,EV$4)*KVARDI,2),""))</f>
        <v/>
      </c>
      <c r="EX14" s="66" t="n"/>
      <c r="EY14" s="78">
        <f>IF(OR(EX$4=0,EX14=""),"",IFERROR(ROUND(EX14/INDEX(Undirviðmið!$F$6:$F$205,EX$4)*INDEX(Undirviðmið!$E$6:$E$205,EX$4)*KVARDI,2),""))</f>
        <v/>
      </c>
      <c r="EZ14" s="66" t="n"/>
      <c r="FA14" s="78">
        <f>IF(OR(EZ$4=0,EZ14=""),"",IFERROR(ROUND(EZ14/INDEX(Undirviðmið!$F$6:$F$205,EZ$4)*INDEX(Undirviðmið!$E$6:$E$205,EZ$4)*KVARDI,2),""))</f>
        <v/>
      </c>
      <c r="FB14" s="66" t="n"/>
      <c r="FC14" s="78">
        <f>IF(OR(FB$4=0,FB14=""),"",IFERROR(ROUND(FB14/INDEX(Undirviðmið!$F$6:$F$205,FB$4)*INDEX(Undirviðmið!$E$6:$E$205,FB$4)*KVARDI,2),""))</f>
        <v/>
      </c>
      <c r="FD14" s="66" t="n"/>
      <c r="FE14" s="78">
        <f>IF(OR(FD$4=0,FD14=""),"",IFERROR(ROUND(FD14/INDEX(Undirviðmið!$F$6:$F$205,FD$4)*INDEX(Undirviðmið!$E$6:$E$205,FD$4)*KVARDI,2),""))</f>
        <v/>
      </c>
      <c r="FF14" s="66" t="n"/>
      <c r="FG14" s="78">
        <f>IF(OR(FF$4=0,FF14=""),"",IFERROR(ROUND(FF14/INDEX(Undirviðmið!$F$6:$F$205,FF$4)*INDEX(Undirviðmið!$E$6:$E$205,FF$4)*KVARDI,2),""))</f>
        <v/>
      </c>
      <c r="FH14" s="66" t="n"/>
      <c r="FI14" s="78">
        <f>IF(OR(FH$4=0,FH14=""),"",IFERROR(ROUND(FH14/INDEX(Undirviðmið!$F$6:$F$205,FH$4)*INDEX(Undirviðmið!$E$6:$E$205,FH$4)*KVARDI,2),""))</f>
        <v/>
      </c>
      <c r="FJ14" s="66" t="n"/>
      <c r="FK14" s="78">
        <f>IF(OR(FJ$4=0,FJ14=""),"",IFERROR(ROUND(FJ14/INDEX(Undirviðmið!$F$6:$F$205,FJ$4)*INDEX(Undirviðmið!$E$6:$E$205,FJ$4)*KVARDI,2),""))</f>
        <v/>
      </c>
      <c r="FL14" s="66" t="n"/>
      <c r="FM14" s="78">
        <f>IF(OR(FL$4=0,FL14=""),"",IFERROR(ROUND(FL14/INDEX(Undirviðmið!$F$6:$F$205,FL$4)*INDEX(Undirviðmið!$E$6:$E$205,FL$4)*KVARDI,2),""))</f>
        <v/>
      </c>
      <c r="FN14" s="66" t="n"/>
      <c r="FO14" s="78">
        <f>IF(OR(FN$4=0,FN14=""),"",IFERROR(ROUND(FN14/INDEX(Undirviðmið!$F$6:$F$205,FN$4)*INDEX(Undirviðmið!$E$6:$E$205,FN$4)*KVARDI,2),""))</f>
        <v/>
      </c>
      <c r="FP14" s="66" t="n"/>
      <c r="FQ14" s="78">
        <f>IF(OR(FP$4=0,FP14=""),"",IFERROR(ROUND(FP14/INDEX(Undirviðmið!$F$6:$F$205,FP$4)*INDEX(Undirviðmið!$E$6:$E$205,FP$4)*KVARDI,2),""))</f>
        <v/>
      </c>
      <c r="FR14" s="66" t="n"/>
      <c r="FS14" s="78">
        <f>IF(OR(FR$4=0,FR14=""),"",IFERROR(ROUND(FR14/INDEX(Undirviðmið!$F$6:$F$205,FR$4)*INDEX(Undirviðmið!$E$6:$E$205,FR$4)*KVARDI,2),""))</f>
        <v/>
      </c>
      <c r="FT14" s="66" t="n"/>
      <c r="FU14" s="78">
        <f>IF(OR(FT$4=0,FT14=""),"",IFERROR(ROUND(FT14/INDEX(Undirviðmið!$F$6:$F$205,FT$4)*INDEX(Undirviðmið!$E$6:$E$205,FT$4)*KVARDI,2),""))</f>
        <v/>
      </c>
      <c r="FV14" s="66" t="n"/>
      <c r="FW14" s="78">
        <f>IF(OR(FV$4=0,FV14=""),"",IFERROR(ROUND(FV14/INDEX(Undirviðmið!$F$6:$F$205,FV$4)*INDEX(Undirviðmið!$E$6:$E$205,FV$4)*KVARDI,2),""))</f>
        <v/>
      </c>
      <c r="FX14" s="66" t="n"/>
      <c r="FY14" s="78">
        <f>IF(OR(FX$4=0,FX14=""),"",IFERROR(ROUND(FX14/INDEX(Undirviðmið!$F$6:$F$205,FX$4)*INDEX(Undirviðmið!$E$6:$E$205,FX$4)*KVARDI,2),""))</f>
        <v/>
      </c>
      <c r="FZ14" s="66" t="n"/>
      <c r="GA14" s="78">
        <f>IF(OR(FZ$4=0,FZ14=""),"",IFERROR(ROUND(FZ14/INDEX(Undirviðmið!$F$6:$F$205,FZ$4)*INDEX(Undirviðmið!$E$6:$E$205,FZ$4)*KVARDI,2),""))</f>
        <v/>
      </c>
      <c r="GB14" s="66" t="n"/>
      <c r="GC14" s="78">
        <f>IF(OR(GB$4=0,GB14=""),"",IFERROR(ROUND(GB14/INDEX(Undirviðmið!$F$6:$F$205,GB$4)*INDEX(Undirviðmið!$E$6:$E$205,GB$4)*KVARDI,2),""))</f>
        <v/>
      </c>
      <c r="GD14" s="66" t="n"/>
      <c r="GE14" s="78">
        <f>IF(OR(GD$4=0,GD14=""),"",IFERROR(ROUND(GD14/INDEX(Undirviðmið!$F$6:$F$205,GD$4)*INDEX(Undirviðmið!$E$6:$E$205,GD$4)*KVARDI,2),""))</f>
        <v/>
      </c>
      <c r="GF14" s="66" t="n"/>
      <c r="GG14" s="78">
        <f>IF(OR(GF$4=0,GF14=""),"",IFERROR(ROUND(GF14/INDEX(Undirviðmið!$F$6:$F$205,GF$4)*INDEX(Undirviðmið!$E$6:$E$205,GF$4)*KVARDI,2),""))</f>
        <v/>
      </c>
      <c r="GH14" s="66" t="n"/>
      <c r="GI14" s="78">
        <f>IF(OR(GH$4=0,GH14=""),"",IFERROR(ROUND(GH14/INDEX(Undirviðmið!$F$6:$F$205,GH$4)*INDEX(Undirviðmið!$E$6:$E$205,GH$4)*KVARDI,2),""))</f>
        <v/>
      </c>
      <c r="GJ14" s="66" t="n"/>
      <c r="GK14" s="78">
        <f>IF(OR(GJ$4=0,GJ14=""),"",IFERROR(ROUND(GJ14/INDEX(Undirviðmið!$F$6:$F$205,GJ$4)*INDEX(Undirviðmið!$E$6:$E$205,GJ$4)*KVARDI,2),""))</f>
        <v/>
      </c>
      <c r="GL14" s="66" t="n"/>
      <c r="GM14" s="78">
        <f>IF(OR(GL$4=0,GL14=""),"",IFERROR(ROUND(GL14/INDEX(Undirviðmið!$F$6:$F$205,GL$4)*INDEX(Undirviðmið!$E$6:$E$205,GL$4)*KVARDI,2),""))</f>
        <v/>
      </c>
      <c r="GN14" s="66" t="n"/>
      <c r="GO14" s="78">
        <f>IF(OR(GN$4=0,GN14=""),"",IFERROR(ROUND(GN14/INDEX(Undirviðmið!$F$6:$F$205,GN$4)*INDEX(Undirviðmið!$E$6:$E$205,GN$4)*KVARDI,2),""))</f>
        <v/>
      </c>
      <c r="GP14" s="66" t="n"/>
      <c r="GQ14" s="78">
        <f>IF(OR(GP$4=0,GP14=""),"",IFERROR(ROUND(GP14/INDEX(Undirviðmið!$F$6:$F$205,GP$4)*INDEX(Undirviðmið!$E$6:$E$205,GP$4)*KVARDI,2),""))</f>
        <v/>
      </c>
      <c r="GR14" s="66" t="n"/>
      <c r="GS14" s="78">
        <f>IF(OR(GR$4=0,GR14=""),"",IFERROR(ROUND(GR14/INDEX(Undirviðmið!$F$6:$F$205,GR$4)*INDEX(Undirviðmið!$E$6:$E$205,GR$4)*KVARDI,2),""))</f>
        <v/>
      </c>
      <c r="GT14" s="66" t="n"/>
      <c r="GU14" s="78">
        <f>IF(OR(GT$4=0,GT14=""),"",IFERROR(ROUND(GT14/INDEX(Undirviðmið!$F$6:$F$205,GT$4)*INDEX(Undirviðmið!$E$6:$E$205,GT$4)*KVARDI,2),""))</f>
        <v/>
      </c>
      <c r="GV14" s="63">
        <f>IFERROR(SUMIF($D$6:GU$6,"Stig",$D14:GU14),0)</f>
        <v/>
      </c>
    </row>
    <row r="15" ht="15" customHeight="1" s="47">
      <c r="A15" s="65">
        <f>ROW()-6</f>
        <v/>
      </c>
      <c r="B15" s="67">
        <f>IF(INDEX(Starfsmenn!$B$6:$B$10005,ROW()-6)="","",INDEX(Starfsmenn!$B$6:$B$10005,ROW()-6))</f>
        <v/>
      </c>
      <c r="C15" s="67">
        <f>IF(INDEX(Starfsmenn!$C$6:$C$10005,ROW()-6)="","",INDEX(Starfsmenn!$C$6:$C$10005,ROW()-6))</f>
        <v/>
      </c>
      <c r="D15" s="66" t="n"/>
      <c r="E15" s="78">
        <f>IF(OR(D$4=0,D15=""),"",IFERROR(ROUND(D15/INDEX(Undirviðmið!$F$6:$F$205,D$4)*INDEX(Undirviðmið!$E$6:$E$205,D$4)*KVARDI,2),""))</f>
        <v/>
      </c>
      <c r="F15" s="66" t="n"/>
      <c r="G15" s="78">
        <f>IF(OR(F$4=0,F15=""),"",IFERROR(ROUND(F15/INDEX(Undirviðmið!$F$6:$F$205,F$4)*INDEX(Undirviðmið!$E$6:$E$205,F$4)*KVARDI,2),""))</f>
        <v/>
      </c>
      <c r="H15" s="66" t="n"/>
      <c r="I15" s="78">
        <f>IF(OR(H$4=0,H15=""),"",IFERROR(ROUND(H15/INDEX(Undirviðmið!$F$6:$F$205,H$4)*INDEX(Undirviðmið!$E$6:$E$205,H$4)*KVARDI,2),""))</f>
        <v/>
      </c>
      <c r="J15" s="66" t="n"/>
      <c r="K15" s="78">
        <f>IF(OR(J$4=0,J15=""),"",IFERROR(ROUND(J15/INDEX(Undirviðmið!$F$6:$F$205,J$4)*INDEX(Undirviðmið!$E$6:$E$205,J$4)*KVARDI,2),""))</f>
        <v/>
      </c>
      <c r="L15" s="66" t="n"/>
      <c r="M15" s="78">
        <f>IF(OR(L$4=0,L15=""),"",IFERROR(ROUND(L15/INDEX(Undirviðmið!$F$6:$F$205,L$4)*INDEX(Undirviðmið!$E$6:$E$205,L$4)*KVARDI,2),""))</f>
        <v/>
      </c>
      <c r="N15" s="66" t="n"/>
      <c r="O15" s="78">
        <f>IF(OR(N$4=0,N15=""),"",IFERROR(ROUND(N15/INDEX(Undirviðmið!$F$6:$F$205,N$4)*INDEX(Undirviðmið!$E$6:$E$205,N$4)*KVARDI,2),""))</f>
        <v/>
      </c>
      <c r="P15" s="66" t="n"/>
      <c r="Q15" s="78">
        <f>IF(OR(P$4=0,P15=""),"",IFERROR(ROUND(P15/INDEX(Undirviðmið!$F$6:$F$205,P$4)*INDEX(Undirviðmið!$E$6:$E$205,P$4)*KVARDI,2),""))</f>
        <v/>
      </c>
      <c r="R15" s="66" t="n"/>
      <c r="S15" s="78">
        <f>IF(OR(R$4=0,R15=""),"",IFERROR(ROUND(R15/INDEX(Undirviðmið!$F$6:$F$205,R$4)*INDEX(Undirviðmið!$E$6:$E$205,R$4)*KVARDI,2),""))</f>
        <v/>
      </c>
      <c r="T15" s="66" t="n"/>
      <c r="U15" s="78">
        <f>IF(OR(T$4=0,T15=""),"",IFERROR(ROUND(T15/INDEX(Undirviðmið!$F$6:$F$205,T$4)*INDEX(Undirviðmið!$E$6:$E$205,T$4)*KVARDI,2),""))</f>
        <v/>
      </c>
      <c r="V15" s="66" t="n"/>
      <c r="W15" s="78">
        <f>IF(OR(V$4=0,V15=""),"",IFERROR(ROUND(V15/INDEX(Undirviðmið!$F$6:$F$205,V$4)*INDEX(Undirviðmið!$E$6:$E$205,V$4)*KVARDI,2),""))</f>
        <v/>
      </c>
      <c r="X15" s="66" t="n"/>
      <c r="Y15" s="78">
        <f>IF(OR(X$4=0,X15=""),"",IFERROR(ROUND(X15/INDEX(Undirviðmið!$F$6:$F$205,X$4)*INDEX(Undirviðmið!$E$6:$E$205,X$4)*KVARDI,2),""))</f>
        <v/>
      </c>
      <c r="Z15" s="66" t="n"/>
      <c r="AA15" s="78">
        <f>IF(OR(Z$4=0,Z15=""),"",IFERROR(ROUND(Z15/INDEX(Undirviðmið!$F$6:$F$205,Z$4)*INDEX(Undirviðmið!$E$6:$E$205,Z$4)*KVARDI,2),""))</f>
        <v/>
      </c>
      <c r="AB15" s="66" t="n"/>
      <c r="AC15" s="78">
        <f>IF(OR(AB$4=0,AB15=""),"",IFERROR(ROUND(AB15/INDEX(Undirviðmið!$F$6:$F$205,AB$4)*INDEX(Undirviðmið!$E$6:$E$205,AB$4)*KVARDI,2),""))</f>
        <v/>
      </c>
      <c r="AD15" s="66" t="n"/>
      <c r="AE15" s="78">
        <f>IF(OR(AD$4=0,AD15=""),"",IFERROR(ROUND(AD15/INDEX(Undirviðmið!$F$6:$F$205,AD$4)*INDEX(Undirviðmið!$E$6:$E$205,AD$4)*KVARDI,2),""))</f>
        <v/>
      </c>
      <c r="AF15" s="66" t="n"/>
      <c r="AG15" s="78">
        <f>IF(OR(AF$4=0,AF15=""),"",IFERROR(ROUND(AF15/INDEX(Undirviðmið!$F$6:$F$205,AF$4)*INDEX(Undirviðmið!$E$6:$E$205,AF$4)*KVARDI,2),""))</f>
        <v/>
      </c>
      <c r="AH15" s="66" t="n"/>
      <c r="AI15" s="78">
        <f>IF(OR(AH$4=0,AH15=""),"",IFERROR(ROUND(AH15/INDEX(Undirviðmið!$F$6:$F$205,AH$4)*INDEX(Undirviðmið!$E$6:$E$205,AH$4)*KVARDI,2),""))</f>
        <v/>
      </c>
      <c r="AJ15" s="66" t="n"/>
      <c r="AK15" s="78">
        <f>IF(OR(AJ$4=0,AJ15=""),"",IFERROR(ROUND(AJ15/INDEX(Undirviðmið!$F$6:$F$205,AJ$4)*INDEX(Undirviðmið!$E$6:$E$205,AJ$4)*KVARDI,2),""))</f>
        <v/>
      </c>
      <c r="AL15" s="66" t="n"/>
      <c r="AM15" s="78">
        <f>IF(OR(AL$4=0,AL15=""),"",IFERROR(ROUND(AL15/INDEX(Undirviðmið!$F$6:$F$205,AL$4)*INDEX(Undirviðmið!$E$6:$E$205,AL$4)*KVARDI,2),""))</f>
        <v/>
      </c>
      <c r="AN15" s="66" t="n"/>
      <c r="AO15" s="78">
        <f>IF(OR(AN$4=0,AN15=""),"",IFERROR(ROUND(AN15/INDEX(Undirviðmið!$F$6:$F$205,AN$4)*INDEX(Undirviðmið!$E$6:$E$205,AN$4)*KVARDI,2),""))</f>
        <v/>
      </c>
      <c r="AP15" s="66" t="n"/>
      <c r="AQ15" s="78">
        <f>IF(OR(AP$4=0,AP15=""),"",IFERROR(ROUND(AP15/INDEX(Undirviðmið!$F$6:$F$205,AP$4)*INDEX(Undirviðmið!$E$6:$E$205,AP$4)*KVARDI,2),""))</f>
        <v/>
      </c>
      <c r="AR15" s="66" t="n"/>
      <c r="AS15" s="78">
        <f>IF(OR(AR$4=0,AR15=""),"",IFERROR(ROUND(AR15/INDEX(Undirviðmið!$F$6:$F$205,AR$4)*INDEX(Undirviðmið!$E$6:$E$205,AR$4)*KVARDI,2),""))</f>
        <v/>
      </c>
      <c r="AT15" s="66" t="n"/>
      <c r="AU15" s="78">
        <f>IF(OR(AT$4=0,AT15=""),"",IFERROR(ROUND(AT15/INDEX(Undirviðmið!$F$6:$F$205,AT$4)*INDEX(Undirviðmið!$E$6:$E$205,AT$4)*KVARDI,2),""))</f>
        <v/>
      </c>
      <c r="AV15" s="66" t="n"/>
      <c r="AW15" s="78">
        <f>IF(OR(AV$4=0,AV15=""),"",IFERROR(ROUND(AV15/INDEX(Undirviðmið!$F$6:$F$205,AV$4)*INDEX(Undirviðmið!$E$6:$E$205,AV$4)*KVARDI,2),""))</f>
        <v/>
      </c>
      <c r="AX15" s="66" t="n"/>
      <c r="AY15" s="78">
        <f>IF(OR(AX$4=0,AX15=""),"",IFERROR(ROUND(AX15/INDEX(Undirviðmið!$F$6:$F$205,AX$4)*INDEX(Undirviðmið!$E$6:$E$205,AX$4)*KVARDI,2),""))</f>
        <v/>
      </c>
      <c r="AZ15" s="66" t="n"/>
      <c r="BA15" s="78">
        <f>IF(OR(AZ$4=0,AZ15=""),"",IFERROR(ROUND(AZ15/INDEX(Undirviðmið!$F$6:$F$205,AZ$4)*INDEX(Undirviðmið!$E$6:$E$205,AZ$4)*KVARDI,2),""))</f>
        <v/>
      </c>
      <c r="BB15" s="66" t="n"/>
      <c r="BC15" s="78">
        <f>IF(OR(BB$4=0,BB15=""),"",IFERROR(ROUND(BB15/INDEX(Undirviðmið!$F$6:$F$205,BB$4)*INDEX(Undirviðmið!$E$6:$E$205,BB$4)*KVARDI,2),""))</f>
        <v/>
      </c>
      <c r="BD15" s="66" t="n"/>
      <c r="BE15" s="78">
        <f>IF(OR(BD$4=0,BD15=""),"",IFERROR(ROUND(BD15/INDEX(Undirviðmið!$F$6:$F$205,BD$4)*INDEX(Undirviðmið!$E$6:$E$205,BD$4)*KVARDI,2),""))</f>
        <v/>
      </c>
      <c r="BF15" s="66" t="n"/>
      <c r="BG15" s="78">
        <f>IF(OR(BF$4=0,BF15=""),"",IFERROR(ROUND(BF15/INDEX(Undirviðmið!$F$6:$F$205,BF$4)*INDEX(Undirviðmið!$E$6:$E$205,BF$4)*KVARDI,2),""))</f>
        <v/>
      </c>
      <c r="BH15" s="66" t="n"/>
      <c r="BI15" s="78">
        <f>IF(OR(BH$4=0,BH15=""),"",IFERROR(ROUND(BH15/INDEX(Undirviðmið!$F$6:$F$205,BH$4)*INDEX(Undirviðmið!$E$6:$E$205,BH$4)*KVARDI,2),""))</f>
        <v/>
      </c>
      <c r="BJ15" s="66" t="n"/>
      <c r="BK15" s="78">
        <f>IF(OR(BJ$4=0,BJ15=""),"",IFERROR(ROUND(BJ15/INDEX(Undirviðmið!$F$6:$F$205,BJ$4)*INDEX(Undirviðmið!$E$6:$E$205,BJ$4)*KVARDI,2),""))</f>
        <v/>
      </c>
      <c r="BL15" s="66" t="n"/>
      <c r="BM15" s="78">
        <f>IF(OR(BL$4=0,BL15=""),"",IFERROR(ROUND(BL15/INDEX(Undirviðmið!$F$6:$F$205,BL$4)*INDEX(Undirviðmið!$E$6:$E$205,BL$4)*KVARDI,2),""))</f>
        <v/>
      </c>
      <c r="BN15" s="66" t="n"/>
      <c r="BO15" s="78">
        <f>IF(OR(BN$4=0,BN15=""),"",IFERROR(ROUND(BN15/INDEX(Undirviðmið!$F$6:$F$205,BN$4)*INDEX(Undirviðmið!$E$6:$E$205,BN$4)*KVARDI,2),""))</f>
        <v/>
      </c>
      <c r="BP15" s="66" t="n"/>
      <c r="BQ15" s="78">
        <f>IF(OR(BP$4=0,BP15=""),"",IFERROR(ROUND(BP15/INDEX(Undirviðmið!$F$6:$F$205,BP$4)*INDEX(Undirviðmið!$E$6:$E$205,BP$4)*KVARDI,2),""))</f>
        <v/>
      </c>
      <c r="BR15" s="66" t="n"/>
      <c r="BS15" s="78">
        <f>IF(OR(BR$4=0,BR15=""),"",IFERROR(ROUND(BR15/INDEX(Undirviðmið!$F$6:$F$205,BR$4)*INDEX(Undirviðmið!$E$6:$E$205,BR$4)*KVARDI,2),""))</f>
        <v/>
      </c>
      <c r="BT15" s="66" t="n"/>
      <c r="BU15" s="78">
        <f>IF(OR(BT$4=0,BT15=""),"",IFERROR(ROUND(BT15/INDEX(Undirviðmið!$F$6:$F$205,BT$4)*INDEX(Undirviðmið!$E$6:$E$205,BT$4)*KVARDI,2),""))</f>
        <v/>
      </c>
      <c r="BV15" s="66" t="n"/>
      <c r="BW15" s="78">
        <f>IF(OR(BV$4=0,BV15=""),"",IFERROR(ROUND(BV15/INDEX(Undirviðmið!$F$6:$F$205,BV$4)*INDEX(Undirviðmið!$E$6:$E$205,BV$4)*KVARDI,2),""))</f>
        <v/>
      </c>
      <c r="BX15" s="66" t="n"/>
      <c r="BY15" s="78">
        <f>IF(OR(BX$4=0,BX15=""),"",IFERROR(ROUND(BX15/INDEX(Undirviðmið!$F$6:$F$205,BX$4)*INDEX(Undirviðmið!$E$6:$E$205,BX$4)*KVARDI,2),""))</f>
        <v/>
      </c>
      <c r="BZ15" s="66" t="n"/>
      <c r="CA15" s="78">
        <f>IF(OR(BZ$4=0,BZ15=""),"",IFERROR(ROUND(BZ15/INDEX(Undirviðmið!$F$6:$F$205,BZ$4)*INDEX(Undirviðmið!$E$6:$E$205,BZ$4)*KVARDI,2),""))</f>
        <v/>
      </c>
      <c r="CB15" s="66" t="n"/>
      <c r="CC15" s="78">
        <f>IF(OR(CB$4=0,CB15=""),"",IFERROR(ROUND(CB15/INDEX(Undirviðmið!$F$6:$F$205,CB$4)*INDEX(Undirviðmið!$E$6:$E$205,CB$4)*KVARDI,2),""))</f>
        <v/>
      </c>
      <c r="CD15" s="66" t="n"/>
      <c r="CE15" s="78">
        <f>IF(OR(CD$4=0,CD15=""),"",IFERROR(ROUND(CD15/INDEX(Undirviðmið!$F$6:$F$205,CD$4)*INDEX(Undirviðmið!$E$6:$E$205,CD$4)*KVARDI,2),""))</f>
        <v/>
      </c>
      <c r="CF15" s="66" t="n"/>
      <c r="CG15" s="78">
        <f>IF(OR(CF$4=0,CF15=""),"",IFERROR(ROUND(CF15/INDEX(Undirviðmið!$F$6:$F$205,CF$4)*INDEX(Undirviðmið!$E$6:$E$205,CF$4)*KVARDI,2),""))</f>
        <v/>
      </c>
      <c r="CH15" s="66" t="n"/>
      <c r="CI15" s="78">
        <f>IF(OR(CH$4=0,CH15=""),"",IFERROR(ROUND(CH15/INDEX(Undirviðmið!$F$6:$F$205,CH$4)*INDEX(Undirviðmið!$E$6:$E$205,CH$4)*KVARDI,2),""))</f>
        <v/>
      </c>
      <c r="CJ15" s="66" t="n"/>
      <c r="CK15" s="78">
        <f>IF(OR(CJ$4=0,CJ15=""),"",IFERROR(ROUND(CJ15/INDEX(Undirviðmið!$F$6:$F$205,CJ$4)*INDEX(Undirviðmið!$E$6:$E$205,CJ$4)*KVARDI,2),""))</f>
        <v/>
      </c>
      <c r="CL15" s="66" t="n"/>
      <c r="CM15" s="78">
        <f>IF(OR(CL$4=0,CL15=""),"",IFERROR(ROUND(CL15/INDEX(Undirviðmið!$F$6:$F$205,CL$4)*INDEX(Undirviðmið!$E$6:$E$205,CL$4)*KVARDI,2),""))</f>
        <v/>
      </c>
      <c r="CN15" s="66" t="n"/>
      <c r="CO15" s="78">
        <f>IF(OR(CN$4=0,CN15=""),"",IFERROR(ROUND(CN15/INDEX(Undirviðmið!$F$6:$F$205,CN$4)*INDEX(Undirviðmið!$E$6:$E$205,CN$4)*KVARDI,2),""))</f>
        <v/>
      </c>
      <c r="CP15" s="66" t="n"/>
      <c r="CQ15" s="78">
        <f>IF(OR(CP$4=0,CP15=""),"",IFERROR(ROUND(CP15/INDEX(Undirviðmið!$F$6:$F$205,CP$4)*INDEX(Undirviðmið!$E$6:$E$205,CP$4)*KVARDI,2),""))</f>
        <v/>
      </c>
      <c r="CR15" s="66" t="n"/>
      <c r="CS15" s="78">
        <f>IF(OR(CR$4=0,CR15=""),"",IFERROR(ROUND(CR15/INDEX(Undirviðmið!$F$6:$F$205,CR$4)*INDEX(Undirviðmið!$E$6:$E$205,CR$4)*KVARDI,2),""))</f>
        <v/>
      </c>
      <c r="CT15" s="66" t="n"/>
      <c r="CU15" s="78">
        <f>IF(OR(CT$4=0,CT15=""),"",IFERROR(ROUND(CT15/INDEX(Undirviðmið!$F$6:$F$205,CT$4)*INDEX(Undirviðmið!$E$6:$E$205,CT$4)*KVARDI,2),""))</f>
        <v/>
      </c>
      <c r="CV15" s="66" t="n"/>
      <c r="CW15" s="78">
        <f>IF(OR(CV$4=0,CV15=""),"",IFERROR(ROUND(CV15/INDEX(Undirviðmið!$F$6:$F$205,CV$4)*INDEX(Undirviðmið!$E$6:$E$205,CV$4)*KVARDI,2),""))</f>
        <v/>
      </c>
      <c r="CX15" s="66" t="n"/>
      <c r="CY15" s="78">
        <f>IF(OR(CX$4=0,CX15=""),"",IFERROR(ROUND(CX15/INDEX(Undirviðmið!$F$6:$F$205,CX$4)*INDEX(Undirviðmið!$E$6:$E$205,CX$4)*KVARDI,2),""))</f>
        <v/>
      </c>
      <c r="CZ15" s="66" t="n"/>
      <c r="DA15" s="78">
        <f>IF(OR(CZ$4=0,CZ15=""),"",IFERROR(ROUND(CZ15/INDEX(Undirviðmið!$F$6:$F$205,CZ$4)*INDEX(Undirviðmið!$E$6:$E$205,CZ$4)*KVARDI,2),""))</f>
        <v/>
      </c>
      <c r="DB15" s="66" t="n"/>
      <c r="DC15" s="78">
        <f>IF(OR(DB$4=0,DB15=""),"",IFERROR(ROUND(DB15/INDEX(Undirviðmið!$F$6:$F$205,DB$4)*INDEX(Undirviðmið!$E$6:$E$205,DB$4)*KVARDI,2),""))</f>
        <v/>
      </c>
      <c r="DD15" s="66" t="n"/>
      <c r="DE15" s="78">
        <f>IF(OR(DD$4=0,DD15=""),"",IFERROR(ROUND(DD15/INDEX(Undirviðmið!$F$6:$F$205,DD$4)*INDEX(Undirviðmið!$E$6:$E$205,DD$4)*KVARDI,2),""))</f>
        <v/>
      </c>
      <c r="DF15" s="66" t="n"/>
      <c r="DG15" s="78">
        <f>IF(OR(DF$4=0,DF15=""),"",IFERROR(ROUND(DF15/INDEX(Undirviðmið!$F$6:$F$205,DF$4)*INDEX(Undirviðmið!$E$6:$E$205,DF$4)*KVARDI,2),""))</f>
        <v/>
      </c>
      <c r="DH15" s="66" t="n"/>
      <c r="DI15" s="78">
        <f>IF(OR(DH$4=0,DH15=""),"",IFERROR(ROUND(DH15/INDEX(Undirviðmið!$F$6:$F$205,DH$4)*INDEX(Undirviðmið!$E$6:$E$205,DH$4)*KVARDI,2),""))</f>
        <v/>
      </c>
      <c r="DJ15" s="66" t="n"/>
      <c r="DK15" s="78">
        <f>IF(OR(DJ$4=0,DJ15=""),"",IFERROR(ROUND(DJ15/INDEX(Undirviðmið!$F$6:$F$205,DJ$4)*INDEX(Undirviðmið!$E$6:$E$205,DJ$4)*KVARDI,2),""))</f>
        <v/>
      </c>
      <c r="DL15" s="66" t="n"/>
      <c r="DM15" s="78">
        <f>IF(OR(DL$4=0,DL15=""),"",IFERROR(ROUND(DL15/INDEX(Undirviðmið!$F$6:$F$205,DL$4)*INDEX(Undirviðmið!$E$6:$E$205,DL$4)*KVARDI,2),""))</f>
        <v/>
      </c>
      <c r="DN15" s="66" t="n"/>
      <c r="DO15" s="78">
        <f>IF(OR(DN$4=0,DN15=""),"",IFERROR(ROUND(DN15/INDEX(Undirviðmið!$F$6:$F$205,DN$4)*INDEX(Undirviðmið!$E$6:$E$205,DN$4)*KVARDI,2),""))</f>
        <v/>
      </c>
      <c r="DP15" s="66" t="n"/>
      <c r="DQ15" s="78">
        <f>IF(OR(DP$4=0,DP15=""),"",IFERROR(ROUND(DP15/INDEX(Undirviðmið!$F$6:$F$205,DP$4)*INDEX(Undirviðmið!$E$6:$E$205,DP$4)*KVARDI,2),""))</f>
        <v/>
      </c>
      <c r="DR15" s="66" t="n"/>
      <c r="DS15" s="78">
        <f>IF(OR(DR$4=0,DR15=""),"",IFERROR(ROUND(DR15/INDEX(Undirviðmið!$F$6:$F$205,DR$4)*INDEX(Undirviðmið!$E$6:$E$205,DR$4)*KVARDI,2),""))</f>
        <v/>
      </c>
      <c r="DT15" s="66" t="n"/>
      <c r="DU15" s="78">
        <f>IF(OR(DT$4=0,DT15=""),"",IFERROR(ROUND(DT15/INDEX(Undirviðmið!$F$6:$F$205,DT$4)*INDEX(Undirviðmið!$E$6:$E$205,DT$4)*KVARDI,2),""))</f>
        <v/>
      </c>
      <c r="DV15" s="66" t="n"/>
      <c r="DW15" s="78">
        <f>IF(OR(DV$4=0,DV15=""),"",IFERROR(ROUND(DV15/INDEX(Undirviðmið!$F$6:$F$205,DV$4)*INDEX(Undirviðmið!$E$6:$E$205,DV$4)*KVARDI,2),""))</f>
        <v/>
      </c>
      <c r="DX15" s="66" t="n"/>
      <c r="DY15" s="78">
        <f>IF(OR(DX$4=0,DX15=""),"",IFERROR(ROUND(DX15/INDEX(Undirviðmið!$F$6:$F$205,DX$4)*INDEX(Undirviðmið!$E$6:$E$205,DX$4)*KVARDI,2),""))</f>
        <v/>
      </c>
      <c r="DZ15" s="66" t="n"/>
      <c r="EA15" s="78">
        <f>IF(OR(DZ$4=0,DZ15=""),"",IFERROR(ROUND(DZ15/INDEX(Undirviðmið!$F$6:$F$205,DZ$4)*INDEX(Undirviðmið!$E$6:$E$205,DZ$4)*KVARDI,2),""))</f>
        <v/>
      </c>
      <c r="EB15" s="66" t="n"/>
      <c r="EC15" s="78">
        <f>IF(OR(EB$4=0,EB15=""),"",IFERROR(ROUND(EB15/INDEX(Undirviðmið!$F$6:$F$205,EB$4)*INDEX(Undirviðmið!$E$6:$E$205,EB$4)*KVARDI,2),""))</f>
        <v/>
      </c>
      <c r="ED15" s="66" t="n"/>
      <c r="EE15" s="78">
        <f>IF(OR(ED$4=0,ED15=""),"",IFERROR(ROUND(ED15/INDEX(Undirviðmið!$F$6:$F$205,ED$4)*INDEX(Undirviðmið!$E$6:$E$205,ED$4)*KVARDI,2),""))</f>
        <v/>
      </c>
      <c r="EF15" s="66" t="n"/>
      <c r="EG15" s="78">
        <f>IF(OR(EF$4=0,EF15=""),"",IFERROR(ROUND(EF15/INDEX(Undirviðmið!$F$6:$F$205,EF$4)*INDEX(Undirviðmið!$E$6:$E$205,EF$4)*KVARDI,2),""))</f>
        <v/>
      </c>
      <c r="EH15" s="66" t="n"/>
      <c r="EI15" s="78">
        <f>IF(OR(EH$4=0,EH15=""),"",IFERROR(ROUND(EH15/INDEX(Undirviðmið!$F$6:$F$205,EH$4)*INDEX(Undirviðmið!$E$6:$E$205,EH$4)*KVARDI,2),""))</f>
        <v/>
      </c>
      <c r="EJ15" s="66" t="n"/>
      <c r="EK15" s="78">
        <f>IF(OR(EJ$4=0,EJ15=""),"",IFERROR(ROUND(EJ15/INDEX(Undirviðmið!$F$6:$F$205,EJ$4)*INDEX(Undirviðmið!$E$6:$E$205,EJ$4)*KVARDI,2),""))</f>
        <v/>
      </c>
      <c r="EL15" s="66" t="n"/>
      <c r="EM15" s="78">
        <f>IF(OR(EL$4=0,EL15=""),"",IFERROR(ROUND(EL15/INDEX(Undirviðmið!$F$6:$F$205,EL$4)*INDEX(Undirviðmið!$E$6:$E$205,EL$4)*KVARDI,2),""))</f>
        <v/>
      </c>
      <c r="EN15" s="66" t="n"/>
      <c r="EO15" s="78">
        <f>IF(OR(EN$4=0,EN15=""),"",IFERROR(ROUND(EN15/INDEX(Undirviðmið!$F$6:$F$205,EN$4)*INDEX(Undirviðmið!$E$6:$E$205,EN$4)*KVARDI,2),""))</f>
        <v/>
      </c>
      <c r="EP15" s="66" t="n"/>
      <c r="EQ15" s="78">
        <f>IF(OR(EP$4=0,EP15=""),"",IFERROR(ROUND(EP15/INDEX(Undirviðmið!$F$6:$F$205,EP$4)*INDEX(Undirviðmið!$E$6:$E$205,EP$4)*KVARDI,2),""))</f>
        <v/>
      </c>
      <c r="ER15" s="66" t="n"/>
      <c r="ES15" s="78">
        <f>IF(OR(ER$4=0,ER15=""),"",IFERROR(ROUND(ER15/INDEX(Undirviðmið!$F$6:$F$205,ER$4)*INDEX(Undirviðmið!$E$6:$E$205,ER$4)*KVARDI,2),""))</f>
        <v/>
      </c>
      <c r="ET15" s="66" t="n"/>
      <c r="EU15" s="78">
        <f>IF(OR(ET$4=0,ET15=""),"",IFERROR(ROUND(ET15/INDEX(Undirviðmið!$F$6:$F$205,ET$4)*INDEX(Undirviðmið!$E$6:$E$205,ET$4)*KVARDI,2),""))</f>
        <v/>
      </c>
      <c r="EV15" s="66" t="n"/>
      <c r="EW15" s="78">
        <f>IF(OR(EV$4=0,EV15=""),"",IFERROR(ROUND(EV15/INDEX(Undirviðmið!$F$6:$F$205,EV$4)*INDEX(Undirviðmið!$E$6:$E$205,EV$4)*KVARDI,2),""))</f>
        <v/>
      </c>
      <c r="EX15" s="66" t="n"/>
      <c r="EY15" s="78">
        <f>IF(OR(EX$4=0,EX15=""),"",IFERROR(ROUND(EX15/INDEX(Undirviðmið!$F$6:$F$205,EX$4)*INDEX(Undirviðmið!$E$6:$E$205,EX$4)*KVARDI,2),""))</f>
        <v/>
      </c>
      <c r="EZ15" s="66" t="n"/>
      <c r="FA15" s="78">
        <f>IF(OR(EZ$4=0,EZ15=""),"",IFERROR(ROUND(EZ15/INDEX(Undirviðmið!$F$6:$F$205,EZ$4)*INDEX(Undirviðmið!$E$6:$E$205,EZ$4)*KVARDI,2),""))</f>
        <v/>
      </c>
      <c r="FB15" s="66" t="n"/>
      <c r="FC15" s="78">
        <f>IF(OR(FB$4=0,FB15=""),"",IFERROR(ROUND(FB15/INDEX(Undirviðmið!$F$6:$F$205,FB$4)*INDEX(Undirviðmið!$E$6:$E$205,FB$4)*KVARDI,2),""))</f>
        <v/>
      </c>
      <c r="FD15" s="66" t="n"/>
      <c r="FE15" s="78">
        <f>IF(OR(FD$4=0,FD15=""),"",IFERROR(ROUND(FD15/INDEX(Undirviðmið!$F$6:$F$205,FD$4)*INDEX(Undirviðmið!$E$6:$E$205,FD$4)*KVARDI,2),""))</f>
        <v/>
      </c>
      <c r="FF15" s="66" t="n"/>
      <c r="FG15" s="78">
        <f>IF(OR(FF$4=0,FF15=""),"",IFERROR(ROUND(FF15/INDEX(Undirviðmið!$F$6:$F$205,FF$4)*INDEX(Undirviðmið!$E$6:$E$205,FF$4)*KVARDI,2),""))</f>
        <v/>
      </c>
      <c r="FH15" s="66" t="n"/>
      <c r="FI15" s="78">
        <f>IF(OR(FH$4=0,FH15=""),"",IFERROR(ROUND(FH15/INDEX(Undirviðmið!$F$6:$F$205,FH$4)*INDEX(Undirviðmið!$E$6:$E$205,FH$4)*KVARDI,2),""))</f>
        <v/>
      </c>
      <c r="FJ15" s="66" t="n"/>
      <c r="FK15" s="78">
        <f>IF(OR(FJ$4=0,FJ15=""),"",IFERROR(ROUND(FJ15/INDEX(Undirviðmið!$F$6:$F$205,FJ$4)*INDEX(Undirviðmið!$E$6:$E$205,FJ$4)*KVARDI,2),""))</f>
        <v/>
      </c>
      <c r="FL15" s="66" t="n"/>
      <c r="FM15" s="78">
        <f>IF(OR(FL$4=0,FL15=""),"",IFERROR(ROUND(FL15/INDEX(Undirviðmið!$F$6:$F$205,FL$4)*INDEX(Undirviðmið!$E$6:$E$205,FL$4)*KVARDI,2),""))</f>
        <v/>
      </c>
      <c r="FN15" s="66" t="n"/>
      <c r="FO15" s="78">
        <f>IF(OR(FN$4=0,FN15=""),"",IFERROR(ROUND(FN15/INDEX(Undirviðmið!$F$6:$F$205,FN$4)*INDEX(Undirviðmið!$E$6:$E$205,FN$4)*KVARDI,2),""))</f>
        <v/>
      </c>
      <c r="FP15" s="66" t="n"/>
      <c r="FQ15" s="78">
        <f>IF(OR(FP$4=0,FP15=""),"",IFERROR(ROUND(FP15/INDEX(Undirviðmið!$F$6:$F$205,FP$4)*INDEX(Undirviðmið!$E$6:$E$205,FP$4)*KVARDI,2),""))</f>
        <v/>
      </c>
      <c r="FR15" s="66" t="n"/>
      <c r="FS15" s="78">
        <f>IF(OR(FR$4=0,FR15=""),"",IFERROR(ROUND(FR15/INDEX(Undirviðmið!$F$6:$F$205,FR$4)*INDEX(Undirviðmið!$E$6:$E$205,FR$4)*KVARDI,2),""))</f>
        <v/>
      </c>
      <c r="FT15" s="66" t="n"/>
      <c r="FU15" s="78">
        <f>IF(OR(FT$4=0,FT15=""),"",IFERROR(ROUND(FT15/INDEX(Undirviðmið!$F$6:$F$205,FT$4)*INDEX(Undirviðmið!$E$6:$E$205,FT$4)*KVARDI,2),""))</f>
        <v/>
      </c>
      <c r="FV15" s="66" t="n"/>
      <c r="FW15" s="78">
        <f>IF(OR(FV$4=0,FV15=""),"",IFERROR(ROUND(FV15/INDEX(Undirviðmið!$F$6:$F$205,FV$4)*INDEX(Undirviðmið!$E$6:$E$205,FV$4)*KVARDI,2),""))</f>
        <v/>
      </c>
      <c r="FX15" s="66" t="n"/>
      <c r="FY15" s="78">
        <f>IF(OR(FX$4=0,FX15=""),"",IFERROR(ROUND(FX15/INDEX(Undirviðmið!$F$6:$F$205,FX$4)*INDEX(Undirviðmið!$E$6:$E$205,FX$4)*KVARDI,2),""))</f>
        <v/>
      </c>
      <c r="FZ15" s="66" t="n"/>
      <c r="GA15" s="78">
        <f>IF(OR(FZ$4=0,FZ15=""),"",IFERROR(ROUND(FZ15/INDEX(Undirviðmið!$F$6:$F$205,FZ$4)*INDEX(Undirviðmið!$E$6:$E$205,FZ$4)*KVARDI,2),""))</f>
        <v/>
      </c>
      <c r="GB15" s="66" t="n"/>
      <c r="GC15" s="78">
        <f>IF(OR(GB$4=0,GB15=""),"",IFERROR(ROUND(GB15/INDEX(Undirviðmið!$F$6:$F$205,GB$4)*INDEX(Undirviðmið!$E$6:$E$205,GB$4)*KVARDI,2),""))</f>
        <v/>
      </c>
      <c r="GD15" s="66" t="n"/>
      <c r="GE15" s="78">
        <f>IF(OR(GD$4=0,GD15=""),"",IFERROR(ROUND(GD15/INDEX(Undirviðmið!$F$6:$F$205,GD$4)*INDEX(Undirviðmið!$E$6:$E$205,GD$4)*KVARDI,2),""))</f>
        <v/>
      </c>
      <c r="GF15" s="66" t="n"/>
      <c r="GG15" s="78">
        <f>IF(OR(GF$4=0,GF15=""),"",IFERROR(ROUND(GF15/INDEX(Undirviðmið!$F$6:$F$205,GF$4)*INDEX(Undirviðmið!$E$6:$E$205,GF$4)*KVARDI,2),""))</f>
        <v/>
      </c>
      <c r="GH15" s="66" t="n"/>
      <c r="GI15" s="78">
        <f>IF(OR(GH$4=0,GH15=""),"",IFERROR(ROUND(GH15/INDEX(Undirviðmið!$F$6:$F$205,GH$4)*INDEX(Undirviðmið!$E$6:$E$205,GH$4)*KVARDI,2),""))</f>
        <v/>
      </c>
      <c r="GJ15" s="66" t="n"/>
      <c r="GK15" s="78">
        <f>IF(OR(GJ$4=0,GJ15=""),"",IFERROR(ROUND(GJ15/INDEX(Undirviðmið!$F$6:$F$205,GJ$4)*INDEX(Undirviðmið!$E$6:$E$205,GJ$4)*KVARDI,2),""))</f>
        <v/>
      </c>
      <c r="GL15" s="66" t="n"/>
      <c r="GM15" s="78">
        <f>IF(OR(GL$4=0,GL15=""),"",IFERROR(ROUND(GL15/INDEX(Undirviðmið!$F$6:$F$205,GL$4)*INDEX(Undirviðmið!$E$6:$E$205,GL$4)*KVARDI,2),""))</f>
        <v/>
      </c>
      <c r="GN15" s="66" t="n"/>
      <c r="GO15" s="78">
        <f>IF(OR(GN$4=0,GN15=""),"",IFERROR(ROUND(GN15/INDEX(Undirviðmið!$F$6:$F$205,GN$4)*INDEX(Undirviðmið!$E$6:$E$205,GN$4)*KVARDI,2),""))</f>
        <v/>
      </c>
      <c r="GP15" s="66" t="n"/>
      <c r="GQ15" s="78">
        <f>IF(OR(GP$4=0,GP15=""),"",IFERROR(ROUND(GP15/INDEX(Undirviðmið!$F$6:$F$205,GP$4)*INDEX(Undirviðmið!$E$6:$E$205,GP$4)*KVARDI,2),""))</f>
        <v/>
      </c>
      <c r="GR15" s="66" t="n"/>
      <c r="GS15" s="78">
        <f>IF(OR(GR$4=0,GR15=""),"",IFERROR(ROUND(GR15/INDEX(Undirviðmið!$F$6:$F$205,GR$4)*INDEX(Undirviðmið!$E$6:$E$205,GR$4)*KVARDI,2),""))</f>
        <v/>
      </c>
      <c r="GT15" s="66" t="n"/>
      <c r="GU15" s="78">
        <f>IF(OR(GT$4=0,GT15=""),"",IFERROR(ROUND(GT15/INDEX(Undirviðmið!$F$6:$F$205,GT$4)*INDEX(Undirviðmið!$E$6:$E$205,GT$4)*KVARDI,2),""))</f>
        <v/>
      </c>
      <c r="GV15" s="63">
        <f>IFERROR(SUMIF($D$6:GU$6,"Stig",$D15:GU15),0)</f>
        <v/>
      </c>
    </row>
    <row r="16" ht="15" customHeight="1" s="47">
      <c r="A16" s="65">
        <f>ROW()-6</f>
        <v/>
      </c>
      <c r="B16" s="67">
        <f>IF(INDEX(Starfsmenn!$B$6:$B$10005,ROW()-6)="","",INDEX(Starfsmenn!$B$6:$B$10005,ROW()-6))</f>
        <v/>
      </c>
      <c r="C16" s="67">
        <f>IF(INDEX(Starfsmenn!$C$6:$C$10005,ROW()-6)="","",INDEX(Starfsmenn!$C$6:$C$10005,ROW()-6))</f>
        <v/>
      </c>
      <c r="D16" s="66" t="n"/>
      <c r="E16" s="78">
        <f>IF(OR(D$4=0,D16=""),"",IFERROR(ROUND(D16/INDEX(Undirviðmið!$F$6:$F$205,D$4)*INDEX(Undirviðmið!$E$6:$E$205,D$4)*KVARDI,2),""))</f>
        <v/>
      </c>
      <c r="F16" s="66" t="n"/>
      <c r="G16" s="78">
        <f>IF(OR(F$4=0,F16=""),"",IFERROR(ROUND(F16/INDEX(Undirviðmið!$F$6:$F$205,F$4)*INDEX(Undirviðmið!$E$6:$E$205,F$4)*KVARDI,2),""))</f>
        <v/>
      </c>
      <c r="H16" s="66" t="n"/>
      <c r="I16" s="78">
        <f>IF(OR(H$4=0,H16=""),"",IFERROR(ROUND(H16/INDEX(Undirviðmið!$F$6:$F$205,H$4)*INDEX(Undirviðmið!$E$6:$E$205,H$4)*KVARDI,2),""))</f>
        <v/>
      </c>
      <c r="J16" s="66" t="n"/>
      <c r="K16" s="78">
        <f>IF(OR(J$4=0,J16=""),"",IFERROR(ROUND(J16/INDEX(Undirviðmið!$F$6:$F$205,J$4)*INDEX(Undirviðmið!$E$6:$E$205,J$4)*KVARDI,2),""))</f>
        <v/>
      </c>
      <c r="L16" s="66" t="n"/>
      <c r="M16" s="78">
        <f>IF(OR(L$4=0,L16=""),"",IFERROR(ROUND(L16/INDEX(Undirviðmið!$F$6:$F$205,L$4)*INDEX(Undirviðmið!$E$6:$E$205,L$4)*KVARDI,2),""))</f>
        <v/>
      </c>
      <c r="N16" s="66" t="n"/>
      <c r="O16" s="78">
        <f>IF(OR(N$4=0,N16=""),"",IFERROR(ROUND(N16/INDEX(Undirviðmið!$F$6:$F$205,N$4)*INDEX(Undirviðmið!$E$6:$E$205,N$4)*KVARDI,2),""))</f>
        <v/>
      </c>
      <c r="P16" s="66" t="n"/>
      <c r="Q16" s="78">
        <f>IF(OR(P$4=0,P16=""),"",IFERROR(ROUND(P16/INDEX(Undirviðmið!$F$6:$F$205,P$4)*INDEX(Undirviðmið!$E$6:$E$205,P$4)*KVARDI,2),""))</f>
        <v/>
      </c>
      <c r="R16" s="66" t="n"/>
      <c r="S16" s="78">
        <f>IF(OR(R$4=0,R16=""),"",IFERROR(ROUND(R16/INDEX(Undirviðmið!$F$6:$F$205,R$4)*INDEX(Undirviðmið!$E$6:$E$205,R$4)*KVARDI,2),""))</f>
        <v/>
      </c>
      <c r="T16" s="66" t="n"/>
      <c r="U16" s="78">
        <f>IF(OR(T$4=0,T16=""),"",IFERROR(ROUND(T16/INDEX(Undirviðmið!$F$6:$F$205,T$4)*INDEX(Undirviðmið!$E$6:$E$205,T$4)*KVARDI,2),""))</f>
        <v/>
      </c>
      <c r="V16" s="66" t="n"/>
      <c r="W16" s="78">
        <f>IF(OR(V$4=0,V16=""),"",IFERROR(ROUND(V16/INDEX(Undirviðmið!$F$6:$F$205,V$4)*INDEX(Undirviðmið!$E$6:$E$205,V$4)*KVARDI,2),""))</f>
        <v/>
      </c>
      <c r="X16" s="66" t="n"/>
      <c r="Y16" s="78">
        <f>IF(OR(X$4=0,X16=""),"",IFERROR(ROUND(X16/INDEX(Undirviðmið!$F$6:$F$205,X$4)*INDEX(Undirviðmið!$E$6:$E$205,X$4)*KVARDI,2),""))</f>
        <v/>
      </c>
      <c r="Z16" s="66" t="n"/>
      <c r="AA16" s="78">
        <f>IF(OR(Z$4=0,Z16=""),"",IFERROR(ROUND(Z16/INDEX(Undirviðmið!$F$6:$F$205,Z$4)*INDEX(Undirviðmið!$E$6:$E$205,Z$4)*KVARDI,2),""))</f>
        <v/>
      </c>
      <c r="AB16" s="66" t="n"/>
      <c r="AC16" s="78">
        <f>IF(OR(AB$4=0,AB16=""),"",IFERROR(ROUND(AB16/INDEX(Undirviðmið!$F$6:$F$205,AB$4)*INDEX(Undirviðmið!$E$6:$E$205,AB$4)*KVARDI,2),""))</f>
        <v/>
      </c>
      <c r="AD16" s="66" t="n"/>
      <c r="AE16" s="78">
        <f>IF(OR(AD$4=0,AD16=""),"",IFERROR(ROUND(AD16/INDEX(Undirviðmið!$F$6:$F$205,AD$4)*INDEX(Undirviðmið!$E$6:$E$205,AD$4)*KVARDI,2),""))</f>
        <v/>
      </c>
      <c r="AF16" s="66" t="n"/>
      <c r="AG16" s="78">
        <f>IF(OR(AF$4=0,AF16=""),"",IFERROR(ROUND(AF16/INDEX(Undirviðmið!$F$6:$F$205,AF$4)*INDEX(Undirviðmið!$E$6:$E$205,AF$4)*KVARDI,2),""))</f>
        <v/>
      </c>
      <c r="AH16" s="66" t="n"/>
      <c r="AI16" s="78">
        <f>IF(OR(AH$4=0,AH16=""),"",IFERROR(ROUND(AH16/INDEX(Undirviðmið!$F$6:$F$205,AH$4)*INDEX(Undirviðmið!$E$6:$E$205,AH$4)*KVARDI,2),""))</f>
        <v/>
      </c>
      <c r="AJ16" s="66" t="n"/>
      <c r="AK16" s="78">
        <f>IF(OR(AJ$4=0,AJ16=""),"",IFERROR(ROUND(AJ16/INDEX(Undirviðmið!$F$6:$F$205,AJ$4)*INDEX(Undirviðmið!$E$6:$E$205,AJ$4)*KVARDI,2),""))</f>
        <v/>
      </c>
      <c r="AL16" s="66" t="n"/>
      <c r="AM16" s="78">
        <f>IF(OR(AL$4=0,AL16=""),"",IFERROR(ROUND(AL16/INDEX(Undirviðmið!$F$6:$F$205,AL$4)*INDEX(Undirviðmið!$E$6:$E$205,AL$4)*KVARDI,2),""))</f>
        <v/>
      </c>
      <c r="AN16" s="66" t="n"/>
      <c r="AO16" s="78">
        <f>IF(OR(AN$4=0,AN16=""),"",IFERROR(ROUND(AN16/INDEX(Undirviðmið!$F$6:$F$205,AN$4)*INDEX(Undirviðmið!$E$6:$E$205,AN$4)*KVARDI,2),""))</f>
        <v/>
      </c>
      <c r="AP16" s="66" t="n"/>
      <c r="AQ16" s="78">
        <f>IF(OR(AP$4=0,AP16=""),"",IFERROR(ROUND(AP16/INDEX(Undirviðmið!$F$6:$F$205,AP$4)*INDEX(Undirviðmið!$E$6:$E$205,AP$4)*KVARDI,2),""))</f>
        <v/>
      </c>
      <c r="AR16" s="66" t="n"/>
      <c r="AS16" s="78">
        <f>IF(OR(AR$4=0,AR16=""),"",IFERROR(ROUND(AR16/INDEX(Undirviðmið!$F$6:$F$205,AR$4)*INDEX(Undirviðmið!$E$6:$E$205,AR$4)*KVARDI,2),""))</f>
        <v/>
      </c>
      <c r="AT16" s="66" t="n"/>
      <c r="AU16" s="78">
        <f>IF(OR(AT$4=0,AT16=""),"",IFERROR(ROUND(AT16/INDEX(Undirviðmið!$F$6:$F$205,AT$4)*INDEX(Undirviðmið!$E$6:$E$205,AT$4)*KVARDI,2),""))</f>
        <v/>
      </c>
      <c r="AV16" s="66" t="n"/>
      <c r="AW16" s="78">
        <f>IF(OR(AV$4=0,AV16=""),"",IFERROR(ROUND(AV16/INDEX(Undirviðmið!$F$6:$F$205,AV$4)*INDEX(Undirviðmið!$E$6:$E$205,AV$4)*KVARDI,2),""))</f>
        <v/>
      </c>
      <c r="AX16" s="66" t="n"/>
      <c r="AY16" s="78">
        <f>IF(OR(AX$4=0,AX16=""),"",IFERROR(ROUND(AX16/INDEX(Undirviðmið!$F$6:$F$205,AX$4)*INDEX(Undirviðmið!$E$6:$E$205,AX$4)*KVARDI,2),""))</f>
        <v/>
      </c>
      <c r="AZ16" s="66" t="n"/>
      <c r="BA16" s="78">
        <f>IF(OR(AZ$4=0,AZ16=""),"",IFERROR(ROUND(AZ16/INDEX(Undirviðmið!$F$6:$F$205,AZ$4)*INDEX(Undirviðmið!$E$6:$E$205,AZ$4)*KVARDI,2),""))</f>
        <v/>
      </c>
      <c r="BB16" s="66" t="n"/>
      <c r="BC16" s="78">
        <f>IF(OR(BB$4=0,BB16=""),"",IFERROR(ROUND(BB16/INDEX(Undirviðmið!$F$6:$F$205,BB$4)*INDEX(Undirviðmið!$E$6:$E$205,BB$4)*KVARDI,2),""))</f>
        <v/>
      </c>
      <c r="BD16" s="66" t="n"/>
      <c r="BE16" s="78">
        <f>IF(OR(BD$4=0,BD16=""),"",IFERROR(ROUND(BD16/INDEX(Undirviðmið!$F$6:$F$205,BD$4)*INDEX(Undirviðmið!$E$6:$E$205,BD$4)*KVARDI,2),""))</f>
        <v/>
      </c>
      <c r="BF16" s="66" t="n"/>
      <c r="BG16" s="78">
        <f>IF(OR(BF$4=0,BF16=""),"",IFERROR(ROUND(BF16/INDEX(Undirviðmið!$F$6:$F$205,BF$4)*INDEX(Undirviðmið!$E$6:$E$205,BF$4)*KVARDI,2),""))</f>
        <v/>
      </c>
      <c r="BH16" s="66" t="n"/>
      <c r="BI16" s="78">
        <f>IF(OR(BH$4=0,BH16=""),"",IFERROR(ROUND(BH16/INDEX(Undirviðmið!$F$6:$F$205,BH$4)*INDEX(Undirviðmið!$E$6:$E$205,BH$4)*KVARDI,2),""))</f>
        <v/>
      </c>
      <c r="BJ16" s="66" t="n"/>
      <c r="BK16" s="78">
        <f>IF(OR(BJ$4=0,BJ16=""),"",IFERROR(ROUND(BJ16/INDEX(Undirviðmið!$F$6:$F$205,BJ$4)*INDEX(Undirviðmið!$E$6:$E$205,BJ$4)*KVARDI,2),""))</f>
        <v/>
      </c>
      <c r="BL16" s="66" t="n"/>
      <c r="BM16" s="78">
        <f>IF(OR(BL$4=0,BL16=""),"",IFERROR(ROUND(BL16/INDEX(Undirviðmið!$F$6:$F$205,BL$4)*INDEX(Undirviðmið!$E$6:$E$205,BL$4)*KVARDI,2),""))</f>
        <v/>
      </c>
      <c r="BN16" s="66" t="n"/>
      <c r="BO16" s="78">
        <f>IF(OR(BN$4=0,BN16=""),"",IFERROR(ROUND(BN16/INDEX(Undirviðmið!$F$6:$F$205,BN$4)*INDEX(Undirviðmið!$E$6:$E$205,BN$4)*KVARDI,2),""))</f>
        <v/>
      </c>
      <c r="BP16" s="66" t="n"/>
      <c r="BQ16" s="78">
        <f>IF(OR(BP$4=0,BP16=""),"",IFERROR(ROUND(BP16/INDEX(Undirviðmið!$F$6:$F$205,BP$4)*INDEX(Undirviðmið!$E$6:$E$205,BP$4)*KVARDI,2),""))</f>
        <v/>
      </c>
      <c r="BR16" s="66" t="n"/>
      <c r="BS16" s="78">
        <f>IF(OR(BR$4=0,BR16=""),"",IFERROR(ROUND(BR16/INDEX(Undirviðmið!$F$6:$F$205,BR$4)*INDEX(Undirviðmið!$E$6:$E$205,BR$4)*KVARDI,2),""))</f>
        <v/>
      </c>
      <c r="BT16" s="66" t="n"/>
      <c r="BU16" s="78">
        <f>IF(OR(BT$4=0,BT16=""),"",IFERROR(ROUND(BT16/INDEX(Undirviðmið!$F$6:$F$205,BT$4)*INDEX(Undirviðmið!$E$6:$E$205,BT$4)*KVARDI,2),""))</f>
        <v/>
      </c>
      <c r="BV16" s="66" t="n"/>
      <c r="BW16" s="78">
        <f>IF(OR(BV$4=0,BV16=""),"",IFERROR(ROUND(BV16/INDEX(Undirviðmið!$F$6:$F$205,BV$4)*INDEX(Undirviðmið!$E$6:$E$205,BV$4)*KVARDI,2),""))</f>
        <v/>
      </c>
      <c r="BX16" s="66" t="n"/>
      <c r="BY16" s="78">
        <f>IF(OR(BX$4=0,BX16=""),"",IFERROR(ROUND(BX16/INDEX(Undirviðmið!$F$6:$F$205,BX$4)*INDEX(Undirviðmið!$E$6:$E$205,BX$4)*KVARDI,2),""))</f>
        <v/>
      </c>
      <c r="BZ16" s="66" t="n"/>
      <c r="CA16" s="78">
        <f>IF(OR(BZ$4=0,BZ16=""),"",IFERROR(ROUND(BZ16/INDEX(Undirviðmið!$F$6:$F$205,BZ$4)*INDEX(Undirviðmið!$E$6:$E$205,BZ$4)*KVARDI,2),""))</f>
        <v/>
      </c>
      <c r="CB16" s="66" t="n"/>
      <c r="CC16" s="78">
        <f>IF(OR(CB$4=0,CB16=""),"",IFERROR(ROUND(CB16/INDEX(Undirviðmið!$F$6:$F$205,CB$4)*INDEX(Undirviðmið!$E$6:$E$205,CB$4)*KVARDI,2),""))</f>
        <v/>
      </c>
      <c r="CD16" s="66" t="n"/>
      <c r="CE16" s="78">
        <f>IF(OR(CD$4=0,CD16=""),"",IFERROR(ROUND(CD16/INDEX(Undirviðmið!$F$6:$F$205,CD$4)*INDEX(Undirviðmið!$E$6:$E$205,CD$4)*KVARDI,2),""))</f>
        <v/>
      </c>
      <c r="CF16" s="66" t="n"/>
      <c r="CG16" s="78">
        <f>IF(OR(CF$4=0,CF16=""),"",IFERROR(ROUND(CF16/INDEX(Undirviðmið!$F$6:$F$205,CF$4)*INDEX(Undirviðmið!$E$6:$E$205,CF$4)*KVARDI,2),""))</f>
        <v/>
      </c>
      <c r="CH16" s="66" t="n"/>
      <c r="CI16" s="78">
        <f>IF(OR(CH$4=0,CH16=""),"",IFERROR(ROUND(CH16/INDEX(Undirviðmið!$F$6:$F$205,CH$4)*INDEX(Undirviðmið!$E$6:$E$205,CH$4)*KVARDI,2),""))</f>
        <v/>
      </c>
      <c r="CJ16" s="66" t="n"/>
      <c r="CK16" s="78">
        <f>IF(OR(CJ$4=0,CJ16=""),"",IFERROR(ROUND(CJ16/INDEX(Undirviðmið!$F$6:$F$205,CJ$4)*INDEX(Undirviðmið!$E$6:$E$205,CJ$4)*KVARDI,2),""))</f>
        <v/>
      </c>
      <c r="CL16" s="66" t="n"/>
      <c r="CM16" s="78">
        <f>IF(OR(CL$4=0,CL16=""),"",IFERROR(ROUND(CL16/INDEX(Undirviðmið!$F$6:$F$205,CL$4)*INDEX(Undirviðmið!$E$6:$E$205,CL$4)*KVARDI,2),""))</f>
        <v/>
      </c>
      <c r="CN16" s="66" t="n"/>
      <c r="CO16" s="78">
        <f>IF(OR(CN$4=0,CN16=""),"",IFERROR(ROUND(CN16/INDEX(Undirviðmið!$F$6:$F$205,CN$4)*INDEX(Undirviðmið!$E$6:$E$205,CN$4)*KVARDI,2),""))</f>
        <v/>
      </c>
      <c r="CP16" s="66" t="n"/>
      <c r="CQ16" s="78">
        <f>IF(OR(CP$4=0,CP16=""),"",IFERROR(ROUND(CP16/INDEX(Undirviðmið!$F$6:$F$205,CP$4)*INDEX(Undirviðmið!$E$6:$E$205,CP$4)*KVARDI,2),""))</f>
        <v/>
      </c>
      <c r="CR16" s="66" t="n"/>
      <c r="CS16" s="78">
        <f>IF(OR(CR$4=0,CR16=""),"",IFERROR(ROUND(CR16/INDEX(Undirviðmið!$F$6:$F$205,CR$4)*INDEX(Undirviðmið!$E$6:$E$205,CR$4)*KVARDI,2),""))</f>
        <v/>
      </c>
      <c r="CT16" s="66" t="n"/>
      <c r="CU16" s="78">
        <f>IF(OR(CT$4=0,CT16=""),"",IFERROR(ROUND(CT16/INDEX(Undirviðmið!$F$6:$F$205,CT$4)*INDEX(Undirviðmið!$E$6:$E$205,CT$4)*KVARDI,2),""))</f>
        <v/>
      </c>
      <c r="CV16" s="66" t="n"/>
      <c r="CW16" s="78">
        <f>IF(OR(CV$4=0,CV16=""),"",IFERROR(ROUND(CV16/INDEX(Undirviðmið!$F$6:$F$205,CV$4)*INDEX(Undirviðmið!$E$6:$E$205,CV$4)*KVARDI,2),""))</f>
        <v/>
      </c>
      <c r="CX16" s="66" t="n"/>
      <c r="CY16" s="78">
        <f>IF(OR(CX$4=0,CX16=""),"",IFERROR(ROUND(CX16/INDEX(Undirviðmið!$F$6:$F$205,CX$4)*INDEX(Undirviðmið!$E$6:$E$205,CX$4)*KVARDI,2),""))</f>
        <v/>
      </c>
      <c r="CZ16" s="66" t="n"/>
      <c r="DA16" s="78">
        <f>IF(OR(CZ$4=0,CZ16=""),"",IFERROR(ROUND(CZ16/INDEX(Undirviðmið!$F$6:$F$205,CZ$4)*INDEX(Undirviðmið!$E$6:$E$205,CZ$4)*KVARDI,2),""))</f>
        <v/>
      </c>
      <c r="DB16" s="66" t="n"/>
      <c r="DC16" s="78">
        <f>IF(OR(DB$4=0,DB16=""),"",IFERROR(ROUND(DB16/INDEX(Undirviðmið!$F$6:$F$205,DB$4)*INDEX(Undirviðmið!$E$6:$E$205,DB$4)*KVARDI,2),""))</f>
        <v/>
      </c>
      <c r="DD16" s="66" t="n"/>
      <c r="DE16" s="78">
        <f>IF(OR(DD$4=0,DD16=""),"",IFERROR(ROUND(DD16/INDEX(Undirviðmið!$F$6:$F$205,DD$4)*INDEX(Undirviðmið!$E$6:$E$205,DD$4)*KVARDI,2),""))</f>
        <v/>
      </c>
      <c r="DF16" s="66" t="n"/>
      <c r="DG16" s="78">
        <f>IF(OR(DF$4=0,DF16=""),"",IFERROR(ROUND(DF16/INDEX(Undirviðmið!$F$6:$F$205,DF$4)*INDEX(Undirviðmið!$E$6:$E$205,DF$4)*KVARDI,2),""))</f>
        <v/>
      </c>
      <c r="DH16" s="66" t="n"/>
      <c r="DI16" s="78">
        <f>IF(OR(DH$4=0,DH16=""),"",IFERROR(ROUND(DH16/INDEX(Undirviðmið!$F$6:$F$205,DH$4)*INDEX(Undirviðmið!$E$6:$E$205,DH$4)*KVARDI,2),""))</f>
        <v/>
      </c>
      <c r="DJ16" s="66" t="n"/>
      <c r="DK16" s="78">
        <f>IF(OR(DJ$4=0,DJ16=""),"",IFERROR(ROUND(DJ16/INDEX(Undirviðmið!$F$6:$F$205,DJ$4)*INDEX(Undirviðmið!$E$6:$E$205,DJ$4)*KVARDI,2),""))</f>
        <v/>
      </c>
      <c r="DL16" s="66" t="n"/>
      <c r="DM16" s="78">
        <f>IF(OR(DL$4=0,DL16=""),"",IFERROR(ROUND(DL16/INDEX(Undirviðmið!$F$6:$F$205,DL$4)*INDEX(Undirviðmið!$E$6:$E$205,DL$4)*KVARDI,2),""))</f>
        <v/>
      </c>
      <c r="DN16" s="66" t="n"/>
      <c r="DO16" s="78">
        <f>IF(OR(DN$4=0,DN16=""),"",IFERROR(ROUND(DN16/INDEX(Undirviðmið!$F$6:$F$205,DN$4)*INDEX(Undirviðmið!$E$6:$E$205,DN$4)*KVARDI,2),""))</f>
        <v/>
      </c>
      <c r="DP16" s="66" t="n"/>
      <c r="DQ16" s="78">
        <f>IF(OR(DP$4=0,DP16=""),"",IFERROR(ROUND(DP16/INDEX(Undirviðmið!$F$6:$F$205,DP$4)*INDEX(Undirviðmið!$E$6:$E$205,DP$4)*KVARDI,2),""))</f>
        <v/>
      </c>
      <c r="DR16" s="66" t="n"/>
      <c r="DS16" s="78">
        <f>IF(OR(DR$4=0,DR16=""),"",IFERROR(ROUND(DR16/INDEX(Undirviðmið!$F$6:$F$205,DR$4)*INDEX(Undirviðmið!$E$6:$E$205,DR$4)*KVARDI,2),""))</f>
        <v/>
      </c>
      <c r="DT16" s="66" t="n"/>
      <c r="DU16" s="78">
        <f>IF(OR(DT$4=0,DT16=""),"",IFERROR(ROUND(DT16/INDEX(Undirviðmið!$F$6:$F$205,DT$4)*INDEX(Undirviðmið!$E$6:$E$205,DT$4)*KVARDI,2),""))</f>
        <v/>
      </c>
      <c r="DV16" s="66" t="n"/>
      <c r="DW16" s="78">
        <f>IF(OR(DV$4=0,DV16=""),"",IFERROR(ROUND(DV16/INDEX(Undirviðmið!$F$6:$F$205,DV$4)*INDEX(Undirviðmið!$E$6:$E$205,DV$4)*KVARDI,2),""))</f>
        <v/>
      </c>
      <c r="DX16" s="66" t="n"/>
      <c r="DY16" s="78">
        <f>IF(OR(DX$4=0,DX16=""),"",IFERROR(ROUND(DX16/INDEX(Undirviðmið!$F$6:$F$205,DX$4)*INDEX(Undirviðmið!$E$6:$E$205,DX$4)*KVARDI,2),""))</f>
        <v/>
      </c>
      <c r="DZ16" s="66" t="n"/>
      <c r="EA16" s="78">
        <f>IF(OR(DZ$4=0,DZ16=""),"",IFERROR(ROUND(DZ16/INDEX(Undirviðmið!$F$6:$F$205,DZ$4)*INDEX(Undirviðmið!$E$6:$E$205,DZ$4)*KVARDI,2),""))</f>
        <v/>
      </c>
      <c r="EB16" s="66" t="n"/>
      <c r="EC16" s="78">
        <f>IF(OR(EB$4=0,EB16=""),"",IFERROR(ROUND(EB16/INDEX(Undirviðmið!$F$6:$F$205,EB$4)*INDEX(Undirviðmið!$E$6:$E$205,EB$4)*KVARDI,2),""))</f>
        <v/>
      </c>
      <c r="ED16" s="66" t="n"/>
      <c r="EE16" s="78">
        <f>IF(OR(ED$4=0,ED16=""),"",IFERROR(ROUND(ED16/INDEX(Undirviðmið!$F$6:$F$205,ED$4)*INDEX(Undirviðmið!$E$6:$E$205,ED$4)*KVARDI,2),""))</f>
        <v/>
      </c>
      <c r="EF16" s="66" t="n"/>
      <c r="EG16" s="78">
        <f>IF(OR(EF$4=0,EF16=""),"",IFERROR(ROUND(EF16/INDEX(Undirviðmið!$F$6:$F$205,EF$4)*INDEX(Undirviðmið!$E$6:$E$205,EF$4)*KVARDI,2),""))</f>
        <v/>
      </c>
      <c r="EH16" s="66" t="n"/>
      <c r="EI16" s="78">
        <f>IF(OR(EH$4=0,EH16=""),"",IFERROR(ROUND(EH16/INDEX(Undirviðmið!$F$6:$F$205,EH$4)*INDEX(Undirviðmið!$E$6:$E$205,EH$4)*KVARDI,2),""))</f>
        <v/>
      </c>
      <c r="EJ16" s="66" t="n"/>
      <c r="EK16" s="78">
        <f>IF(OR(EJ$4=0,EJ16=""),"",IFERROR(ROUND(EJ16/INDEX(Undirviðmið!$F$6:$F$205,EJ$4)*INDEX(Undirviðmið!$E$6:$E$205,EJ$4)*KVARDI,2),""))</f>
        <v/>
      </c>
      <c r="EL16" s="66" t="n"/>
      <c r="EM16" s="78">
        <f>IF(OR(EL$4=0,EL16=""),"",IFERROR(ROUND(EL16/INDEX(Undirviðmið!$F$6:$F$205,EL$4)*INDEX(Undirviðmið!$E$6:$E$205,EL$4)*KVARDI,2),""))</f>
        <v/>
      </c>
      <c r="EN16" s="66" t="n"/>
      <c r="EO16" s="78">
        <f>IF(OR(EN$4=0,EN16=""),"",IFERROR(ROUND(EN16/INDEX(Undirviðmið!$F$6:$F$205,EN$4)*INDEX(Undirviðmið!$E$6:$E$205,EN$4)*KVARDI,2),""))</f>
        <v/>
      </c>
      <c r="EP16" s="66" t="n"/>
      <c r="EQ16" s="78">
        <f>IF(OR(EP$4=0,EP16=""),"",IFERROR(ROUND(EP16/INDEX(Undirviðmið!$F$6:$F$205,EP$4)*INDEX(Undirviðmið!$E$6:$E$205,EP$4)*KVARDI,2),""))</f>
        <v/>
      </c>
      <c r="ER16" s="66" t="n"/>
      <c r="ES16" s="78">
        <f>IF(OR(ER$4=0,ER16=""),"",IFERROR(ROUND(ER16/INDEX(Undirviðmið!$F$6:$F$205,ER$4)*INDEX(Undirviðmið!$E$6:$E$205,ER$4)*KVARDI,2),""))</f>
        <v/>
      </c>
      <c r="ET16" s="66" t="n"/>
      <c r="EU16" s="78">
        <f>IF(OR(ET$4=0,ET16=""),"",IFERROR(ROUND(ET16/INDEX(Undirviðmið!$F$6:$F$205,ET$4)*INDEX(Undirviðmið!$E$6:$E$205,ET$4)*KVARDI,2),""))</f>
        <v/>
      </c>
      <c r="EV16" s="66" t="n"/>
      <c r="EW16" s="78">
        <f>IF(OR(EV$4=0,EV16=""),"",IFERROR(ROUND(EV16/INDEX(Undirviðmið!$F$6:$F$205,EV$4)*INDEX(Undirviðmið!$E$6:$E$205,EV$4)*KVARDI,2),""))</f>
        <v/>
      </c>
      <c r="EX16" s="66" t="n"/>
      <c r="EY16" s="78">
        <f>IF(OR(EX$4=0,EX16=""),"",IFERROR(ROUND(EX16/INDEX(Undirviðmið!$F$6:$F$205,EX$4)*INDEX(Undirviðmið!$E$6:$E$205,EX$4)*KVARDI,2),""))</f>
        <v/>
      </c>
      <c r="EZ16" s="66" t="n"/>
      <c r="FA16" s="78">
        <f>IF(OR(EZ$4=0,EZ16=""),"",IFERROR(ROUND(EZ16/INDEX(Undirviðmið!$F$6:$F$205,EZ$4)*INDEX(Undirviðmið!$E$6:$E$205,EZ$4)*KVARDI,2),""))</f>
        <v/>
      </c>
      <c r="FB16" s="66" t="n"/>
      <c r="FC16" s="78">
        <f>IF(OR(FB$4=0,FB16=""),"",IFERROR(ROUND(FB16/INDEX(Undirviðmið!$F$6:$F$205,FB$4)*INDEX(Undirviðmið!$E$6:$E$205,FB$4)*KVARDI,2),""))</f>
        <v/>
      </c>
      <c r="FD16" s="66" t="n"/>
      <c r="FE16" s="78">
        <f>IF(OR(FD$4=0,FD16=""),"",IFERROR(ROUND(FD16/INDEX(Undirviðmið!$F$6:$F$205,FD$4)*INDEX(Undirviðmið!$E$6:$E$205,FD$4)*KVARDI,2),""))</f>
        <v/>
      </c>
      <c r="FF16" s="66" t="n"/>
      <c r="FG16" s="78">
        <f>IF(OR(FF$4=0,FF16=""),"",IFERROR(ROUND(FF16/INDEX(Undirviðmið!$F$6:$F$205,FF$4)*INDEX(Undirviðmið!$E$6:$E$205,FF$4)*KVARDI,2),""))</f>
        <v/>
      </c>
      <c r="FH16" s="66" t="n"/>
      <c r="FI16" s="78">
        <f>IF(OR(FH$4=0,FH16=""),"",IFERROR(ROUND(FH16/INDEX(Undirviðmið!$F$6:$F$205,FH$4)*INDEX(Undirviðmið!$E$6:$E$205,FH$4)*KVARDI,2),""))</f>
        <v/>
      </c>
      <c r="FJ16" s="66" t="n"/>
      <c r="FK16" s="78">
        <f>IF(OR(FJ$4=0,FJ16=""),"",IFERROR(ROUND(FJ16/INDEX(Undirviðmið!$F$6:$F$205,FJ$4)*INDEX(Undirviðmið!$E$6:$E$205,FJ$4)*KVARDI,2),""))</f>
        <v/>
      </c>
      <c r="FL16" s="66" t="n"/>
      <c r="FM16" s="78">
        <f>IF(OR(FL$4=0,FL16=""),"",IFERROR(ROUND(FL16/INDEX(Undirviðmið!$F$6:$F$205,FL$4)*INDEX(Undirviðmið!$E$6:$E$205,FL$4)*KVARDI,2),""))</f>
        <v/>
      </c>
      <c r="FN16" s="66" t="n"/>
      <c r="FO16" s="78">
        <f>IF(OR(FN$4=0,FN16=""),"",IFERROR(ROUND(FN16/INDEX(Undirviðmið!$F$6:$F$205,FN$4)*INDEX(Undirviðmið!$E$6:$E$205,FN$4)*KVARDI,2),""))</f>
        <v/>
      </c>
      <c r="FP16" s="66" t="n"/>
      <c r="FQ16" s="78">
        <f>IF(OR(FP$4=0,FP16=""),"",IFERROR(ROUND(FP16/INDEX(Undirviðmið!$F$6:$F$205,FP$4)*INDEX(Undirviðmið!$E$6:$E$205,FP$4)*KVARDI,2),""))</f>
        <v/>
      </c>
      <c r="FR16" s="66" t="n"/>
      <c r="FS16" s="78">
        <f>IF(OR(FR$4=0,FR16=""),"",IFERROR(ROUND(FR16/INDEX(Undirviðmið!$F$6:$F$205,FR$4)*INDEX(Undirviðmið!$E$6:$E$205,FR$4)*KVARDI,2),""))</f>
        <v/>
      </c>
      <c r="FT16" s="66" t="n"/>
      <c r="FU16" s="78">
        <f>IF(OR(FT$4=0,FT16=""),"",IFERROR(ROUND(FT16/INDEX(Undirviðmið!$F$6:$F$205,FT$4)*INDEX(Undirviðmið!$E$6:$E$205,FT$4)*KVARDI,2),""))</f>
        <v/>
      </c>
      <c r="FV16" s="66" t="n"/>
      <c r="FW16" s="78">
        <f>IF(OR(FV$4=0,FV16=""),"",IFERROR(ROUND(FV16/INDEX(Undirviðmið!$F$6:$F$205,FV$4)*INDEX(Undirviðmið!$E$6:$E$205,FV$4)*KVARDI,2),""))</f>
        <v/>
      </c>
      <c r="FX16" s="66" t="n"/>
      <c r="FY16" s="78">
        <f>IF(OR(FX$4=0,FX16=""),"",IFERROR(ROUND(FX16/INDEX(Undirviðmið!$F$6:$F$205,FX$4)*INDEX(Undirviðmið!$E$6:$E$205,FX$4)*KVARDI,2),""))</f>
        <v/>
      </c>
      <c r="FZ16" s="66" t="n"/>
      <c r="GA16" s="78">
        <f>IF(OR(FZ$4=0,FZ16=""),"",IFERROR(ROUND(FZ16/INDEX(Undirviðmið!$F$6:$F$205,FZ$4)*INDEX(Undirviðmið!$E$6:$E$205,FZ$4)*KVARDI,2),""))</f>
        <v/>
      </c>
      <c r="GB16" s="66" t="n"/>
      <c r="GC16" s="78">
        <f>IF(OR(GB$4=0,GB16=""),"",IFERROR(ROUND(GB16/INDEX(Undirviðmið!$F$6:$F$205,GB$4)*INDEX(Undirviðmið!$E$6:$E$205,GB$4)*KVARDI,2),""))</f>
        <v/>
      </c>
      <c r="GD16" s="66" t="n"/>
      <c r="GE16" s="78">
        <f>IF(OR(GD$4=0,GD16=""),"",IFERROR(ROUND(GD16/INDEX(Undirviðmið!$F$6:$F$205,GD$4)*INDEX(Undirviðmið!$E$6:$E$205,GD$4)*KVARDI,2),""))</f>
        <v/>
      </c>
      <c r="GF16" s="66" t="n"/>
      <c r="GG16" s="78">
        <f>IF(OR(GF$4=0,GF16=""),"",IFERROR(ROUND(GF16/INDEX(Undirviðmið!$F$6:$F$205,GF$4)*INDEX(Undirviðmið!$E$6:$E$205,GF$4)*KVARDI,2),""))</f>
        <v/>
      </c>
      <c r="GH16" s="66" t="n"/>
      <c r="GI16" s="78">
        <f>IF(OR(GH$4=0,GH16=""),"",IFERROR(ROUND(GH16/INDEX(Undirviðmið!$F$6:$F$205,GH$4)*INDEX(Undirviðmið!$E$6:$E$205,GH$4)*KVARDI,2),""))</f>
        <v/>
      </c>
      <c r="GJ16" s="66" t="n"/>
      <c r="GK16" s="78">
        <f>IF(OR(GJ$4=0,GJ16=""),"",IFERROR(ROUND(GJ16/INDEX(Undirviðmið!$F$6:$F$205,GJ$4)*INDEX(Undirviðmið!$E$6:$E$205,GJ$4)*KVARDI,2),""))</f>
        <v/>
      </c>
      <c r="GL16" s="66" t="n"/>
      <c r="GM16" s="78">
        <f>IF(OR(GL$4=0,GL16=""),"",IFERROR(ROUND(GL16/INDEX(Undirviðmið!$F$6:$F$205,GL$4)*INDEX(Undirviðmið!$E$6:$E$205,GL$4)*KVARDI,2),""))</f>
        <v/>
      </c>
      <c r="GN16" s="66" t="n"/>
      <c r="GO16" s="78">
        <f>IF(OR(GN$4=0,GN16=""),"",IFERROR(ROUND(GN16/INDEX(Undirviðmið!$F$6:$F$205,GN$4)*INDEX(Undirviðmið!$E$6:$E$205,GN$4)*KVARDI,2),""))</f>
        <v/>
      </c>
      <c r="GP16" s="66" t="n"/>
      <c r="GQ16" s="78">
        <f>IF(OR(GP$4=0,GP16=""),"",IFERROR(ROUND(GP16/INDEX(Undirviðmið!$F$6:$F$205,GP$4)*INDEX(Undirviðmið!$E$6:$E$205,GP$4)*KVARDI,2),""))</f>
        <v/>
      </c>
      <c r="GR16" s="66" t="n"/>
      <c r="GS16" s="78">
        <f>IF(OR(GR$4=0,GR16=""),"",IFERROR(ROUND(GR16/INDEX(Undirviðmið!$F$6:$F$205,GR$4)*INDEX(Undirviðmið!$E$6:$E$205,GR$4)*KVARDI,2),""))</f>
        <v/>
      </c>
      <c r="GT16" s="66" t="n"/>
      <c r="GU16" s="78">
        <f>IF(OR(GT$4=0,GT16=""),"",IFERROR(ROUND(GT16/INDEX(Undirviðmið!$F$6:$F$205,GT$4)*INDEX(Undirviðmið!$E$6:$E$205,GT$4)*KVARDI,2),""))</f>
        <v/>
      </c>
      <c r="GV16" s="63">
        <f>IFERROR(SUMIF($D$6:GU$6,"Stig",$D16:GU16),0)</f>
        <v/>
      </c>
    </row>
    <row r="17" ht="15" customHeight="1" s="47">
      <c r="A17" s="65">
        <f>ROW()-6</f>
        <v/>
      </c>
      <c r="B17" s="67">
        <f>IF(INDEX(Starfsmenn!$B$6:$B$10005,ROW()-6)="","",INDEX(Starfsmenn!$B$6:$B$10005,ROW()-6))</f>
        <v/>
      </c>
      <c r="C17" s="67">
        <f>IF(INDEX(Starfsmenn!$C$6:$C$10005,ROW()-6)="","",INDEX(Starfsmenn!$C$6:$C$10005,ROW()-6))</f>
        <v/>
      </c>
      <c r="D17" s="66" t="n"/>
      <c r="E17" s="78">
        <f>IF(OR(D$4=0,D17=""),"",IFERROR(ROUND(D17/INDEX(Undirviðmið!$F$6:$F$205,D$4)*INDEX(Undirviðmið!$E$6:$E$205,D$4)*KVARDI,2),""))</f>
        <v/>
      </c>
      <c r="F17" s="66" t="n"/>
      <c r="G17" s="78">
        <f>IF(OR(F$4=0,F17=""),"",IFERROR(ROUND(F17/INDEX(Undirviðmið!$F$6:$F$205,F$4)*INDEX(Undirviðmið!$E$6:$E$205,F$4)*KVARDI,2),""))</f>
        <v/>
      </c>
      <c r="H17" s="66" t="n"/>
      <c r="I17" s="78">
        <f>IF(OR(H$4=0,H17=""),"",IFERROR(ROUND(H17/INDEX(Undirviðmið!$F$6:$F$205,H$4)*INDEX(Undirviðmið!$E$6:$E$205,H$4)*KVARDI,2),""))</f>
        <v/>
      </c>
      <c r="J17" s="66" t="n"/>
      <c r="K17" s="78">
        <f>IF(OR(J$4=0,J17=""),"",IFERROR(ROUND(J17/INDEX(Undirviðmið!$F$6:$F$205,J$4)*INDEX(Undirviðmið!$E$6:$E$205,J$4)*KVARDI,2),""))</f>
        <v/>
      </c>
      <c r="L17" s="66" t="n"/>
      <c r="M17" s="78">
        <f>IF(OR(L$4=0,L17=""),"",IFERROR(ROUND(L17/INDEX(Undirviðmið!$F$6:$F$205,L$4)*INDEX(Undirviðmið!$E$6:$E$205,L$4)*KVARDI,2),""))</f>
        <v/>
      </c>
      <c r="N17" s="66" t="n"/>
      <c r="O17" s="78">
        <f>IF(OR(N$4=0,N17=""),"",IFERROR(ROUND(N17/INDEX(Undirviðmið!$F$6:$F$205,N$4)*INDEX(Undirviðmið!$E$6:$E$205,N$4)*KVARDI,2),""))</f>
        <v/>
      </c>
      <c r="P17" s="66" t="n"/>
      <c r="Q17" s="78">
        <f>IF(OR(P$4=0,P17=""),"",IFERROR(ROUND(P17/INDEX(Undirviðmið!$F$6:$F$205,P$4)*INDEX(Undirviðmið!$E$6:$E$205,P$4)*KVARDI,2),""))</f>
        <v/>
      </c>
      <c r="R17" s="66" t="n"/>
      <c r="S17" s="78">
        <f>IF(OR(R$4=0,R17=""),"",IFERROR(ROUND(R17/INDEX(Undirviðmið!$F$6:$F$205,R$4)*INDEX(Undirviðmið!$E$6:$E$205,R$4)*KVARDI,2),""))</f>
        <v/>
      </c>
      <c r="T17" s="66" t="n"/>
      <c r="U17" s="78">
        <f>IF(OR(T$4=0,T17=""),"",IFERROR(ROUND(T17/INDEX(Undirviðmið!$F$6:$F$205,T$4)*INDEX(Undirviðmið!$E$6:$E$205,T$4)*KVARDI,2),""))</f>
        <v/>
      </c>
      <c r="V17" s="66" t="n"/>
      <c r="W17" s="78">
        <f>IF(OR(V$4=0,V17=""),"",IFERROR(ROUND(V17/INDEX(Undirviðmið!$F$6:$F$205,V$4)*INDEX(Undirviðmið!$E$6:$E$205,V$4)*KVARDI,2),""))</f>
        <v/>
      </c>
      <c r="X17" s="66" t="n"/>
      <c r="Y17" s="78">
        <f>IF(OR(X$4=0,X17=""),"",IFERROR(ROUND(X17/INDEX(Undirviðmið!$F$6:$F$205,X$4)*INDEX(Undirviðmið!$E$6:$E$205,X$4)*KVARDI,2),""))</f>
        <v/>
      </c>
      <c r="Z17" s="66" t="n"/>
      <c r="AA17" s="78">
        <f>IF(OR(Z$4=0,Z17=""),"",IFERROR(ROUND(Z17/INDEX(Undirviðmið!$F$6:$F$205,Z$4)*INDEX(Undirviðmið!$E$6:$E$205,Z$4)*KVARDI,2),""))</f>
        <v/>
      </c>
      <c r="AB17" s="66" t="n"/>
      <c r="AC17" s="78">
        <f>IF(OR(AB$4=0,AB17=""),"",IFERROR(ROUND(AB17/INDEX(Undirviðmið!$F$6:$F$205,AB$4)*INDEX(Undirviðmið!$E$6:$E$205,AB$4)*KVARDI,2),""))</f>
        <v/>
      </c>
      <c r="AD17" s="66" t="n"/>
      <c r="AE17" s="78">
        <f>IF(OR(AD$4=0,AD17=""),"",IFERROR(ROUND(AD17/INDEX(Undirviðmið!$F$6:$F$205,AD$4)*INDEX(Undirviðmið!$E$6:$E$205,AD$4)*KVARDI,2),""))</f>
        <v/>
      </c>
      <c r="AF17" s="66" t="n"/>
      <c r="AG17" s="78">
        <f>IF(OR(AF$4=0,AF17=""),"",IFERROR(ROUND(AF17/INDEX(Undirviðmið!$F$6:$F$205,AF$4)*INDEX(Undirviðmið!$E$6:$E$205,AF$4)*KVARDI,2),""))</f>
        <v/>
      </c>
      <c r="AH17" s="66" t="n"/>
      <c r="AI17" s="78">
        <f>IF(OR(AH$4=0,AH17=""),"",IFERROR(ROUND(AH17/INDEX(Undirviðmið!$F$6:$F$205,AH$4)*INDEX(Undirviðmið!$E$6:$E$205,AH$4)*KVARDI,2),""))</f>
        <v/>
      </c>
      <c r="AJ17" s="66" t="n"/>
      <c r="AK17" s="78">
        <f>IF(OR(AJ$4=0,AJ17=""),"",IFERROR(ROUND(AJ17/INDEX(Undirviðmið!$F$6:$F$205,AJ$4)*INDEX(Undirviðmið!$E$6:$E$205,AJ$4)*KVARDI,2),""))</f>
        <v/>
      </c>
      <c r="AL17" s="66" t="n"/>
      <c r="AM17" s="78">
        <f>IF(OR(AL$4=0,AL17=""),"",IFERROR(ROUND(AL17/INDEX(Undirviðmið!$F$6:$F$205,AL$4)*INDEX(Undirviðmið!$E$6:$E$205,AL$4)*KVARDI,2),""))</f>
        <v/>
      </c>
      <c r="AN17" s="66" t="n"/>
      <c r="AO17" s="78">
        <f>IF(OR(AN$4=0,AN17=""),"",IFERROR(ROUND(AN17/INDEX(Undirviðmið!$F$6:$F$205,AN$4)*INDEX(Undirviðmið!$E$6:$E$205,AN$4)*KVARDI,2),""))</f>
        <v/>
      </c>
      <c r="AP17" s="66" t="n"/>
      <c r="AQ17" s="78">
        <f>IF(OR(AP$4=0,AP17=""),"",IFERROR(ROUND(AP17/INDEX(Undirviðmið!$F$6:$F$205,AP$4)*INDEX(Undirviðmið!$E$6:$E$205,AP$4)*KVARDI,2),""))</f>
        <v/>
      </c>
      <c r="AR17" s="66" t="n"/>
      <c r="AS17" s="78">
        <f>IF(OR(AR$4=0,AR17=""),"",IFERROR(ROUND(AR17/INDEX(Undirviðmið!$F$6:$F$205,AR$4)*INDEX(Undirviðmið!$E$6:$E$205,AR$4)*KVARDI,2),""))</f>
        <v/>
      </c>
      <c r="AT17" s="66" t="n"/>
      <c r="AU17" s="78">
        <f>IF(OR(AT$4=0,AT17=""),"",IFERROR(ROUND(AT17/INDEX(Undirviðmið!$F$6:$F$205,AT$4)*INDEX(Undirviðmið!$E$6:$E$205,AT$4)*KVARDI,2),""))</f>
        <v/>
      </c>
      <c r="AV17" s="66" t="n"/>
      <c r="AW17" s="78">
        <f>IF(OR(AV$4=0,AV17=""),"",IFERROR(ROUND(AV17/INDEX(Undirviðmið!$F$6:$F$205,AV$4)*INDEX(Undirviðmið!$E$6:$E$205,AV$4)*KVARDI,2),""))</f>
        <v/>
      </c>
      <c r="AX17" s="66" t="n"/>
      <c r="AY17" s="78">
        <f>IF(OR(AX$4=0,AX17=""),"",IFERROR(ROUND(AX17/INDEX(Undirviðmið!$F$6:$F$205,AX$4)*INDEX(Undirviðmið!$E$6:$E$205,AX$4)*KVARDI,2),""))</f>
        <v/>
      </c>
      <c r="AZ17" s="66" t="n"/>
      <c r="BA17" s="78">
        <f>IF(OR(AZ$4=0,AZ17=""),"",IFERROR(ROUND(AZ17/INDEX(Undirviðmið!$F$6:$F$205,AZ$4)*INDEX(Undirviðmið!$E$6:$E$205,AZ$4)*KVARDI,2),""))</f>
        <v/>
      </c>
      <c r="BB17" s="66" t="n"/>
      <c r="BC17" s="78">
        <f>IF(OR(BB$4=0,BB17=""),"",IFERROR(ROUND(BB17/INDEX(Undirviðmið!$F$6:$F$205,BB$4)*INDEX(Undirviðmið!$E$6:$E$205,BB$4)*KVARDI,2),""))</f>
        <v/>
      </c>
      <c r="BD17" s="66" t="n"/>
      <c r="BE17" s="78">
        <f>IF(OR(BD$4=0,BD17=""),"",IFERROR(ROUND(BD17/INDEX(Undirviðmið!$F$6:$F$205,BD$4)*INDEX(Undirviðmið!$E$6:$E$205,BD$4)*KVARDI,2),""))</f>
        <v/>
      </c>
      <c r="BF17" s="66" t="n"/>
      <c r="BG17" s="78">
        <f>IF(OR(BF$4=0,BF17=""),"",IFERROR(ROUND(BF17/INDEX(Undirviðmið!$F$6:$F$205,BF$4)*INDEX(Undirviðmið!$E$6:$E$205,BF$4)*KVARDI,2),""))</f>
        <v/>
      </c>
      <c r="BH17" s="66" t="n"/>
      <c r="BI17" s="78">
        <f>IF(OR(BH$4=0,BH17=""),"",IFERROR(ROUND(BH17/INDEX(Undirviðmið!$F$6:$F$205,BH$4)*INDEX(Undirviðmið!$E$6:$E$205,BH$4)*KVARDI,2),""))</f>
        <v/>
      </c>
      <c r="BJ17" s="66" t="n"/>
      <c r="BK17" s="78">
        <f>IF(OR(BJ$4=0,BJ17=""),"",IFERROR(ROUND(BJ17/INDEX(Undirviðmið!$F$6:$F$205,BJ$4)*INDEX(Undirviðmið!$E$6:$E$205,BJ$4)*KVARDI,2),""))</f>
        <v/>
      </c>
      <c r="BL17" s="66" t="n"/>
      <c r="BM17" s="78">
        <f>IF(OR(BL$4=0,BL17=""),"",IFERROR(ROUND(BL17/INDEX(Undirviðmið!$F$6:$F$205,BL$4)*INDEX(Undirviðmið!$E$6:$E$205,BL$4)*KVARDI,2),""))</f>
        <v/>
      </c>
      <c r="BN17" s="66" t="n"/>
      <c r="BO17" s="78">
        <f>IF(OR(BN$4=0,BN17=""),"",IFERROR(ROUND(BN17/INDEX(Undirviðmið!$F$6:$F$205,BN$4)*INDEX(Undirviðmið!$E$6:$E$205,BN$4)*KVARDI,2),""))</f>
        <v/>
      </c>
      <c r="BP17" s="66" t="n"/>
      <c r="BQ17" s="78">
        <f>IF(OR(BP$4=0,BP17=""),"",IFERROR(ROUND(BP17/INDEX(Undirviðmið!$F$6:$F$205,BP$4)*INDEX(Undirviðmið!$E$6:$E$205,BP$4)*KVARDI,2),""))</f>
        <v/>
      </c>
      <c r="BR17" s="66" t="n"/>
      <c r="BS17" s="78">
        <f>IF(OR(BR$4=0,BR17=""),"",IFERROR(ROUND(BR17/INDEX(Undirviðmið!$F$6:$F$205,BR$4)*INDEX(Undirviðmið!$E$6:$E$205,BR$4)*KVARDI,2),""))</f>
        <v/>
      </c>
      <c r="BT17" s="66" t="n"/>
      <c r="BU17" s="78">
        <f>IF(OR(BT$4=0,BT17=""),"",IFERROR(ROUND(BT17/INDEX(Undirviðmið!$F$6:$F$205,BT$4)*INDEX(Undirviðmið!$E$6:$E$205,BT$4)*KVARDI,2),""))</f>
        <v/>
      </c>
      <c r="BV17" s="66" t="n"/>
      <c r="BW17" s="78">
        <f>IF(OR(BV$4=0,BV17=""),"",IFERROR(ROUND(BV17/INDEX(Undirviðmið!$F$6:$F$205,BV$4)*INDEX(Undirviðmið!$E$6:$E$205,BV$4)*KVARDI,2),""))</f>
        <v/>
      </c>
      <c r="BX17" s="66" t="n"/>
      <c r="BY17" s="78">
        <f>IF(OR(BX$4=0,BX17=""),"",IFERROR(ROUND(BX17/INDEX(Undirviðmið!$F$6:$F$205,BX$4)*INDEX(Undirviðmið!$E$6:$E$205,BX$4)*KVARDI,2),""))</f>
        <v/>
      </c>
      <c r="BZ17" s="66" t="n"/>
      <c r="CA17" s="78">
        <f>IF(OR(BZ$4=0,BZ17=""),"",IFERROR(ROUND(BZ17/INDEX(Undirviðmið!$F$6:$F$205,BZ$4)*INDEX(Undirviðmið!$E$6:$E$205,BZ$4)*KVARDI,2),""))</f>
        <v/>
      </c>
      <c r="CB17" s="66" t="n"/>
      <c r="CC17" s="78">
        <f>IF(OR(CB$4=0,CB17=""),"",IFERROR(ROUND(CB17/INDEX(Undirviðmið!$F$6:$F$205,CB$4)*INDEX(Undirviðmið!$E$6:$E$205,CB$4)*KVARDI,2),""))</f>
        <v/>
      </c>
      <c r="CD17" s="66" t="n"/>
      <c r="CE17" s="78">
        <f>IF(OR(CD$4=0,CD17=""),"",IFERROR(ROUND(CD17/INDEX(Undirviðmið!$F$6:$F$205,CD$4)*INDEX(Undirviðmið!$E$6:$E$205,CD$4)*KVARDI,2),""))</f>
        <v/>
      </c>
      <c r="CF17" s="66" t="n"/>
      <c r="CG17" s="78">
        <f>IF(OR(CF$4=0,CF17=""),"",IFERROR(ROUND(CF17/INDEX(Undirviðmið!$F$6:$F$205,CF$4)*INDEX(Undirviðmið!$E$6:$E$205,CF$4)*KVARDI,2),""))</f>
        <v/>
      </c>
      <c r="CH17" s="66" t="n"/>
      <c r="CI17" s="78">
        <f>IF(OR(CH$4=0,CH17=""),"",IFERROR(ROUND(CH17/INDEX(Undirviðmið!$F$6:$F$205,CH$4)*INDEX(Undirviðmið!$E$6:$E$205,CH$4)*KVARDI,2),""))</f>
        <v/>
      </c>
      <c r="CJ17" s="66" t="n"/>
      <c r="CK17" s="78">
        <f>IF(OR(CJ$4=0,CJ17=""),"",IFERROR(ROUND(CJ17/INDEX(Undirviðmið!$F$6:$F$205,CJ$4)*INDEX(Undirviðmið!$E$6:$E$205,CJ$4)*KVARDI,2),""))</f>
        <v/>
      </c>
      <c r="CL17" s="66" t="n"/>
      <c r="CM17" s="78">
        <f>IF(OR(CL$4=0,CL17=""),"",IFERROR(ROUND(CL17/INDEX(Undirviðmið!$F$6:$F$205,CL$4)*INDEX(Undirviðmið!$E$6:$E$205,CL$4)*KVARDI,2),""))</f>
        <v/>
      </c>
      <c r="CN17" s="66" t="n"/>
      <c r="CO17" s="78">
        <f>IF(OR(CN$4=0,CN17=""),"",IFERROR(ROUND(CN17/INDEX(Undirviðmið!$F$6:$F$205,CN$4)*INDEX(Undirviðmið!$E$6:$E$205,CN$4)*KVARDI,2),""))</f>
        <v/>
      </c>
      <c r="CP17" s="66" t="n"/>
      <c r="CQ17" s="78">
        <f>IF(OR(CP$4=0,CP17=""),"",IFERROR(ROUND(CP17/INDEX(Undirviðmið!$F$6:$F$205,CP$4)*INDEX(Undirviðmið!$E$6:$E$205,CP$4)*KVARDI,2),""))</f>
        <v/>
      </c>
      <c r="CR17" s="66" t="n"/>
      <c r="CS17" s="78">
        <f>IF(OR(CR$4=0,CR17=""),"",IFERROR(ROUND(CR17/INDEX(Undirviðmið!$F$6:$F$205,CR$4)*INDEX(Undirviðmið!$E$6:$E$205,CR$4)*KVARDI,2),""))</f>
        <v/>
      </c>
      <c r="CT17" s="66" t="n"/>
      <c r="CU17" s="78">
        <f>IF(OR(CT$4=0,CT17=""),"",IFERROR(ROUND(CT17/INDEX(Undirviðmið!$F$6:$F$205,CT$4)*INDEX(Undirviðmið!$E$6:$E$205,CT$4)*KVARDI,2),""))</f>
        <v/>
      </c>
      <c r="CV17" s="66" t="n"/>
      <c r="CW17" s="78">
        <f>IF(OR(CV$4=0,CV17=""),"",IFERROR(ROUND(CV17/INDEX(Undirviðmið!$F$6:$F$205,CV$4)*INDEX(Undirviðmið!$E$6:$E$205,CV$4)*KVARDI,2),""))</f>
        <v/>
      </c>
      <c r="CX17" s="66" t="n"/>
      <c r="CY17" s="78">
        <f>IF(OR(CX$4=0,CX17=""),"",IFERROR(ROUND(CX17/INDEX(Undirviðmið!$F$6:$F$205,CX$4)*INDEX(Undirviðmið!$E$6:$E$205,CX$4)*KVARDI,2),""))</f>
        <v/>
      </c>
      <c r="CZ17" s="66" t="n"/>
      <c r="DA17" s="78">
        <f>IF(OR(CZ$4=0,CZ17=""),"",IFERROR(ROUND(CZ17/INDEX(Undirviðmið!$F$6:$F$205,CZ$4)*INDEX(Undirviðmið!$E$6:$E$205,CZ$4)*KVARDI,2),""))</f>
        <v/>
      </c>
      <c r="DB17" s="66" t="n"/>
      <c r="DC17" s="78">
        <f>IF(OR(DB$4=0,DB17=""),"",IFERROR(ROUND(DB17/INDEX(Undirviðmið!$F$6:$F$205,DB$4)*INDEX(Undirviðmið!$E$6:$E$205,DB$4)*KVARDI,2),""))</f>
        <v/>
      </c>
      <c r="DD17" s="66" t="n"/>
      <c r="DE17" s="78">
        <f>IF(OR(DD$4=0,DD17=""),"",IFERROR(ROUND(DD17/INDEX(Undirviðmið!$F$6:$F$205,DD$4)*INDEX(Undirviðmið!$E$6:$E$205,DD$4)*KVARDI,2),""))</f>
        <v/>
      </c>
      <c r="DF17" s="66" t="n"/>
      <c r="DG17" s="78">
        <f>IF(OR(DF$4=0,DF17=""),"",IFERROR(ROUND(DF17/INDEX(Undirviðmið!$F$6:$F$205,DF$4)*INDEX(Undirviðmið!$E$6:$E$205,DF$4)*KVARDI,2),""))</f>
        <v/>
      </c>
      <c r="DH17" s="66" t="n"/>
      <c r="DI17" s="78">
        <f>IF(OR(DH$4=0,DH17=""),"",IFERROR(ROUND(DH17/INDEX(Undirviðmið!$F$6:$F$205,DH$4)*INDEX(Undirviðmið!$E$6:$E$205,DH$4)*KVARDI,2),""))</f>
        <v/>
      </c>
      <c r="DJ17" s="66" t="n"/>
      <c r="DK17" s="78">
        <f>IF(OR(DJ$4=0,DJ17=""),"",IFERROR(ROUND(DJ17/INDEX(Undirviðmið!$F$6:$F$205,DJ$4)*INDEX(Undirviðmið!$E$6:$E$205,DJ$4)*KVARDI,2),""))</f>
        <v/>
      </c>
      <c r="DL17" s="66" t="n"/>
      <c r="DM17" s="78">
        <f>IF(OR(DL$4=0,DL17=""),"",IFERROR(ROUND(DL17/INDEX(Undirviðmið!$F$6:$F$205,DL$4)*INDEX(Undirviðmið!$E$6:$E$205,DL$4)*KVARDI,2),""))</f>
        <v/>
      </c>
      <c r="DN17" s="66" t="n"/>
      <c r="DO17" s="78">
        <f>IF(OR(DN$4=0,DN17=""),"",IFERROR(ROUND(DN17/INDEX(Undirviðmið!$F$6:$F$205,DN$4)*INDEX(Undirviðmið!$E$6:$E$205,DN$4)*KVARDI,2),""))</f>
        <v/>
      </c>
      <c r="DP17" s="66" t="n"/>
      <c r="DQ17" s="78">
        <f>IF(OR(DP$4=0,DP17=""),"",IFERROR(ROUND(DP17/INDEX(Undirviðmið!$F$6:$F$205,DP$4)*INDEX(Undirviðmið!$E$6:$E$205,DP$4)*KVARDI,2),""))</f>
        <v/>
      </c>
      <c r="DR17" s="66" t="n"/>
      <c r="DS17" s="78">
        <f>IF(OR(DR$4=0,DR17=""),"",IFERROR(ROUND(DR17/INDEX(Undirviðmið!$F$6:$F$205,DR$4)*INDEX(Undirviðmið!$E$6:$E$205,DR$4)*KVARDI,2),""))</f>
        <v/>
      </c>
      <c r="DT17" s="66" t="n"/>
      <c r="DU17" s="78">
        <f>IF(OR(DT$4=0,DT17=""),"",IFERROR(ROUND(DT17/INDEX(Undirviðmið!$F$6:$F$205,DT$4)*INDEX(Undirviðmið!$E$6:$E$205,DT$4)*KVARDI,2),""))</f>
        <v/>
      </c>
      <c r="DV17" s="66" t="n"/>
      <c r="DW17" s="78">
        <f>IF(OR(DV$4=0,DV17=""),"",IFERROR(ROUND(DV17/INDEX(Undirviðmið!$F$6:$F$205,DV$4)*INDEX(Undirviðmið!$E$6:$E$205,DV$4)*KVARDI,2),""))</f>
        <v/>
      </c>
      <c r="DX17" s="66" t="n"/>
      <c r="DY17" s="78">
        <f>IF(OR(DX$4=0,DX17=""),"",IFERROR(ROUND(DX17/INDEX(Undirviðmið!$F$6:$F$205,DX$4)*INDEX(Undirviðmið!$E$6:$E$205,DX$4)*KVARDI,2),""))</f>
        <v/>
      </c>
      <c r="DZ17" s="66" t="n"/>
      <c r="EA17" s="78">
        <f>IF(OR(DZ$4=0,DZ17=""),"",IFERROR(ROUND(DZ17/INDEX(Undirviðmið!$F$6:$F$205,DZ$4)*INDEX(Undirviðmið!$E$6:$E$205,DZ$4)*KVARDI,2),""))</f>
        <v/>
      </c>
      <c r="EB17" s="66" t="n"/>
      <c r="EC17" s="78">
        <f>IF(OR(EB$4=0,EB17=""),"",IFERROR(ROUND(EB17/INDEX(Undirviðmið!$F$6:$F$205,EB$4)*INDEX(Undirviðmið!$E$6:$E$205,EB$4)*KVARDI,2),""))</f>
        <v/>
      </c>
      <c r="ED17" s="66" t="n"/>
      <c r="EE17" s="78">
        <f>IF(OR(ED$4=0,ED17=""),"",IFERROR(ROUND(ED17/INDEX(Undirviðmið!$F$6:$F$205,ED$4)*INDEX(Undirviðmið!$E$6:$E$205,ED$4)*KVARDI,2),""))</f>
        <v/>
      </c>
      <c r="EF17" s="66" t="n"/>
      <c r="EG17" s="78">
        <f>IF(OR(EF$4=0,EF17=""),"",IFERROR(ROUND(EF17/INDEX(Undirviðmið!$F$6:$F$205,EF$4)*INDEX(Undirviðmið!$E$6:$E$205,EF$4)*KVARDI,2),""))</f>
        <v/>
      </c>
      <c r="EH17" s="66" t="n"/>
      <c r="EI17" s="78">
        <f>IF(OR(EH$4=0,EH17=""),"",IFERROR(ROUND(EH17/INDEX(Undirviðmið!$F$6:$F$205,EH$4)*INDEX(Undirviðmið!$E$6:$E$205,EH$4)*KVARDI,2),""))</f>
        <v/>
      </c>
      <c r="EJ17" s="66" t="n"/>
      <c r="EK17" s="78">
        <f>IF(OR(EJ$4=0,EJ17=""),"",IFERROR(ROUND(EJ17/INDEX(Undirviðmið!$F$6:$F$205,EJ$4)*INDEX(Undirviðmið!$E$6:$E$205,EJ$4)*KVARDI,2),""))</f>
        <v/>
      </c>
      <c r="EL17" s="66" t="n"/>
      <c r="EM17" s="78">
        <f>IF(OR(EL$4=0,EL17=""),"",IFERROR(ROUND(EL17/INDEX(Undirviðmið!$F$6:$F$205,EL$4)*INDEX(Undirviðmið!$E$6:$E$205,EL$4)*KVARDI,2),""))</f>
        <v/>
      </c>
      <c r="EN17" s="66" t="n"/>
      <c r="EO17" s="78">
        <f>IF(OR(EN$4=0,EN17=""),"",IFERROR(ROUND(EN17/INDEX(Undirviðmið!$F$6:$F$205,EN$4)*INDEX(Undirviðmið!$E$6:$E$205,EN$4)*KVARDI,2),""))</f>
        <v/>
      </c>
      <c r="EP17" s="66" t="n"/>
      <c r="EQ17" s="78">
        <f>IF(OR(EP$4=0,EP17=""),"",IFERROR(ROUND(EP17/INDEX(Undirviðmið!$F$6:$F$205,EP$4)*INDEX(Undirviðmið!$E$6:$E$205,EP$4)*KVARDI,2),""))</f>
        <v/>
      </c>
      <c r="ER17" s="66" t="n"/>
      <c r="ES17" s="78">
        <f>IF(OR(ER$4=0,ER17=""),"",IFERROR(ROUND(ER17/INDEX(Undirviðmið!$F$6:$F$205,ER$4)*INDEX(Undirviðmið!$E$6:$E$205,ER$4)*KVARDI,2),""))</f>
        <v/>
      </c>
      <c r="ET17" s="66" t="n"/>
      <c r="EU17" s="78">
        <f>IF(OR(ET$4=0,ET17=""),"",IFERROR(ROUND(ET17/INDEX(Undirviðmið!$F$6:$F$205,ET$4)*INDEX(Undirviðmið!$E$6:$E$205,ET$4)*KVARDI,2),""))</f>
        <v/>
      </c>
      <c r="EV17" s="66" t="n"/>
      <c r="EW17" s="78">
        <f>IF(OR(EV$4=0,EV17=""),"",IFERROR(ROUND(EV17/INDEX(Undirviðmið!$F$6:$F$205,EV$4)*INDEX(Undirviðmið!$E$6:$E$205,EV$4)*KVARDI,2),""))</f>
        <v/>
      </c>
      <c r="EX17" s="66" t="n"/>
      <c r="EY17" s="78">
        <f>IF(OR(EX$4=0,EX17=""),"",IFERROR(ROUND(EX17/INDEX(Undirviðmið!$F$6:$F$205,EX$4)*INDEX(Undirviðmið!$E$6:$E$205,EX$4)*KVARDI,2),""))</f>
        <v/>
      </c>
      <c r="EZ17" s="66" t="n"/>
      <c r="FA17" s="78">
        <f>IF(OR(EZ$4=0,EZ17=""),"",IFERROR(ROUND(EZ17/INDEX(Undirviðmið!$F$6:$F$205,EZ$4)*INDEX(Undirviðmið!$E$6:$E$205,EZ$4)*KVARDI,2),""))</f>
        <v/>
      </c>
      <c r="FB17" s="66" t="n"/>
      <c r="FC17" s="78">
        <f>IF(OR(FB$4=0,FB17=""),"",IFERROR(ROUND(FB17/INDEX(Undirviðmið!$F$6:$F$205,FB$4)*INDEX(Undirviðmið!$E$6:$E$205,FB$4)*KVARDI,2),""))</f>
        <v/>
      </c>
      <c r="FD17" s="66" t="n"/>
      <c r="FE17" s="78">
        <f>IF(OR(FD$4=0,FD17=""),"",IFERROR(ROUND(FD17/INDEX(Undirviðmið!$F$6:$F$205,FD$4)*INDEX(Undirviðmið!$E$6:$E$205,FD$4)*KVARDI,2),""))</f>
        <v/>
      </c>
      <c r="FF17" s="66" t="n"/>
      <c r="FG17" s="78">
        <f>IF(OR(FF$4=0,FF17=""),"",IFERROR(ROUND(FF17/INDEX(Undirviðmið!$F$6:$F$205,FF$4)*INDEX(Undirviðmið!$E$6:$E$205,FF$4)*KVARDI,2),""))</f>
        <v/>
      </c>
      <c r="FH17" s="66" t="n"/>
      <c r="FI17" s="78">
        <f>IF(OR(FH$4=0,FH17=""),"",IFERROR(ROUND(FH17/INDEX(Undirviðmið!$F$6:$F$205,FH$4)*INDEX(Undirviðmið!$E$6:$E$205,FH$4)*KVARDI,2),""))</f>
        <v/>
      </c>
      <c r="FJ17" s="66" t="n"/>
      <c r="FK17" s="78">
        <f>IF(OR(FJ$4=0,FJ17=""),"",IFERROR(ROUND(FJ17/INDEX(Undirviðmið!$F$6:$F$205,FJ$4)*INDEX(Undirviðmið!$E$6:$E$205,FJ$4)*KVARDI,2),""))</f>
        <v/>
      </c>
      <c r="FL17" s="66" t="n"/>
      <c r="FM17" s="78">
        <f>IF(OR(FL$4=0,FL17=""),"",IFERROR(ROUND(FL17/INDEX(Undirviðmið!$F$6:$F$205,FL$4)*INDEX(Undirviðmið!$E$6:$E$205,FL$4)*KVARDI,2),""))</f>
        <v/>
      </c>
      <c r="FN17" s="66" t="n"/>
      <c r="FO17" s="78">
        <f>IF(OR(FN$4=0,FN17=""),"",IFERROR(ROUND(FN17/INDEX(Undirviðmið!$F$6:$F$205,FN$4)*INDEX(Undirviðmið!$E$6:$E$205,FN$4)*KVARDI,2),""))</f>
        <v/>
      </c>
      <c r="FP17" s="66" t="n"/>
      <c r="FQ17" s="78">
        <f>IF(OR(FP$4=0,FP17=""),"",IFERROR(ROUND(FP17/INDEX(Undirviðmið!$F$6:$F$205,FP$4)*INDEX(Undirviðmið!$E$6:$E$205,FP$4)*KVARDI,2),""))</f>
        <v/>
      </c>
      <c r="FR17" s="66" t="n"/>
      <c r="FS17" s="78">
        <f>IF(OR(FR$4=0,FR17=""),"",IFERROR(ROUND(FR17/INDEX(Undirviðmið!$F$6:$F$205,FR$4)*INDEX(Undirviðmið!$E$6:$E$205,FR$4)*KVARDI,2),""))</f>
        <v/>
      </c>
      <c r="FT17" s="66" t="n"/>
      <c r="FU17" s="78">
        <f>IF(OR(FT$4=0,FT17=""),"",IFERROR(ROUND(FT17/INDEX(Undirviðmið!$F$6:$F$205,FT$4)*INDEX(Undirviðmið!$E$6:$E$205,FT$4)*KVARDI,2),""))</f>
        <v/>
      </c>
      <c r="FV17" s="66" t="n"/>
      <c r="FW17" s="78">
        <f>IF(OR(FV$4=0,FV17=""),"",IFERROR(ROUND(FV17/INDEX(Undirviðmið!$F$6:$F$205,FV$4)*INDEX(Undirviðmið!$E$6:$E$205,FV$4)*KVARDI,2),""))</f>
        <v/>
      </c>
      <c r="FX17" s="66" t="n"/>
      <c r="FY17" s="78">
        <f>IF(OR(FX$4=0,FX17=""),"",IFERROR(ROUND(FX17/INDEX(Undirviðmið!$F$6:$F$205,FX$4)*INDEX(Undirviðmið!$E$6:$E$205,FX$4)*KVARDI,2),""))</f>
        <v/>
      </c>
      <c r="FZ17" s="66" t="n"/>
      <c r="GA17" s="78">
        <f>IF(OR(FZ$4=0,FZ17=""),"",IFERROR(ROUND(FZ17/INDEX(Undirviðmið!$F$6:$F$205,FZ$4)*INDEX(Undirviðmið!$E$6:$E$205,FZ$4)*KVARDI,2),""))</f>
        <v/>
      </c>
      <c r="GB17" s="66" t="n"/>
      <c r="GC17" s="78">
        <f>IF(OR(GB$4=0,GB17=""),"",IFERROR(ROUND(GB17/INDEX(Undirviðmið!$F$6:$F$205,GB$4)*INDEX(Undirviðmið!$E$6:$E$205,GB$4)*KVARDI,2),""))</f>
        <v/>
      </c>
      <c r="GD17" s="66" t="n"/>
      <c r="GE17" s="78">
        <f>IF(OR(GD$4=0,GD17=""),"",IFERROR(ROUND(GD17/INDEX(Undirviðmið!$F$6:$F$205,GD$4)*INDEX(Undirviðmið!$E$6:$E$205,GD$4)*KVARDI,2),""))</f>
        <v/>
      </c>
      <c r="GF17" s="66" t="n"/>
      <c r="GG17" s="78">
        <f>IF(OR(GF$4=0,GF17=""),"",IFERROR(ROUND(GF17/INDEX(Undirviðmið!$F$6:$F$205,GF$4)*INDEX(Undirviðmið!$E$6:$E$205,GF$4)*KVARDI,2),""))</f>
        <v/>
      </c>
      <c r="GH17" s="66" t="n"/>
      <c r="GI17" s="78">
        <f>IF(OR(GH$4=0,GH17=""),"",IFERROR(ROUND(GH17/INDEX(Undirviðmið!$F$6:$F$205,GH$4)*INDEX(Undirviðmið!$E$6:$E$205,GH$4)*KVARDI,2),""))</f>
        <v/>
      </c>
      <c r="GJ17" s="66" t="n"/>
      <c r="GK17" s="78">
        <f>IF(OR(GJ$4=0,GJ17=""),"",IFERROR(ROUND(GJ17/INDEX(Undirviðmið!$F$6:$F$205,GJ$4)*INDEX(Undirviðmið!$E$6:$E$205,GJ$4)*KVARDI,2),""))</f>
        <v/>
      </c>
      <c r="GL17" s="66" t="n"/>
      <c r="GM17" s="78">
        <f>IF(OR(GL$4=0,GL17=""),"",IFERROR(ROUND(GL17/INDEX(Undirviðmið!$F$6:$F$205,GL$4)*INDEX(Undirviðmið!$E$6:$E$205,GL$4)*KVARDI,2),""))</f>
        <v/>
      </c>
      <c r="GN17" s="66" t="n"/>
      <c r="GO17" s="78">
        <f>IF(OR(GN$4=0,GN17=""),"",IFERROR(ROUND(GN17/INDEX(Undirviðmið!$F$6:$F$205,GN$4)*INDEX(Undirviðmið!$E$6:$E$205,GN$4)*KVARDI,2),""))</f>
        <v/>
      </c>
      <c r="GP17" s="66" t="n"/>
      <c r="GQ17" s="78">
        <f>IF(OR(GP$4=0,GP17=""),"",IFERROR(ROUND(GP17/INDEX(Undirviðmið!$F$6:$F$205,GP$4)*INDEX(Undirviðmið!$E$6:$E$205,GP$4)*KVARDI,2),""))</f>
        <v/>
      </c>
      <c r="GR17" s="66" t="n"/>
      <c r="GS17" s="78">
        <f>IF(OR(GR$4=0,GR17=""),"",IFERROR(ROUND(GR17/INDEX(Undirviðmið!$F$6:$F$205,GR$4)*INDEX(Undirviðmið!$E$6:$E$205,GR$4)*KVARDI,2),""))</f>
        <v/>
      </c>
      <c r="GT17" s="66" t="n"/>
      <c r="GU17" s="78">
        <f>IF(OR(GT$4=0,GT17=""),"",IFERROR(ROUND(GT17/INDEX(Undirviðmið!$F$6:$F$205,GT$4)*INDEX(Undirviðmið!$E$6:$E$205,GT$4)*KVARDI,2),""))</f>
        <v/>
      </c>
      <c r="GV17" s="63">
        <f>IFERROR(SUMIF($D$6:GU$6,"Stig",$D17:GU17),0)</f>
        <v/>
      </c>
    </row>
    <row r="18" ht="15" customHeight="1" s="47">
      <c r="A18" s="65">
        <f>ROW()-6</f>
        <v/>
      </c>
      <c r="B18" s="67">
        <f>IF(INDEX(Starfsmenn!$B$6:$B$10005,ROW()-6)="","",INDEX(Starfsmenn!$B$6:$B$10005,ROW()-6))</f>
        <v/>
      </c>
      <c r="C18" s="67">
        <f>IF(INDEX(Starfsmenn!$C$6:$C$10005,ROW()-6)="","",INDEX(Starfsmenn!$C$6:$C$10005,ROW()-6))</f>
        <v/>
      </c>
      <c r="D18" s="66" t="n"/>
      <c r="E18" s="78">
        <f>IF(OR(D$4=0,D18=""),"",IFERROR(ROUND(D18/INDEX(Undirviðmið!$F$6:$F$205,D$4)*INDEX(Undirviðmið!$E$6:$E$205,D$4)*KVARDI,2),""))</f>
        <v/>
      </c>
      <c r="F18" s="66" t="n"/>
      <c r="G18" s="78">
        <f>IF(OR(F$4=0,F18=""),"",IFERROR(ROUND(F18/INDEX(Undirviðmið!$F$6:$F$205,F$4)*INDEX(Undirviðmið!$E$6:$E$205,F$4)*KVARDI,2),""))</f>
        <v/>
      </c>
      <c r="H18" s="66" t="n"/>
      <c r="I18" s="78">
        <f>IF(OR(H$4=0,H18=""),"",IFERROR(ROUND(H18/INDEX(Undirviðmið!$F$6:$F$205,H$4)*INDEX(Undirviðmið!$E$6:$E$205,H$4)*KVARDI,2),""))</f>
        <v/>
      </c>
      <c r="J18" s="66" t="n"/>
      <c r="K18" s="78">
        <f>IF(OR(J$4=0,J18=""),"",IFERROR(ROUND(J18/INDEX(Undirviðmið!$F$6:$F$205,J$4)*INDEX(Undirviðmið!$E$6:$E$205,J$4)*KVARDI,2),""))</f>
        <v/>
      </c>
      <c r="L18" s="66" t="n"/>
      <c r="M18" s="78">
        <f>IF(OR(L$4=0,L18=""),"",IFERROR(ROUND(L18/INDEX(Undirviðmið!$F$6:$F$205,L$4)*INDEX(Undirviðmið!$E$6:$E$205,L$4)*KVARDI,2),""))</f>
        <v/>
      </c>
      <c r="N18" s="66" t="n"/>
      <c r="O18" s="78">
        <f>IF(OR(N$4=0,N18=""),"",IFERROR(ROUND(N18/INDEX(Undirviðmið!$F$6:$F$205,N$4)*INDEX(Undirviðmið!$E$6:$E$205,N$4)*KVARDI,2),""))</f>
        <v/>
      </c>
      <c r="P18" s="66" t="n"/>
      <c r="Q18" s="78">
        <f>IF(OR(P$4=0,P18=""),"",IFERROR(ROUND(P18/INDEX(Undirviðmið!$F$6:$F$205,P$4)*INDEX(Undirviðmið!$E$6:$E$205,P$4)*KVARDI,2),""))</f>
        <v/>
      </c>
      <c r="R18" s="66" t="n"/>
      <c r="S18" s="78">
        <f>IF(OR(R$4=0,R18=""),"",IFERROR(ROUND(R18/INDEX(Undirviðmið!$F$6:$F$205,R$4)*INDEX(Undirviðmið!$E$6:$E$205,R$4)*KVARDI,2),""))</f>
        <v/>
      </c>
      <c r="T18" s="66" t="n"/>
      <c r="U18" s="78">
        <f>IF(OR(T$4=0,T18=""),"",IFERROR(ROUND(T18/INDEX(Undirviðmið!$F$6:$F$205,T$4)*INDEX(Undirviðmið!$E$6:$E$205,T$4)*KVARDI,2),""))</f>
        <v/>
      </c>
      <c r="V18" s="66" t="n"/>
      <c r="W18" s="78">
        <f>IF(OR(V$4=0,V18=""),"",IFERROR(ROUND(V18/INDEX(Undirviðmið!$F$6:$F$205,V$4)*INDEX(Undirviðmið!$E$6:$E$205,V$4)*KVARDI,2),""))</f>
        <v/>
      </c>
      <c r="X18" s="66" t="n"/>
      <c r="Y18" s="78">
        <f>IF(OR(X$4=0,X18=""),"",IFERROR(ROUND(X18/INDEX(Undirviðmið!$F$6:$F$205,X$4)*INDEX(Undirviðmið!$E$6:$E$205,X$4)*KVARDI,2),""))</f>
        <v/>
      </c>
      <c r="Z18" s="66" t="n"/>
      <c r="AA18" s="78">
        <f>IF(OR(Z$4=0,Z18=""),"",IFERROR(ROUND(Z18/INDEX(Undirviðmið!$F$6:$F$205,Z$4)*INDEX(Undirviðmið!$E$6:$E$205,Z$4)*KVARDI,2),""))</f>
        <v/>
      </c>
      <c r="AB18" s="66" t="n"/>
      <c r="AC18" s="78">
        <f>IF(OR(AB$4=0,AB18=""),"",IFERROR(ROUND(AB18/INDEX(Undirviðmið!$F$6:$F$205,AB$4)*INDEX(Undirviðmið!$E$6:$E$205,AB$4)*KVARDI,2),""))</f>
        <v/>
      </c>
      <c r="AD18" s="66" t="n"/>
      <c r="AE18" s="78">
        <f>IF(OR(AD$4=0,AD18=""),"",IFERROR(ROUND(AD18/INDEX(Undirviðmið!$F$6:$F$205,AD$4)*INDEX(Undirviðmið!$E$6:$E$205,AD$4)*KVARDI,2),""))</f>
        <v/>
      </c>
      <c r="AF18" s="66" t="n"/>
      <c r="AG18" s="78">
        <f>IF(OR(AF$4=0,AF18=""),"",IFERROR(ROUND(AF18/INDEX(Undirviðmið!$F$6:$F$205,AF$4)*INDEX(Undirviðmið!$E$6:$E$205,AF$4)*KVARDI,2),""))</f>
        <v/>
      </c>
      <c r="AH18" s="66" t="n"/>
      <c r="AI18" s="78">
        <f>IF(OR(AH$4=0,AH18=""),"",IFERROR(ROUND(AH18/INDEX(Undirviðmið!$F$6:$F$205,AH$4)*INDEX(Undirviðmið!$E$6:$E$205,AH$4)*KVARDI,2),""))</f>
        <v/>
      </c>
      <c r="AJ18" s="66" t="n"/>
      <c r="AK18" s="78">
        <f>IF(OR(AJ$4=0,AJ18=""),"",IFERROR(ROUND(AJ18/INDEX(Undirviðmið!$F$6:$F$205,AJ$4)*INDEX(Undirviðmið!$E$6:$E$205,AJ$4)*KVARDI,2),""))</f>
        <v/>
      </c>
      <c r="AL18" s="66" t="n"/>
      <c r="AM18" s="78">
        <f>IF(OR(AL$4=0,AL18=""),"",IFERROR(ROUND(AL18/INDEX(Undirviðmið!$F$6:$F$205,AL$4)*INDEX(Undirviðmið!$E$6:$E$205,AL$4)*KVARDI,2),""))</f>
        <v/>
      </c>
      <c r="AN18" s="66" t="n"/>
      <c r="AO18" s="78">
        <f>IF(OR(AN$4=0,AN18=""),"",IFERROR(ROUND(AN18/INDEX(Undirviðmið!$F$6:$F$205,AN$4)*INDEX(Undirviðmið!$E$6:$E$205,AN$4)*KVARDI,2),""))</f>
        <v/>
      </c>
      <c r="AP18" s="66" t="n"/>
      <c r="AQ18" s="78">
        <f>IF(OR(AP$4=0,AP18=""),"",IFERROR(ROUND(AP18/INDEX(Undirviðmið!$F$6:$F$205,AP$4)*INDEX(Undirviðmið!$E$6:$E$205,AP$4)*KVARDI,2),""))</f>
        <v/>
      </c>
      <c r="AR18" s="66" t="n"/>
      <c r="AS18" s="78">
        <f>IF(OR(AR$4=0,AR18=""),"",IFERROR(ROUND(AR18/INDEX(Undirviðmið!$F$6:$F$205,AR$4)*INDEX(Undirviðmið!$E$6:$E$205,AR$4)*KVARDI,2),""))</f>
        <v/>
      </c>
      <c r="AT18" s="66" t="n"/>
      <c r="AU18" s="78">
        <f>IF(OR(AT$4=0,AT18=""),"",IFERROR(ROUND(AT18/INDEX(Undirviðmið!$F$6:$F$205,AT$4)*INDEX(Undirviðmið!$E$6:$E$205,AT$4)*KVARDI,2),""))</f>
        <v/>
      </c>
      <c r="AV18" s="66" t="n"/>
      <c r="AW18" s="78">
        <f>IF(OR(AV$4=0,AV18=""),"",IFERROR(ROUND(AV18/INDEX(Undirviðmið!$F$6:$F$205,AV$4)*INDEX(Undirviðmið!$E$6:$E$205,AV$4)*KVARDI,2),""))</f>
        <v/>
      </c>
      <c r="AX18" s="66" t="n"/>
      <c r="AY18" s="78">
        <f>IF(OR(AX$4=0,AX18=""),"",IFERROR(ROUND(AX18/INDEX(Undirviðmið!$F$6:$F$205,AX$4)*INDEX(Undirviðmið!$E$6:$E$205,AX$4)*KVARDI,2),""))</f>
        <v/>
      </c>
      <c r="AZ18" s="66" t="n"/>
      <c r="BA18" s="78">
        <f>IF(OR(AZ$4=0,AZ18=""),"",IFERROR(ROUND(AZ18/INDEX(Undirviðmið!$F$6:$F$205,AZ$4)*INDEX(Undirviðmið!$E$6:$E$205,AZ$4)*KVARDI,2),""))</f>
        <v/>
      </c>
      <c r="BB18" s="66" t="n"/>
      <c r="BC18" s="78">
        <f>IF(OR(BB$4=0,BB18=""),"",IFERROR(ROUND(BB18/INDEX(Undirviðmið!$F$6:$F$205,BB$4)*INDEX(Undirviðmið!$E$6:$E$205,BB$4)*KVARDI,2),""))</f>
        <v/>
      </c>
      <c r="BD18" s="66" t="n"/>
      <c r="BE18" s="78">
        <f>IF(OR(BD$4=0,BD18=""),"",IFERROR(ROUND(BD18/INDEX(Undirviðmið!$F$6:$F$205,BD$4)*INDEX(Undirviðmið!$E$6:$E$205,BD$4)*KVARDI,2),""))</f>
        <v/>
      </c>
      <c r="BF18" s="66" t="n"/>
      <c r="BG18" s="78">
        <f>IF(OR(BF$4=0,BF18=""),"",IFERROR(ROUND(BF18/INDEX(Undirviðmið!$F$6:$F$205,BF$4)*INDEX(Undirviðmið!$E$6:$E$205,BF$4)*KVARDI,2),""))</f>
        <v/>
      </c>
      <c r="BH18" s="66" t="n"/>
      <c r="BI18" s="78">
        <f>IF(OR(BH$4=0,BH18=""),"",IFERROR(ROUND(BH18/INDEX(Undirviðmið!$F$6:$F$205,BH$4)*INDEX(Undirviðmið!$E$6:$E$205,BH$4)*KVARDI,2),""))</f>
        <v/>
      </c>
      <c r="BJ18" s="66" t="n"/>
      <c r="BK18" s="78">
        <f>IF(OR(BJ$4=0,BJ18=""),"",IFERROR(ROUND(BJ18/INDEX(Undirviðmið!$F$6:$F$205,BJ$4)*INDEX(Undirviðmið!$E$6:$E$205,BJ$4)*KVARDI,2),""))</f>
        <v/>
      </c>
      <c r="BL18" s="66" t="n"/>
      <c r="BM18" s="78">
        <f>IF(OR(BL$4=0,BL18=""),"",IFERROR(ROUND(BL18/INDEX(Undirviðmið!$F$6:$F$205,BL$4)*INDEX(Undirviðmið!$E$6:$E$205,BL$4)*KVARDI,2),""))</f>
        <v/>
      </c>
      <c r="BN18" s="66" t="n"/>
      <c r="BO18" s="78">
        <f>IF(OR(BN$4=0,BN18=""),"",IFERROR(ROUND(BN18/INDEX(Undirviðmið!$F$6:$F$205,BN$4)*INDEX(Undirviðmið!$E$6:$E$205,BN$4)*KVARDI,2),""))</f>
        <v/>
      </c>
      <c r="BP18" s="66" t="n"/>
      <c r="BQ18" s="78">
        <f>IF(OR(BP$4=0,BP18=""),"",IFERROR(ROUND(BP18/INDEX(Undirviðmið!$F$6:$F$205,BP$4)*INDEX(Undirviðmið!$E$6:$E$205,BP$4)*KVARDI,2),""))</f>
        <v/>
      </c>
      <c r="BR18" s="66" t="n"/>
      <c r="BS18" s="78">
        <f>IF(OR(BR$4=0,BR18=""),"",IFERROR(ROUND(BR18/INDEX(Undirviðmið!$F$6:$F$205,BR$4)*INDEX(Undirviðmið!$E$6:$E$205,BR$4)*KVARDI,2),""))</f>
        <v/>
      </c>
      <c r="BT18" s="66" t="n"/>
      <c r="BU18" s="78">
        <f>IF(OR(BT$4=0,BT18=""),"",IFERROR(ROUND(BT18/INDEX(Undirviðmið!$F$6:$F$205,BT$4)*INDEX(Undirviðmið!$E$6:$E$205,BT$4)*KVARDI,2),""))</f>
        <v/>
      </c>
      <c r="BV18" s="66" t="n"/>
      <c r="BW18" s="78">
        <f>IF(OR(BV$4=0,BV18=""),"",IFERROR(ROUND(BV18/INDEX(Undirviðmið!$F$6:$F$205,BV$4)*INDEX(Undirviðmið!$E$6:$E$205,BV$4)*KVARDI,2),""))</f>
        <v/>
      </c>
      <c r="BX18" s="66" t="n"/>
      <c r="BY18" s="78">
        <f>IF(OR(BX$4=0,BX18=""),"",IFERROR(ROUND(BX18/INDEX(Undirviðmið!$F$6:$F$205,BX$4)*INDEX(Undirviðmið!$E$6:$E$205,BX$4)*KVARDI,2),""))</f>
        <v/>
      </c>
      <c r="BZ18" s="66" t="n"/>
      <c r="CA18" s="78">
        <f>IF(OR(BZ$4=0,BZ18=""),"",IFERROR(ROUND(BZ18/INDEX(Undirviðmið!$F$6:$F$205,BZ$4)*INDEX(Undirviðmið!$E$6:$E$205,BZ$4)*KVARDI,2),""))</f>
        <v/>
      </c>
      <c r="CB18" s="66" t="n"/>
      <c r="CC18" s="78">
        <f>IF(OR(CB$4=0,CB18=""),"",IFERROR(ROUND(CB18/INDEX(Undirviðmið!$F$6:$F$205,CB$4)*INDEX(Undirviðmið!$E$6:$E$205,CB$4)*KVARDI,2),""))</f>
        <v/>
      </c>
      <c r="CD18" s="66" t="n"/>
      <c r="CE18" s="78">
        <f>IF(OR(CD$4=0,CD18=""),"",IFERROR(ROUND(CD18/INDEX(Undirviðmið!$F$6:$F$205,CD$4)*INDEX(Undirviðmið!$E$6:$E$205,CD$4)*KVARDI,2),""))</f>
        <v/>
      </c>
      <c r="CF18" s="66" t="n"/>
      <c r="CG18" s="78">
        <f>IF(OR(CF$4=0,CF18=""),"",IFERROR(ROUND(CF18/INDEX(Undirviðmið!$F$6:$F$205,CF$4)*INDEX(Undirviðmið!$E$6:$E$205,CF$4)*KVARDI,2),""))</f>
        <v/>
      </c>
      <c r="CH18" s="66" t="n"/>
      <c r="CI18" s="78">
        <f>IF(OR(CH$4=0,CH18=""),"",IFERROR(ROUND(CH18/INDEX(Undirviðmið!$F$6:$F$205,CH$4)*INDEX(Undirviðmið!$E$6:$E$205,CH$4)*KVARDI,2),""))</f>
        <v/>
      </c>
      <c r="CJ18" s="66" t="n"/>
      <c r="CK18" s="78">
        <f>IF(OR(CJ$4=0,CJ18=""),"",IFERROR(ROUND(CJ18/INDEX(Undirviðmið!$F$6:$F$205,CJ$4)*INDEX(Undirviðmið!$E$6:$E$205,CJ$4)*KVARDI,2),""))</f>
        <v/>
      </c>
      <c r="CL18" s="66" t="n"/>
      <c r="CM18" s="78">
        <f>IF(OR(CL$4=0,CL18=""),"",IFERROR(ROUND(CL18/INDEX(Undirviðmið!$F$6:$F$205,CL$4)*INDEX(Undirviðmið!$E$6:$E$205,CL$4)*KVARDI,2),""))</f>
        <v/>
      </c>
      <c r="CN18" s="66" t="n"/>
      <c r="CO18" s="78">
        <f>IF(OR(CN$4=0,CN18=""),"",IFERROR(ROUND(CN18/INDEX(Undirviðmið!$F$6:$F$205,CN$4)*INDEX(Undirviðmið!$E$6:$E$205,CN$4)*KVARDI,2),""))</f>
        <v/>
      </c>
      <c r="CP18" s="66" t="n"/>
      <c r="CQ18" s="78">
        <f>IF(OR(CP$4=0,CP18=""),"",IFERROR(ROUND(CP18/INDEX(Undirviðmið!$F$6:$F$205,CP$4)*INDEX(Undirviðmið!$E$6:$E$205,CP$4)*KVARDI,2),""))</f>
        <v/>
      </c>
      <c r="CR18" s="66" t="n"/>
      <c r="CS18" s="78">
        <f>IF(OR(CR$4=0,CR18=""),"",IFERROR(ROUND(CR18/INDEX(Undirviðmið!$F$6:$F$205,CR$4)*INDEX(Undirviðmið!$E$6:$E$205,CR$4)*KVARDI,2),""))</f>
        <v/>
      </c>
      <c r="CT18" s="66" t="n"/>
      <c r="CU18" s="78">
        <f>IF(OR(CT$4=0,CT18=""),"",IFERROR(ROUND(CT18/INDEX(Undirviðmið!$F$6:$F$205,CT$4)*INDEX(Undirviðmið!$E$6:$E$205,CT$4)*KVARDI,2),""))</f>
        <v/>
      </c>
      <c r="CV18" s="66" t="n"/>
      <c r="CW18" s="78">
        <f>IF(OR(CV$4=0,CV18=""),"",IFERROR(ROUND(CV18/INDEX(Undirviðmið!$F$6:$F$205,CV$4)*INDEX(Undirviðmið!$E$6:$E$205,CV$4)*KVARDI,2),""))</f>
        <v/>
      </c>
      <c r="CX18" s="66" t="n"/>
      <c r="CY18" s="78">
        <f>IF(OR(CX$4=0,CX18=""),"",IFERROR(ROUND(CX18/INDEX(Undirviðmið!$F$6:$F$205,CX$4)*INDEX(Undirviðmið!$E$6:$E$205,CX$4)*KVARDI,2),""))</f>
        <v/>
      </c>
      <c r="CZ18" s="66" t="n"/>
      <c r="DA18" s="78">
        <f>IF(OR(CZ$4=0,CZ18=""),"",IFERROR(ROUND(CZ18/INDEX(Undirviðmið!$F$6:$F$205,CZ$4)*INDEX(Undirviðmið!$E$6:$E$205,CZ$4)*KVARDI,2),""))</f>
        <v/>
      </c>
      <c r="DB18" s="66" t="n"/>
      <c r="DC18" s="78">
        <f>IF(OR(DB$4=0,DB18=""),"",IFERROR(ROUND(DB18/INDEX(Undirviðmið!$F$6:$F$205,DB$4)*INDEX(Undirviðmið!$E$6:$E$205,DB$4)*KVARDI,2),""))</f>
        <v/>
      </c>
      <c r="DD18" s="66" t="n"/>
      <c r="DE18" s="78">
        <f>IF(OR(DD$4=0,DD18=""),"",IFERROR(ROUND(DD18/INDEX(Undirviðmið!$F$6:$F$205,DD$4)*INDEX(Undirviðmið!$E$6:$E$205,DD$4)*KVARDI,2),""))</f>
        <v/>
      </c>
      <c r="DF18" s="66" t="n"/>
      <c r="DG18" s="78">
        <f>IF(OR(DF$4=0,DF18=""),"",IFERROR(ROUND(DF18/INDEX(Undirviðmið!$F$6:$F$205,DF$4)*INDEX(Undirviðmið!$E$6:$E$205,DF$4)*KVARDI,2),""))</f>
        <v/>
      </c>
      <c r="DH18" s="66" t="n"/>
      <c r="DI18" s="78">
        <f>IF(OR(DH$4=0,DH18=""),"",IFERROR(ROUND(DH18/INDEX(Undirviðmið!$F$6:$F$205,DH$4)*INDEX(Undirviðmið!$E$6:$E$205,DH$4)*KVARDI,2),""))</f>
        <v/>
      </c>
      <c r="DJ18" s="66" t="n"/>
      <c r="DK18" s="78">
        <f>IF(OR(DJ$4=0,DJ18=""),"",IFERROR(ROUND(DJ18/INDEX(Undirviðmið!$F$6:$F$205,DJ$4)*INDEX(Undirviðmið!$E$6:$E$205,DJ$4)*KVARDI,2),""))</f>
        <v/>
      </c>
      <c r="DL18" s="66" t="n"/>
      <c r="DM18" s="78">
        <f>IF(OR(DL$4=0,DL18=""),"",IFERROR(ROUND(DL18/INDEX(Undirviðmið!$F$6:$F$205,DL$4)*INDEX(Undirviðmið!$E$6:$E$205,DL$4)*KVARDI,2),""))</f>
        <v/>
      </c>
      <c r="DN18" s="66" t="n"/>
      <c r="DO18" s="78">
        <f>IF(OR(DN$4=0,DN18=""),"",IFERROR(ROUND(DN18/INDEX(Undirviðmið!$F$6:$F$205,DN$4)*INDEX(Undirviðmið!$E$6:$E$205,DN$4)*KVARDI,2),""))</f>
        <v/>
      </c>
      <c r="DP18" s="66" t="n"/>
      <c r="DQ18" s="78">
        <f>IF(OR(DP$4=0,DP18=""),"",IFERROR(ROUND(DP18/INDEX(Undirviðmið!$F$6:$F$205,DP$4)*INDEX(Undirviðmið!$E$6:$E$205,DP$4)*KVARDI,2),""))</f>
        <v/>
      </c>
      <c r="DR18" s="66" t="n"/>
      <c r="DS18" s="78">
        <f>IF(OR(DR$4=0,DR18=""),"",IFERROR(ROUND(DR18/INDEX(Undirviðmið!$F$6:$F$205,DR$4)*INDEX(Undirviðmið!$E$6:$E$205,DR$4)*KVARDI,2),""))</f>
        <v/>
      </c>
      <c r="DT18" s="66" t="n"/>
      <c r="DU18" s="78">
        <f>IF(OR(DT$4=0,DT18=""),"",IFERROR(ROUND(DT18/INDEX(Undirviðmið!$F$6:$F$205,DT$4)*INDEX(Undirviðmið!$E$6:$E$205,DT$4)*KVARDI,2),""))</f>
        <v/>
      </c>
      <c r="DV18" s="66" t="n"/>
      <c r="DW18" s="78">
        <f>IF(OR(DV$4=0,DV18=""),"",IFERROR(ROUND(DV18/INDEX(Undirviðmið!$F$6:$F$205,DV$4)*INDEX(Undirviðmið!$E$6:$E$205,DV$4)*KVARDI,2),""))</f>
        <v/>
      </c>
      <c r="DX18" s="66" t="n"/>
      <c r="DY18" s="78">
        <f>IF(OR(DX$4=0,DX18=""),"",IFERROR(ROUND(DX18/INDEX(Undirviðmið!$F$6:$F$205,DX$4)*INDEX(Undirviðmið!$E$6:$E$205,DX$4)*KVARDI,2),""))</f>
        <v/>
      </c>
      <c r="DZ18" s="66" t="n"/>
      <c r="EA18" s="78">
        <f>IF(OR(DZ$4=0,DZ18=""),"",IFERROR(ROUND(DZ18/INDEX(Undirviðmið!$F$6:$F$205,DZ$4)*INDEX(Undirviðmið!$E$6:$E$205,DZ$4)*KVARDI,2),""))</f>
        <v/>
      </c>
      <c r="EB18" s="66" t="n"/>
      <c r="EC18" s="78">
        <f>IF(OR(EB$4=0,EB18=""),"",IFERROR(ROUND(EB18/INDEX(Undirviðmið!$F$6:$F$205,EB$4)*INDEX(Undirviðmið!$E$6:$E$205,EB$4)*KVARDI,2),""))</f>
        <v/>
      </c>
      <c r="ED18" s="66" t="n"/>
      <c r="EE18" s="78">
        <f>IF(OR(ED$4=0,ED18=""),"",IFERROR(ROUND(ED18/INDEX(Undirviðmið!$F$6:$F$205,ED$4)*INDEX(Undirviðmið!$E$6:$E$205,ED$4)*KVARDI,2),""))</f>
        <v/>
      </c>
      <c r="EF18" s="66" t="n"/>
      <c r="EG18" s="78">
        <f>IF(OR(EF$4=0,EF18=""),"",IFERROR(ROUND(EF18/INDEX(Undirviðmið!$F$6:$F$205,EF$4)*INDEX(Undirviðmið!$E$6:$E$205,EF$4)*KVARDI,2),""))</f>
        <v/>
      </c>
      <c r="EH18" s="66" t="n"/>
      <c r="EI18" s="78">
        <f>IF(OR(EH$4=0,EH18=""),"",IFERROR(ROUND(EH18/INDEX(Undirviðmið!$F$6:$F$205,EH$4)*INDEX(Undirviðmið!$E$6:$E$205,EH$4)*KVARDI,2),""))</f>
        <v/>
      </c>
      <c r="EJ18" s="66" t="n"/>
      <c r="EK18" s="78">
        <f>IF(OR(EJ$4=0,EJ18=""),"",IFERROR(ROUND(EJ18/INDEX(Undirviðmið!$F$6:$F$205,EJ$4)*INDEX(Undirviðmið!$E$6:$E$205,EJ$4)*KVARDI,2),""))</f>
        <v/>
      </c>
      <c r="EL18" s="66" t="n"/>
      <c r="EM18" s="78">
        <f>IF(OR(EL$4=0,EL18=""),"",IFERROR(ROUND(EL18/INDEX(Undirviðmið!$F$6:$F$205,EL$4)*INDEX(Undirviðmið!$E$6:$E$205,EL$4)*KVARDI,2),""))</f>
        <v/>
      </c>
      <c r="EN18" s="66" t="n"/>
      <c r="EO18" s="78">
        <f>IF(OR(EN$4=0,EN18=""),"",IFERROR(ROUND(EN18/INDEX(Undirviðmið!$F$6:$F$205,EN$4)*INDEX(Undirviðmið!$E$6:$E$205,EN$4)*KVARDI,2),""))</f>
        <v/>
      </c>
      <c r="EP18" s="66" t="n"/>
      <c r="EQ18" s="78">
        <f>IF(OR(EP$4=0,EP18=""),"",IFERROR(ROUND(EP18/INDEX(Undirviðmið!$F$6:$F$205,EP$4)*INDEX(Undirviðmið!$E$6:$E$205,EP$4)*KVARDI,2),""))</f>
        <v/>
      </c>
      <c r="ER18" s="66" t="n"/>
      <c r="ES18" s="78">
        <f>IF(OR(ER$4=0,ER18=""),"",IFERROR(ROUND(ER18/INDEX(Undirviðmið!$F$6:$F$205,ER$4)*INDEX(Undirviðmið!$E$6:$E$205,ER$4)*KVARDI,2),""))</f>
        <v/>
      </c>
      <c r="ET18" s="66" t="n"/>
      <c r="EU18" s="78">
        <f>IF(OR(ET$4=0,ET18=""),"",IFERROR(ROUND(ET18/INDEX(Undirviðmið!$F$6:$F$205,ET$4)*INDEX(Undirviðmið!$E$6:$E$205,ET$4)*KVARDI,2),""))</f>
        <v/>
      </c>
      <c r="EV18" s="66" t="n"/>
      <c r="EW18" s="78">
        <f>IF(OR(EV$4=0,EV18=""),"",IFERROR(ROUND(EV18/INDEX(Undirviðmið!$F$6:$F$205,EV$4)*INDEX(Undirviðmið!$E$6:$E$205,EV$4)*KVARDI,2),""))</f>
        <v/>
      </c>
      <c r="EX18" s="66" t="n"/>
      <c r="EY18" s="78">
        <f>IF(OR(EX$4=0,EX18=""),"",IFERROR(ROUND(EX18/INDEX(Undirviðmið!$F$6:$F$205,EX$4)*INDEX(Undirviðmið!$E$6:$E$205,EX$4)*KVARDI,2),""))</f>
        <v/>
      </c>
      <c r="EZ18" s="66" t="n"/>
      <c r="FA18" s="78">
        <f>IF(OR(EZ$4=0,EZ18=""),"",IFERROR(ROUND(EZ18/INDEX(Undirviðmið!$F$6:$F$205,EZ$4)*INDEX(Undirviðmið!$E$6:$E$205,EZ$4)*KVARDI,2),""))</f>
        <v/>
      </c>
      <c r="FB18" s="66" t="n"/>
      <c r="FC18" s="78">
        <f>IF(OR(FB$4=0,FB18=""),"",IFERROR(ROUND(FB18/INDEX(Undirviðmið!$F$6:$F$205,FB$4)*INDEX(Undirviðmið!$E$6:$E$205,FB$4)*KVARDI,2),""))</f>
        <v/>
      </c>
      <c r="FD18" s="66" t="n"/>
      <c r="FE18" s="78">
        <f>IF(OR(FD$4=0,FD18=""),"",IFERROR(ROUND(FD18/INDEX(Undirviðmið!$F$6:$F$205,FD$4)*INDEX(Undirviðmið!$E$6:$E$205,FD$4)*KVARDI,2),""))</f>
        <v/>
      </c>
      <c r="FF18" s="66" t="n"/>
      <c r="FG18" s="78">
        <f>IF(OR(FF$4=0,FF18=""),"",IFERROR(ROUND(FF18/INDEX(Undirviðmið!$F$6:$F$205,FF$4)*INDEX(Undirviðmið!$E$6:$E$205,FF$4)*KVARDI,2),""))</f>
        <v/>
      </c>
      <c r="FH18" s="66" t="n"/>
      <c r="FI18" s="78">
        <f>IF(OR(FH$4=0,FH18=""),"",IFERROR(ROUND(FH18/INDEX(Undirviðmið!$F$6:$F$205,FH$4)*INDEX(Undirviðmið!$E$6:$E$205,FH$4)*KVARDI,2),""))</f>
        <v/>
      </c>
      <c r="FJ18" s="66" t="n"/>
      <c r="FK18" s="78">
        <f>IF(OR(FJ$4=0,FJ18=""),"",IFERROR(ROUND(FJ18/INDEX(Undirviðmið!$F$6:$F$205,FJ$4)*INDEX(Undirviðmið!$E$6:$E$205,FJ$4)*KVARDI,2),""))</f>
        <v/>
      </c>
      <c r="FL18" s="66" t="n"/>
      <c r="FM18" s="78">
        <f>IF(OR(FL$4=0,FL18=""),"",IFERROR(ROUND(FL18/INDEX(Undirviðmið!$F$6:$F$205,FL$4)*INDEX(Undirviðmið!$E$6:$E$205,FL$4)*KVARDI,2),""))</f>
        <v/>
      </c>
      <c r="FN18" s="66" t="n"/>
      <c r="FO18" s="78">
        <f>IF(OR(FN$4=0,FN18=""),"",IFERROR(ROUND(FN18/INDEX(Undirviðmið!$F$6:$F$205,FN$4)*INDEX(Undirviðmið!$E$6:$E$205,FN$4)*KVARDI,2),""))</f>
        <v/>
      </c>
      <c r="FP18" s="66" t="n"/>
      <c r="FQ18" s="78">
        <f>IF(OR(FP$4=0,FP18=""),"",IFERROR(ROUND(FP18/INDEX(Undirviðmið!$F$6:$F$205,FP$4)*INDEX(Undirviðmið!$E$6:$E$205,FP$4)*KVARDI,2),""))</f>
        <v/>
      </c>
      <c r="FR18" s="66" t="n"/>
      <c r="FS18" s="78">
        <f>IF(OR(FR$4=0,FR18=""),"",IFERROR(ROUND(FR18/INDEX(Undirviðmið!$F$6:$F$205,FR$4)*INDEX(Undirviðmið!$E$6:$E$205,FR$4)*KVARDI,2),""))</f>
        <v/>
      </c>
      <c r="FT18" s="66" t="n"/>
      <c r="FU18" s="78">
        <f>IF(OR(FT$4=0,FT18=""),"",IFERROR(ROUND(FT18/INDEX(Undirviðmið!$F$6:$F$205,FT$4)*INDEX(Undirviðmið!$E$6:$E$205,FT$4)*KVARDI,2),""))</f>
        <v/>
      </c>
      <c r="FV18" s="66" t="n"/>
      <c r="FW18" s="78">
        <f>IF(OR(FV$4=0,FV18=""),"",IFERROR(ROUND(FV18/INDEX(Undirviðmið!$F$6:$F$205,FV$4)*INDEX(Undirviðmið!$E$6:$E$205,FV$4)*KVARDI,2),""))</f>
        <v/>
      </c>
      <c r="FX18" s="66" t="n"/>
      <c r="FY18" s="78">
        <f>IF(OR(FX$4=0,FX18=""),"",IFERROR(ROUND(FX18/INDEX(Undirviðmið!$F$6:$F$205,FX$4)*INDEX(Undirviðmið!$E$6:$E$205,FX$4)*KVARDI,2),""))</f>
        <v/>
      </c>
      <c r="FZ18" s="66" t="n"/>
      <c r="GA18" s="78">
        <f>IF(OR(FZ$4=0,FZ18=""),"",IFERROR(ROUND(FZ18/INDEX(Undirviðmið!$F$6:$F$205,FZ$4)*INDEX(Undirviðmið!$E$6:$E$205,FZ$4)*KVARDI,2),""))</f>
        <v/>
      </c>
      <c r="GB18" s="66" t="n"/>
      <c r="GC18" s="78">
        <f>IF(OR(GB$4=0,GB18=""),"",IFERROR(ROUND(GB18/INDEX(Undirviðmið!$F$6:$F$205,GB$4)*INDEX(Undirviðmið!$E$6:$E$205,GB$4)*KVARDI,2),""))</f>
        <v/>
      </c>
      <c r="GD18" s="66" t="n"/>
      <c r="GE18" s="78">
        <f>IF(OR(GD$4=0,GD18=""),"",IFERROR(ROUND(GD18/INDEX(Undirviðmið!$F$6:$F$205,GD$4)*INDEX(Undirviðmið!$E$6:$E$205,GD$4)*KVARDI,2),""))</f>
        <v/>
      </c>
      <c r="GF18" s="66" t="n"/>
      <c r="GG18" s="78">
        <f>IF(OR(GF$4=0,GF18=""),"",IFERROR(ROUND(GF18/INDEX(Undirviðmið!$F$6:$F$205,GF$4)*INDEX(Undirviðmið!$E$6:$E$205,GF$4)*KVARDI,2),""))</f>
        <v/>
      </c>
      <c r="GH18" s="66" t="n"/>
      <c r="GI18" s="78">
        <f>IF(OR(GH$4=0,GH18=""),"",IFERROR(ROUND(GH18/INDEX(Undirviðmið!$F$6:$F$205,GH$4)*INDEX(Undirviðmið!$E$6:$E$205,GH$4)*KVARDI,2),""))</f>
        <v/>
      </c>
      <c r="GJ18" s="66" t="n"/>
      <c r="GK18" s="78">
        <f>IF(OR(GJ$4=0,GJ18=""),"",IFERROR(ROUND(GJ18/INDEX(Undirviðmið!$F$6:$F$205,GJ$4)*INDEX(Undirviðmið!$E$6:$E$205,GJ$4)*KVARDI,2),""))</f>
        <v/>
      </c>
      <c r="GL18" s="66" t="n"/>
      <c r="GM18" s="78">
        <f>IF(OR(GL$4=0,GL18=""),"",IFERROR(ROUND(GL18/INDEX(Undirviðmið!$F$6:$F$205,GL$4)*INDEX(Undirviðmið!$E$6:$E$205,GL$4)*KVARDI,2),""))</f>
        <v/>
      </c>
      <c r="GN18" s="66" t="n"/>
      <c r="GO18" s="78">
        <f>IF(OR(GN$4=0,GN18=""),"",IFERROR(ROUND(GN18/INDEX(Undirviðmið!$F$6:$F$205,GN$4)*INDEX(Undirviðmið!$E$6:$E$205,GN$4)*KVARDI,2),""))</f>
        <v/>
      </c>
      <c r="GP18" s="66" t="n"/>
      <c r="GQ18" s="78">
        <f>IF(OR(GP$4=0,GP18=""),"",IFERROR(ROUND(GP18/INDEX(Undirviðmið!$F$6:$F$205,GP$4)*INDEX(Undirviðmið!$E$6:$E$205,GP$4)*KVARDI,2),""))</f>
        <v/>
      </c>
      <c r="GR18" s="66" t="n"/>
      <c r="GS18" s="78">
        <f>IF(OR(GR$4=0,GR18=""),"",IFERROR(ROUND(GR18/INDEX(Undirviðmið!$F$6:$F$205,GR$4)*INDEX(Undirviðmið!$E$6:$E$205,GR$4)*KVARDI,2),""))</f>
        <v/>
      </c>
      <c r="GT18" s="66" t="n"/>
      <c r="GU18" s="78">
        <f>IF(OR(GT$4=0,GT18=""),"",IFERROR(ROUND(GT18/INDEX(Undirviðmið!$F$6:$F$205,GT$4)*INDEX(Undirviðmið!$E$6:$E$205,GT$4)*KVARDI,2),""))</f>
        <v/>
      </c>
      <c r="GV18" s="63">
        <f>IFERROR(SUMIF($D$6:GU$6,"Stig",$D18:GU18),0)</f>
        <v/>
      </c>
    </row>
    <row r="19" ht="15" customHeight="1" s="47">
      <c r="A19" s="65">
        <f>ROW()-6</f>
        <v/>
      </c>
      <c r="B19" s="67">
        <f>IF(INDEX(Starfsmenn!$B$6:$B$10005,ROW()-6)="","",INDEX(Starfsmenn!$B$6:$B$10005,ROW()-6))</f>
        <v/>
      </c>
      <c r="C19" s="67">
        <f>IF(INDEX(Starfsmenn!$C$6:$C$10005,ROW()-6)="","",INDEX(Starfsmenn!$C$6:$C$10005,ROW()-6))</f>
        <v/>
      </c>
      <c r="D19" s="66" t="n"/>
      <c r="E19" s="78">
        <f>IF(OR(D$4=0,D19=""),"",IFERROR(ROUND(D19/INDEX(Undirviðmið!$F$6:$F$205,D$4)*INDEX(Undirviðmið!$E$6:$E$205,D$4)*KVARDI,2),""))</f>
        <v/>
      </c>
      <c r="F19" s="66" t="n"/>
      <c r="G19" s="78">
        <f>IF(OR(F$4=0,F19=""),"",IFERROR(ROUND(F19/INDEX(Undirviðmið!$F$6:$F$205,F$4)*INDEX(Undirviðmið!$E$6:$E$205,F$4)*KVARDI,2),""))</f>
        <v/>
      </c>
      <c r="H19" s="66" t="n"/>
      <c r="I19" s="78">
        <f>IF(OR(H$4=0,H19=""),"",IFERROR(ROUND(H19/INDEX(Undirviðmið!$F$6:$F$205,H$4)*INDEX(Undirviðmið!$E$6:$E$205,H$4)*KVARDI,2),""))</f>
        <v/>
      </c>
      <c r="J19" s="66" t="n"/>
      <c r="K19" s="78">
        <f>IF(OR(J$4=0,J19=""),"",IFERROR(ROUND(J19/INDEX(Undirviðmið!$F$6:$F$205,J$4)*INDEX(Undirviðmið!$E$6:$E$205,J$4)*KVARDI,2),""))</f>
        <v/>
      </c>
      <c r="L19" s="66" t="n"/>
      <c r="M19" s="78">
        <f>IF(OR(L$4=0,L19=""),"",IFERROR(ROUND(L19/INDEX(Undirviðmið!$F$6:$F$205,L$4)*INDEX(Undirviðmið!$E$6:$E$205,L$4)*KVARDI,2),""))</f>
        <v/>
      </c>
      <c r="N19" s="66" t="n"/>
      <c r="O19" s="78">
        <f>IF(OR(N$4=0,N19=""),"",IFERROR(ROUND(N19/INDEX(Undirviðmið!$F$6:$F$205,N$4)*INDEX(Undirviðmið!$E$6:$E$205,N$4)*KVARDI,2),""))</f>
        <v/>
      </c>
      <c r="P19" s="66" t="n"/>
      <c r="Q19" s="78">
        <f>IF(OR(P$4=0,P19=""),"",IFERROR(ROUND(P19/INDEX(Undirviðmið!$F$6:$F$205,P$4)*INDEX(Undirviðmið!$E$6:$E$205,P$4)*KVARDI,2),""))</f>
        <v/>
      </c>
      <c r="R19" s="66" t="n"/>
      <c r="S19" s="78">
        <f>IF(OR(R$4=0,R19=""),"",IFERROR(ROUND(R19/INDEX(Undirviðmið!$F$6:$F$205,R$4)*INDEX(Undirviðmið!$E$6:$E$205,R$4)*KVARDI,2),""))</f>
        <v/>
      </c>
      <c r="T19" s="66" t="n"/>
      <c r="U19" s="78">
        <f>IF(OR(T$4=0,T19=""),"",IFERROR(ROUND(T19/INDEX(Undirviðmið!$F$6:$F$205,T$4)*INDEX(Undirviðmið!$E$6:$E$205,T$4)*KVARDI,2),""))</f>
        <v/>
      </c>
      <c r="V19" s="66" t="n"/>
      <c r="W19" s="78">
        <f>IF(OR(V$4=0,V19=""),"",IFERROR(ROUND(V19/INDEX(Undirviðmið!$F$6:$F$205,V$4)*INDEX(Undirviðmið!$E$6:$E$205,V$4)*KVARDI,2),""))</f>
        <v/>
      </c>
      <c r="X19" s="66" t="n"/>
      <c r="Y19" s="78">
        <f>IF(OR(X$4=0,X19=""),"",IFERROR(ROUND(X19/INDEX(Undirviðmið!$F$6:$F$205,X$4)*INDEX(Undirviðmið!$E$6:$E$205,X$4)*KVARDI,2),""))</f>
        <v/>
      </c>
      <c r="Z19" s="66" t="n"/>
      <c r="AA19" s="78">
        <f>IF(OR(Z$4=0,Z19=""),"",IFERROR(ROUND(Z19/INDEX(Undirviðmið!$F$6:$F$205,Z$4)*INDEX(Undirviðmið!$E$6:$E$205,Z$4)*KVARDI,2),""))</f>
        <v/>
      </c>
      <c r="AB19" s="66" t="n"/>
      <c r="AC19" s="78">
        <f>IF(OR(AB$4=0,AB19=""),"",IFERROR(ROUND(AB19/INDEX(Undirviðmið!$F$6:$F$205,AB$4)*INDEX(Undirviðmið!$E$6:$E$205,AB$4)*KVARDI,2),""))</f>
        <v/>
      </c>
      <c r="AD19" s="66" t="n"/>
      <c r="AE19" s="78">
        <f>IF(OR(AD$4=0,AD19=""),"",IFERROR(ROUND(AD19/INDEX(Undirviðmið!$F$6:$F$205,AD$4)*INDEX(Undirviðmið!$E$6:$E$205,AD$4)*KVARDI,2),""))</f>
        <v/>
      </c>
      <c r="AF19" s="66" t="n"/>
      <c r="AG19" s="78">
        <f>IF(OR(AF$4=0,AF19=""),"",IFERROR(ROUND(AF19/INDEX(Undirviðmið!$F$6:$F$205,AF$4)*INDEX(Undirviðmið!$E$6:$E$205,AF$4)*KVARDI,2),""))</f>
        <v/>
      </c>
      <c r="AH19" s="66" t="n"/>
      <c r="AI19" s="78">
        <f>IF(OR(AH$4=0,AH19=""),"",IFERROR(ROUND(AH19/INDEX(Undirviðmið!$F$6:$F$205,AH$4)*INDEX(Undirviðmið!$E$6:$E$205,AH$4)*KVARDI,2),""))</f>
        <v/>
      </c>
      <c r="AJ19" s="66" t="n"/>
      <c r="AK19" s="78">
        <f>IF(OR(AJ$4=0,AJ19=""),"",IFERROR(ROUND(AJ19/INDEX(Undirviðmið!$F$6:$F$205,AJ$4)*INDEX(Undirviðmið!$E$6:$E$205,AJ$4)*KVARDI,2),""))</f>
        <v/>
      </c>
      <c r="AL19" s="66" t="n"/>
      <c r="AM19" s="78">
        <f>IF(OR(AL$4=0,AL19=""),"",IFERROR(ROUND(AL19/INDEX(Undirviðmið!$F$6:$F$205,AL$4)*INDEX(Undirviðmið!$E$6:$E$205,AL$4)*KVARDI,2),""))</f>
        <v/>
      </c>
      <c r="AN19" s="66" t="n"/>
      <c r="AO19" s="78">
        <f>IF(OR(AN$4=0,AN19=""),"",IFERROR(ROUND(AN19/INDEX(Undirviðmið!$F$6:$F$205,AN$4)*INDEX(Undirviðmið!$E$6:$E$205,AN$4)*KVARDI,2),""))</f>
        <v/>
      </c>
      <c r="AP19" s="66" t="n"/>
      <c r="AQ19" s="78">
        <f>IF(OR(AP$4=0,AP19=""),"",IFERROR(ROUND(AP19/INDEX(Undirviðmið!$F$6:$F$205,AP$4)*INDEX(Undirviðmið!$E$6:$E$205,AP$4)*KVARDI,2),""))</f>
        <v/>
      </c>
      <c r="AR19" s="66" t="n"/>
      <c r="AS19" s="78">
        <f>IF(OR(AR$4=0,AR19=""),"",IFERROR(ROUND(AR19/INDEX(Undirviðmið!$F$6:$F$205,AR$4)*INDEX(Undirviðmið!$E$6:$E$205,AR$4)*KVARDI,2),""))</f>
        <v/>
      </c>
      <c r="AT19" s="66" t="n"/>
      <c r="AU19" s="78">
        <f>IF(OR(AT$4=0,AT19=""),"",IFERROR(ROUND(AT19/INDEX(Undirviðmið!$F$6:$F$205,AT$4)*INDEX(Undirviðmið!$E$6:$E$205,AT$4)*KVARDI,2),""))</f>
        <v/>
      </c>
      <c r="AV19" s="66" t="n"/>
      <c r="AW19" s="78">
        <f>IF(OR(AV$4=0,AV19=""),"",IFERROR(ROUND(AV19/INDEX(Undirviðmið!$F$6:$F$205,AV$4)*INDEX(Undirviðmið!$E$6:$E$205,AV$4)*KVARDI,2),""))</f>
        <v/>
      </c>
      <c r="AX19" s="66" t="n"/>
      <c r="AY19" s="78">
        <f>IF(OR(AX$4=0,AX19=""),"",IFERROR(ROUND(AX19/INDEX(Undirviðmið!$F$6:$F$205,AX$4)*INDEX(Undirviðmið!$E$6:$E$205,AX$4)*KVARDI,2),""))</f>
        <v/>
      </c>
      <c r="AZ19" s="66" t="n"/>
      <c r="BA19" s="78">
        <f>IF(OR(AZ$4=0,AZ19=""),"",IFERROR(ROUND(AZ19/INDEX(Undirviðmið!$F$6:$F$205,AZ$4)*INDEX(Undirviðmið!$E$6:$E$205,AZ$4)*KVARDI,2),""))</f>
        <v/>
      </c>
      <c r="BB19" s="66" t="n"/>
      <c r="BC19" s="78">
        <f>IF(OR(BB$4=0,BB19=""),"",IFERROR(ROUND(BB19/INDEX(Undirviðmið!$F$6:$F$205,BB$4)*INDEX(Undirviðmið!$E$6:$E$205,BB$4)*KVARDI,2),""))</f>
        <v/>
      </c>
      <c r="BD19" s="66" t="n"/>
      <c r="BE19" s="78">
        <f>IF(OR(BD$4=0,BD19=""),"",IFERROR(ROUND(BD19/INDEX(Undirviðmið!$F$6:$F$205,BD$4)*INDEX(Undirviðmið!$E$6:$E$205,BD$4)*KVARDI,2),""))</f>
        <v/>
      </c>
      <c r="BF19" s="66" t="n"/>
      <c r="BG19" s="78">
        <f>IF(OR(BF$4=0,BF19=""),"",IFERROR(ROUND(BF19/INDEX(Undirviðmið!$F$6:$F$205,BF$4)*INDEX(Undirviðmið!$E$6:$E$205,BF$4)*KVARDI,2),""))</f>
        <v/>
      </c>
      <c r="BH19" s="66" t="n"/>
      <c r="BI19" s="78">
        <f>IF(OR(BH$4=0,BH19=""),"",IFERROR(ROUND(BH19/INDEX(Undirviðmið!$F$6:$F$205,BH$4)*INDEX(Undirviðmið!$E$6:$E$205,BH$4)*KVARDI,2),""))</f>
        <v/>
      </c>
      <c r="BJ19" s="66" t="n"/>
      <c r="BK19" s="78">
        <f>IF(OR(BJ$4=0,BJ19=""),"",IFERROR(ROUND(BJ19/INDEX(Undirviðmið!$F$6:$F$205,BJ$4)*INDEX(Undirviðmið!$E$6:$E$205,BJ$4)*KVARDI,2),""))</f>
        <v/>
      </c>
      <c r="BL19" s="66" t="n"/>
      <c r="BM19" s="78">
        <f>IF(OR(BL$4=0,BL19=""),"",IFERROR(ROUND(BL19/INDEX(Undirviðmið!$F$6:$F$205,BL$4)*INDEX(Undirviðmið!$E$6:$E$205,BL$4)*KVARDI,2),""))</f>
        <v/>
      </c>
      <c r="BN19" s="66" t="n"/>
      <c r="BO19" s="78">
        <f>IF(OR(BN$4=0,BN19=""),"",IFERROR(ROUND(BN19/INDEX(Undirviðmið!$F$6:$F$205,BN$4)*INDEX(Undirviðmið!$E$6:$E$205,BN$4)*KVARDI,2),""))</f>
        <v/>
      </c>
      <c r="BP19" s="66" t="n"/>
      <c r="BQ19" s="78">
        <f>IF(OR(BP$4=0,BP19=""),"",IFERROR(ROUND(BP19/INDEX(Undirviðmið!$F$6:$F$205,BP$4)*INDEX(Undirviðmið!$E$6:$E$205,BP$4)*KVARDI,2),""))</f>
        <v/>
      </c>
      <c r="BR19" s="66" t="n"/>
      <c r="BS19" s="78">
        <f>IF(OR(BR$4=0,BR19=""),"",IFERROR(ROUND(BR19/INDEX(Undirviðmið!$F$6:$F$205,BR$4)*INDEX(Undirviðmið!$E$6:$E$205,BR$4)*KVARDI,2),""))</f>
        <v/>
      </c>
      <c r="BT19" s="66" t="n"/>
      <c r="BU19" s="78">
        <f>IF(OR(BT$4=0,BT19=""),"",IFERROR(ROUND(BT19/INDEX(Undirviðmið!$F$6:$F$205,BT$4)*INDEX(Undirviðmið!$E$6:$E$205,BT$4)*KVARDI,2),""))</f>
        <v/>
      </c>
      <c r="BV19" s="66" t="n"/>
      <c r="BW19" s="78">
        <f>IF(OR(BV$4=0,BV19=""),"",IFERROR(ROUND(BV19/INDEX(Undirviðmið!$F$6:$F$205,BV$4)*INDEX(Undirviðmið!$E$6:$E$205,BV$4)*KVARDI,2),""))</f>
        <v/>
      </c>
      <c r="BX19" s="66" t="n"/>
      <c r="BY19" s="78">
        <f>IF(OR(BX$4=0,BX19=""),"",IFERROR(ROUND(BX19/INDEX(Undirviðmið!$F$6:$F$205,BX$4)*INDEX(Undirviðmið!$E$6:$E$205,BX$4)*KVARDI,2),""))</f>
        <v/>
      </c>
      <c r="BZ19" s="66" t="n"/>
      <c r="CA19" s="78">
        <f>IF(OR(BZ$4=0,BZ19=""),"",IFERROR(ROUND(BZ19/INDEX(Undirviðmið!$F$6:$F$205,BZ$4)*INDEX(Undirviðmið!$E$6:$E$205,BZ$4)*KVARDI,2),""))</f>
        <v/>
      </c>
      <c r="CB19" s="66" t="n"/>
      <c r="CC19" s="78">
        <f>IF(OR(CB$4=0,CB19=""),"",IFERROR(ROUND(CB19/INDEX(Undirviðmið!$F$6:$F$205,CB$4)*INDEX(Undirviðmið!$E$6:$E$205,CB$4)*KVARDI,2),""))</f>
        <v/>
      </c>
      <c r="CD19" s="66" t="n"/>
      <c r="CE19" s="78">
        <f>IF(OR(CD$4=0,CD19=""),"",IFERROR(ROUND(CD19/INDEX(Undirviðmið!$F$6:$F$205,CD$4)*INDEX(Undirviðmið!$E$6:$E$205,CD$4)*KVARDI,2),""))</f>
        <v/>
      </c>
      <c r="CF19" s="66" t="n"/>
      <c r="CG19" s="78">
        <f>IF(OR(CF$4=0,CF19=""),"",IFERROR(ROUND(CF19/INDEX(Undirviðmið!$F$6:$F$205,CF$4)*INDEX(Undirviðmið!$E$6:$E$205,CF$4)*KVARDI,2),""))</f>
        <v/>
      </c>
      <c r="CH19" s="66" t="n"/>
      <c r="CI19" s="78">
        <f>IF(OR(CH$4=0,CH19=""),"",IFERROR(ROUND(CH19/INDEX(Undirviðmið!$F$6:$F$205,CH$4)*INDEX(Undirviðmið!$E$6:$E$205,CH$4)*KVARDI,2),""))</f>
        <v/>
      </c>
      <c r="CJ19" s="66" t="n"/>
      <c r="CK19" s="78">
        <f>IF(OR(CJ$4=0,CJ19=""),"",IFERROR(ROUND(CJ19/INDEX(Undirviðmið!$F$6:$F$205,CJ$4)*INDEX(Undirviðmið!$E$6:$E$205,CJ$4)*KVARDI,2),""))</f>
        <v/>
      </c>
      <c r="CL19" s="66" t="n"/>
      <c r="CM19" s="78">
        <f>IF(OR(CL$4=0,CL19=""),"",IFERROR(ROUND(CL19/INDEX(Undirviðmið!$F$6:$F$205,CL$4)*INDEX(Undirviðmið!$E$6:$E$205,CL$4)*KVARDI,2),""))</f>
        <v/>
      </c>
      <c r="CN19" s="66" t="n"/>
      <c r="CO19" s="78">
        <f>IF(OR(CN$4=0,CN19=""),"",IFERROR(ROUND(CN19/INDEX(Undirviðmið!$F$6:$F$205,CN$4)*INDEX(Undirviðmið!$E$6:$E$205,CN$4)*KVARDI,2),""))</f>
        <v/>
      </c>
      <c r="CP19" s="66" t="n"/>
      <c r="CQ19" s="78">
        <f>IF(OR(CP$4=0,CP19=""),"",IFERROR(ROUND(CP19/INDEX(Undirviðmið!$F$6:$F$205,CP$4)*INDEX(Undirviðmið!$E$6:$E$205,CP$4)*KVARDI,2),""))</f>
        <v/>
      </c>
      <c r="CR19" s="66" t="n"/>
      <c r="CS19" s="78">
        <f>IF(OR(CR$4=0,CR19=""),"",IFERROR(ROUND(CR19/INDEX(Undirviðmið!$F$6:$F$205,CR$4)*INDEX(Undirviðmið!$E$6:$E$205,CR$4)*KVARDI,2),""))</f>
        <v/>
      </c>
      <c r="CT19" s="66" t="n"/>
      <c r="CU19" s="78">
        <f>IF(OR(CT$4=0,CT19=""),"",IFERROR(ROUND(CT19/INDEX(Undirviðmið!$F$6:$F$205,CT$4)*INDEX(Undirviðmið!$E$6:$E$205,CT$4)*KVARDI,2),""))</f>
        <v/>
      </c>
      <c r="CV19" s="66" t="n"/>
      <c r="CW19" s="78">
        <f>IF(OR(CV$4=0,CV19=""),"",IFERROR(ROUND(CV19/INDEX(Undirviðmið!$F$6:$F$205,CV$4)*INDEX(Undirviðmið!$E$6:$E$205,CV$4)*KVARDI,2),""))</f>
        <v/>
      </c>
      <c r="CX19" s="66" t="n"/>
      <c r="CY19" s="78">
        <f>IF(OR(CX$4=0,CX19=""),"",IFERROR(ROUND(CX19/INDEX(Undirviðmið!$F$6:$F$205,CX$4)*INDEX(Undirviðmið!$E$6:$E$205,CX$4)*KVARDI,2),""))</f>
        <v/>
      </c>
      <c r="CZ19" s="66" t="n"/>
      <c r="DA19" s="78">
        <f>IF(OR(CZ$4=0,CZ19=""),"",IFERROR(ROUND(CZ19/INDEX(Undirviðmið!$F$6:$F$205,CZ$4)*INDEX(Undirviðmið!$E$6:$E$205,CZ$4)*KVARDI,2),""))</f>
        <v/>
      </c>
      <c r="DB19" s="66" t="n"/>
      <c r="DC19" s="78">
        <f>IF(OR(DB$4=0,DB19=""),"",IFERROR(ROUND(DB19/INDEX(Undirviðmið!$F$6:$F$205,DB$4)*INDEX(Undirviðmið!$E$6:$E$205,DB$4)*KVARDI,2),""))</f>
        <v/>
      </c>
      <c r="DD19" s="66" t="n"/>
      <c r="DE19" s="78">
        <f>IF(OR(DD$4=0,DD19=""),"",IFERROR(ROUND(DD19/INDEX(Undirviðmið!$F$6:$F$205,DD$4)*INDEX(Undirviðmið!$E$6:$E$205,DD$4)*KVARDI,2),""))</f>
        <v/>
      </c>
      <c r="DF19" s="66" t="n"/>
      <c r="DG19" s="78">
        <f>IF(OR(DF$4=0,DF19=""),"",IFERROR(ROUND(DF19/INDEX(Undirviðmið!$F$6:$F$205,DF$4)*INDEX(Undirviðmið!$E$6:$E$205,DF$4)*KVARDI,2),""))</f>
        <v/>
      </c>
      <c r="DH19" s="66" t="n"/>
      <c r="DI19" s="78">
        <f>IF(OR(DH$4=0,DH19=""),"",IFERROR(ROUND(DH19/INDEX(Undirviðmið!$F$6:$F$205,DH$4)*INDEX(Undirviðmið!$E$6:$E$205,DH$4)*KVARDI,2),""))</f>
        <v/>
      </c>
      <c r="DJ19" s="66" t="n"/>
      <c r="DK19" s="78">
        <f>IF(OR(DJ$4=0,DJ19=""),"",IFERROR(ROUND(DJ19/INDEX(Undirviðmið!$F$6:$F$205,DJ$4)*INDEX(Undirviðmið!$E$6:$E$205,DJ$4)*KVARDI,2),""))</f>
        <v/>
      </c>
      <c r="DL19" s="66" t="n"/>
      <c r="DM19" s="78">
        <f>IF(OR(DL$4=0,DL19=""),"",IFERROR(ROUND(DL19/INDEX(Undirviðmið!$F$6:$F$205,DL$4)*INDEX(Undirviðmið!$E$6:$E$205,DL$4)*KVARDI,2),""))</f>
        <v/>
      </c>
      <c r="DN19" s="66" t="n"/>
      <c r="DO19" s="78">
        <f>IF(OR(DN$4=0,DN19=""),"",IFERROR(ROUND(DN19/INDEX(Undirviðmið!$F$6:$F$205,DN$4)*INDEX(Undirviðmið!$E$6:$E$205,DN$4)*KVARDI,2),""))</f>
        <v/>
      </c>
      <c r="DP19" s="66" t="n"/>
      <c r="DQ19" s="78">
        <f>IF(OR(DP$4=0,DP19=""),"",IFERROR(ROUND(DP19/INDEX(Undirviðmið!$F$6:$F$205,DP$4)*INDEX(Undirviðmið!$E$6:$E$205,DP$4)*KVARDI,2),""))</f>
        <v/>
      </c>
      <c r="DR19" s="66" t="n"/>
      <c r="DS19" s="78">
        <f>IF(OR(DR$4=0,DR19=""),"",IFERROR(ROUND(DR19/INDEX(Undirviðmið!$F$6:$F$205,DR$4)*INDEX(Undirviðmið!$E$6:$E$205,DR$4)*KVARDI,2),""))</f>
        <v/>
      </c>
      <c r="DT19" s="66" t="n"/>
      <c r="DU19" s="78">
        <f>IF(OR(DT$4=0,DT19=""),"",IFERROR(ROUND(DT19/INDEX(Undirviðmið!$F$6:$F$205,DT$4)*INDEX(Undirviðmið!$E$6:$E$205,DT$4)*KVARDI,2),""))</f>
        <v/>
      </c>
      <c r="DV19" s="66" t="n"/>
      <c r="DW19" s="78">
        <f>IF(OR(DV$4=0,DV19=""),"",IFERROR(ROUND(DV19/INDEX(Undirviðmið!$F$6:$F$205,DV$4)*INDEX(Undirviðmið!$E$6:$E$205,DV$4)*KVARDI,2),""))</f>
        <v/>
      </c>
      <c r="DX19" s="66" t="n"/>
      <c r="DY19" s="78">
        <f>IF(OR(DX$4=0,DX19=""),"",IFERROR(ROUND(DX19/INDEX(Undirviðmið!$F$6:$F$205,DX$4)*INDEX(Undirviðmið!$E$6:$E$205,DX$4)*KVARDI,2),""))</f>
        <v/>
      </c>
      <c r="DZ19" s="66" t="n"/>
      <c r="EA19" s="78">
        <f>IF(OR(DZ$4=0,DZ19=""),"",IFERROR(ROUND(DZ19/INDEX(Undirviðmið!$F$6:$F$205,DZ$4)*INDEX(Undirviðmið!$E$6:$E$205,DZ$4)*KVARDI,2),""))</f>
        <v/>
      </c>
      <c r="EB19" s="66" t="n"/>
      <c r="EC19" s="78">
        <f>IF(OR(EB$4=0,EB19=""),"",IFERROR(ROUND(EB19/INDEX(Undirviðmið!$F$6:$F$205,EB$4)*INDEX(Undirviðmið!$E$6:$E$205,EB$4)*KVARDI,2),""))</f>
        <v/>
      </c>
      <c r="ED19" s="66" t="n"/>
      <c r="EE19" s="78">
        <f>IF(OR(ED$4=0,ED19=""),"",IFERROR(ROUND(ED19/INDEX(Undirviðmið!$F$6:$F$205,ED$4)*INDEX(Undirviðmið!$E$6:$E$205,ED$4)*KVARDI,2),""))</f>
        <v/>
      </c>
      <c r="EF19" s="66" t="n"/>
      <c r="EG19" s="78">
        <f>IF(OR(EF$4=0,EF19=""),"",IFERROR(ROUND(EF19/INDEX(Undirviðmið!$F$6:$F$205,EF$4)*INDEX(Undirviðmið!$E$6:$E$205,EF$4)*KVARDI,2),""))</f>
        <v/>
      </c>
      <c r="EH19" s="66" t="n"/>
      <c r="EI19" s="78">
        <f>IF(OR(EH$4=0,EH19=""),"",IFERROR(ROUND(EH19/INDEX(Undirviðmið!$F$6:$F$205,EH$4)*INDEX(Undirviðmið!$E$6:$E$205,EH$4)*KVARDI,2),""))</f>
        <v/>
      </c>
      <c r="EJ19" s="66" t="n"/>
      <c r="EK19" s="78">
        <f>IF(OR(EJ$4=0,EJ19=""),"",IFERROR(ROUND(EJ19/INDEX(Undirviðmið!$F$6:$F$205,EJ$4)*INDEX(Undirviðmið!$E$6:$E$205,EJ$4)*KVARDI,2),""))</f>
        <v/>
      </c>
      <c r="EL19" s="66" t="n"/>
      <c r="EM19" s="78">
        <f>IF(OR(EL$4=0,EL19=""),"",IFERROR(ROUND(EL19/INDEX(Undirviðmið!$F$6:$F$205,EL$4)*INDEX(Undirviðmið!$E$6:$E$205,EL$4)*KVARDI,2),""))</f>
        <v/>
      </c>
      <c r="EN19" s="66" t="n"/>
      <c r="EO19" s="78">
        <f>IF(OR(EN$4=0,EN19=""),"",IFERROR(ROUND(EN19/INDEX(Undirviðmið!$F$6:$F$205,EN$4)*INDEX(Undirviðmið!$E$6:$E$205,EN$4)*KVARDI,2),""))</f>
        <v/>
      </c>
      <c r="EP19" s="66" t="n"/>
      <c r="EQ19" s="78">
        <f>IF(OR(EP$4=0,EP19=""),"",IFERROR(ROUND(EP19/INDEX(Undirviðmið!$F$6:$F$205,EP$4)*INDEX(Undirviðmið!$E$6:$E$205,EP$4)*KVARDI,2),""))</f>
        <v/>
      </c>
      <c r="ER19" s="66" t="n"/>
      <c r="ES19" s="78">
        <f>IF(OR(ER$4=0,ER19=""),"",IFERROR(ROUND(ER19/INDEX(Undirviðmið!$F$6:$F$205,ER$4)*INDEX(Undirviðmið!$E$6:$E$205,ER$4)*KVARDI,2),""))</f>
        <v/>
      </c>
      <c r="ET19" s="66" t="n"/>
      <c r="EU19" s="78">
        <f>IF(OR(ET$4=0,ET19=""),"",IFERROR(ROUND(ET19/INDEX(Undirviðmið!$F$6:$F$205,ET$4)*INDEX(Undirviðmið!$E$6:$E$205,ET$4)*KVARDI,2),""))</f>
        <v/>
      </c>
      <c r="EV19" s="66" t="n"/>
      <c r="EW19" s="78">
        <f>IF(OR(EV$4=0,EV19=""),"",IFERROR(ROUND(EV19/INDEX(Undirviðmið!$F$6:$F$205,EV$4)*INDEX(Undirviðmið!$E$6:$E$205,EV$4)*KVARDI,2),""))</f>
        <v/>
      </c>
      <c r="EX19" s="66" t="n"/>
      <c r="EY19" s="78">
        <f>IF(OR(EX$4=0,EX19=""),"",IFERROR(ROUND(EX19/INDEX(Undirviðmið!$F$6:$F$205,EX$4)*INDEX(Undirviðmið!$E$6:$E$205,EX$4)*KVARDI,2),""))</f>
        <v/>
      </c>
      <c r="EZ19" s="66" t="n"/>
      <c r="FA19" s="78">
        <f>IF(OR(EZ$4=0,EZ19=""),"",IFERROR(ROUND(EZ19/INDEX(Undirviðmið!$F$6:$F$205,EZ$4)*INDEX(Undirviðmið!$E$6:$E$205,EZ$4)*KVARDI,2),""))</f>
        <v/>
      </c>
      <c r="FB19" s="66" t="n"/>
      <c r="FC19" s="78">
        <f>IF(OR(FB$4=0,FB19=""),"",IFERROR(ROUND(FB19/INDEX(Undirviðmið!$F$6:$F$205,FB$4)*INDEX(Undirviðmið!$E$6:$E$205,FB$4)*KVARDI,2),""))</f>
        <v/>
      </c>
      <c r="FD19" s="66" t="n"/>
      <c r="FE19" s="78">
        <f>IF(OR(FD$4=0,FD19=""),"",IFERROR(ROUND(FD19/INDEX(Undirviðmið!$F$6:$F$205,FD$4)*INDEX(Undirviðmið!$E$6:$E$205,FD$4)*KVARDI,2),""))</f>
        <v/>
      </c>
      <c r="FF19" s="66" t="n"/>
      <c r="FG19" s="78">
        <f>IF(OR(FF$4=0,FF19=""),"",IFERROR(ROUND(FF19/INDEX(Undirviðmið!$F$6:$F$205,FF$4)*INDEX(Undirviðmið!$E$6:$E$205,FF$4)*KVARDI,2),""))</f>
        <v/>
      </c>
      <c r="FH19" s="66" t="n"/>
      <c r="FI19" s="78">
        <f>IF(OR(FH$4=0,FH19=""),"",IFERROR(ROUND(FH19/INDEX(Undirviðmið!$F$6:$F$205,FH$4)*INDEX(Undirviðmið!$E$6:$E$205,FH$4)*KVARDI,2),""))</f>
        <v/>
      </c>
      <c r="FJ19" s="66" t="n"/>
      <c r="FK19" s="78">
        <f>IF(OR(FJ$4=0,FJ19=""),"",IFERROR(ROUND(FJ19/INDEX(Undirviðmið!$F$6:$F$205,FJ$4)*INDEX(Undirviðmið!$E$6:$E$205,FJ$4)*KVARDI,2),""))</f>
        <v/>
      </c>
      <c r="FL19" s="66" t="n"/>
      <c r="FM19" s="78">
        <f>IF(OR(FL$4=0,FL19=""),"",IFERROR(ROUND(FL19/INDEX(Undirviðmið!$F$6:$F$205,FL$4)*INDEX(Undirviðmið!$E$6:$E$205,FL$4)*KVARDI,2),""))</f>
        <v/>
      </c>
      <c r="FN19" s="66" t="n"/>
      <c r="FO19" s="78">
        <f>IF(OR(FN$4=0,FN19=""),"",IFERROR(ROUND(FN19/INDEX(Undirviðmið!$F$6:$F$205,FN$4)*INDEX(Undirviðmið!$E$6:$E$205,FN$4)*KVARDI,2),""))</f>
        <v/>
      </c>
      <c r="FP19" s="66" t="n"/>
      <c r="FQ19" s="78">
        <f>IF(OR(FP$4=0,FP19=""),"",IFERROR(ROUND(FP19/INDEX(Undirviðmið!$F$6:$F$205,FP$4)*INDEX(Undirviðmið!$E$6:$E$205,FP$4)*KVARDI,2),""))</f>
        <v/>
      </c>
      <c r="FR19" s="66" t="n"/>
      <c r="FS19" s="78">
        <f>IF(OR(FR$4=0,FR19=""),"",IFERROR(ROUND(FR19/INDEX(Undirviðmið!$F$6:$F$205,FR$4)*INDEX(Undirviðmið!$E$6:$E$205,FR$4)*KVARDI,2),""))</f>
        <v/>
      </c>
      <c r="FT19" s="66" t="n"/>
      <c r="FU19" s="78">
        <f>IF(OR(FT$4=0,FT19=""),"",IFERROR(ROUND(FT19/INDEX(Undirviðmið!$F$6:$F$205,FT$4)*INDEX(Undirviðmið!$E$6:$E$205,FT$4)*KVARDI,2),""))</f>
        <v/>
      </c>
      <c r="FV19" s="66" t="n"/>
      <c r="FW19" s="78">
        <f>IF(OR(FV$4=0,FV19=""),"",IFERROR(ROUND(FV19/INDEX(Undirviðmið!$F$6:$F$205,FV$4)*INDEX(Undirviðmið!$E$6:$E$205,FV$4)*KVARDI,2),""))</f>
        <v/>
      </c>
      <c r="FX19" s="66" t="n"/>
      <c r="FY19" s="78">
        <f>IF(OR(FX$4=0,FX19=""),"",IFERROR(ROUND(FX19/INDEX(Undirviðmið!$F$6:$F$205,FX$4)*INDEX(Undirviðmið!$E$6:$E$205,FX$4)*KVARDI,2),""))</f>
        <v/>
      </c>
      <c r="FZ19" s="66" t="n"/>
      <c r="GA19" s="78">
        <f>IF(OR(FZ$4=0,FZ19=""),"",IFERROR(ROUND(FZ19/INDEX(Undirviðmið!$F$6:$F$205,FZ$4)*INDEX(Undirviðmið!$E$6:$E$205,FZ$4)*KVARDI,2),""))</f>
        <v/>
      </c>
      <c r="GB19" s="66" t="n"/>
      <c r="GC19" s="78">
        <f>IF(OR(GB$4=0,GB19=""),"",IFERROR(ROUND(GB19/INDEX(Undirviðmið!$F$6:$F$205,GB$4)*INDEX(Undirviðmið!$E$6:$E$205,GB$4)*KVARDI,2),""))</f>
        <v/>
      </c>
      <c r="GD19" s="66" t="n"/>
      <c r="GE19" s="78">
        <f>IF(OR(GD$4=0,GD19=""),"",IFERROR(ROUND(GD19/INDEX(Undirviðmið!$F$6:$F$205,GD$4)*INDEX(Undirviðmið!$E$6:$E$205,GD$4)*KVARDI,2),""))</f>
        <v/>
      </c>
      <c r="GF19" s="66" t="n"/>
      <c r="GG19" s="78">
        <f>IF(OR(GF$4=0,GF19=""),"",IFERROR(ROUND(GF19/INDEX(Undirviðmið!$F$6:$F$205,GF$4)*INDEX(Undirviðmið!$E$6:$E$205,GF$4)*KVARDI,2),""))</f>
        <v/>
      </c>
      <c r="GH19" s="66" t="n"/>
      <c r="GI19" s="78">
        <f>IF(OR(GH$4=0,GH19=""),"",IFERROR(ROUND(GH19/INDEX(Undirviðmið!$F$6:$F$205,GH$4)*INDEX(Undirviðmið!$E$6:$E$205,GH$4)*KVARDI,2),""))</f>
        <v/>
      </c>
      <c r="GJ19" s="66" t="n"/>
      <c r="GK19" s="78">
        <f>IF(OR(GJ$4=0,GJ19=""),"",IFERROR(ROUND(GJ19/INDEX(Undirviðmið!$F$6:$F$205,GJ$4)*INDEX(Undirviðmið!$E$6:$E$205,GJ$4)*KVARDI,2),""))</f>
        <v/>
      </c>
      <c r="GL19" s="66" t="n"/>
      <c r="GM19" s="78">
        <f>IF(OR(GL$4=0,GL19=""),"",IFERROR(ROUND(GL19/INDEX(Undirviðmið!$F$6:$F$205,GL$4)*INDEX(Undirviðmið!$E$6:$E$205,GL$4)*KVARDI,2),""))</f>
        <v/>
      </c>
      <c r="GN19" s="66" t="n"/>
      <c r="GO19" s="78">
        <f>IF(OR(GN$4=0,GN19=""),"",IFERROR(ROUND(GN19/INDEX(Undirviðmið!$F$6:$F$205,GN$4)*INDEX(Undirviðmið!$E$6:$E$205,GN$4)*KVARDI,2),""))</f>
        <v/>
      </c>
      <c r="GP19" s="66" t="n"/>
      <c r="GQ19" s="78">
        <f>IF(OR(GP$4=0,GP19=""),"",IFERROR(ROUND(GP19/INDEX(Undirviðmið!$F$6:$F$205,GP$4)*INDEX(Undirviðmið!$E$6:$E$205,GP$4)*KVARDI,2),""))</f>
        <v/>
      </c>
      <c r="GR19" s="66" t="n"/>
      <c r="GS19" s="78">
        <f>IF(OR(GR$4=0,GR19=""),"",IFERROR(ROUND(GR19/INDEX(Undirviðmið!$F$6:$F$205,GR$4)*INDEX(Undirviðmið!$E$6:$E$205,GR$4)*KVARDI,2),""))</f>
        <v/>
      </c>
      <c r="GT19" s="66" t="n"/>
      <c r="GU19" s="78">
        <f>IF(OR(GT$4=0,GT19=""),"",IFERROR(ROUND(GT19/INDEX(Undirviðmið!$F$6:$F$205,GT$4)*INDEX(Undirviðmið!$E$6:$E$205,GT$4)*KVARDI,2),""))</f>
        <v/>
      </c>
      <c r="GV19" s="63">
        <f>IFERROR(SUMIF($D$6:GU$6,"Stig",$D19:GU19),0)</f>
        <v/>
      </c>
    </row>
    <row r="20" ht="15" customHeight="1" s="47">
      <c r="A20" s="65">
        <f>ROW()-6</f>
        <v/>
      </c>
      <c r="B20" s="67">
        <f>IF(INDEX(Starfsmenn!$B$6:$B$10005,ROW()-6)="","",INDEX(Starfsmenn!$B$6:$B$10005,ROW()-6))</f>
        <v/>
      </c>
      <c r="C20" s="67">
        <f>IF(INDEX(Starfsmenn!$C$6:$C$10005,ROW()-6)="","",INDEX(Starfsmenn!$C$6:$C$10005,ROW()-6))</f>
        <v/>
      </c>
      <c r="D20" s="66" t="n"/>
      <c r="E20" s="78">
        <f>IF(OR(D$4=0,D20=""),"",IFERROR(ROUND(D20/INDEX(Undirviðmið!$F$6:$F$205,D$4)*INDEX(Undirviðmið!$E$6:$E$205,D$4)*KVARDI,2),""))</f>
        <v/>
      </c>
      <c r="F20" s="66" t="n"/>
      <c r="G20" s="78">
        <f>IF(OR(F$4=0,F20=""),"",IFERROR(ROUND(F20/INDEX(Undirviðmið!$F$6:$F$205,F$4)*INDEX(Undirviðmið!$E$6:$E$205,F$4)*KVARDI,2),""))</f>
        <v/>
      </c>
      <c r="H20" s="66" t="n"/>
      <c r="I20" s="78">
        <f>IF(OR(H$4=0,H20=""),"",IFERROR(ROUND(H20/INDEX(Undirviðmið!$F$6:$F$205,H$4)*INDEX(Undirviðmið!$E$6:$E$205,H$4)*KVARDI,2),""))</f>
        <v/>
      </c>
      <c r="J20" s="66" t="n"/>
      <c r="K20" s="78">
        <f>IF(OR(J$4=0,J20=""),"",IFERROR(ROUND(J20/INDEX(Undirviðmið!$F$6:$F$205,J$4)*INDEX(Undirviðmið!$E$6:$E$205,J$4)*KVARDI,2),""))</f>
        <v/>
      </c>
      <c r="L20" s="66" t="n"/>
      <c r="M20" s="78">
        <f>IF(OR(L$4=0,L20=""),"",IFERROR(ROUND(L20/INDEX(Undirviðmið!$F$6:$F$205,L$4)*INDEX(Undirviðmið!$E$6:$E$205,L$4)*KVARDI,2),""))</f>
        <v/>
      </c>
      <c r="N20" s="66" t="n"/>
      <c r="O20" s="78">
        <f>IF(OR(N$4=0,N20=""),"",IFERROR(ROUND(N20/INDEX(Undirviðmið!$F$6:$F$205,N$4)*INDEX(Undirviðmið!$E$6:$E$205,N$4)*KVARDI,2),""))</f>
        <v/>
      </c>
      <c r="P20" s="66" t="n"/>
      <c r="Q20" s="78">
        <f>IF(OR(P$4=0,P20=""),"",IFERROR(ROUND(P20/INDEX(Undirviðmið!$F$6:$F$205,P$4)*INDEX(Undirviðmið!$E$6:$E$205,P$4)*KVARDI,2),""))</f>
        <v/>
      </c>
      <c r="R20" s="66" t="n"/>
      <c r="S20" s="78">
        <f>IF(OR(R$4=0,R20=""),"",IFERROR(ROUND(R20/INDEX(Undirviðmið!$F$6:$F$205,R$4)*INDEX(Undirviðmið!$E$6:$E$205,R$4)*KVARDI,2),""))</f>
        <v/>
      </c>
      <c r="T20" s="66" t="n"/>
      <c r="U20" s="78">
        <f>IF(OR(T$4=0,T20=""),"",IFERROR(ROUND(T20/INDEX(Undirviðmið!$F$6:$F$205,T$4)*INDEX(Undirviðmið!$E$6:$E$205,T$4)*KVARDI,2),""))</f>
        <v/>
      </c>
      <c r="V20" s="66" t="n"/>
      <c r="W20" s="78">
        <f>IF(OR(V$4=0,V20=""),"",IFERROR(ROUND(V20/INDEX(Undirviðmið!$F$6:$F$205,V$4)*INDEX(Undirviðmið!$E$6:$E$205,V$4)*KVARDI,2),""))</f>
        <v/>
      </c>
      <c r="X20" s="66" t="n"/>
      <c r="Y20" s="78">
        <f>IF(OR(X$4=0,X20=""),"",IFERROR(ROUND(X20/INDEX(Undirviðmið!$F$6:$F$205,X$4)*INDEX(Undirviðmið!$E$6:$E$205,X$4)*KVARDI,2),""))</f>
        <v/>
      </c>
      <c r="Z20" s="66" t="n"/>
      <c r="AA20" s="78">
        <f>IF(OR(Z$4=0,Z20=""),"",IFERROR(ROUND(Z20/INDEX(Undirviðmið!$F$6:$F$205,Z$4)*INDEX(Undirviðmið!$E$6:$E$205,Z$4)*KVARDI,2),""))</f>
        <v/>
      </c>
      <c r="AB20" s="66" t="n"/>
      <c r="AC20" s="78">
        <f>IF(OR(AB$4=0,AB20=""),"",IFERROR(ROUND(AB20/INDEX(Undirviðmið!$F$6:$F$205,AB$4)*INDEX(Undirviðmið!$E$6:$E$205,AB$4)*KVARDI,2),""))</f>
        <v/>
      </c>
      <c r="AD20" s="66" t="n"/>
      <c r="AE20" s="78">
        <f>IF(OR(AD$4=0,AD20=""),"",IFERROR(ROUND(AD20/INDEX(Undirviðmið!$F$6:$F$205,AD$4)*INDEX(Undirviðmið!$E$6:$E$205,AD$4)*KVARDI,2),""))</f>
        <v/>
      </c>
      <c r="AF20" s="66" t="n"/>
      <c r="AG20" s="78">
        <f>IF(OR(AF$4=0,AF20=""),"",IFERROR(ROUND(AF20/INDEX(Undirviðmið!$F$6:$F$205,AF$4)*INDEX(Undirviðmið!$E$6:$E$205,AF$4)*KVARDI,2),""))</f>
        <v/>
      </c>
      <c r="AH20" s="66" t="n"/>
      <c r="AI20" s="78">
        <f>IF(OR(AH$4=0,AH20=""),"",IFERROR(ROUND(AH20/INDEX(Undirviðmið!$F$6:$F$205,AH$4)*INDEX(Undirviðmið!$E$6:$E$205,AH$4)*KVARDI,2),""))</f>
        <v/>
      </c>
      <c r="AJ20" s="66" t="n"/>
      <c r="AK20" s="78">
        <f>IF(OR(AJ$4=0,AJ20=""),"",IFERROR(ROUND(AJ20/INDEX(Undirviðmið!$F$6:$F$205,AJ$4)*INDEX(Undirviðmið!$E$6:$E$205,AJ$4)*KVARDI,2),""))</f>
        <v/>
      </c>
      <c r="AL20" s="66" t="n"/>
      <c r="AM20" s="78">
        <f>IF(OR(AL$4=0,AL20=""),"",IFERROR(ROUND(AL20/INDEX(Undirviðmið!$F$6:$F$205,AL$4)*INDEX(Undirviðmið!$E$6:$E$205,AL$4)*KVARDI,2),""))</f>
        <v/>
      </c>
      <c r="AN20" s="66" t="n"/>
      <c r="AO20" s="78">
        <f>IF(OR(AN$4=0,AN20=""),"",IFERROR(ROUND(AN20/INDEX(Undirviðmið!$F$6:$F$205,AN$4)*INDEX(Undirviðmið!$E$6:$E$205,AN$4)*KVARDI,2),""))</f>
        <v/>
      </c>
      <c r="AP20" s="66" t="n"/>
      <c r="AQ20" s="78">
        <f>IF(OR(AP$4=0,AP20=""),"",IFERROR(ROUND(AP20/INDEX(Undirviðmið!$F$6:$F$205,AP$4)*INDEX(Undirviðmið!$E$6:$E$205,AP$4)*KVARDI,2),""))</f>
        <v/>
      </c>
      <c r="AR20" s="66" t="n"/>
      <c r="AS20" s="78">
        <f>IF(OR(AR$4=0,AR20=""),"",IFERROR(ROUND(AR20/INDEX(Undirviðmið!$F$6:$F$205,AR$4)*INDEX(Undirviðmið!$E$6:$E$205,AR$4)*KVARDI,2),""))</f>
        <v/>
      </c>
      <c r="AT20" s="66" t="n"/>
      <c r="AU20" s="78">
        <f>IF(OR(AT$4=0,AT20=""),"",IFERROR(ROUND(AT20/INDEX(Undirviðmið!$F$6:$F$205,AT$4)*INDEX(Undirviðmið!$E$6:$E$205,AT$4)*KVARDI,2),""))</f>
        <v/>
      </c>
      <c r="AV20" s="66" t="n"/>
      <c r="AW20" s="78">
        <f>IF(OR(AV$4=0,AV20=""),"",IFERROR(ROUND(AV20/INDEX(Undirviðmið!$F$6:$F$205,AV$4)*INDEX(Undirviðmið!$E$6:$E$205,AV$4)*KVARDI,2),""))</f>
        <v/>
      </c>
      <c r="AX20" s="66" t="n"/>
      <c r="AY20" s="78">
        <f>IF(OR(AX$4=0,AX20=""),"",IFERROR(ROUND(AX20/INDEX(Undirviðmið!$F$6:$F$205,AX$4)*INDEX(Undirviðmið!$E$6:$E$205,AX$4)*KVARDI,2),""))</f>
        <v/>
      </c>
      <c r="AZ20" s="66" t="n"/>
      <c r="BA20" s="78">
        <f>IF(OR(AZ$4=0,AZ20=""),"",IFERROR(ROUND(AZ20/INDEX(Undirviðmið!$F$6:$F$205,AZ$4)*INDEX(Undirviðmið!$E$6:$E$205,AZ$4)*KVARDI,2),""))</f>
        <v/>
      </c>
      <c r="BB20" s="66" t="n"/>
      <c r="BC20" s="78">
        <f>IF(OR(BB$4=0,BB20=""),"",IFERROR(ROUND(BB20/INDEX(Undirviðmið!$F$6:$F$205,BB$4)*INDEX(Undirviðmið!$E$6:$E$205,BB$4)*KVARDI,2),""))</f>
        <v/>
      </c>
      <c r="BD20" s="66" t="n"/>
      <c r="BE20" s="78">
        <f>IF(OR(BD$4=0,BD20=""),"",IFERROR(ROUND(BD20/INDEX(Undirviðmið!$F$6:$F$205,BD$4)*INDEX(Undirviðmið!$E$6:$E$205,BD$4)*KVARDI,2),""))</f>
        <v/>
      </c>
      <c r="BF20" s="66" t="n"/>
      <c r="BG20" s="78">
        <f>IF(OR(BF$4=0,BF20=""),"",IFERROR(ROUND(BF20/INDEX(Undirviðmið!$F$6:$F$205,BF$4)*INDEX(Undirviðmið!$E$6:$E$205,BF$4)*KVARDI,2),""))</f>
        <v/>
      </c>
      <c r="BH20" s="66" t="n"/>
      <c r="BI20" s="78">
        <f>IF(OR(BH$4=0,BH20=""),"",IFERROR(ROUND(BH20/INDEX(Undirviðmið!$F$6:$F$205,BH$4)*INDEX(Undirviðmið!$E$6:$E$205,BH$4)*KVARDI,2),""))</f>
        <v/>
      </c>
      <c r="BJ20" s="66" t="n"/>
      <c r="BK20" s="78">
        <f>IF(OR(BJ$4=0,BJ20=""),"",IFERROR(ROUND(BJ20/INDEX(Undirviðmið!$F$6:$F$205,BJ$4)*INDEX(Undirviðmið!$E$6:$E$205,BJ$4)*KVARDI,2),""))</f>
        <v/>
      </c>
      <c r="BL20" s="66" t="n"/>
      <c r="BM20" s="78">
        <f>IF(OR(BL$4=0,BL20=""),"",IFERROR(ROUND(BL20/INDEX(Undirviðmið!$F$6:$F$205,BL$4)*INDEX(Undirviðmið!$E$6:$E$205,BL$4)*KVARDI,2),""))</f>
        <v/>
      </c>
      <c r="BN20" s="66" t="n"/>
      <c r="BO20" s="78">
        <f>IF(OR(BN$4=0,BN20=""),"",IFERROR(ROUND(BN20/INDEX(Undirviðmið!$F$6:$F$205,BN$4)*INDEX(Undirviðmið!$E$6:$E$205,BN$4)*KVARDI,2),""))</f>
        <v/>
      </c>
      <c r="BP20" s="66" t="n"/>
      <c r="BQ20" s="78">
        <f>IF(OR(BP$4=0,BP20=""),"",IFERROR(ROUND(BP20/INDEX(Undirviðmið!$F$6:$F$205,BP$4)*INDEX(Undirviðmið!$E$6:$E$205,BP$4)*KVARDI,2),""))</f>
        <v/>
      </c>
      <c r="BR20" s="66" t="n"/>
      <c r="BS20" s="78">
        <f>IF(OR(BR$4=0,BR20=""),"",IFERROR(ROUND(BR20/INDEX(Undirviðmið!$F$6:$F$205,BR$4)*INDEX(Undirviðmið!$E$6:$E$205,BR$4)*KVARDI,2),""))</f>
        <v/>
      </c>
      <c r="BT20" s="66" t="n"/>
      <c r="BU20" s="78">
        <f>IF(OR(BT$4=0,BT20=""),"",IFERROR(ROUND(BT20/INDEX(Undirviðmið!$F$6:$F$205,BT$4)*INDEX(Undirviðmið!$E$6:$E$205,BT$4)*KVARDI,2),""))</f>
        <v/>
      </c>
      <c r="BV20" s="66" t="n"/>
      <c r="BW20" s="78">
        <f>IF(OR(BV$4=0,BV20=""),"",IFERROR(ROUND(BV20/INDEX(Undirviðmið!$F$6:$F$205,BV$4)*INDEX(Undirviðmið!$E$6:$E$205,BV$4)*KVARDI,2),""))</f>
        <v/>
      </c>
      <c r="BX20" s="66" t="n"/>
      <c r="BY20" s="78">
        <f>IF(OR(BX$4=0,BX20=""),"",IFERROR(ROUND(BX20/INDEX(Undirviðmið!$F$6:$F$205,BX$4)*INDEX(Undirviðmið!$E$6:$E$205,BX$4)*KVARDI,2),""))</f>
        <v/>
      </c>
      <c r="BZ20" s="66" t="n"/>
      <c r="CA20" s="78">
        <f>IF(OR(BZ$4=0,BZ20=""),"",IFERROR(ROUND(BZ20/INDEX(Undirviðmið!$F$6:$F$205,BZ$4)*INDEX(Undirviðmið!$E$6:$E$205,BZ$4)*KVARDI,2),""))</f>
        <v/>
      </c>
      <c r="CB20" s="66" t="n"/>
      <c r="CC20" s="78">
        <f>IF(OR(CB$4=0,CB20=""),"",IFERROR(ROUND(CB20/INDEX(Undirviðmið!$F$6:$F$205,CB$4)*INDEX(Undirviðmið!$E$6:$E$205,CB$4)*KVARDI,2),""))</f>
        <v/>
      </c>
      <c r="CD20" s="66" t="n"/>
      <c r="CE20" s="78">
        <f>IF(OR(CD$4=0,CD20=""),"",IFERROR(ROUND(CD20/INDEX(Undirviðmið!$F$6:$F$205,CD$4)*INDEX(Undirviðmið!$E$6:$E$205,CD$4)*KVARDI,2),""))</f>
        <v/>
      </c>
      <c r="CF20" s="66" t="n"/>
      <c r="CG20" s="78">
        <f>IF(OR(CF$4=0,CF20=""),"",IFERROR(ROUND(CF20/INDEX(Undirviðmið!$F$6:$F$205,CF$4)*INDEX(Undirviðmið!$E$6:$E$205,CF$4)*KVARDI,2),""))</f>
        <v/>
      </c>
      <c r="CH20" s="66" t="n"/>
      <c r="CI20" s="78">
        <f>IF(OR(CH$4=0,CH20=""),"",IFERROR(ROUND(CH20/INDEX(Undirviðmið!$F$6:$F$205,CH$4)*INDEX(Undirviðmið!$E$6:$E$205,CH$4)*KVARDI,2),""))</f>
        <v/>
      </c>
      <c r="CJ20" s="66" t="n"/>
      <c r="CK20" s="78">
        <f>IF(OR(CJ$4=0,CJ20=""),"",IFERROR(ROUND(CJ20/INDEX(Undirviðmið!$F$6:$F$205,CJ$4)*INDEX(Undirviðmið!$E$6:$E$205,CJ$4)*KVARDI,2),""))</f>
        <v/>
      </c>
      <c r="CL20" s="66" t="n"/>
      <c r="CM20" s="78">
        <f>IF(OR(CL$4=0,CL20=""),"",IFERROR(ROUND(CL20/INDEX(Undirviðmið!$F$6:$F$205,CL$4)*INDEX(Undirviðmið!$E$6:$E$205,CL$4)*KVARDI,2),""))</f>
        <v/>
      </c>
      <c r="CN20" s="66" t="n"/>
      <c r="CO20" s="78">
        <f>IF(OR(CN$4=0,CN20=""),"",IFERROR(ROUND(CN20/INDEX(Undirviðmið!$F$6:$F$205,CN$4)*INDEX(Undirviðmið!$E$6:$E$205,CN$4)*KVARDI,2),""))</f>
        <v/>
      </c>
      <c r="CP20" s="66" t="n"/>
      <c r="CQ20" s="78">
        <f>IF(OR(CP$4=0,CP20=""),"",IFERROR(ROUND(CP20/INDEX(Undirviðmið!$F$6:$F$205,CP$4)*INDEX(Undirviðmið!$E$6:$E$205,CP$4)*KVARDI,2),""))</f>
        <v/>
      </c>
      <c r="CR20" s="66" t="n"/>
      <c r="CS20" s="78">
        <f>IF(OR(CR$4=0,CR20=""),"",IFERROR(ROUND(CR20/INDEX(Undirviðmið!$F$6:$F$205,CR$4)*INDEX(Undirviðmið!$E$6:$E$205,CR$4)*KVARDI,2),""))</f>
        <v/>
      </c>
      <c r="CT20" s="66" t="n"/>
      <c r="CU20" s="78">
        <f>IF(OR(CT$4=0,CT20=""),"",IFERROR(ROUND(CT20/INDEX(Undirviðmið!$F$6:$F$205,CT$4)*INDEX(Undirviðmið!$E$6:$E$205,CT$4)*KVARDI,2),""))</f>
        <v/>
      </c>
      <c r="CV20" s="66" t="n"/>
      <c r="CW20" s="78">
        <f>IF(OR(CV$4=0,CV20=""),"",IFERROR(ROUND(CV20/INDEX(Undirviðmið!$F$6:$F$205,CV$4)*INDEX(Undirviðmið!$E$6:$E$205,CV$4)*KVARDI,2),""))</f>
        <v/>
      </c>
      <c r="CX20" s="66" t="n"/>
      <c r="CY20" s="78">
        <f>IF(OR(CX$4=0,CX20=""),"",IFERROR(ROUND(CX20/INDEX(Undirviðmið!$F$6:$F$205,CX$4)*INDEX(Undirviðmið!$E$6:$E$205,CX$4)*KVARDI,2),""))</f>
        <v/>
      </c>
      <c r="CZ20" s="66" t="n"/>
      <c r="DA20" s="78">
        <f>IF(OR(CZ$4=0,CZ20=""),"",IFERROR(ROUND(CZ20/INDEX(Undirviðmið!$F$6:$F$205,CZ$4)*INDEX(Undirviðmið!$E$6:$E$205,CZ$4)*KVARDI,2),""))</f>
        <v/>
      </c>
      <c r="DB20" s="66" t="n"/>
      <c r="DC20" s="78">
        <f>IF(OR(DB$4=0,DB20=""),"",IFERROR(ROUND(DB20/INDEX(Undirviðmið!$F$6:$F$205,DB$4)*INDEX(Undirviðmið!$E$6:$E$205,DB$4)*KVARDI,2),""))</f>
        <v/>
      </c>
      <c r="DD20" s="66" t="n"/>
      <c r="DE20" s="78">
        <f>IF(OR(DD$4=0,DD20=""),"",IFERROR(ROUND(DD20/INDEX(Undirviðmið!$F$6:$F$205,DD$4)*INDEX(Undirviðmið!$E$6:$E$205,DD$4)*KVARDI,2),""))</f>
        <v/>
      </c>
      <c r="DF20" s="66" t="n"/>
      <c r="DG20" s="78">
        <f>IF(OR(DF$4=0,DF20=""),"",IFERROR(ROUND(DF20/INDEX(Undirviðmið!$F$6:$F$205,DF$4)*INDEX(Undirviðmið!$E$6:$E$205,DF$4)*KVARDI,2),""))</f>
        <v/>
      </c>
      <c r="DH20" s="66" t="n"/>
      <c r="DI20" s="78">
        <f>IF(OR(DH$4=0,DH20=""),"",IFERROR(ROUND(DH20/INDEX(Undirviðmið!$F$6:$F$205,DH$4)*INDEX(Undirviðmið!$E$6:$E$205,DH$4)*KVARDI,2),""))</f>
        <v/>
      </c>
      <c r="DJ20" s="66" t="n"/>
      <c r="DK20" s="78">
        <f>IF(OR(DJ$4=0,DJ20=""),"",IFERROR(ROUND(DJ20/INDEX(Undirviðmið!$F$6:$F$205,DJ$4)*INDEX(Undirviðmið!$E$6:$E$205,DJ$4)*KVARDI,2),""))</f>
        <v/>
      </c>
      <c r="DL20" s="66" t="n"/>
      <c r="DM20" s="78">
        <f>IF(OR(DL$4=0,DL20=""),"",IFERROR(ROUND(DL20/INDEX(Undirviðmið!$F$6:$F$205,DL$4)*INDEX(Undirviðmið!$E$6:$E$205,DL$4)*KVARDI,2),""))</f>
        <v/>
      </c>
      <c r="DN20" s="66" t="n"/>
      <c r="DO20" s="78">
        <f>IF(OR(DN$4=0,DN20=""),"",IFERROR(ROUND(DN20/INDEX(Undirviðmið!$F$6:$F$205,DN$4)*INDEX(Undirviðmið!$E$6:$E$205,DN$4)*KVARDI,2),""))</f>
        <v/>
      </c>
      <c r="DP20" s="66" t="n"/>
      <c r="DQ20" s="78">
        <f>IF(OR(DP$4=0,DP20=""),"",IFERROR(ROUND(DP20/INDEX(Undirviðmið!$F$6:$F$205,DP$4)*INDEX(Undirviðmið!$E$6:$E$205,DP$4)*KVARDI,2),""))</f>
        <v/>
      </c>
      <c r="DR20" s="66" t="n"/>
      <c r="DS20" s="78">
        <f>IF(OR(DR$4=0,DR20=""),"",IFERROR(ROUND(DR20/INDEX(Undirviðmið!$F$6:$F$205,DR$4)*INDEX(Undirviðmið!$E$6:$E$205,DR$4)*KVARDI,2),""))</f>
        <v/>
      </c>
      <c r="DT20" s="66" t="n"/>
      <c r="DU20" s="78">
        <f>IF(OR(DT$4=0,DT20=""),"",IFERROR(ROUND(DT20/INDEX(Undirviðmið!$F$6:$F$205,DT$4)*INDEX(Undirviðmið!$E$6:$E$205,DT$4)*KVARDI,2),""))</f>
        <v/>
      </c>
      <c r="DV20" s="66" t="n"/>
      <c r="DW20" s="78">
        <f>IF(OR(DV$4=0,DV20=""),"",IFERROR(ROUND(DV20/INDEX(Undirviðmið!$F$6:$F$205,DV$4)*INDEX(Undirviðmið!$E$6:$E$205,DV$4)*KVARDI,2),""))</f>
        <v/>
      </c>
      <c r="DX20" s="66" t="n"/>
      <c r="DY20" s="78">
        <f>IF(OR(DX$4=0,DX20=""),"",IFERROR(ROUND(DX20/INDEX(Undirviðmið!$F$6:$F$205,DX$4)*INDEX(Undirviðmið!$E$6:$E$205,DX$4)*KVARDI,2),""))</f>
        <v/>
      </c>
      <c r="DZ20" s="66" t="n"/>
      <c r="EA20" s="78">
        <f>IF(OR(DZ$4=0,DZ20=""),"",IFERROR(ROUND(DZ20/INDEX(Undirviðmið!$F$6:$F$205,DZ$4)*INDEX(Undirviðmið!$E$6:$E$205,DZ$4)*KVARDI,2),""))</f>
        <v/>
      </c>
      <c r="EB20" s="66" t="n"/>
      <c r="EC20" s="78">
        <f>IF(OR(EB$4=0,EB20=""),"",IFERROR(ROUND(EB20/INDEX(Undirviðmið!$F$6:$F$205,EB$4)*INDEX(Undirviðmið!$E$6:$E$205,EB$4)*KVARDI,2),""))</f>
        <v/>
      </c>
      <c r="ED20" s="66" t="n"/>
      <c r="EE20" s="78">
        <f>IF(OR(ED$4=0,ED20=""),"",IFERROR(ROUND(ED20/INDEX(Undirviðmið!$F$6:$F$205,ED$4)*INDEX(Undirviðmið!$E$6:$E$205,ED$4)*KVARDI,2),""))</f>
        <v/>
      </c>
      <c r="EF20" s="66" t="n"/>
      <c r="EG20" s="78">
        <f>IF(OR(EF$4=0,EF20=""),"",IFERROR(ROUND(EF20/INDEX(Undirviðmið!$F$6:$F$205,EF$4)*INDEX(Undirviðmið!$E$6:$E$205,EF$4)*KVARDI,2),""))</f>
        <v/>
      </c>
      <c r="EH20" s="66" t="n"/>
      <c r="EI20" s="78">
        <f>IF(OR(EH$4=0,EH20=""),"",IFERROR(ROUND(EH20/INDEX(Undirviðmið!$F$6:$F$205,EH$4)*INDEX(Undirviðmið!$E$6:$E$205,EH$4)*KVARDI,2),""))</f>
        <v/>
      </c>
      <c r="EJ20" s="66" t="n"/>
      <c r="EK20" s="78">
        <f>IF(OR(EJ$4=0,EJ20=""),"",IFERROR(ROUND(EJ20/INDEX(Undirviðmið!$F$6:$F$205,EJ$4)*INDEX(Undirviðmið!$E$6:$E$205,EJ$4)*KVARDI,2),""))</f>
        <v/>
      </c>
      <c r="EL20" s="66" t="n"/>
      <c r="EM20" s="78">
        <f>IF(OR(EL$4=0,EL20=""),"",IFERROR(ROUND(EL20/INDEX(Undirviðmið!$F$6:$F$205,EL$4)*INDEX(Undirviðmið!$E$6:$E$205,EL$4)*KVARDI,2),""))</f>
        <v/>
      </c>
      <c r="EN20" s="66" t="n"/>
      <c r="EO20" s="78">
        <f>IF(OR(EN$4=0,EN20=""),"",IFERROR(ROUND(EN20/INDEX(Undirviðmið!$F$6:$F$205,EN$4)*INDEX(Undirviðmið!$E$6:$E$205,EN$4)*KVARDI,2),""))</f>
        <v/>
      </c>
      <c r="EP20" s="66" t="n"/>
      <c r="EQ20" s="78">
        <f>IF(OR(EP$4=0,EP20=""),"",IFERROR(ROUND(EP20/INDEX(Undirviðmið!$F$6:$F$205,EP$4)*INDEX(Undirviðmið!$E$6:$E$205,EP$4)*KVARDI,2),""))</f>
        <v/>
      </c>
      <c r="ER20" s="66" t="n"/>
      <c r="ES20" s="78">
        <f>IF(OR(ER$4=0,ER20=""),"",IFERROR(ROUND(ER20/INDEX(Undirviðmið!$F$6:$F$205,ER$4)*INDEX(Undirviðmið!$E$6:$E$205,ER$4)*KVARDI,2),""))</f>
        <v/>
      </c>
      <c r="ET20" s="66" t="n"/>
      <c r="EU20" s="78">
        <f>IF(OR(ET$4=0,ET20=""),"",IFERROR(ROUND(ET20/INDEX(Undirviðmið!$F$6:$F$205,ET$4)*INDEX(Undirviðmið!$E$6:$E$205,ET$4)*KVARDI,2),""))</f>
        <v/>
      </c>
      <c r="EV20" s="66" t="n"/>
      <c r="EW20" s="78">
        <f>IF(OR(EV$4=0,EV20=""),"",IFERROR(ROUND(EV20/INDEX(Undirviðmið!$F$6:$F$205,EV$4)*INDEX(Undirviðmið!$E$6:$E$205,EV$4)*KVARDI,2),""))</f>
        <v/>
      </c>
      <c r="EX20" s="66" t="n"/>
      <c r="EY20" s="78">
        <f>IF(OR(EX$4=0,EX20=""),"",IFERROR(ROUND(EX20/INDEX(Undirviðmið!$F$6:$F$205,EX$4)*INDEX(Undirviðmið!$E$6:$E$205,EX$4)*KVARDI,2),""))</f>
        <v/>
      </c>
      <c r="EZ20" s="66" t="n"/>
      <c r="FA20" s="78">
        <f>IF(OR(EZ$4=0,EZ20=""),"",IFERROR(ROUND(EZ20/INDEX(Undirviðmið!$F$6:$F$205,EZ$4)*INDEX(Undirviðmið!$E$6:$E$205,EZ$4)*KVARDI,2),""))</f>
        <v/>
      </c>
      <c r="FB20" s="66" t="n"/>
      <c r="FC20" s="78">
        <f>IF(OR(FB$4=0,FB20=""),"",IFERROR(ROUND(FB20/INDEX(Undirviðmið!$F$6:$F$205,FB$4)*INDEX(Undirviðmið!$E$6:$E$205,FB$4)*KVARDI,2),""))</f>
        <v/>
      </c>
      <c r="FD20" s="66" t="n"/>
      <c r="FE20" s="78">
        <f>IF(OR(FD$4=0,FD20=""),"",IFERROR(ROUND(FD20/INDEX(Undirviðmið!$F$6:$F$205,FD$4)*INDEX(Undirviðmið!$E$6:$E$205,FD$4)*KVARDI,2),""))</f>
        <v/>
      </c>
      <c r="FF20" s="66" t="n"/>
      <c r="FG20" s="78">
        <f>IF(OR(FF$4=0,FF20=""),"",IFERROR(ROUND(FF20/INDEX(Undirviðmið!$F$6:$F$205,FF$4)*INDEX(Undirviðmið!$E$6:$E$205,FF$4)*KVARDI,2),""))</f>
        <v/>
      </c>
      <c r="FH20" s="66" t="n"/>
      <c r="FI20" s="78">
        <f>IF(OR(FH$4=0,FH20=""),"",IFERROR(ROUND(FH20/INDEX(Undirviðmið!$F$6:$F$205,FH$4)*INDEX(Undirviðmið!$E$6:$E$205,FH$4)*KVARDI,2),""))</f>
        <v/>
      </c>
      <c r="FJ20" s="66" t="n"/>
      <c r="FK20" s="78">
        <f>IF(OR(FJ$4=0,FJ20=""),"",IFERROR(ROUND(FJ20/INDEX(Undirviðmið!$F$6:$F$205,FJ$4)*INDEX(Undirviðmið!$E$6:$E$205,FJ$4)*KVARDI,2),""))</f>
        <v/>
      </c>
      <c r="FL20" s="66" t="n"/>
      <c r="FM20" s="78">
        <f>IF(OR(FL$4=0,FL20=""),"",IFERROR(ROUND(FL20/INDEX(Undirviðmið!$F$6:$F$205,FL$4)*INDEX(Undirviðmið!$E$6:$E$205,FL$4)*KVARDI,2),""))</f>
        <v/>
      </c>
      <c r="FN20" s="66" t="n"/>
      <c r="FO20" s="78">
        <f>IF(OR(FN$4=0,FN20=""),"",IFERROR(ROUND(FN20/INDEX(Undirviðmið!$F$6:$F$205,FN$4)*INDEX(Undirviðmið!$E$6:$E$205,FN$4)*KVARDI,2),""))</f>
        <v/>
      </c>
      <c r="FP20" s="66" t="n"/>
      <c r="FQ20" s="78">
        <f>IF(OR(FP$4=0,FP20=""),"",IFERROR(ROUND(FP20/INDEX(Undirviðmið!$F$6:$F$205,FP$4)*INDEX(Undirviðmið!$E$6:$E$205,FP$4)*KVARDI,2),""))</f>
        <v/>
      </c>
      <c r="FR20" s="66" t="n"/>
      <c r="FS20" s="78">
        <f>IF(OR(FR$4=0,FR20=""),"",IFERROR(ROUND(FR20/INDEX(Undirviðmið!$F$6:$F$205,FR$4)*INDEX(Undirviðmið!$E$6:$E$205,FR$4)*KVARDI,2),""))</f>
        <v/>
      </c>
      <c r="FT20" s="66" t="n"/>
      <c r="FU20" s="78">
        <f>IF(OR(FT$4=0,FT20=""),"",IFERROR(ROUND(FT20/INDEX(Undirviðmið!$F$6:$F$205,FT$4)*INDEX(Undirviðmið!$E$6:$E$205,FT$4)*KVARDI,2),""))</f>
        <v/>
      </c>
      <c r="FV20" s="66" t="n"/>
      <c r="FW20" s="78">
        <f>IF(OR(FV$4=0,FV20=""),"",IFERROR(ROUND(FV20/INDEX(Undirviðmið!$F$6:$F$205,FV$4)*INDEX(Undirviðmið!$E$6:$E$205,FV$4)*KVARDI,2),""))</f>
        <v/>
      </c>
      <c r="FX20" s="66" t="n"/>
      <c r="FY20" s="78">
        <f>IF(OR(FX$4=0,FX20=""),"",IFERROR(ROUND(FX20/INDEX(Undirviðmið!$F$6:$F$205,FX$4)*INDEX(Undirviðmið!$E$6:$E$205,FX$4)*KVARDI,2),""))</f>
        <v/>
      </c>
      <c r="FZ20" s="66" t="n"/>
      <c r="GA20" s="78">
        <f>IF(OR(FZ$4=0,FZ20=""),"",IFERROR(ROUND(FZ20/INDEX(Undirviðmið!$F$6:$F$205,FZ$4)*INDEX(Undirviðmið!$E$6:$E$205,FZ$4)*KVARDI,2),""))</f>
        <v/>
      </c>
      <c r="GB20" s="66" t="n"/>
      <c r="GC20" s="78">
        <f>IF(OR(GB$4=0,GB20=""),"",IFERROR(ROUND(GB20/INDEX(Undirviðmið!$F$6:$F$205,GB$4)*INDEX(Undirviðmið!$E$6:$E$205,GB$4)*KVARDI,2),""))</f>
        <v/>
      </c>
      <c r="GD20" s="66" t="n"/>
      <c r="GE20" s="78">
        <f>IF(OR(GD$4=0,GD20=""),"",IFERROR(ROUND(GD20/INDEX(Undirviðmið!$F$6:$F$205,GD$4)*INDEX(Undirviðmið!$E$6:$E$205,GD$4)*KVARDI,2),""))</f>
        <v/>
      </c>
      <c r="GF20" s="66" t="n"/>
      <c r="GG20" s="78">
        <f>IF(OR(GF$4=0,GF20=""),"",IFERROR(ROUND(GF20/INDEX(Undirviðmið!$F$6:$F$205,GF$4)*INDEX(Undirviðmið!$E$6:$E$205,GF$4)*KVARDI,2),""))</f>
        <v/>
      </c>
      <c r="GH20" s="66" t="n"/>
      <c r="GI20" s="78">
        <f>IF(OR(GH$4=0,GH20=""),"",IFERROR(ROUND(GH20/INDEX(Undirviðmið!$F$6:$F$205,GH$4)*INDEX(Undirviðmið!$E$6:$E$205,GH$4)*KVARDI,2),""))</f>
        <v/>
      </c>
      <c r="GJ20" s="66" t="n"/>
      <c r="GK20" s="78">
        <f>IF(OR(GJ$4=0,GJ20=""),"",IFERROR(ROUND(GJ20/INDEX(Undirviðmið!$F$6:$F$205,GJ$4)*INDEX(Undirviðmið!$E$6:$E$205,GJ$4)*KVARDI,2),""))</f>
        <v/>
      </c>
      <c r="GL20" s="66" t="n"/>
      <c r="GM20" s="78">
        <f>IF(OR(GL$4=0,GL20=""),"",IFERROR(ROUND(GL20/INDEX(Undirviðmið!$F$6:$F$205,GL$4)*INDEX(Undirviðmið!$E$6:$E$205,GL$4)*KVARDI,2),""))</f>
        <v/>
      </c>
      <c r="GN20" s="66" t="n"/>
      <c r="GO20" s="78">
        <f>IF(OR(GN$4=0,GN20=""),"",IFERROR(ROUND(GN20/INDEX(Undirviðmið!$F$6:$F$205,GN$4)*INDEX(Undirviðmið!$E$6:$E$205,GN$4)*KVARDI,2),""))</f>
        <v/>
      </c>
      <c r="GP20" s="66" t="n"/>
      <c r="GQ20" s="78">
        <f>IF(OR(GP$4=0,GP20=""),"",IFERROR(ROUND(GP20/INDEX(Undirviðmið!$F$6:$F$205,GP$4)*INDEX(Undirviðmið!$E$6:$E$205,GP$4)*KVARDI,2),""))</f>
        <v/>
      </c>
      <c r="GR20" s="66" t="n"/>
      <c r="GS20" s="78">
        <f>IF(OR(GR$4=0,GR20=""),"",IFERROR(ROUND(GR20/INDEX(Undirviðmið!$F$6:$F$205,GR$4)*INDEX(Undirviðmið!$E$6:$E$205,GR$4)*KVARDI,2),""))</f>
        <v/>
      </c>
      <c r="GT20" s="66" t="n"/>
      <c r="GU20" s="78">
        <f>IF(OR(GT$4=0,GT20=""),"",IFERROR(ROUND(GT20/INDEX(Undirviðmið!$F$6:$F$205,GT$4)*INDEX(Undirviðmið!$E$6:$E$205,GT$4)*KVARDI,2),""))</f>
        <v/>
      </c>
      <c r="GV20" s="63">
        <f>IFERROR(SUMIF($D$6:GU$6,"Stig",$D20:GU20),0)</f>
        <v/>
      </c>
    </row>
    <row r="21" ht="15" customHeight="1" s="47">
      <c r="A21" s="65">
        <f>ROW()-6</f>
        <v/>
      </c>
      <c r="B21" s="67">
        <f>IF(INDEX(Starfsmenn!$B$6:$B$10005,ROW()-6)="","",INDEX(Starfsmenn!$B$6:$B$10005,ROW()-6))</f>
        <v/>
      </c>
      <c r="C21" s="67">
        <f>IF(INDEX(Starfsmenn!$C$6:$C$10005,ROW()-6)="","",INDEX(Starfsmenn!$C$6:$C$10005,ROW()-6))</f>
        <v/>
      </c>
      <c r="D21" s="66" t="n"/>
      <c r="E21" s="78">
        <f>IF(OR(D$4=0,D21=""),"",IFERROR(ROUND(D21/INDEX(Undirviðmið!$F$6:$F$205,D$4)*INDEX(Undirviðmið!$E$6:$E$205,D$4)*KVARDI,2),""))</f>
        <v/>
      </c>
      <c r="F21" s="66" t="n"/>
      <c r="G21" s="78">
        <f>IF(OR(F$4=0,F21=""),"",IFERROR(ROUND(F21/INDEX(Undirviðmið!$F$6:$F$205,F$4)*INDEX(Undirviðmið!$E$6:$E$205,F$4)*KVARDI,2),""))</f>
        <v/>
      </c>
      <c r="H21" s="66" t="n"/>
      <c r="I21" s="78">
        <f>IF(OR(H$4=0,H21=""),"",IFERROR(ROUND(H21/INDEX(Undirviðmið!$F$6:$F$205,H$4)*INDEX(Undirviðmið!$E$6:$E$205,H$4)*KVARDI,2),""))</f>
        <v/>
      </c>
      <c r="J21" s="66" t="n"/>
      <c r="K21" s="78">
        <f>IF(OR(J$4=0,J21=""),"",IFERROR(ROUND(J21/INDEX(Undirviðmið!$F$6:$F$205,J$4)*INDEX(Undirviðmið!$E$6:$E$205,J$4)*KVARDI,2),""))</f>
        <v/>
      </c>
      <c r="L21" s="66" t="n"/>
      <c r="M21" s="78">
        <f>IF(OR(L$4=0,L21=""),"",IFERROR(ROUND(L21/INDEX(Undirviðmið!$F$6:$F$205,L$4)*INDEX(Undirviðmið!$E$6:$E$205,L$4)*KVARDI,2),""))</f>
        <v/>
      </c>
      <c r="N21" s="66" t="n"/>
      <c r="O21" s="78">
        <f>IF(OR(N$4=0,N21=""),"",IFERROR(ROUND(N21/INDEX(Undirviðmið!$F$6:$F$205,N$4)*INDEX(Undirviðmið!$E$6:$E$205,N$4)*KVARDI,2),""))</f>
        <v/>
      </c>
      <c r="P21" s="66" t="n"/>
      <c r="Q21" s="78">
        <f>IF(OR(P$4=0,P21=""),"",IFERROR(ROUND(P21/INDEX(Undirviðmið!$F$6:$F$205,P$4)*INDEX(Undirviðmið!$E$6:$E$205,P$4)*KVARDI,2),""))</f>
        <v/>
      </c>
      <c r="R21" s="66" t="n"/>
      <c r="S21" s="78">
        <f>IF(OR(R$4=0,R21=""),"",IFERROR(ROUND(R21/INDEX(Undirviðmið!$F$6:$F$205,R$4)*INDEX(Undirviðmið!$E$6:$E$205,R$4)*KVARDI,2),""))</f>
        <v/>
      </c>
      <c r="T21" s="66" t="n"/>
      <c r="U21" s="78">
        <f>IF(OR(T$4=0,T21=""),"",IFERROR(ROUND(T21/INDEX(Undirviðmið!$F$6:$F$205,T$4)*INDEX(Undirviðmið!$E$6:$E$205,T$4)*KVARDI,2),""))</f>
        <v/>
      </c>
      <c r="V21" s="66" t="n"/>
      <c r="W21" s="78">
        <f>IF(OR(V$4=0,V21=""),"",IFERROR(ROUND(V21/INDEX(Undirviðmið!$F$6:$F$205,V$4)*INDEX(Undirviðmið!$E$6:$E$205,V$4)*KVARDI,2),""))</f>
        <v/>
      </c>
      <c r="X21" s="66" t="n"/>
      <c r="Y21" s="78">
        <f>IF(OR(X$4=0,X21=""),"",IFERROR(ROUND(X21/INDEX(Undirviðmið!$F$6:$F$205,X$4)*INDEX(Undirviðmið!$E$6:$E$205,X$4)*KVARDI,2),""))</f>
        <v/>
      </c>
      <c r="Z21" s="66" t="n"/>
      <c r="AA21" s="78">
        <f>IF(OR(Z$4=0,Z21=""),"",IFERROR(ROUND(Z21/INDEX(Undirviðmið!$F$6:$F$205,Z$4)*INDEX(Undirviðmið!$E$6:$E$205,Z$4)*KVARDI,2),""))</f>
        <v/>
      </c>
      <c r="AB21" s="66" t="n"/>
      <c r="AC21" s="78">
        <f>IF(OR(AB$4=0,AB21=""),"",IFERROR(ROUND(AB21/INDEX(Undirviðmið!$F$6:$F$205,AB$4)*INDEX(Undirviðmið!$E$6:$E$205,AB$4)*KVARDI,2),""))</f>
        <v/>
      </c>
      <c r="AD21" s="66" t="n"/>
      <c r="AE21" s="78">
        <f>IF(OR(AD$4=0,AD21=""),"",IFERROR(ROUND(AD21/INDEX(Undirviðmið!$F$6:$F$205,AD$4)*INDEX(Undirviðmið!$E$6:$E$205,AD$4)*KVARDI,2),""))</f>
        <v/>
      </c>
      <c r="AF21" s="66" t="n"/>
      <c r="AG21" s="78">
        <f>IF(OR(AF$4=0,AF21=""),"",IFERROR(ROUND(AF21/INDEX(Undirviðmið!$F$6:$F$205,AF$4)*INDEX(Undirviðmið!$E$6:$E$205,AF$4)*KVARDI,2),""))</f>
        <v/>
      </c>
      <c r="AH21" s="66" t="n"/>
      <c r="AI21" s="78">
        <f>IF(OR(AH$4=0,AH21=""),"",IFERROR(ROUND(AH21/INDEX(Undirviðmið!$F$6:$F$205,AH$4)*INDEX(Undirviðmið!$E$6:$E$205,AH$4)*KVARDI,2),""))</f>
        <v/>
      </c>
      <c r="AJ21" s="66" t="n"/>
      <c r="AK21" s="78">
        <f>IF(OR(AJ$4=0,AJ21=""),"",IFERROR(ROUND(AJ21/INDEX(Undirviðmið!$F$6:$F$205,AJ$4)*INDEX(Undirviðmið!$E$6:$E$205,AJ$4)*KVARDI,2),""))</f>
        <v/>
      </c>
      <c r="AL21" s="66" t="n"/>
      <c r="AM21" s="78">
        <f>IF(OR(AL$4=0,AL21=""),"",IFERROR(ROUND(AL21/INDEX(Undirviðmið!$F$6:$F$205,AL$4)*INDEX(Undirviðmið!$E$6:$E$205,AL$4)*KVARDI,2),""))</f>
        <v/>
      </c>
      <c r="AN21" s="66" t="n"/>
      <c r="AO21" s="78">
        <f>IF(OR(AN$4=0,AN21=""),"",IFERROR(ROUND(AN21/INDEX(Undirviðmið!$F$6:$F$205,AN$4)*INDEX(Undirviðmið!$E$6:$E$205,AN$4)*KVARDI,2),""))</f>
        <v/>
      </c>
      <c r="AP21" s="66" t="n"/>
      <c r="AQ21" s="78">
        <f>IF(OR(AP$4=0,AP21=""),"",IFERROR(ROUND(AP21/INDEX(Undirviðmið!$F$6:$F$205,AP$4)*INDEX(Undirviðmið!$E$6:$E$205,AP$4)*KVARDI,2),""))</f>
        <v/>
      </c>
      <c r="AR21" s="66" t="n"/>
      <c r="AS21" s="78">
        <f>IF(OR(AR$4=0,AR21=""),"",IFERROR(ROUND(AR21/INDEX(Undirviðmið!$F$6:$F$205,AR$4)*INDEX(Undirviðmið!$E$6:$E$205,AR$4)*KVARDI,2),""))</f>
        <v/>
      </c>
      <c r="AT21" s="66" t="n"/>
      <c r="AU21" s="78">
        <f>IF(OR(AT$4=0,AT21=""),"",IFERROR(ROUND(AT21/INDEX(Undirviðmið!$F$6:$F$205,AT$4)*INDEX(Undirviðmið!$E$6:$E$205,AT$4)*KVARDI,2),""))</f>
        <v/>
      </c>
      <c r="AV21" s="66" t="n"/>
      <c r="AW21" s="78">
        <f>IF(OR(AV$4=0,AV21=""),"",IFERROR(ROUND(AV21/INDEX(Undirviðmið!$F$6:$F$205,AV$4)*INDEX(Undirviðmið!$E$6:$E$205,AV$4)*KVARDI,2),""))</f>
        <v/>
      </c>
      <c r="AX21" s="66" t="n"/>
      <c r="AY21" s="78">
        <f>IF(OR(AX$4=0,AX21=""),"",IFERROR(ROUND(AX21/INDEX(Undirviðmið!$F$6:$F$205,AX$4)*INDEX(Undirviðmið!$E$6:$E$205,AX$4)*KVARDI,2),""))</f>
        <v/>
      </c>
      <c r="AZ21" s="66" t="n"/>
      <c r="BA21" s="78">
        <f>IF(OR(AZ$4=0,AZ21=""),"",IFERROR(ROUND(AZ21/INDEX(Undirviðmið!$F$6:$F$205,AZ$4)*INDEX(Undirviðmið!$E$6:$E$205,AZ$4)*KVARDI,2),""))</f>
        <v/>
      </c>
      <c r="BB21" s="66" t="n"/>
      <c r="BC21" s="78">
        <f>IF(OR(BB$4=0,BB21=""),"",IFERROR(ROUND(BB21/INDEX(Undirviðmið!$F$6:$F$205,BB$4)*INDEX(Undirviðmið!$E$6:$E$205,BB$4)*KVARDI,2),""))</f>
        <v/>
      </c>
      <c r="BD21" s="66" t="n"/>
      <c r="BE21" s="78">
        <f>IF(OR(BD$4=0,BD21=""),"",IFERROR(ROUND(BD21/INDEX(Undirviðmið!$F$6:$F$205,BD$4)*INDEX(Undirviðmið!$E$6:$E$205,BD$4)*KVARDI,2),""))</f>
        <v/>
      </c>
      <c r="BF21" s="66" t="n"/>
      <c r="BG21" s="78">
        <f>IF(OR(BF$4=0,BF21=""),"",IFERROR(ROUND(BF21/INDEX(Undirviðmið!$F$6:$F$205,BF$4)*INDEX(Undirviðmið!$E$6:$E$205,BF$4)*KVARDI,2),""))</f>
        <v/>
      </c>
      <c r="BH21" s="66" t="n"/>
      <c r="BI21" s="78">
        <f>IF(OR(BH$4=0,BH21=""),"",IFERROR(ROUND(BH21/INDEX(Undirviðmið!$F$6:$F$205,BH$4)*INDEX(Undirviðmið!$E$6:$E$205,BH$4)*KVARDI,2),""))</f>
        <v/>
      </c>
      <c r="BJ21" s="66" t="n"/>
      <c r="BK21" s="78">
        <f>IF(OR(BJ$4=0,BJ21=""),"",IFERROR(ROUND(BJ21/INDEX(Undirviðmið!$F$6:$F$205,BJ$4)*INDEX(Undirviðmið!$E$6:$E$205,BJ$4)*KVARDI,2),""))</f>
        <v/>
      </c>
      <c r="BL21" s="66" t="n"/>
      <c r="BM21" s="78">
        <f>IF(OR(BL$4=0,BL21=""),"",IFERROR(ROUND(BL21/INDEX(Undirviðmið!$F$6:$F$205,BL$4)*INDEX(Undirviðmið!$E$6:$E$205,BL$4)*KVARDI,2),""))</f>
        <v/>
      </c>
      <c r="BN21" s="66" t="n"/>
      <c r="BO21" s="78">
        <f>IF(OR(BN$4=0,BN21=""),"",IFERROR(ROUND(BN21/INDEX(Undirviðmið!$F$6:$F$205,BN$4)*INDEX(Undirviðmið!$E$6:$E$205,BN$4)*KVARDI,2),""))</f>
        <v/>
      </c>
      <c r="BP21" s="66" t="n"/>
      <c r="BQ21" s="78">
        <f>IF(OR(BP$4=0,BP21=""),"",IFERROR(ROUND(BP21/INDEX(Undirviðmið!$F$6:$F$205,BP$4)*INDEX(Undirviðmið!$E$6:$E$205,BP$4)*KVARDI,2),""))</f>
        <v/>
      </c>
      <c r="BR21" s="66" t="n"/>
      <c r="BS21" s="78">
        <f>IF(OR(BR$4=0,BR21=""),"",IFERROR(ROUND(BR21/INDEX(Undirviðmið!$F$6:$F$205,BR$4)*INDEX(Undirviðmið!$E$6:$E$205,BR$4)*KVARDI,2),""))</f>
        <v/>
      </c>
      <c r="BT21" s="66" t="n"/>
      <c r="BU21" s="78">
        <f>IF(OR(BT$4=0,BT21=""),"",IFERROR(ROUND(BT21/INDEX(Undirviðmið!$F$6:$F$205,BT$4)*INDEX(Undirviðmið!$E$6:$E$205,BT$4)*KVARDI,2),""))</f>
        <v/>
      </c>
      <c r="BV21" s="66" t="n"/>
      <c r="BW21" s="78">
        <f>IF(OR(BV$4=0,BV21=""),"",IFERROR(ROUND(BV21/INDEX(Undirviðmið!$F$6:$F$205,BV$4)*INDEX(Undirviðmið!$E$6:$E$205,BV$4)*KVARDI,2),""))</f>
        <v/>
      </c>
      <c r="BX21" s="66" t="n"/>
      <c r="BY21" s="78">
        <f>IF(OR(BX$4=0,BX21=""),"",IFERROR(ROUND(BX21/INDEX(Undirviðmið!$F$6:$F$205,BX$4)*INDEX(Undirviðmið!$E$6:$E$205,BX$4)*KVARDI,2),""))</f>
        <v/>
      </c>
      <c r="BZ21" s="66" t="n"/>
      <c r="CA21" s="78">
        <f>IF(OR(BZ$4=0,BZ21=""),"",IFERROR(ROUND(BZ21/INDEX(Undirviðmið!$F$6:$F$205,BZ$4)*INDEX(Undirviðmið!$E$6:$E$205,BZ$4)*KVARDI,2),""))</f>
        <v/>
      </c>
      <c r="CB21" s="66" t="n"/>
      <c r="CC21" s="78">
        <f>IF(OR(CB$4=0,CB21=""),"",IFERROR(ROUND(CB21/INDEX(Undirviðmið!$F$6:$F$205,CB$4)*INDEX(Undirviðmið!$E$6:$E$205,CB$4)*KVARDI,2),""))</f>
        <v/>
      </c>
      <c r="CD21" s="66" t="n"/>
      <c r="CE21" s="78">
        <f>IF(OR(CD$4=0,CD21=""),"",IFERROR(ROUND(CD21/INDEX(Undirviðmið!$F$6:$F$205,CD$4)*INDEX(Undirviðmið!$E$6:$E$205,CD$4)*KVARDI,2),""))</f>
        <v/>
      </c>
      <c r="CF21" s="66" t="n"/>
      <c r="CG21" s="78">
        <f>IF(OR(CF$4=0,CF21=""),"",IFERROR(ROUND(CF21/INDEX(Undirviðmið!$F$6:$F$205,CF$4)*INDEX(Undirviðmið!$E$6:$E$205,CF$4)*KVARDI,2),""))</f>
        <v/>
      </c>
      <c r="CH21" s="66" t="n"/>
      <c r="CI21" s="78">
        <f>IF(OR(CH$4=0,CH21=""),"",IFERROR(ROUND(CH21/INDEX(Undirviðmið!$F$6:$F$205,CH$4)*INDEX(Undirviðmið!$E$6:$E$205,CH$4)*KVARDI,2),""))</f>
        <v/>
      </c>
      <c r="CJ21" s="66" t="n"/>
      <c r="CK21" s="78">
        <f>IF(OR(CJ$4=0,CJ21=""),"",IFERROR(ROUND(CJ21/INDEX(Undirviðmið!$F$6:$F$205,CJ$4)*INDEX(Undirviðmið!$E$6:$E$205,CJ$4)*KVARDI,2),""))</f>
        <v/>
      </c>
      <c r="CL21" s="66" t="n"/>
      <c r="CM21" s="78">
        <f>IF(OR(CL$4=0,CL21=""),"",IFERROR(ROUND(CL21/INDEX(Undirviðmið!$F$6:$F$205,CL$4)*INDEX(Undirviðmið!$E$6:$E$205,CL$4)*KVARDI,2),""))</f>
        <v/>
      </c>
      <c r="CN21" s="66" t="n"/>
      <c r="CO21" s="78">
        <f>IF(OR(CN$4=0,CN21=""),"",IFERROR(ROUND(CN21/INDEX(Undirviðmið!$F$6:$F$205,CN$4)*INDEX(Undirviðmið!$E$6:$E$205,CN$4)*KVARDI,2),""))</f>
        <v/>
      </c>
      <c r="CP21" s="66" t="n"/>
      <c r="CQ21" s="78">
        <f>IF(OR(CP$4=0,CP21=""),"",IFERROR(ROUND(CP21/INDEX(Undirviðmið!$F$6:$F$205,CP$4)*INDEX(Undirviðmið!$E$6:$E$205,CP$4)*KVARDI,2),""))</f>
        <v/>
      </c>
      <c r="CR21" s="66" t="n"/>
      <c r="CS21" s="78">
        <f>IF(OR(CR$4=0,CR21=""),"",IFERROR(ROUND(CR21/INDEX(Undirviðmið!$F$6:$F$205,CR$4)*INDEX(Undirviðmið!$E$6:$E$205,CR$4)*KVARDI,2),""))</f>
        <v/>
      </c>
      <c r="CT21" s="66" t="n"/>
      <c r="CU21" s="78">
        <f>IF(OR(CT$4=0,CT21=""),"",IFERROR(ROUND(CT21/INDEX(Undirviðmið!$F$6:$F$205,CT$4)*INDEX(Undirviðmið!$E$6:$E$205,CT$4)*KVARDI,2),""))</f>
        <v/>
      </c>
      <c r="CV21" s="66" t="n"/>
      <c r="CW21" s="78">
        <f>IF(OR(CV$4=0,CV21=""),"",IFERROR(ROUND(CV21/INDEX(Undirviðmið!$F$6:$F$205,CV$4)*INDEX(Undirviðmið!$E$6:$E$205,CV$4)*KVARDI,2),""))</f>
        <v/>
      </c>
      <c r="CX21" s="66" t="n"/>
      <c r="CY21" s="78">
        <f>IF(OR(CX$4=0,CX21=""),"",IFERROR(ROUND(CX21/INDEX(Undirviðmið!$F$6:$F$205,CX$4)*INDEX(Undirviðmið!$E$6:$E$205,CX$4)*KVARDI,2),""))</f>
        <v/>
      </c>
      <c r="CZ21" s="66" t="n"/>
      <c r="DA21" s="78">
        <f>IF(OR(CZ$4=0,CZ21=""),"",IFERROR(ROUND(CZ21/INDEX(Undirviðmið!$F$6:$F$205,CZ$4)*INDEX(Undirviðmið!$E$6:$E$205,CZ$4)*KVARDI,2),""))</f>
        <v/>
      </c>
      <c r="DB21" s="66" t="n"/>
      <c r="DC21" s="78">
        <f>IF(OR(DB$4=0,DB21=""),"",IFERROR(ROUND(DB21/INDEX(Undirviðmið!$F$6:$F$205,DB$4)*INDEX(Undirviðmið!$E$6:$E$205,DB$4)*KVARDI,2),""))</f>
        <v/>
      </c>
      <c r="DD21" s="66" t="n"/>
      <c r="DE21" s="78">
        <f>IF(OR(DD$4=0,DD21=""),"",IFERROR(ROUND(DD21/INDEX(Undirviðmið!$F$6:$F$205,DD$4)*INDEX(Undirviðmið!$E$6:$E$205,DD$4)*KVARDI,2),""))</f>
        <v/>
      </c>
      <c r="DF21" s="66" t="n"/>
      <c r="DG21" s="78">
        <f>IF(OR(DF$4=0,DF21=""),"",IFERROR(ROUND(DF21/INDEX(Undirviðmið!$F$6:$F$205,DF$4)*INDEX(Undirviðmið!$E$6:$E$205,DF$4)*KVARDI,2),""))</f>
        <v/>
      </c>
      <c r="DH21" s="66" t="n"/>
      <c r="DI21" s="78">
        <f>IF(OR(DH$4=0,DH21=""),"",IFERROR(ROUND(DH21/INDEX(Undirviðmið!$F$6:$F$205,DH$4)*INDEX(Undirviðmið!$E$6:$E$205,DH$4)*KVARDI,2),""))</f>
        <v/>
      </c>
      <c r="DJ21" s="66" t="n"/>
      <c r="DK21" s="78">
        <f>IF(OR(DJ$4=0,DJ21=""),"",IFERROR(ROUND(DJ21/INDEX(Undirviðmið!$F$6:$F$205,DJ$4)*INDEX(Undirviðmið!$E$6:$E$205,DJ$4)*KVARDI,2),""))</f>
        <v/>
      </c>
      <c r="DL21" s="66" t="n"/>
      <c r="DM21" s="78">
        <f>IF(OR(DL$4=0,DL21=""),"",IFERROR(ROUND(DL21/INDEX(Undirviðmið!$F$6:$F$205,DL$4)*INDEX(Undirviðmið!$E$6:$E$205,DL$4)*KVARDI,2),""))</f>
        <v/>
      </c>
      <c r="DN21" s="66" t="n"/>
      <c r="DO21" s="78">
        <f>IF(OR(DN$4=0,DN21=""),"",IFERROR(ROUND(DN21/INDEX(Undirviðmið!$F$6:$F$205,DN$4)*INDEX(Undirviðmið!$E$6:$E$205,DN$4)*KVARDI,2),""))</f>
        <v/>
      </c>
      <c r="DP21" s="66" t="n"/>
      <c r="DQ21" s="78">
        <f>IF(OR(DP$4=0,DP21=""),"",IFERROR(ROUND(DP21/INDEX(Undirviðmið!$F$6:$F$205,DP$4)*INDEX(Undirviðmið!$E$6:$E$205,DP$4)*KVARDI,2),""))</f>
        <v/>
      </c>
      <c r="DR21" s="66" t="n"/>
      <c r="DS21" s="78">
        <f>IF(OR(DR$4=0,DR21=""),"",IFERROR(ROUND(DR21/INDEX(Undirviðmið!$F$6:$F$205,DR$4)*INDEX(Undirviðmið!$E$6:$E$205,DR$4)*KVARDI,2),""))</f>
        <v/>
      </c>
      <c r="DT21" s="66" t="n"/>
      <c r="DU21" s="78">
        <f>IF(OR(DT$4=0,DT21=""),"",IFERROR(ROUND(DT21/INDEX(Undirviðmið!$F$6:$F$205,DT$4)*INDEX(Undirviðmið!$E$6:$E$205,DT$4)*KVARDI,2),""))</f>
        <v/>
      </c>
      <c r="DV21" s="66" t="n"/>
      <c r="DW21" s="78">
        <f>IF(OR(DV$4=0,DV21=""),"",IFERROR(ROUND(DV21/INDEX(Undirviðmið!$F$6:$F$205,DV$4)*INDEX(Undirviðmið!$E$6:$E$205,DV$4)*KVARDI,2),""))</f>
        <v/>
      </c>
      <c r="DX21" s="66" t="n"/>
      <c r="DY21" s="78">
        <f>IF(OR(DX$4=0,DX21=""),"",IFERROR(ROUND(DX21/INDEX(Undirviðmið!$F$6:$F$205,DX$4)*INDEX(Undirviðmið!$E$6:$E$205,DX$4)*KVARDI,2),""))</f>
        <v/>
      </c>
      <c r="DZ21" s="66" t="n"/>
      <c r="EA21" s="78">
        <f>IF(OR(DZ$4=0,DZ21=""),"",IFERROR(ROUND(DZ21/INDEX(Undirviðmið!$F$6:$F$205,DZ$4)*INDEX(Undirviðmið!$E$6:$E$205,DZ$4)*KVARDI,2),""))</f>
        <v/>
      </c>
      <c r="EB21" s="66" t="n"/>
      <c r="EC21" s="78">
        <f>IF(OR(EB$4=0,EB21=""),"",IFERROR(ROUND(EB21/INDEX(Undirviðmið!$F$6:$F$205,EB$4)*INDEX(Undirviðmið!$E$6:$E$205,EB$4)*KVARDI,2),""))</f>
        <v/>
      </c>
      <c r="ED21" s="66" t="n"/>
      <c r="EE21" s="78">
        <f>IF(OR(ED$4=0,ED21=""),"",IFERROR(ROUND(ED21/INDEX(Undirviðmið!$F$6:$F$205,ED$4)*INDEX(Undirviðmið!$E$6:$E$205,ED$4)*KVARDI,2),""))</f>
        <v/>
      </c>
      <c r="EF21" s="66" t="n"/>
      <c r="EG21" s="78">
        <f>IF(OR(EF$4=0,EF21=""),"",IFERROR(ROUND(EF21/INDEX(Undirviðmið!$F$6:$F$205,EF$4)*INDEX(Undirviðmið!$E$6:$E$205,EF$4)*KVARDI,2),""))</f>
        <v/>
      </c>
      <c r="EH21" s="66" t="n"/>
      <c r="EI21" s="78">
        <f>IF(OR(EH$4=0,EH21=""),"",IFERROR(ROUND(EH21/INDEX(Undirviðmið!$F$6:$F$205,EH$4)*INDEX(Undirviðmið!$E$6:$E$205,EH$4)*KVARDI,2),""))</f>
        <v/>
      </c>
      <c r="EJ21" s="66" t="n"/>
      <c r="EK21" s="78">
        <f>IF(OR(EJ$4=0,EJ21=""),"",IFERROR(ROUND(EJ21/INDEX(Undirviðmið!$F$6:$F$205,EJ$4)*INDEX(Undirviðmið!$E$6:$E$205,EJ$4)*KVARDI,2),""))</f>
        <v/>
      </c>
      <c r="EL21" s="66" t="n"/>
      <c r="EM21" s="78">
        <f>IF(OR(EL$4=0,EL21=""),"",IFERROR(ROUND(EL21/INDEX(Undirviðmið!$F$6:$F$205,EL$4)*INDEX(Undirviðmið!$E$6:$E$205,EL$4)*KVARDI,2),""))</f>
        <v/>
      </c>
      <c r="EN21" s="66" t="n"/>
      <c r="EO21" s="78">
        <f>IF(OR(EN$4=0,EN21=""),"",IFERROR(ROUND(EN21/INDEX(Undirviðmið!$F$6:$F$205,EN$4)*INDEX(Undirviðmið!$E$6:$E$205,EN$4)*KVARDI,2),""))</f>
        <v/>
      </c>
      <c r="EP21" s="66" t="n"/>
      <c r="EQ21" s="78">
        <f>IF(OR(EP$4=0,EP21=""),"",IFERROR(ROUND(EP21/INDEX(Undirviðmið!$F$6:$F$205,EP$4)*INDEX(Undirviðmið!$E$6:$E$205,EP$4)*KVARDI,2),""))</f>
        <v/>
      </c>
      <c r="ER21" s="66" t="n"/>
      <c r="ES21" s="78">
        <f>IF(OR(ER$4=0,ER21=""),"",IFERROR(ROUND(ER21/INDEX(Undirviðmið!$F$6:$F$205,ER$4)*INDEX(Undirviðmið!$E$6:$E$205,ER$4)*KVARDI,2),""))</f>
        <v/>
      </c>
      <c r="ET21" s="66" t="n"/>
      <c r="EU21" s="78">
        <f>IF(OR(ET$4=0,ET21=""),"",IFERROR(ROUND(ET21/INDEX(Undirviðmið!$F$6:$F$205,ET$4)*INDEX(Undirviðmið!$E$6:$E$205,ET$4)*KVARDI,2),""))</f>
        <v/>
      </c>
      <c r="EV21" s="66" t="n"/>
      <c r="EW21" s="78">
        <f>IF(OR(EV$4=0,EV21=""),"",IFERROR(ROUND(EV21/INDEX(Undirviðmið!$F$6:$F$205,EV$4)*INDEX(Undirviðmið!$E$6:$E$205,EV$4)*KVARDI,2),""))</f>
        <v/>
      </c>
      <c r="EX21" s="66" t="n"/>
      <c r="EY21" s="78">
        <f>IF(OR(EX$4=0,EX21=""),"",IFERROR(ROUND(EX21/INDEX(Undirviðmið!$F$6:$F$205,EX$4)*INDEX(Undirviðmið!$E$6:$E$205,EX$4)*KVARDI,2),""))</f>
        <v/>
      </c>
      <c r="EZ21" s="66" t="n"/>
      <c r="FA21" s="78">
        <f>IF(OR(EZ$4=0,EZ21=""),"",IFERROR(ROUND(EZ21/INDEX(Undirviðmið!$F$6:$F$205,EZ$4)*INDEX(Undirviðmið!$E$6:$E$205,EZ$4)*KVARDI,2),""))</f>
        <v/>
      </c>
      <c r="FB21" s="66" t="n"/>
      <c r="FC21" s="78">
        <f>IF(OR(FB$4=0,FB21=""),"",IFERROR(ROUND(FB21/INDEX(Undirviðmið!$F$6:$F$205,FB$4)*INDEX(Undirviðmið!$E$6:$E$205,FB$4)*KVARDI,2),""))</f>
        <v/>
      </c>
      <c r="FD21" s="66" t="n"/>
      <c r="FE21" s="78">
        <f>IF(OR(FD$4=0,FD21=""),"",IFERROR(ROUND(FD21/INDEX(Undirviðmið!$F$6:$F$205,FD$4)*INDEX(Undirviðmið!$E$6:$E$205,FD$4)*KVARDI,2),""))</f>
        <v/>
      </c>
      <c r="FF21" s="66" t="n"/>
      <c r="FG21" s="78">
        <f>IF(OR(FF$4=0,FF21=""),"",IFERROR(ROUND(FF21/INDEX(Undirviðmið!$F$6:$F$205,FF$4)*INDEX(Undirviðmið!$E$6:$E$205,FF$4)*KVARDI,2),""))</f>
        <v/>
      </c>
      <c r="FH21" s="66" t="n"/>
      <c r="FI21" s="78">
        <f>IF(OR(FH$4=0,FH21=""),"",IFERROR(ROUND(FH21/INDEX(Undirviðmið!$F$6:$F$205,FH$4)*INDEX(Undirviðmið!$E$6:$E$205,FH$4)*KVARDI,2),""))</f>
        <v/>
      </c>
      <c r="FJ21" s="66" t="n"/>
      <c r="FK21" s="78">
        <f>IF(OR(FJ$4=0,FJ21=""),"",IFERROR(ROUND(FJ21/INDEX(Undirviðmið!$F$6:$F$205,FJ$4)*INDEX(Undirviðmið!$E$6:$E$205,FJ$4)*KVARDI,2),""))</f>
        <v/>
      </c>
      <c r="FL21" s="66" t="n"/>
      <c r="FM21" s="78">
        <f>IF(OR(FL$4=0,FL21=""),"",IFERROR(ROUND(FL21/INDEX(Undirviðmið!$F$6:$F$205,FL$4)*INDEX(Undirviðmið!$E$6:$E$205,FL$4)*KVARDI,2),""))</f>
        <v/>
      </c>
      <c r="FN21" s="66" t="n"/>
      <c r="FO21" s="78">
        <f>IF(OR(FN$4=0,FN21=""),"",IFERROR(ROUND(FN21/INDEX(Undirviðmið!$F$6:$F$205,FN$4)*INDEX(Undirviðmið!$E$6:$E$205,FN$4)*KVARDI,2),""))</f>
        <v/>
      </c>
      <c r="FP21" s="66" t="n"/>
      <c r="FQ21" s="78">
        <f>IF(OR(FP$4=0,FP21=""),"",IFERROR(ROUND(FP21/INDEX(Undirviðmið!$F$6:$F$205,FP$4)*INDEX(Undirviðmið!$E$6:$E$205,FP$4)*KVARDI,2),""))</f>
        <v/>
      </c>
      <c r="FR21" s="66" t="n"/>
      <c r="FS21" s="78">
        <f>IF(OR(FR$4=0,FR21=""),"",IFERROR(ROUND(FR21/INDEX(Undirviðmið!$F$6:$F$205,FR$4)*INDEX(Undirviðmið!$E$6:$E$205,FR$4)*KVARDI,2),""))</f>
        <v/>
      </c>
      <c r="FT21" s="66" t="n"/>
      <c r="FU21" s="78">
        <f>IF(OR(FT$4=0,FT21=""),"",IFERROR(ROUND(FT21/INDEX(Undirviðmið!$F$6:$F$205,FT$4)*INDEX(Undirviðmið!$E$6:$E$205,FT$4)*KVARDI,2),""))</f>
        <v/>
      </c>
      <c r="FV21" s="66" t="n"/>
      <c r="FW21" s="78">
        <f>IF(OR(FV$4=0,FV21=""),"",IFERROR(ROUND(FV21/INDEX(Undirviðmið!$F$6:$F$205,FV$4)*INDEX(Undirviðmið!$E$6:$E$205,FV$4)*KVARDI,2),""))</f>
        <v/>
      </c>
      <c r="FX21" s="66" t="n"/>
      <c r="FY21" s="78">
        <f>IF(OR(FX$4=0,FX21=""),"",IFERROR(ROUND(FX21/INDEX(Undirviðmið!$F$6:$F$205,FX$4)*INDEX(Undirviðmið!$E$6:$E$205,FX$4)*KVARDI,2),""))</f>
        <v/>
      </c>
      <c r="FZ21" s="66" t="n"/>
      <c r="GA21" s="78">
        <f>IF(OR(FZ$4=0,FZ21=""),"",IFERROR(ROUND(FZ21/INDEX(Undirviðmið!$F$6:$F$205,FZ$4)*INDEX(Undirviðmið!$E$6:$E$205,FZ$4)*KVARDI,2),""))</f>
        <v/>
      </c>
      <c r="GB21" s="66" t="n"/>
      <c r="GC21" s="78">
        <f>IF(OR(GB$4=0,GB21=""),"",IFERROR(ROUND(GB21/INDEX(Undirviðmið!$F$6:$F$205,GB$4)*INDEX(Undirviðmið!$E$6:$E$205,GB$4)*KVARDI,2),""))</f>
        <v/>
      </c>
      <c r="GD21" s="66" t="n"/>
      <c r="GE21" s="78">
        <f>IF(OR(GD$4=0,GD21=""),"",IFERROR(ROUND(GD21/INDEX(Undirviðmið!$F$6:$F$205,GD$4)*INDEX(Undirviðmið!$E$6:$E$205,GD$4)*KVARDI,2),""))</f>
        <v/>
      </c>
      <c r="GF21" s="66" t="n"/>
      <c r="GG21" s="78">
        <f>IF(OR(GF$4=0,GF21=""),"",IFERROR(ROUND(GF21/INDEX(Undirviðmið!$F$6:$F$205,GF$4)*INDEX(Undirviðmið!$E$6:$E$205,GF$4)*KVARDI,2),""))</f>
        <v/>
      </c>
      <c r="GH21" s="66" t="n"/>
      <c r="GI21" s="78">
        <f>IF(OR(GH$4=0,GH21=""),"",IFERROR(ROUND(GH21/INDEX(Undirviðmið!$F$6:$F$205,GH$4)*INDEX(Undirviðmið!$E$6:$E$205,GH$4)*KVARDI,2),""))</f>
        <v/>
      </c>
      <c r="GJ21" s="66" t="n"/>
      <c r="GK21" s="78">
        <f>IF(OR(GJ$4=0,GJ21=""),"",IFERROR(ROUND(GJ21/INDEX(Undirviðmið!$F$6:$F$205,GJ$4)*INDEX(Undirviðmið!$E$6:$E$205,GJ$4)*KVARDI,2),""))</f>
        <v/>
      </c>
      <c r="GL21" s="66" t="n"/>
      <c r="GM21" s="78">
        <f>IF(OR(GL$4=0,GL21=""),"",IFERROR(ROUND(GL21/INDEX(Undirviðmið!$F$6:$F$205,GL$4)*INDEX(Undirviðmið!$E$6:$E$205,GL$4)*KVARDI,2),""))</f>
        <v/>
      </c>
      <c r="GN21" s="66" t="n"/>
      <c r="GO21" s="78">
        <f>IF(OR(GN$4=0,GN21=""),"",IFERROR(ROUND(GN21/INDEX(Undirviðmið!$F$6:$F$205,GN$4)*INDEX(Undirviðmið!$E$6:$E$205,GN$4)*KVARDI,2),""))</f>
        <v/>
      </c>
      <c r="GP21" s="66" t="n"/>
      <c r="GQ21" s="78">
        <f>IF(OR(GP$4=0,GP21=""),"",IFERROR(ROUND(GP21/INDEX(Undirviðmið!$F$6:$F$205,GP$4)*INDEX(Undirviðmið!$E$6:$E$205,GP$4)*KVARDI,2),""))</f>
        <v/>
      </c>
      <c r="GR21" s="66" t="n"/>
      <c r="GS21" s="78">
        <f>IF(OR(GR$4=0,GR21=""),"",IFERROR(ROUND(GR21/INDEX(Undirviðmið!$F$6:$F$205,GR$4)*INDEX(Undirviðmið!$E$6:$E$205,GR$4)*KVARDI,2),""))</f>
        <v/>
      </c>
      <c r="GT21" s="66" t="n"/>
      <c r="GU21" s="78">
        <f>IF(OR(GT$4=0,GT21=""),"",IFERROR(ROUND(GT21/INDEX(Undirviðmið!$F$6:$F$205,GT$4)*INDEX(Undirviðmið!$E$6:$E$205,GT$4)*KVARDI,2),""))</f>
        <v/>
      </c>
      <c r="GV21" s="63">
        <f>IFERROR(SUMIF($D$6:GU$6,"Stig",$D21:GU21),0)</f>
        <v/>
      </c>
    </row>
    <row r="22" ht="15" customHeight="1" s="47">
      <c r="A22" s="65">
        <f>ROW()-6</f>
        <v/>
      </c>
      <c r="B22" s="67">
        <f>IF(INDEX(Starfsmenn!$B$6:$B$10005,ROW()-6)="","",INDEX(Starfsmenn!$B$6:$B$10005,ROW()-6))</f>
        <v/>
      </c>
      <c r="C22" s="67">
        <f>IF(INDEX(Starfsmenn!$C$6:$C$10005,ROW()-6)="","",INDEX(Starfsmenn!$C$6:$C$10005,ROW()-6))</f>
        <v/>
      </c>
      <c r="D22" s="66" t="n"/>
      <c r="E22" s="78">
        <f>IF(OR(D$4=0,D22=""),"",IFERROR(ROUND(D22/INDEX(Undirviðmið!$F$6:$F$205,D$4)*INDEX(Undirviðmið!$E$6:$E$205,D$4)*KVARDI,2),""))</f>
        <v/>
      </c>
      <c r="F22" s="66" t="n"/>
      <c r="G22" s="78">
        <f>IF(OR(F$4=0,F22=""),"",IFERROR(ROUND(F22/INDEX(Undirviðmið!$F$6:$F$205,F$4)*INDEX(Undirviðmið!$E$6:$E$205,F$4)*KVARDI,2),""))</f>
        <v/>
      </c>
      <c r="H22" s="66" t="n"/>
      <c r="I22" s="78">
        <f>IF(OR(H$4=0,H22=""),"",IFERROR(ROUND(H22/INDEX(Undirviðmið!$F$6:$F$205,H$4)*INDEX(Undirviðmið!$E$6:$E$205,H$4)*KVARDI,2),""))</f>
        <v/>
      </c>
      <c r="J22" s="66" t="n"/>
      <c r="K22" s="78">
        <f>IF(OR(J$4=0,J22=""),"",IFERROR(ROUND(J22/INDEX(Undirviðmið!$F$6:$F$205,J$4)*INDEX(Undirviðmið!$E$6:$E$205,J$4)*KVARDI,2),""))</f>
        <v/>
      </c>
      <c r="L22" s="66" t="n"/>
      <c r="M22" s="78">
        <f>IF(OR(L$4=0,L22=""),"",IFERROR(ROUND(L22/INDEX(Undirviðmið!$F$6:$F$205,L$4)*INDEX(Undirviðmið!$E$6:$E$205,L$4)*KVARDI,2),""))</f>
        <v/>
      </c>
      <c r="N22" s="66" t="n"/>
      <c r="O22" s="78">
        <f>IF(OR(N$4=0,N22=""),"",IFERROR(ROUND(N22/INDEX(Undirviðmið!$F$6:$F$205,N$4)*INDEX(Undirviðmið!$E$6:$E$205,N$4)*KVARDI,2),""))</f>
        <v/>
      </c>
      <c r="P22" s="66" t="n"/>
      <c r="Q22" s="78">
        <f>IF(OR(P$4=0,P22=""),"",IFERROR(ROUND(P22/INDEX(Undirviðmið!$F$6:$F$205,P$4)*INDEX(Undirviðmið!$E$6:$E$205,P$4)*KVARDI,2),""))</f>
        <v/>
      </c>
      <c r="R22" s="66" t="n"/>
      <c r="S22" s="78">
        <f>IF(OR(R$4=0,R22=""),"",IFERROR(ROUND(R22/INDEX(Undirviðmið!$F$6:$F$205,R$4)*INDEX(Undirviðmið!$E$6:$E$205,R$4)*KVARDI,2),""))</f>
        <v/>
      </c>
      <c r="T22" s="66" t="n"/>
      <c r="U22" s="78">
        <f>IF(OR(T$4=0,T22=""),"",IFERROR(ROUND(T22/INDEX(Undirviðmið!$F$6:$F$205,T$4)*INDEX(Undirviðmið!$E$6:$E$205,T$4)*KVARDI,2),""))</f>
        <v/>
      </c>
      <c r="V22" s="66" t="n"/>
      <c r="W22" s="78">
        <f>IF(OR(V$4=0,V22=""),"",IFERROR(ROUND(V22/INDEX(Undirviðmið!$F$6:$F$205,V$4)*INDEX(Undirviðmið!$E$6:$E$205,V$4)*KVARDI,2),""))</f>
        <v/>
      </c>
      <c r="X22" s="66" t="n"/>
      <c r="Y22" s="78">
        <f>IF(OR(X$4=0,X22=""),"",IFERROR(ROUND(X22/INDEX(Undirviðmið!$F$6:$F$205,X$4)*INDEX(Undirviðmið!$E$6:$E$205,X$4)*KVARDI,2),""))</f>
        <v/>
      </c>
      <c r="Z22" s="66" t="n"/>
      <c r="AA22" s="78">
        <f>IF(OR(Z$4=0,Z22=""),"",IFERROR(ROUND(Z22/INDEX(Undirviðmið!$F$6:$F$205,Z$4)*INDEX(Undirviðmið!$E$6:$E$205,Z$4)*KVARDI,2),""))</f>
        <v/>
      </c>
      <c r="AB22" s="66" t="n"/>
      <c r="AC22" s="78">
        <f>IF(OR(AB$4=0,AB22=""),"",IFERROR(ROUND(AB22/INDEX(Undirviðmið!$F$6:$F$205,AB$4)*INDEX(Undirviðmið!$E$6:$E$205,AB$4)*KVARDI,2),""))</f>
        <v/>
      </c>
      <c r="AD22" s="66" t="n"/>
      <c r="AE22" s="78">
        <f>IF(OR(AD$4=0,AD22=""),"",IFERROR(ROUND(AD22/INDEX(Undirviðmið!$F$6:$F$205,AD$4)*INDEX(Undirviðmið!$E$6:$E$205,AD$4)*KVARDI,2),""))</f>
        <v/>
      </c>
      <c r="AF22" s="66" t="n"/>
      <c r="AG22" s="78">
        <f>IF(OR(AF$4=0,AF22=""),"",IFERROR(ROUND(AF22/INDEX(Undirviðmið!$F$6:$F$205,AF$4)*INDEX(Undirviðmið!$E$6:$E$205,AF$4)*KVARDI,2),""))</f>
        <v/>
      </c>
      <c r="AH22" s="66" t="n"/>
      <c r="AI22" s="78">
        <f>IF(OR(AH$4=0,AH22=""),"",IFERROR(ROUND(AH22/INDEX(Undirviðmið!$F$6:$F$205,AH$4)*INDEX(Undirviðmið!$E$6:$E$205,AH$4)*KVARDI,2),""))</f>
        <v/>
      </c>
      <c r="AJ22" s="66" t="n"/>
      <c r="AK22" s="78">
        <f>IF(OR(AJ$4=0,AJ22=""),"",IFERROR(ROUND(AJ22/INDEX(Undirviðmið!$F$6:$F$205,AJ$4)*INDEX(Undirviðmið!$E$6:$E$205,AJ$4)*KVARDI,2),""))</f>
        <v/>
      </c>
      <c r="AL22" s="66" t="n"/>
      <c r="AM22" s="78">
        <f>IF(OR(AL$4=0,AL22=""),"",IFERROR(ROUND(AL22/INDEX(Undirviðmið!$F$6:$F$205,AL$4)*INDEX(Undirviðmið!$E$6:$E$205,AL$4)*KVARDI,2),""))</f>
        <v/>
      </c>
      <c r="AN22" s="66" t="n"/>
      <c r="AO22" s="78">
        <f>IF(OR(AN$4=0,AN22=""),"",IFERROR(ROUND(AN22/INDEX(Undirviðmið!$F$6:$F$205,AN$4)*INDEX(Undirviðmið!$E$6:$E$205,AN$4)*KVARDI,2),""))</f>
        <v/>
      </c>
      <c r="AP22" s="66" t="n"/>
      <c r="AQ22" s="78">
        <f>IF(OR(AP$4=0,AP22=""),"",IFERROR(ROUND(AP22/INDEX(Undirviðmið!$F$6:$F$205,AP$4)*INDEX(Undirviðmið!$E$6:$E$205,AP$4)*KVARDI,2),""))</f>
        <v/>
      </c>
      <c r="AR22" s="66" t="n"/>
      <c r="AS22" s="78">
        <f>IF(OR(AR$4=0,AR22=""),"",IFERROR(ROUND(AR22/INDEX(Undirviðmið!$F$6:$F$205,AR$4)*INDEX(Undirviðmið!$E$6:$E$205,AR$4)*KVARDI,2),""))</f>
        <v/>
      </c>
      <c r="AT22" s="66" t="n"/>
      <c r="AU22" s="78">
        <f>IF(OR(AT$4=0,AT22=""),"",IFERROR(ROUND(AT22/INDEX(Undirviðmið!$F$6:$F$205,AT$4)*INDEX(Undirviðmið!$E$6:$E$205,AT$4)*KVARDI,2),""))</f>
        <v/>
      </c>
      <c r="AV22" s="66" t="n"/>
      <c r="AW22" s="78">
        <f>IF(OR(AV$4=0,AV22=""),"",IFERROR(ROUND(AV22/INDEX(Undirviðmið!$F$6:$F$205,AV$4)*INDEX(Undirviðmið!$E$6:$E$205,AV$4)*KVARDI,2),""))</f>
        <v/>
      </c>
      <c r="AX22" s="66" t="n"/>
      <c r="AY22" s="78">
        <f>IF(OR(AX$4=0,AX22=""),"",IFERROR(ROUND(AX22/INDEX(Undirviðmið!$F$6:$F$205,AX$4)*INDEX(Undirviðmið!$E$6:$E$205,AX$4)*KVARDI,2),""))</f>
        <v/>
      </c>
      <c r="AZ22" s="66" t="n"/>
      <c r="BA22" s="78">
        <f>IF(OR(AZ$4=0,AZ22=""),"",IFERROR(ROUND(AZ22/INDEX(Undirviðmið!$F$6:$F$205,AZ$4)*INDEX(Undirviðmið!$E$6:$E$205,AZ$4)*KVARDI,2),""))</f>
        <v/>
      </c>
      <c r="BB22" s="66" t="n"/>
      <c r="BC22" s="78">
        <f>IF(OR(BB$4=0,BB22=""),"",IFERROR(ROUND(BB22/INDEX(Undirviðmið!$F$6:$F$205,BB$4)*INDEX(Undirviðmið!$E$6:$E$205,BB$4)*KVARDI,2),""))</f>
        <v/>
      </c>
      <c r="BD22" s="66" t="n"/>
      <c r="BE22" s="78">
        <f>IF(OR(BD$4=0,BD22=""),"",IFERROR(ROUND(BD22/INDEX(Undirviðmið!$F$6:$F$205,BD$4)*INDEX(Undirviðmið!$E$6:$E$205,BD$4)*KVARDI,2),""))</f>
        <v/>
      </c>
      <c r="BF22" s="66" t="n"/>
      <c r="BG22" s="78">
        <f>IF(OR(BF$4=0,BF22=""),"",IFERROR(ROUND(BF22/INDEX(Undirviðmið!$F$6:$F$205,BF$4)*INDEX(Undirviðmið!$E$6:$E$205,BF$4)*KVARDI,2),""))</f>
        <v/>
      </c>
      <c r="BH22" s="66" t="n"/>
      <c r="BI22" s="78">
        <f>IF(OR(BH$4=0,BH22=""),"",IFERROR(ROUND(BH22/INDEX(Undirviðmið!$F$6:$F$205,BH$4)*INDEX(Undirviðmið!$E$6:$E$205,BH$4)*KVARDI,2),""))</f>
        <v/>
      </c>
      <c r="BJ22" s="66" t="n"/>
      <c r="BK22" s="78">
        <f>IF(OR(BJ$4=0,BJ22=""),"",IFERROR(ROUND(BJ22/INDEX(Undirviðmið!$F$6:$F$205,BJ$4)*INDEX(Undirviðmið!$E$6:$E$205,BJ$4)*KVARDI,2),""))</f>
        <v/>
      </c>
      <c r="BL22" s="66" t="n"/>
      <c r="BM22" s="78">
        <f>IF(OR(BL$4=0,BL22=""),"",IFERROR(ROUND(BL22/INDEX(Undirviðmið!$F$6:$F$205,BL$4)*INDEX(Undirviðmið!$E$6:$E$205,BL$4)*KVARDI,2),""))</f>
        <v/>
      </c>
      <c r="BN22" s="66" t="n"/>
      <c r="BO22" s="78">
        <f>IF(OR(BN$4=0,BN22=""),"",IFERROR(ROUND(BN22/INDEX(Undirviðmið!$F$6:$F$205,BN$4)*INDEX(Undirviðmið!$E$6:$E$205,BN$4)*KVARDI,2),""))</f>
        <v/>
      </c>
      <c r="BP22" s="66" t="n"/>
      <c r="BQ22" s="78">
        <f>IF(OR(BP$4=0,BP22=""),"",IFERROR(ROUND(BP22/INDEX(Undirviðmið!$F$6:$F$205,BP$4)*INDEX(Undirviðmið!$E$6:$E$205,BP$4)*KVARDI,2),""))</f>
        <v/>
      </c>
      <c r="BR22" s="66" t="n"/>
      <c r="BS22" s="78">
        <f>IF(OR(BR$4=0,BR22=""),"",IFERROR(ROUND(BR22/INDEX(Undirviðmið!$F$6:$F$205,BR$4)*INDEX(Undirviðmið!$E$6:$E$205,BR$4)*KVARDI,2),""))</f>
        <v/>
      </c>
      <c r="BT22" s="66" t="n"/>
      <c r="BU22" s="78">
        <f>IF(OR(BT$4=0,BT22=""),"",IFERROR(ROUND(BT22/INDEX(Undirviðmið!$F$6:$F$205,BT$4)*INDEX(Undirviðmið!$E$6:$E$205,BT$4)*KVARDI,2),""))</f>
        <v/>
      </c>
      <c r="BV22" s="66" t="n"/>
      <c r="BW22" s="78">
        <f>IF(OR(BV$4=0,BV22=""),"",IFERROR(ROUND(BV22/INDEX(Undirviðmið!$F$6:$F$205,BV$4)*INDEX(Undirviðmið!$E$6:$E$205,BV$4)*KVARDI,2),""))</f>
        <v/>
      </c>
      <c r="BX22" s="66" t="n"/>
      <c r="BY22" s="78">
        <f>IF(OR(BX$4=0,BX22=""),"",IFERROR(ROUND(BX22/INDEX(Undirviðmið!$F$6:$F$205,BX$4)*INDEX(Undirviðmið!$E$6:$E$205,BX$4)*KVARDI,2),""))</f>
        <v/>
      </c>
      <c r="BZ22" s="66" t="n"/>
      <c r="CA22" s="78">
        <f>IF(OR(BZ$4=0,BZ22=""),"",IFERROR(ROUND(BZ22/INDEX(Undirviðmið!$F$6:$F$205,BZ$4)*INDEX(Undirviðmið!$E$6:$E$205,BZ$4)*KVARDI,2),""))</f>
        <v/>
      </c>
      <c r="CB22" s="66" t="n"/>
      <c r="CC22" s="78">
        <f>IF(OR(CB$4=0,CB22=""),"",IFERROR(ROUND(CB22/INDEX(Undirviðmið!$F$6:$F$205,CB$4)*INDEX(Undirviðmið!$E$6:$E$205,CB$4)*KVARDI,2),""))</f>
        <v/>
      </c>
      <c r="CD22" s="66" t="n"/>
      <c r="CE22" s="78">
        <f>IF(OR(CD$4=0,CD22=""),"",IFERROR(ROUND(CD22/INDEX(Undirviðmið!$F$6:$F$205,CD$4)*INDEX(Undirviðmið!$E$6:$E$205,CD$4)*KVARDI,2),""))</f>
        <v/>
      </c>
      <c r="CF22" s="66" t="n"/>
      <c r="CG22" s="78">
        <f>IF(OR(CF$4=0,CF22=""),"",IFERROR(ROUND(CF22/INDEX(Undirviðmið!$F$6:$F$205,CF$4)*INDEX(Undirviðmið!$E$6:$E$205,CF$4)*KVARDI,2),""))</f>
        <v/>
      </c>
      <c r="CH22" s="66" t="n"/>
      <c r="CI22" s="78">
        <f>IF(OR(CH$4=0,CH22=""),"",IFERROR(ROUND(CH22/INDEX(Undirviðmið!$F$6:$F$205,CH$4)*INDEX(Undirviðmið!$E$6:$E$205,CH$4)*KVARDI,2),""))</f>
        <v/>
      </c>
      <c r="CJ22" s="66" t="n"/>
      <c r="CK22" s="78">
        <f>IF(OR(CJ$4=0,CJ22=""),"",IFERROR(ROUND(CJ22/INDEX(Undirviðmið!$F$6:$F$205,CJ$4)*INDEX(Undirviðmið!$E$6:$E$205,CJ$4)*KVARDI,2),""))</f>
        <v/>
      </c>
      <c r="CL22" s="66" t="n"/>
      <c r="CM22" s="78">
        <f>IF(OR(CL$4=0,CL22=""),"",IFERROR(ROUND(CL22/INDEX(Undirviðmið!$F$6:$F$205,CL$4)*INDEX(Undirviðmið!$E$6:$E$205,CL$4)*KVARDI,2),""))</f>
        <v/>
      </c>
      <c r="CN22" s="66" t="n"/>
      <c r="CO22" s="78">
        <f>IF(OR(CN$4=0,CN22=""),"",IFERROR(ROUND(CN22/INDEX(Undirviðmið!$F$6:$F$205,CN$4)*INDEX(Undirviðmið!$E$6:$E$205,CN$4)*KVARDI,2),""))</f>
        <v/>
      </c>
      <c r="CP22" s="66" t="n"/>
      <c r="CQ22" s="78">
        <f>IF(OR(CP$4=0,CP22=""),"",IFERROR(ROUND(CP22/INDEX(Undirviðmið!$F$6:$F$205,CP$4)*INDEX(Undirviðmið!$E$6:$E$205,CP$4)*KVARDI,2),""))</f>
        <v/>
      </c>
      <c r="CR22" s="66" t="n"/>
      <c r="CS22" s="78">
        <f>IF(OR(CR$4=0,CR22=""),"",IFERROR(ROUND(CR22/INDEX(Undirviðmið!$F$6:$F$205,CR$4)*INDEX(Undirviðmið!$E$6:$E$205,CR$4)*KVARDI,2),""))</f>
        <v/>
      </c>
      <c r="CT22" s="66" t="n"/>
      <c r="CU22" s="78">
        <f>IF(OR(CT$4=0,CT22=""),"",IFERROR(ROUND(CT22/INDEX(Undirviðmið!$F$6:$F$205,CT$4)*INDEX(Undirviðmið!$E$6:$E$205,CT$4)*KVARDI,2),""))</f>
        <v/>
      </c>
      <c r="CV22" s="66" t="n"/>
      <c r="CW22" s="78">
        <f>IF(OR(CV$4=0,CV22=""),"",IFERROR(ROUND(CV22/INDEX(Undirviðmið!$F$6:$F$205,CV$4)*INDEX(Undirviðmið!$E$6:$E$205,CV$4)*KVARDI,2),""))</f>
        <v/>
      </c>
      <c r="CX22" s="66" t="n"/>
      <c r="CY22" s="78">
        <f>IF(OR(CX$4=0,CX22=""),"",IFERROR(ROUND(CX22/INDEX(Undirviðmið!$F$6:$F$205,CX$4)*INDEX(Undirviðmið!$E$6:$E$205,CX$4)*KVARDI,2),""))</f>
        <v/>
      </c>
      <c r="CZ22" s="66" t="n"/>
      <c r="DA22" s="78">
        <f>IF(OR(CZ$4=0,CZ22=""),"",IFERROR(ROUND(CZ22/INDEX(Undirviðmið!$F$6:$F$205,CZ$4)*INDEX(Undirviðmið!$E$6:$E$205,CZ$4)*KVARDI,2),""))</f>
        <v/>
      </c>
      <c r="DB22" s="66" t="n"/>
      <c r="DC22" s="78">
        <f>IF(OR(DB$4=0,DB22=""),"",IFERROR(ROUND(DB22/INDEX(Undirviðmið!$F$6:$F$205,DB$4)*INDEX(Undirviðmið!$E$6:$E$205,DB$4)*KVARDI,2),""))</f>
        <v/>
      </c>
      <c r="DD22" s="66" t="n"/>
      <c r="DE22" s="78">
        <f>IF(OR(DD$4=0,DD22=""),"",IFERROR(ROUND(DD22/INDEX(Undirviðmið!$F$6:$F$205,DD$4)*INDEX(Undirviðmið!$E$6:$E$205,DD$4)*KVARDI,2),""))</f>
        <v/>
      </c>
      <c r="DF22" s="66" t="n"/>
      <c r="DG22" s="78">
        <f>IF(OR(DF$4=0,DF22=""),"",IFERROR(ROUND(DF22/INDEX(Undirviðmið!$F$6:$F$205,DF$4)*INDEX(Undirviðmið!$E$6:$E$205,DF$4)*KVARDI,2),""))</f>
        <v/>
      </c>
      <c r="DH22" s="66" t="n"/>
      <c r="DI22" s="78">
        <f>IF(OR(DH$4=0,DH22=""),"",IFERROR(ROUND(DH22/INDEX(Undirviðmið!$F$6:$F$205,DH$4)*INDEX(Undirviðmið!$E$6:$E$205,DH$4)*KVARDI,2),""))</f>
        <v/>
      </c>
      <c r="DJ22" s="66" t="n"/>
      <c r="DK22" s="78">
        <f>IF(OR(DJ$4=0,DJ22=""),"",IFERROR(ROUND(DJ22/INDEX(Undirviðmið!$F$6:$F$205,DJ$4)*INDEX(Undirviðmið!$E$6:$E$205,DJ$4)*KVARDI,2),""))</f>
        <v/>
      </c>
      <c r="DL22" s="66" t="n"/>
      <c r="DM22" s="78">
        <f>IF(OR(DL$4=0,DL22=""),"",IFERROR(ROUND(DL22/INDEX(Undirviðmið!$F$6:$F$205,DL$4)*INDEX(Undirviðmið!$E$6:$E$205,DL$4)*KVARDI,2),""))</f>
        <v/>
      </c>
      <c r="DN22" s="66" t="n"/>
      <c r="DO22" s="78">
        <f>IF(OR(DN$4=0,DN22=""),"",IFERROR(ROUND(DN22/INDEX(Undirviðmið!$F$6:$F$205,DN$4)*INDEX(Undirviðmið!$E$6:$E$205,DN$4)*KVARDI,2),""))</f>
        <v/>
      </c>
      <c r="DP22" s="66" t="n"/>
      <c r="DQ22" s="78">
        <f>IF(OR(DP$4=0,DP22=""),"",IFERROR(ROUND(DP22/INDEX(Undirviðmið!$F$6:$F$205,DP$4)*INDEX(Undirviðmið!$E$6:$E$205,DP$4)*KVARDI,2),""))</f>
        <v/>
      </c>
      <c r="DR22" s="66" t="n"/>
      <c r="DS22" s="78">
        <f>IF(OR(DR$4=0,DR22=""),"",IFERROR(ROUND(DR22/INDEX(Undirviðmið!$F$6:$F$205,DR$4)*INDEX(Undirviðmið!$E$6:$E$205,DR$4)*KVARDI,2),""))</f>
        <v/>
      </c>
      <c r="DT22" s="66" t="n"/>
      <c r="DU22" s="78">
        <f>IF(OR(DT$4=0,DT22=""),"",IFERROR(ROUND(DT22/INDEX(Undirviðmið!$F$6:$F$205,DT$4)*INDEX(Undirviðmið!$E$6:$E$205,DT$4)*KVARDI,2),""))</f>
        <v/>
      </c>
      <c r="DV22" s="66" t="n"/>
      <c r="DW22" s="78">
        <f>IF(OR(DV$4=0,DV22=""),"",IFERROR(ROUND(DV22/INDEX(Undirviðmið!$F$6:$F$205,DV$4)*INDEX(Undirviðmið!$E$6:$E$205,DV$4)*KVARDI,2),""))</f>
        <v/>
      </c>
      <c r="DX22" s="66" t="n"/>
      <c r="DY22" s="78">
        <f>IF(OR(DX$4=0,DX22=""),"",IFERROR(ROUND(DX22/INDEX(Undirviðmið!$F$6:$F$205,DX$4)*INDEX(Undirviðmið!$E$6:$E$205,DX$4)*KVARDI,2),""))</f>
        <v/>
      </c>
      <c r="DZ22" s="66" t="n"/>
      <c r="EA22" s="78">
        <f>IF(OR(DZ$4=0,DZ22=""),"",IFERROR(ROUND(DZ22/INDEX(Undirviðmið!$F$6:$F$205,DZ$4)*INDEX(Undirviðmið!$E$6:$E$205,DZ$4)*KVARDI,2),""))</f>
        <v/>
      </c>
      <c r="EB22" s="66" t="n"/>
      <c r="EC22" s="78">
        <f>IF(OR(EB$4=0,EB22=""),"",IFERROR(ROUND(EB22/INDEX(Undirviðmið!$F$6:$F$205,EB$4)*INDEX(Undirviðmið!$E$6:$E$205,EB$4)*KVARDI,2),""))</f>
        <v/>
      </c>
      <c r="ED22" s="66" t="n"/>
      <c r="EE22" s="78">
        <f>IF(OR(ED$4=0,ED22=""),"",IFERROR(ROUND(ED22/INDEX(Undirviðmið!$F$6:$F$205,ED$4)*INDEX(Undirviðmið!$E$6:$E$205,ED$4)*KVARDI,2),""))</f>
        <v/>
      </c>
      <c r="EF22" s="66" t="n"/>
      <c r="EG22" s="78">
        <f>IF(OR(EF$4=0,EF22=""),"",IFERROR(ROUND(EF22/INDEX(Undirviðmið!$F$6:$F$205,EF$4)*INDEX(Undirviðmið!$E$6:$E$205,EF$4)*KVARDI,2),""))</f>
        <v/>
      </c>
      <c r="EH22" s="66" t="n"/>
      <c r="EI22" s="78">
        <f>IF(OR(EH$4=0,EH22=""),"",IFERROR(ROUND(EH22/INDEX(Undirviðmið!$F$6:$F$205,EH$4)*INDEX(Undirviðmið!$E$6:$E$205,EH$4)*KVARDI,2),""))</f>
        <v/>
      </c>
      <c r="EJ22" s="66" t="n"/>
      <c r="EK22" s="78">
        <f>IF(OR(EJ$4=0,EJ22=""),"",IFERROR(ROUND(EJ22/INDEX(Undirviðmið!$F$6:$F$205,EJ$4)*INDEX(Undirviðmið!$E$6:$E$205,EJ$4)*KVARDI,2),""))</f>
        <v/>
      </c>
      <c r="EL22" s="66" t="n"/>
      <c r="EM22" s="78">
        <f>IF(OR(EL$4=0,EL22=""),"",IFERROR(ROUND(EL22/INDEX(Undirviðmið!$F$6:$F$205,EL$4)*INDEX(Undirviðmið!$E$6:$E$205,EL$4)*KVARDI,2),""))</f>
        <v/>
      </c>
      <c r="EN22" s="66" t="n"/>
      <c r="EO22" s="78">
        <f>IF(OR(EN$4=0,EN22=""),"",IFERROR(ROUND(EN22/INDEX(Undirviðmið!$F$6:$F$205,EN$4)*INDEX(Undirviðmið!$E$6:$E$205,EN$4)*KVARDI,2),""))</f>
        <v/>
      </c>
      <c r="EP22" s="66" t="n"/>
      <c r="EQ22" s="78">
        <f>IF(OR(EP$4=0,EP22=""),"",IFERROR(ROUND(EP22/INDEX(Undirviðmið!$F$6:$F$205,EP$4)*INDEX(Undirviðmið!$E$6:$E$205,EP$4)*KVARDI,2),""))</f>
        <v/>
      </c>
      <c r="ER22" s="66" t="n"/>
      <c r="ES22" s="78">
        <f>IF(OR(ER$4=0,ER22=""),"",IFERROR(ROUND(ER22/INDEX(Undirviðmið!$F$6:$F$205,ER$4)*INDEX(Undirviðmið!$E$6:$E$205,ER$4)*KVARDI,2),""))</f>
        <v/>
      </c>
      <c r="ET22" s="66" t="n"/>
      <c r="EU22" s="78">
        <f>IF(OR(ET$4=0,ET22=""),"",IFERROR(ROUND(ET22/INDEX(Undirviðmið!$F$6:$F$205,ET$4)*INDEX(Undirviðmið!$E$6:$E$205,ET$4)*KVARDI,2),""))</f>
        <v/>
      </c>
      <c r="EV22" s="66" t="n"/>
      <c r="EW22" s="78">
        <f>IF(OR(EV$4=0,EV22=""),"",IFERROR(ROUND(EV22/INDEX(Undirviðmið!$F$6:$F$205,EV$4)*INDEX(Undirviðmið!$E$6:$E$205,EV$4)*KVARDI,2),""))</f>
        <v/>
      </c>
      <c r="EX22" s="66" t="n"/>
      <c r="EY22" s="78">
        <f>IF(OR(EX$4=0,EX22=""),"",IFERROR(ROUND(EX22/INDEX(Undirviðmið!$F$6:$F$205,EX$4)*INDEX(Undirviðmið!$E$6:$E$205,EX$4)*KVARDI,2),""))</f>
        <v/>
      </c>
      <c r="EZ22" s="66" t="n"/>
      <c r="FA22" s="78">
        <f>IF(OR(EZ$4=0,EZ22=""),"",IFERROR(ROUND(EZ22/INDEX(Undirviðmið!$F$6:$F$205,EZ$4)*INDEX(Undirviðmið!$E$6:$E$205,EZ$4)*KVARDI,2),""))</f>
        <v/>
      </c>
      <c r="FB22" s="66" t="n"/>
      <c r="FC22" s="78">
        <f>IF(OR(FB$4=0,FB22=""),"",IFERROR(ROUND(FB22/INDEX(Undirviðmið!$F$6:$F$205,FB$4)*INDEX(Undirviðmið!$E$6:$E$205,FB$4)*KVARDI,2),""))</f>
        <v/>
      </c>
      <c r="FD22" s="66" t="n"/>
      <c r="FE22" s="78">
        <f>IF(OR(FD$4=0,FD22=""),"",IFERROR(ROUND(FD22/INDEX(Undirviðmið!$F$6:$F$205,FD$4)*INDEX(Undirviðmið!$E$6:$E$205,FD$4)*KVARDI,2),""))</f>
        <v/>
      </c>
      <c r="FF22" s="66" t="n"/>
      <c r="FG22" s="78">
        <f>IF(OR(FF$4=0,FF22=""),"",IFERROR(ROUND(FF22/INDEX(Undirviðmið!$F$6:$F$205,FF$4)*INDEX(Undirviðmið!$E$6:$E$205,FF$4)*KVARDI,2),""))</f>
        <v/>
      </c>
      <c r="FH22" s="66" t="n"/>
      <c r="FI22" s="78">
        <f>IF(OR(FH$4=0,FH22=""),"",IFERROR(ROUND(FH22/INDEX(Undirviðmið!$F$6:$F$205,FH$4)*INDEX(Undirviðmið!$E$6:$E$205,FH$4)*KVARDI,2),""))</f>
        <v/>
      </c>
      <c r="FJ22" s="66" t="n"/>
      <c r="FK22" s="78">
        <f>IF(OR(FJ$4=0,FJ22=""),"",IFERROR(ROUND(FJ22/INDEX(Undirviðmið!$F$6:$F$205,FJ$4)*INDEX(Undirviðmið!$E$6:$E$205,FJ$4)*KVARDI,2),""))</f>
        <v/>
      </c>
      <c r="FL22" s="66" t="n"/>
      <c r="FM22" s="78">
        <f>IF(OR(FL$4=0,FL22=""),"",IFERROR(ROUND(FL22/INDEX(Undirviðmið!$F$6:$F$205,FL$4)*INDEX(Undirviðmið!$E$6:$E$205,FL$4)*KVARDI,2),""))</f>
        <v/>
      </c>
      <c r="FN22" s="66" t="n"/>
      <c r="FO22" s="78">
        <f>IF(OR(FN$4=0,FN22=""),"",IFERROR(ROUND(FN22/INDEX(Undirviðmið!$F$6:$F$205,FN$4)*INDEX(Undirviðmið!$E$6:$E$205,FN$4)*KVARDI,2),""))</f>
        <v/>
      </c>
      <c r="FP22" s="66" t="n"/>
      <c r="FQ22" s="78">
        <f>IF(OR(FP$4=0,FP22=""),"",IFERROR(ROUND(FP22/INDEX(Undirviðmið!$F$6:$F$205,FP$4)*INDEX(Undirviðmið!$E$6:$E$205,FP$4)*KVARDI,2),""))</f>
        <v/>
      </c>
      <c r="FR22" s="66" t="n"/>
      <c r="FS22" s="78">
        <f>IF(OR(FR$4=0,FR22=""),"",IFERROR(ROUND(FR22/INDEX(Undirviðmið!$F$6:$F$205,FR$4)*INDEX(Undirviðmið!$E$6:$E$205,FR$4)*KVARDI,2),""))</f>
        <v/>
      </c>
      <c r="FT22" s="66" t="n"/>
      <c r="FU22" s="78">
        <f>IF(OR(FT$4=0,FT22=""),"",IFERROR(ROUND(FT22/INDEX(Undirviðmið!$F$6:$F$205,FT$4)*INDEX(Undirviðmið!$E$6:$E$205,FT$4)*KVARDI,2),""))</f>
        <v/>
      </c>
      <c r="FV22" s="66" t="n"/>
      <c r="FW22" s="78">
        <f>IF(OR(FV$4=0,FV22=""),"",IFERROR(ROUND(FV22/INDEX(Undirviðmið!$F$6:$F$205,FV$4)*INDEX(Undirviðmið!$E$6:$E$205,FV$4)*KVARDI,2),""))</f>
        <v/>
      </c>
      <c r="FX22" s="66" t="n"/>
      <c r="FY22" s="78">
        <f>IF(OR(FX$4=0,FX22=""),"",IFERROR(ROUND(FX22/INDEX(Undirviðmið!$F$6:$F$205,FX$4)*INDEX(Undirviðmið!$E$6:$E$205,FX$4)*KVARDI,2),""))</f>
        <v/>
      </c>
      <c r="FZ22" s="66" t="n"/>
      <c r="GA22" s="78">
        <f>IF(OR(FZ$4=0,FZ22=""),"",IFERROR(ROUND(FZ22/INDEX(Undirviðmið!$F$6:$F$205,FZ$4)*INDEX(Undirviðmið!$E$6:$E$205,FZ$4)*KVARDI,2),""))</f>
        <v/>
      </c>
      <c r="GB22" s="66" t="n"/>
      <c r="GC22" s="78">
        <f>IF(OR(GB$4=0,GB22=""),"",IFERROR(ROUND(GB22/INDEX(Undirviðmið!$F$6:$F$205,GB$4)*INDEX(Undirviðmið!$E$6:$E$205,GB$4)*KVARDI,2),""))</f>
        <v/>
      </c>
      <c r="GD22" s="66" t="n"/>
      <c r="GE22" s="78">
        <f>IF(OR(GD$4=0,GD22=""),"",IFERROR(ROUND(GD22/INDEX(Undirviðmið!$F$6:$F$205,GD$4)*INDEX(Undirviðmið!$E$6:$E$205,GD$4)*KVARDI,2),""))</f>
        <v/>
      </c>
      <c r="GF22" s="66" t="n"/>
      <c r="GG22" s="78">
        <f>IF(OR(GF$4=0,GF22=""),"",IFERROR(ROUND(GF22/INDEX(Undirviðmið!$F$6:$F$205,GF$4)*INDEX(Undirviðmið!$E$6:$E$205,GF$4)*KVARDI,2),""))</f>
        <v/>
      </c>
      <c r="GH22" s="66" t="n"/>
      <c r="GI22" s="78">
        <f>IF(OR(GH$4=0,GH22=""),"",IFERROR(ROUND(GH22/INDEX(Undirviðmið!$F$6:$F$205,GH$4)*INDEX(Undirviðmið!$E$6:$E$205,GH$4)*KVARDI,2),""))</f>
        <v/>
      </c>
      <c r="GJ22" s="66" t="n"/>
      <c r="GK22" s="78">
        <f>IF(OR(GJ$4=0,GJ22=""),"",IFERROR(ROUND(GJ22/INDEX(Undirviðmið!$F$6:$F$205,GJ$4)*INDEX(Undirviðmið!$E$6:$E$205,GJ$4)*KVARDI,2),""))</f>
        <v/>
      </c>
      <c r="GL22" s="66" t="n"/>
      <c r="GM22" s="78">
        <f>IF(OR(GL$4=0,GL22=""),"",IFERROR(ROUND(GL22/INDEX(Undirviðmið!$F$6:$F$205,GL$4)*INDEX(Undirviðmið!$E$6:$E$205,GL$4)*KVARDI,2),""))</f>
        <v/>
      </c>
      <c r="GN22" s="66" t="n"/>
      <c r="GO22" s="78">
        <f>IF(OR(GN$4=0,GN22=""),"",IFERROR(ROUND(GN22/INDEX(Undirviðmið!$F$6:$F$205,GN$4)*INDEX(Undirviðmið!$E$6:$E$205,GN$4)*KVARDI,2),""))</f>
        <v/>
      </c>
      <c r="GP22" s="66" t="n"/>
      <c r="GQ22" s="78">
        <f>IF(OR(GP$4=0,GP22=""),"",IFERROR(ROUND(GP22/INDEX(Undirviðmið!$F$6:$F$205,GP$4)*INDEX(Undirviðmið!$E$6:$E$205,GP$4)*KVARDI,2),""))</f>
        <v/>
      </c>
      <c r="GR22" s="66" t="n"/>
      <c r="GS22" s="78">
        <f>IF(OR(GR$4=0,GR22=""),"",IFERROR(ROUND(GR22/INDEX(Undirviðmið!$F$6:$F$205,GR$4)*INDEX(Undirviðmið!$E$6:$E$205,GR$4)*KVARDI,2),""))</f>
        <v/>
      </c>
      <c r="GT22" s="66" t="n"/>
      <c r="GU22" s="78">
        <f>IF(OR(GT$4=0,GT22=""),"",IFERROR(ROUND(GT22/INDEX(Undirviðmið!$F$6:$F$205,GT$4)*INDEX(Undirviðmið!$E$6:$E$205,GT$4)*KVARDI,2),""))</f>
        <v/>
      </c>
      <c r="GV22" s="63">
        <f>IFERROR(SUMIF($D$6:GU$6,"Stig",$D22:GU22),0)</f>
        <v/>
      </c>
    </row>
    <row r="23" ht="15" customHeight="1" s="47">
      <c r="A23" s="65">
        <f>ROW()-6</f>
        <v/>
      </c>
      <c r="B23" s="67">
        <f>IF(INDEX(Starfsmenn!$B$6:$B$10005,ROW()-6)="","",INDEX(Starfsmenn!$B$6:$B$10005,ROW()-6))</f>
        <v/>
      </c>
      <c r="C23" s="67">
        <f>IF(INDEX(Starfsmenn!$C$6:$C$10005,ROW()-6)="","",INDEX(Starfsmenn!$C$6:$C$10005,ROW()-6))</f>
        <v/>
      </c>
      <c r="D23" s="66" t="n"/>
      <c r="E23" s="78">
        <f>IF(OR(D$4=0,D23=""),"",IFERROR(ROUND(D23/INDEX(Undirviðmið!$F$6:$F$205,D$4)*INDEX(Undirviðmið!$E$6:$E$205,D$4)*KVARDI,2),""))</f>
        <v/>
      </c>
      <c r="F23" s="66" t="n"/>
      <c r="G23" s="78">
        <f>IF(OR(F$4=0,F23=""),"",IFERROR(ROUND(F23/INDEX(Undirviðmið!$F$6:$F$205,F$4)*INDEX(Undirviðmið!$E$6:$E$205,F$4)*KVARDI,2),""))</f>
        <v/>
      </c>
      <c r="H23" s="66" t="n"/>
      <c r="I23" s="78">
        <f>IF(OR(H$4=0,H23=""),"",IFERROR(ROUND(H23/INDEX(Undirviðmið!$F$6:$F$205,H$4)*INDEX(Undirviðmið!$E$6:$E$205,H$4)*KVARDI,2),""))</f>
        <v/>
      </c>
      <c r="J23" s="66" t="n"/>
      <c r="K23" s="78">
        <f>IF(OR(J$4=0,J23=""),"",IFERROR(ROUND(J23/INDEX(Undirviðmið!$F$6:$F$205,J$4)*INDEX(Undirviðmið!$E$6:$E$205,J$4)*KVARDI,2),""))</f>
        <v/>
      </c>
      <c r="L23" s="66" t="n"/>
      <c r="M23" s="78">
        <f>IF(OR(L$4=0,L23=""),"",IFERROR(ROUND(L23/INDEX(Undirviðmið!$F$6:$F$205,L$4)*INDEX(Undirviðmið!$E$6:$E$205,L$4)*KVARDI,2),""))</f>
        <v/>
      </c>
      <c r="N23" s="66" t="n"/>
      <c r="O23" s="78">
        <f>IF(OR(N$4=0,N23=""),"",IFERROR(ROUND(N23/INDEX(Undirviðmið!$F$6:$F$205,N$4)*INDEX(Undirviðmið!$E$6:$E$205,N$4)*KVARDI,2),""))</f>
        <v/>
      </c>
      <c r="P23" s="66" t="n"/>
      <c r="Q23" s="78">
        <f>IF(OR(P$4=0,P23=""),"",IFERROR(ROUND(P23/INDEX(Undirviðmið!$F$6:$F$205,P$4)*INDEX(Undirviðmið!$E$6:$E$205,P$4)*KVARDI,2),""))</f>
        <v/>
      </c>
      <c r="R23" s="66" t="n"/>
      <c r="S23" s="78">
        <f>IF(OR(R$4=0,R23=""),"",IFERROR(ROUND(R23/INDEX(Undirviðmið!$F$6:$F$205,R$4)*INDEX(Undirviðmið!$E$6:$E$205,R$4)*KVARDI,2),""))</f>
        <v/>
      </c>
      <c r="T23" s="66" t="n"/>
      <c r="U23" s="78">
        <f>IF(OR(T$4=0,T23=""),"",IFERROR(ROUND(T23/INDEX(Undirviðmið!$F$6:$F$205,T$4)*INDEX(Undirviðmið!$E$6:$E$205,T$4)*KVARDI,2),""))</f>
        <v/>
      </c>
      <c r="V23" s="66" t="n"/>
      <c r="W23" s="78">
        <f>IF(OR(V$4=0,V23=""),"",IFERROR(ROUND(V23/INDEX(Undirviðmið!$F$6:$F$205,V$4)*INDEX(Undirviðmið!$E$6:$E$205,V$4)*KVARDI,2),""))</f>
        <v/>
      </c>
      <c r="X23" s="66" t="n"/>
      <c r="Y23" s="78">
        <f>IF(OR(X$4=0,X23=""),"",IFERROR(ROUND(X23/INDEX(Undirviðmið!$F$6:$F$205,X$4)*INDEX(Undirviðmið!$E$6:$E$205,X$4)*KVARDI,2),""))</f>
        <v/>
      </c>
      <c r="Z23" s="66" t="n"/>
      <c r="AA23" s="78">
        <f>IF(OR(Z$4=0,Z23=""),"",IFERROR(ROUND(Z23/INDEX(Undirviðmið!$F$6:$F$205,Z$4)*INDEX(Undirviðmið!$E$6:$E$205,Z$4)*KVARDI,2),""))</f>
        <v/>
      </c>
      <c r="AB23" s="66" t="n"/>
      <c r="AC23" s="78">
        <f>IF(OR(AB$4=0,AB23=""),"",IFERROR(ROUND(AB23/INDEX(Undirviðmið!$F$6:$F$205,AB$4)*INDEX(Undirviðmið!$E$6:$E$205,AB$4)*KVARDI,2),""))</f>
        <v/>
      </c>
      <c r="AD23" s="66" t="n"/>
      <c r="AE23" s="78">
        <f>IF(OR(AD$4=0,AD23=""),"",IFERROR(ROUND(AD23/INDEX(Undirviðmið!$F$6:$F$205,AD$4)*INDEX(Undirviðmið!$E$6:$E$205,AD$4)*KVARDI,2),""))</f>
        <v/>
      </c>
      <c r="AF23" s="66" t="n"/>
      <c r="AG23" s="78">
        <f>IF(OR(AF$4=0,AF23=""),"",IFERROR(ROUND(AF23/INDEX(Undirviðmið!$F$6:$F$205,AF$4)*INDEX(Undirviðmið!$E$6:$E$205,AF$4)*KVARDI,2),""))</f>
        <v/>
      </c>
      <c r="AH23" s="66" t="n"/>
      <c r="AI23" s="78">
        <f>IF(OR(AH$4=0,AH23=""),"",IFERROR(ROUND(AH23/INDEX(Undirviðmið!$F$6:$F$205,AH$4)*INDEX(Undirviðmið!$E$6:$E$205,AH$4)*KVARDI,2),""))</f>
        <v/>
      </c>
      <c r="AJ23" s="66" t="n"/>
      <c r="AK23" s="78">
        <f>IF(OR(AJ$4=0,AJ23=""),"",IFERROR(ROUND(AJ23/INDEX(Undirviðmið!$F$6:$F$205,AJ$4)*INDEX(Undirviðmið!$E$6:$E$205,AJ$4)*KVARDI,2),""))</f>
        <v/>
      </c>
      <c r="AL23" s="66" t="n"/>
      <c r="AM23" s="78">
        <f>IF(OR(AL$4=0,AL23=""),"",IFERROR(ROUND(AL23/INDEX(Undirviðmið!$F$6:$F$205,AL$4)*INDEX(Undirviðmið!$E$6:$E$205,AL$4)*KVARDI,2),""))</f>
        <v/>
      </c>
      <c r="AN23" s="66" t="n"/>
      <c r="AO23" s="78">
        <f>IF(OR(AN$4=0,AN23=""),"",IFERROR(ROUND(AN23/INDEX(Undirviðmið!$F$6:$F$205,AN$4)*INDEX(Undirviðmið!$E$6:$E$205,AN$4)*KVARDI,2),""))</f>
        <v/>
      </c>
      <c r="AP23" s="66" t="n"/>
      <c r="AQ23" s="78">
        <f>IF(OR(AP$4=0,AP23=""),"",IFERROR(ROUND(AP23/INDEX(Undirviðmið!$F$6:$F$205,AP$4)*INDEX(Undirviðmið!$E$6:$E$205,AP$4)*KVARDI,2),""))</f>
        <v/>
      </c>
      <c r="AR23" s="66" t="n"/>
      <c r="AS23" s="78">
        <f>IF(OR(AR$4=0,AR23=""),"",IFERROR(ROUND(AR23/INDEX(Undirviðmið!$F$6:$F$205,AR$4)*INDEX(Undirviðmið!$E$6:$E$205,AR$4)*KVARDI,2),""))</f>
        <v/>
      </c>
      <c r="AT23" s="66" t="n"/>
      <c r="AU23" s="78">
        <f>IF(OR(AT$4=0,AT23=""),"",IFERROR(ROUND(AT23/INDEX(Undirviðmið!$F$6:$F$205,AT$4)*INDEX(Undirviðmið!$E$6:$E$205,AT$4)*KVARDI,2),""))</f>
        <v/>
      </c>
      <c r="AV23" s="66" t="n"/>
      <c r="AW23" s="78">
        <f>IF(OR(AV$4=0,AV23=""),"",IFERROR(ROUND(AV23/INDEX(Undirviðmið!$F$6:$F$205,AV$4)*INDEX(Undirviðmið!$E$6:$E$205,AV$4)*KVARDI,2),""))</f>
        <v/>
      </c>
      <c r="AX23" s="66" t="n"/>
      <c r="AY23" s="78">
        <f>IF(OR(AX$4=0,AX23=""),"",IFERROR(ROUND(AX23/INDEX(Undirviðmið!$F$6:$F$205,AX$4)*INDEX(Undirviðmið!$E$6:$E$205,AX$4)*KVARDI,2),""))</f>
        <v/>
      </c>
      <c r="AZ23" s="66" t="n"/>
      <c r="BA23" s="78">
        <f>IF(OR(AZ$4=0,AZ23=""),"",IFERROR(ROUND(AZ23/INDEX(Undirviðmið!$F$6:$F$205,AZ$4)*INDEX(Undirviðmið!$E$6:$E$205,AZ$4)*KVARDI,2),""))</f>
        <v/>
      </c>
      <c r="BB23" s="66" t="n"/>
      <c r="BC23" s="78">
        <f>IF(OR(BB$4=0,BB23=""),"",IFERROR(ROUND(BB23/INDEX(Undirviðmið!$F$6:$F$205,BB$4)*INDEX(Undirviðmið!$E$6:$E$205,BB$4)*KVARDI,2),""))</f>
        <v/>
      </c>
      <c r="BD23" s="66" t="n"/>
      <c r="BE23" s="78">
        <f>IF(OR(BD$4=0,BD23=""),"",IFERROR(ROUND(BD23/INDEX(Undirviðmið!$F$6:$F$205,BD$4)*INDEX(Undirviðmið!$E$6:$E$205,BD$4)*KVARDI,2),""))</f>
        <v/>
      </c>
      <c r="BF23" s="66" t="n"/>
      <c r="BG23" s="78">
        <f>IF(OR(BF$4=0,BF23=""),"",IFERROR(ROUND(BF23/INDEX(Undirviðmið!$F$6:$F$205,BF$4)*INDEX(Undirviðmið!$E$6:$E$205,BF$4)*KVARDI,2),""))</f>
        <v/>
      </c>
      <c r="BH23" s="66" t="n"/>
      <c r="BI23" s="78">
        <f>IF(OR(BH$4=0,BH23=""),"",IFERROR(ROUND(BH23/INDEX(Undirviðmið!$F$6:$F$205,BH$4)*INDEX(Undirviðmið!$E$6:$E$205,BH$4)*KVARDI,2),""))</f>
        <v/>
      </c>
      <c r="BJ23" s="66" t="n"/>
      <c r="BK23" s="78">
        <f>IF(OR(BJ$4=0,BJ23=""),"",IFERROR(ROUND(BJ23/INDEX(Undirviðmið!$F$6:$F$205,BJ$4)*INDEX(Undirviðmið!$E$6:$E$205,BJ$4)*KVARDI,2),""))</f>
        <v/>
      </c>
      <c r="BL23" s="66" t="n"/>
      <c r="BM23" s="78">
        <f>IF(OR(BL$4=0,BL23=""),"",IFERROR(ROUND(BL23/INDEX(Undirviðmið!$F$6:$F$205,BL$4)*INDEX(Undirviðmið!$E$6:$E$205,BL$4)*KVARDI,2),""))</f>
        <v/>
      </c>
      <c r="BN23" s="66" t="n"/>
      <c r="BO23" s="78">
        <f>IF(OR(BN$4=0,BN23=""),"",IFERROR(ROUND(BN23/INDEX(Undirviðmið!$F$6:$F$205,BN$4)*INDEX(Undirviðmið!$E$6:$E$205,BN$4)*KVARDI,2),""))</f>
        <v/>
      </c>
      <c r="BP23" s="66" t="n"/>
      <c r="BQ23" s="78">
        <f>IF(OR(BP$4=0,BP23=""),"",IFERROR(ROUND(BP23/INDEX(Undirviðmið!$F$6:$F$205,BP$4)*INDEX(Undirviðmið!$E$6:$E$205,BP$4)*KVARDI,2),""))</f>
        <v/>
      </c>
      <c r="BR23" s="66" t="n"/>
      <c r="BS23" s="78">
        <f>IF(OR(BR$4=0,BR23=""),"",IFERROR(ROUND(BR23/INDEX(Undirviðmið!$F$6:$F$205,BR$4)*INDEX(Undirviðmið!$E$6:$E$205,BR$4)*KVARDI,2),""))</f>
        <v/>
      </c>
      <c r="BT23" s="66" t="n"/>
      <c r="BU23" s="78">
        <f>IF(OR(BT$4=0,BT23=""),"",IFERROR(ROUND(BT23/INDEX(Undirviðmið!$F$6:$F$205,BT$4)*INDEX(Undirviðmið!$E$6:$E$205,BT$4)*KVARDI,2),""))</f>
        <v/>
      </c>
      <c r="BV23" s="66" t="n"/>
      <c r="BW23" s="78">
        <f>IF(OR(BV$4=0,BV23=""),"",IFERROR(ROUND(BV23/INDEX(Undirviðmið!$F$6:$F$205,BV$4)*INDEX(Undirviðmið!$E$6:$E$205,BV$4)*KVARDI,2),""))</f>
        <v/>
      </c>
      <c r="BX23" s="66" t="n"/>
      <c r="BY23" s="78">
        <f>IF(OR(BX$4=0,BX23=""),"",IFERROR(ROUND(BX23/INDEX(Undirviðmið!$F$6:$F$205,BX$4)*INDEX(Undirviðmið!$E$6:$E$205,BX$4)*KVARDI,2),""))</f>
        <v/>
      </c>
      <c r="BZ23" s="66" t="n"/>
      <c r="CA23" s="78">
        <f>IF(OR(BZ$4=0,BZ23=""),"",IFERROR(ROUND(BZ23/INDEX(Undirviðmið!$F$6:$F$205,BZ$4)*INDEX(Undirviðmið!$E$6:$E$205,BZ$4)*KVARDI,2),""))</f>
        <v/>
      </c>
      <c r="CB23" s="66" t="n"/>
      <c r="CC23" s="78">
        <f>IF(OR(CB$4=0,CB23=""),"",IFERROR(ROUND(CB23/INDEX(Undirviðmið!$F$6:$F$205,CB$4)*INDEX(Undirviðmið!$E$6:$E$205,CB$4)*KVARDI,2),""))</f>
        <v/>
      </c>
      <c r="CD23" s="66" t="n"/>
      <c r="CE23" s="78">
        <f>IF(OR(CD$4=0,CD23=""),"",IFERROR(ROUND(CD23/INDEX(Undirviðmið!$F$6:$F$205,CD$4)*INDEX(Undirviðmið!$E$6:$E$205,CD$4)*KVARDI,2),""))</f>
        <v/>
      </c>
      <c r="CF23" s="66" t="n"/>
      <c r="CG23" s="78">
        <f>IF(OR(CF$4=0,CF23=""),"",IFERROR(ROUND(CF23/INDEX(Undirviðmið!$F$6:$F$205,CF$4)*INDEX(Undirviðmið!$E$6:$E$205,CF$4)*KVARDI,2),""))</f>
        <v/>
      </c>
      <c r="CH23" s="66" t="n"/>
      <c r="CI23" s="78">
        <f>IF(OR(CH$4=0,CH23=""),"",IFERROR(ROUND(CH23/INDEX(Undirviðmið!$F$6:$F$205,CH$4)*INDEX(Undirviðmið!$E$6:$E$205,CH$4)*KVARDI,2),""))</f>
        <v/>
      </c>
      <c r="CJ23" s="66" t="n"/>
      <c r="CK23" s="78">
        <f>IF(OR(CJ$4=0,CJ23=""),"",IFERROR(ROUND(CJ23/INDEX(Undirviðmið!$F$6:$F$205,CJ$4)*INDEX(Undirviðmið!$E$6:$E$205,CJ$4)*KVARDI,2),""))</f>
        <v/>
      </c>
      <c r="CL23" s="66" t="n"/>
      <c r="CM23" s="78">
        <f>IF(OR(CL$4=0,CL23=""),"",IFERROR(ROUND(CL23/INDEX(Undirviðmið!$F$6:$F$205,CL$4)*INDEX(Undirviðmið!$E$6:$E$205,CL$4)*KVARDI,2),""))</f>
        <v/>
      </c>
      <c r="CN23" s="66" t="n"/>
      <c r="CO23" s="78">
        <f>IF(OR(CN$4=0,CN23=""),"",IFERROR(ROUND(CN23/INDEX(Undirviðmið!$F$6:$F$205,CN$4)*INDEX(Undirviðmið!$E$6:$E$205,CN$4)*KVARDI,2),""))</f>
        <v/>
      </c>
      <c r="CP23" s="66" t="n"/>
      <c r="CQ23" s="78">
        <f>IF(OR(CP$4=0,CP23=""),"",IFERROR(ROUND(CP23/INDEX(Undirviðmið!$F$6:$F$205,CP$4)*INDEX(Undirviðmið!$E$6:$E$205,CP$4)*KVARDI,2),""))</f>
        <v/>
      </c>
      <c r="CR23" s="66" t="n"/>
      <c r="CS23" s="78">
        <f>IF(OR(CR$4=0,CR23=""),"",IFERROR(ROUND(CR23/INDEX(Undirviðmið!$F$6:$F$205,CR$4)*INDEX(Undirviðmið!$E$6:$E$205,CR$4)*KVARDI,2),""))</f>
        <v/>
      </c>
      <c r="CT23" s="66" t="n"/>
      <c r="CU23" s="78">
        <f>IF(OR(CT$4=0,CT23=""),"",IFERROR(ROUND(CT23/INDEX(Undirviðmið!$F$6:$F$205,CT$4)*INDEX(Undirviðmið!$E$6:$E$205,CT$4)*KVARDI,2),""))</f>
        <v/>
      </c>
      <c r="CV23" s="66" t="n"/>
      <c r="CW23" s="78">
        <f>IF(OR(CV$4=0,CV23=""),"",IFERROR(ROUND(CV23/INDEX(Undirviðmið!$F$6:$F$205,CV$4)*INDEX(Undirviðmið!$E$6:$E$205,CV$4)*KVARDI,2),""))</f>
        <v/>
      </c>
      <c r="CX23" s="66" t="n"/>
      <c r="CY23" s="78">
        <f>IF(OR(CX$4=0,CX23=""),"",IFERROR(ROUND(CX23/INDEX(Undirviðmið!$F$6:$F$205,CX$4)*INDEX(Undirviðmið!$E$6:$E$205,CX$4)*KVARDI,2),""))</f>
        <v/>
      </c>
      <c r="CZ23" s="66" t="n"/>
      <c r="DA23" s="78">
        <f>IF(OR(CZ$4=0,CZ23=""),"",IFERROR(ROUND(CZ23/INDEX(Undirviðmið!$F$6:$F$205,CZ$4)*INDEX(Undirviðmið!$E$6:$E$205,CZ$4)*KVARDI,2),""))</f>
        <v/>
      </c>
      <c r="DB23" s="66" t="n"/>
      <c r="DC23" s="78">
        <f>IF(OR(DB$4=0,DB23=""),"",IFERROR(ROUND(DB23/INDEX(Undirviðmið!$F$6:$F$205,DB$4)*INDEX(Undirviðmið!$E$6:$E$205,DB$4)*KVARDI,2),""))</f>
        <v/>
      </c>
      <c r="DD23" s="66" t="n"/>
      <c r="DE23" s="78">
        <f>IF(OR(DD$4=0,DD23=""),"",IFERROR(ROUND(DD23/INDEX(Undirviðmið!$F$6:$F$205,DD$4)*INDEX(Undirviðmið!$E$6:$E$205,DD$4)*KVARDI,2),""))</f>
        <v/>
      </c>
      <c r="DF23" s="66" t="n"/>
      <c r="DG23" s="78">
        <f>IF(OR(DF$4=0,DF23=""),"",IFERROR(ROUND(DF23/INDEX(Undirviðmið!$F$6:$F$205,DF$4)*INDEX(Undirviðmið!$E$6:$E$205,DF$4)*KVARDI,2),""))</f>
        <v/>
      </c>
      <c r="DH23" s="66" t="n"/>
      <c r="DI23" s="78">
        <f>IF(OR(DH$4=0,DH23=""),"",IFERROR(ROUND(DH23/INDEX(Undirviðmið!$F$6:$F$205,DH$4)*INDEX(Undirviðmið!$E$6:$E$205,DH$4)*KVARDI,2),""))</f>
        <v/>
      </c>
      <c r="DJ23" s="66" t="n"/>
      <c r="DK23" s="78">
        <f>IF(OR(DJ$4=0,DJ23=""),"",IFERROR(ROUND(DJ23/INDEX(Undirviðmið!$F$6:$F$205,DJ$4)*INDEX(Undirviðmið!$E$6:$E$205,DJ$4)*KVARDI,2),""))</f>
        <v/>
      </c>
      <c r="DL23" s="66" t="n"/>
      <c r="DM23" s="78">
        <f>IF(OR(DL$4=0,DL23=""),"",IFERROR(ROUND(DL23/INDEX(Undirviðmið!$F$6:$F$205,DL$4)*INDEX(Undirviðmið!$E$6:$E$205,DL$4)*KVARDI,2),""))</f>
        <v/>
      </c>
      <c r="DN23" s="66" t="n"/>
      <c r="DO23" s="78">
        <f>IF(OR(DN$4=0,DN23=""),"",IFERROR(ROUND(DN23/INDEX(Undirviðmið!$F$6:$F$205,DN$4)*INDEX(Undirviðmið!$E$6:$E$205,DN$4)*KVARDI,2),""))</f>
        <v/>
      </c>
      <c r="DP23" s="66" t="n"/>
      <c r="DQ23" s="78">
        <f>IF(OR(DP$4=0,DP23=""),"",IFERROR(ROUND(DP23/INDEX(Undirviðmið!$F$6:$F$205,DP$4)*INDEX(Undirviðmið!$E$6:$E$205,DP$4)*KVARDI,2),""))</f>
        <v/>
      </c>
      <c r="DR23" s="66" t="n"/>
      <c r="DS23" s="78">
        <f>IF(OR(DR$4=0,DR23=""),"",IFERROR(ROUND(DR23/INDEX(Undirviðmið!$F$6:$F$205,DR$4)*INDEX(Undirviðmið!$E$6:$E$205,DR$4)*KVARDI,2),""))</f>
        <v/>
      </c>
      <c r="DT23" s="66" t="n"/>
      <c r="DU23" s="78">
        <f>IF(OR(DT$4=0,DT23=""),"",IFERROR(ROUND(DT23/INDEX(Undirviðmið!$F$6:$F$205,DT$4)*INDEX(Undirviðmið!$E$6:$E$205,DT$4)*KVARDI,2),""))</f>
        <v/>
      </c>
      <c r="DV23" s="66" t="n"/>
      <c r="DW23" s="78">
        <f>IF(OR(DV$4=0,DV23=""),"",IFERROR(ROUND(DV23/INDEX(Undirviðmið!$F$6:$F$205,DV$4)*INDEX(Undirviðmið!$E$6:$E$205,DV$4)*KVARDI,2),""))</f>
        <v/>
      </c>
      <c r="DX23" s="66" t="n"/>
      <c r="DY23" s="78">
        <f>IF(OR(DX$4=0,DX23=""),"",IFERROR(ROUND(DX23/INDEX(Undirviðmið!$F$6:$F$205,DX$4)*INDEX(Undirviðmið!$E$6:$E$205,DX$4)*KVARDI,2),""))</f>
        <v/>
      </c>
      <c r="DZ23" s="66" t="n"/>
      <c r="EA23" s="78">
        <f>IF(OR(DZ$4=0,DZ23=""),"",IFERROR(ROUND(DZ23/INDEX(Undirviðmið!$F$6:$F$205,DZ$4)*INDEX(Undirviðmið!$E$6:$E$205,DZ$4)*KVARDI,2),""))</f>
        <v/>
      </c>
      <c r="EB23" s="66" t="n"/>
      <c r="EC23" s="78">
        <f>IF(OR(EB$4=0,EB23=""),"",IFERROR(ROUND(EB23/INDEX(Undirviðmið!$F$6:$F$205,EB$4)*INDEX(Undirviðmið!$E$6:$E$205,EB$4)*KVARDI,2),""))</f>
        <v/>
      </c>
      <c r="ED23" s="66" t="n"/>
      <c r="EE23" s="78">
        <f>IF(OR(ED$4=0,ED23=""),"",IFERROR(ROUND(ED23/INDEX(Undirviðmið!$F$6:$F$205,ED$4)*INDEX(Undirviðmið!$E$6:$E$205,ED$4)*KVARDI,2),""))</f>
        <v/>
      </c>
      <c r="EF23" s="66" t="n"/>
      <c r="EG23" s="78">
        <f>IF(OR(EF$4=0,EF23=""),"",IFERROR(ROUND(EF23/INDEX(Undirviðmið!$F$6:$F$205,EF$4)*INDEX(Undirviðmið!$E$6:$E$205,EF$4)*KVARDI,2),""))</f>
        <v/>
      </c>
      <c r="EH23" s="66" t="n"/>
      <c r="EI23" s="78">
        <f>IF(OR(EH$4=0,EH23=""),"",IFERROR(ROUND(EH23/INDEX(Undirviðmið!$F$6:$F$205,EH$4)*INDEX(Undirviðmið!$E$6:$E$205,EH$4)*KVARDI,2),""))</f>
        <v/>
      </c>
      <c r="EJ23" s="66" t="n"/>
      <c r="EK23" s="78">
        <f>IF(OR(EJ$4=0,EJ23=""),"",IFERROR(ROUND(EJ23/INDEX(Undirviðmið!$F$6:$F$205,EJ$4)*INDEX(Undirviðmið!$E$6:$E$205,EJ$4)*KVARDI,2),""))</f>
        <v/>
      </c>
      <c r="EL23" s="66" t="n"/>
      <c r="EM23" s="78">
        <f>IF(OR(EL$4=0,EL23=""),"",IFERROR(ROUND(EL23/INDEX(Undirviðmið!$F$6:$F$205,EL$4)*INDEX(Undirviðmið!$E$6:$E$205,EL$4)*KVARDI,2),""))</f>
        <v/>
      </c>
      <c r="EN23" s="66" t="n"/>
      <c r="EO23" s="78">
        <f>IF(OR(EN$4=0,EN23=""),"",IFERROR(ROUND(EN23/INDEX(Undirviðmið!$F$6:$F$205,EN$4)*INDEX(Undirviðmið!$E$6:$E$205,EN$4)*KVARDI,2),""))</f>
        <v/>
      </c>
      <c r="EP23" s="66" t="n"/>
      <c r="EQ23" s="78">
        <f>IF(OR(EP$4=0,EP23=""),"",IFERROR(ROUND(EP23/INDEX(Undirviðmið!$F$6:$F$205,EP$4)*INDEX(Undirviðmið!$E$6:$E$205,EP$4)*KVARDI,2),""))</f>
        <v/>
      </c>
      <c r="ER23" s="66" t="n"/>
      <c r="ES23" s="78">
        <f>IF(OR(ER$4=0,ER23=""),"",IFERROR(ROUND(ER23/INDEX(Undirviðmið!$F$6:$F$205,ER$4)*INDEX(Undirviðmið!$E$6:$E$205,ER$4)*KVARDI,2),""))</f>
        <v/>
      </c>
      <c r="ET23" s="66" t="n"/>
      <c r="EU23" s="78">
        <f>IF(OR(ET$4=0,ET23=""),"",IFERROR(ROUND(ET23/INDEX(Undirviðmið!$F$6:$F$205,ET$4)*INDEX(Undirviðmið!$E$6:$E$205,ET$4)*KVARDI,2),""))</f>
        <v/>
      </c>
      <c r="EV23" s="66" t="n"/>
      <c r="EW23" s="78">
        <f>IF(OR(EV$4=0,EV23=""),"",IFERROR(ROUND(EV23/INDEX(Undirviðmið!$F$6:$F$205,EV$4)*INDEX(Undirviðmið!$E$6:$E$205,EV$4)*KVARDI,2),""))</f>
        <v/>
      </c>
      <c r="EX23" s="66" t="n"/>
      <c r="EY23" s="78">
        <f>IF(OR(EX$4=0,EX23=""),"",IFERROR(ROUND(EX23/INDEX(Undirviðmið!$F$6:$F$205,EX$4)*INDEX(Undirviðmið!$E$6:$E$205,EX$4)*KVARDI,2),""))</f>
        <v/>
      </c>
      <c r="EZ23" s="66" t="n"/>
      <c r="FA23" s="78">
        <f>IF(OR(EZ$4=0,EZ23=""),"",IFERROR(ROUND(EZ23/INDEX(Undirviðmið!$F$6:$F$205,EZ$4)*INDEX(Undirviðmið!$E$6:$E$205,EZ$4)*KVARDI,2),""))</f>
        <v/>
      </c>
      <c r="FB23" s="66" t="n"/>
      <c r="FC23" s="78">
        <f>IF(OR(FB$4=0,FB23=""),"",IFERROR(ROUND(FB23/INDEX(Undirviðmið!$F$6:$F$205,FB$4)*INDEX(Undirviðmið!$E$6:$E$205,FB$4)*KVARDI,2),""))</f>
        <v/>
      </c>
      <c r="FD23" s="66" t="n"/>
      <c r="FE23" s="78">
        <f>IF(OR(FD$4=0,FD23=""),"",IFERROR(ROUND(FD23/INDEX(Undirviðmið!$F$6:$F$205,FD$4)*INDEX(Undirviðmið!$E$6:$E$205,FD$4)*KVARDI,2),""))</f>
        <v/>
      </c>
      <c r="FF23" s="66" t="n"/>
      <c r="FG23" s="78">
        <f>IF(OR(FF$4=0,FF23=""),"",IFERROR(ROUND(FF23/INDEX(Undirviðmið!$F$6:$F$205,FF$4)*INDEX(Undirviðmið!$E$6:$E$205,FF$4)*KVARDI,2),""))</f>
        <v/>
      </c>
      <c r="FH23" s="66" t="n"/>
      <c r="FI23" s="78">
        <f>IF(OR(FH$4=0,FH23=""),"",IFERROR(ROUND(FH23/INDEX(Undirviðmið!$F$6:$F$205,FH$4)*INDEX(Undirviðmið!$E$6:$E$205,FH$4)*KVARDI,2),""))</f>
        <v/>
      </c>
      <c r="FJ23" s="66" t="n"/>
      <c r="FK23" s="78">
        <f>IF(OR(FJ$4=0,FJ23=""),"",IFERROR(ROUND(FJ23/INDEX(Undirviðmið!$F$6:$F$205,FJ$4)*INDEX(Undirviðmið!$E$6:$E$205,FJ$4)*KVARDI,2),""))</f>
        <v/>
      </c>
      <c r="FL23" s="66" t="n"/>
      <c r="FM23" s="78">
        <f>IF(OR(FL$4=0,FL23=""),"",IFERROR(ROUND(FL23/INDEX(Undirviðmið!$F$6:$F$205,FL$4)*INDEX(Undirviðmið!$E$6:$E$205,FL$4)*KVARDI,2),""))</f>
        <v/>
      </c>
      <c r="FN23" s="66" t="n"/>
      <c r="FO23" s="78">
        <f>IF(OR(FN$4=0,FN23=""),"",IFERROR(ROUND(FN23/INDEX(Undirviðmið!$F$6:$F$205,FN$4)*INDEX(Undirviðmið!$E$6:$E$205,FN$4)*KVARDI,2),""))</f>
        <v/>
      </c>
      <c r="FP23" s="66" t="n"/>
      <c r="FQ23" s="78">
        <f>IF(OR(FP$4=0,FP23=""),"",IFERROR(ROUND(FP23/INDEX(Undirviðmið!$F$6:$F$205,FP$4)*INDEX(Undirviðmið!$E$6:$E$205,FP$4)*KVARDI,2),""))</f>
        <v/>
      </c>
      <c r="FR23" s="66" t="n"/>
      <c r="FS23" s="78">
        <f>IF(OR(FR$4=0,FR23=""),"",IFERROR(ROUND(FR23/INDEX(Undirviðmið!$F$6:$F$205,FR$4)*INDEX(Undirviðmið!$E$6:$E$205,FR$4)*KVARDI,2),""))</f>
        <v/>
      </c>
      <c r="FT23" s="66" t="n"/>
      <c r="FU23" s="78">
        <f>IF(OR(FT$4=0,FT23=""),"",IFERROR(ROUND(FT23/INDEX(Undirviðmið!$F$6:$F$205,FT$4)*INDEX(Undirviðmið!$E$6:$E$205,FT$4)*KVARDI,2),""))</f>
        <v/>
      </c>
      <c r="FV23" s="66" t="n"/>
      <c r="FW23" s="78">
        <f>IF(OR(FV$4=0,FV23=""),"",IFERROR(ROUND(FV23/INDEX(Undirviðmið!$F$6:$F$205,FV$4)*INDEX(Undirviðmið!$E$6:$E$205,FV$4)*KVARDI,2),""))</f>
        <v/>
      </c>
      <c r="FX23" s="66" t="n"/>
      <c r="FY23" s="78">
        <f>IF(OR(FX$4=0,FX23=""),"",IFERROR(ROUND(FX23/INDEX(Undirviðmið!$F$6:$F$205,FX$4)*INDEX(Undirviðmið!$E$6:$E$205,FX$4)*KVARDI,2),""))</f>
        <v/>
      </c>
      <c r="FZ23" s="66" t="n"/>
      <c r="GA23" s="78">
        <f>IF(OR(FZ$4=0,FZ23=""),"",IFERROR(ROUND(FZ23/INDEX(Undirviðmið!$F$6:$F$205,FZ$4)*INDEX(Undirviðmið!$E$6:$E$205,FZ$4)*KVARDI,2),""))</f>
        <v/>
      </c>
      <c r="GB23" s="66" t="n"/>
      <c r="GC23" s="78">
        <f>IF(OR(GB$4=0,GB23=""),"",IFERROR(ROUND(GB23/INDEX(Undirviðmið!$F$6:$F$205,GB$4)*INDEX(Undirviðmið!$E$6:$E$205,GB$4)*KVARDI,2),""))</f>
        <v/>
      </c>
      <c r="GD23" s="66" t="n"/>
      <c r="GE23" s="78">
        <f>IF(OR(GD$4=0,GD23=""),"",IFERROR(ROUND(GD23/INDEX(Undirviðmið!$F$6:$F$205,GD$4)*INDEX(Undirviðmið!$E$6:$E$205,GD$4)*KVARDI,2),""))</f>
        <v/>
      </c>
      <c r="GF23" s="66" t="n"/>
      <c r="GG23" s="78">
        <f>IF(OR(GF$4=0,GF23=""),"",IFERROR(ROUND(GF23/INDEX(Undirviðmið!$F$6:$F$205,GF$4)*INDEX(Undirviðmið!$E$6:$E$205,GF$4)*KVARDI,2),""))</f>
        <v/>
      </c>
      <c r="GH23" s="66" t="n"/>
      <c r="GI23" s="78">
        <f>IF(OR(GH$4=0,GH23=""),"",IFERROR(ROUND(GH23/INDEX(Undirviðmið!$F$6:$F$205,GH$4)*INDEX(Undirviðmið!$E$6:$E$205,GH$4)*KVARDI,2),""))</f>
        <v/>
      </c>
      <c r="GJ23" s="66" t="n"/>
      <c r="GK23" s="78">
        <f>IF(OR(GJ$4=0,GJ23=""),"",IFERROR(ROUND(GJ23/INDEX(Undirviðmið!$F$6:$F$205,GJ$4)*INDEX(Undirviðmið!$E$6:$E$205,GJ$4)*KVARDI,2),""))</f>
        <v/>
      </c>
      <c r="GL23" s="66" t="n"/>
      <c r="GM23" s="78">
        <f>IF(OR(GL$4=0,GL23=""),"",IFERROR(ROUND(GL23/INDEX(Undirviðmið!$F$6:$F$205,GL$4)*INDEX(Undirviðmið!$E$6:$E$205,GL$4)*KVARDI,2),""))</f>
        <v/>
      </c>
      <c r="GN23" s="66" t="n"/>
      <c r="GO23" s="78">
        <f>IF(OR(GN$4=0,GN23=""),"",IFERROR(ROUND(GN23/INDEX(Undirviðmið!$F$6:$F$205,GN$4)*INDEX(Undirviðmið!$E$6:$E$205,GN$4)*KVARDI,2),""))</f>
        <v/>
      </c>
      <c r="GP23" s="66" t="n"/>
      <c r="GQ23" s="78">
        <f>IF(OR(GP$4=0,GP23=""),"",IFERROR(ROUND(GP23/INDEX(Undirviðmið!$F$6:$F$205,GP$4)*INDEX(Undirviðmið!$E$6:$E$205,GP$4)*KVARDI,2),""))</f>
        <v/>
      </c>
      <c r="GR23" s="66" t="n"/>
      <c r="GS23" s="78">
        <f>IF(OR(GR$4=0,GR23=""),"",IFERROR(ROUND(GR23/INDEX(Undirviðmið!$F$6:$F$205,GR$4)*INDEX(Undirviðmið!$E$6:$E$205,GR$4)*KVARDI,2),""))</f>
        <v/>
      </c>
      <c r="GT23" s="66" t="n"/>
      <c r="GU23" s="78">
        <f>IF(OR(GT$4=0,GT23=""),"",IFERROR(ROUND(GT23/INDEX(Undirviðmið!$F$6:$F$205,GT$4)*INDEX(Undirviðmið!$E$6:$E$205,GT$4)*KVARDI,2),""))</f>
        <v/>
      </c>
      <c r="GV23" s="63">
        <f>IFERROR(SUMIF($D$6:GU$6,"Stig",$D23:GU23),0)</f>
        <v/>
      </c>
    </row>
    <row r="24" ht="15" customHeight="1" s="47">
      <c r="A24" s="65">
        <f>ROW()-6</f>
        <v/>
      </c>
      <c r="B24" s="67">
        <f>IF(INDEX(Starfsmenn!$B$6:$B$10005,ROW()-6)="","",INDEX(Starfsmenn!$B$6:$B$10005,ROW()-6))</f>
        <v/>
      </c>
      <c r="C24" s="67">
        <f>IF(INDEX(Starfsmenn!$C$6:$C$10005,ROW()-6)="","",INDEX(Starfsmenn!$C$6:$C$10005,ROW()-6))</f>
        <v/>
      </c>
      <c r="D24" s="66" t="n"/>
      <c r="E24" s="78">
        <f>IF(OR(D$4=0,D24=""),"",IFERROR(ROUND(D24/INDEX(Undirviðmið!$F$6:$F$205,D$4)*INDEX(Undirviðmið!$E$6:$E$205,D$4)*KVARDI,2),""))</f>
        <v/>
      </c>
      <c r="F24" s="66" t="n"/>
      <c r="G24" s="78">
        <f>IF(OR(F$4=0,F24=""),"",IFERROR(ROUND(F24/INDEX(Undirviðmið!$F$6:$F$205,F$4)*INDEX(Undirviðmið!$E$6:$E$205,F$4)*KVARDI,2),""))</f>
        <v/>
      </c>
      <c r="H24" s="66" t="n"/>
      <c r="I24" s="78">
        <f>IF(OR(H$4=0,H24=""),"",IFERROR(ROUND(H24/INDEX(Undirviðmið!$F$6:$F$205,H$4)*INDEX(Undirviðmið!$E$6:$E$205,H$4)*KVARDI,2),""))</f>
        <v/>
      </c>
      <c r="J24" s="66" t="n"/>
      <c r="K24" s="78">
        <f>IF(OR(J$4=0,J24=""),"",IFERROR(ROUND(J24/INDEX(Undirviðmið!$F$6:$F$205,J$4)*INDEX(Undirviðmið!$E$6:$E$205,J$4)*KVARDI,2),""))</f>
        <v/>
      </c>
      <c r="L24" s="66" t="n"/>
      <c r="M24" s="78">
        <f>IF(OR(L$4=0,L24=""),"",IFERROR(ROUND(L24/INDEX(Undirviðmið!$F$6:$F$205,L$4)*INDEX(Undirviðmið!$E$6:$E$205,L$4)*KVARDI,2),""))</f>
        <v/>
      </c>
      <c r="N24" s="66" t="n"/>
      <c r="O24" s="78">
        <f>IF(OR(N$4=0,N24=""),"",IFERROR(ROUND(N24/INDEX(Undirviðmið!$F$6:$F$205,N$4)*INDEX(Undirviðmið!$E$6:$E$205,N$4)*KVARDI,2),""))</f>
        <v/>
      </c>
      <c r="P24" s="66" t="n"/>
      <c r="Q24" s="78">
        <f>IF(OR(P$4=0,P24=""),"",IFERROR(ROUND(P24/INDEX(Undirviðmið!$F$6:$F$205,P$4)*INDEX(Undirviðmið!$E$6:$E$205,P$4)*KVARDI,2),""))</f>
        <v/>
      </c>
      <c r="R24" s="66" t="n"/>
      <c r="S24" s="78">
        <f>IF(OR(R$4=0,R24=""),"",IFERROR(ROUND(R24/INDEX(Undirviðmið!$F$6:$F$205,R$4)*INDEX(Undirviðmið!$E$6:$E$205,R$4)*KVARDI,2),""))</f>
        <v/>
      </c>
      <c r="T24" s="66" t="n"/>
      <c r="U24" s="78">
        <f>IF(OR(T$4=0,T24=""),"",IFERROR(ROUND(T24/INDEX(Undirviðmið!$F$6:$F$205,T$4)*INDEX(Undirviðmið!$E$6:$E$205,T$4)*KVARDI,2),""))</f>
        <v/>
      </c>
      <c r="V24" s="66" t="n"/>
      <c r="W24" s="78">
        <f>IF(OR(V$4=0,V24=""),"",IFERROR(ROUND(V24/INDEX(Undirviðmið!$F$6:$F$205,V$4)*INDEX(Undirviðmið!$E$6:$E$205,V$4)*KVARDI,2),""))</f>
        <v/>
      </c>
      <c r="X24" s="66" t="n"/>
      <c r="Y24" s="78">
        <f>IF(OR(X$4=0,X24=""),"",IFERROR(ROUND(X24/INDEX(Undirviðmið!$F$6:$F$205,X$4)*INDEX(Undirviðmið!$E$6:$E$205,X$4)*KVARDI,2),""))</f>
        <v/>
      </c>
      <c r="Z24" s="66" t="n"/>
      <c r="AA24" s="78">
        <f>IF(OR(Z$4=0,Z24=""),"",IFERROR(ROUND(Z24/INDEX(Undirviðmið!$F$6:$F$205,Z$4)*INDEX(Undirviðmið!$E$6:$E$205,Z$4)*KVARDI,2),""))</f>
        <v/>
      </c>
      <c r="AB24" s="66" t="n"/>
      <c r="AC24" s="78">
        <f>IF(OR(AB$4=0,AB24=""),"",IFERROR(ROUND(AB24/INDEX(Undirviðmið!$F$6:$F$205,AB$4)*INDEX(Undirviðmið!$E$6:$E$205,AB$4)*KVARDI,2),""))</f>
        <v/>
      </c>
      <c r="AD24" s="66" t="n"/>
      <c r="AE24" s="78">
        <f>IF(OR(AD$4=0,AD24=""),"",IFERROR(ROUND(AD24/INDEX(Undirviðmið!$F$6:$F$205,AD$4)*INDEX(Undirviðmið!$E$6:$E$205,AD$4)*KVARDI,2),""))</f>
        <v/>
      </c>
      <c r="AF24" s="66" t="n"/>
      <c r="AG24" s="78">
        <f>IF(OR(AF$4=0,AF24=""),"",IFERROR(ROUND(AF24/INDEX(Undirviðmið!$F$6:$F$205,AF$4)*INDEX(Undirviðmið!$E$6:$E$205,AF$4)*KVARDI,2),""))</f>
        <v/>
      </c>
      <c r="AH24" s="66" t="n"/>
      <c r="AI24" s="78">
        <f>IF(OR(AH$4=0,AH24=""),"",IFERROR(ROUND(AH24/INDEX(Undirviðmið!$F$6:$F$205,AH$4)*INDEX(Undirviðmið!$E$6:$E$205,AH$4)*KVARDI,2),""))</f>
        <v/>
      </c>
      <c r="AJ24" s="66" t="n"/>
      <c r="AK24" s="78">
        <f>IF(OR(AJ$4=0,AJ24=""),"",IFERROR(ROUND(AJ24/INDEX(Undirviðmið!$F$6:$F$205,AJ$4)*INDEX(Undirviðmið!$E$6:$E$205,AJ$4)*KVARDI,2),""))</f>
        <v/>
      </c>
      <c r="AL24" s="66" t="n"/>
      <c r="AM24" s="78">
        <f>IF(OR(AL$4=0,AL24=""),"",IFERROR(ROUND(AL24/INDEX(Undirviðmið!$F$6:$F$205,AL$4)*INDEX(Undirviðmið!$E$6:$E$205,AL$4)*KVARDI,2),""))</f>
        <v/>
      </c>
      <c r="AN24" s="66" t="n"/>
      <c r="AO24" s="78">
        <f>IF(OR(AN$4=0,AN24=""),"",IFERROR(ROUND(AN24/INDEX(Undirviðmið!$F$6:$F$205,AN$4)*INDEX(Undirviðmið!$E$6:$E$205,AN$4)*KVARDI,2),""))</f>
        <v/>
      </c>
      <c r="AP24" s="66" t="n"/>
      <c r="AQ24" s="78">
        <f>IF(OR(AP$4=0,AP24=""),"",IFERROR(ROUND(AP24/INDEX(Undirviðmið!$F$6:$F$205,AP$4)*INDEX(Undirviðmið!$E$6:$E$205,AP$4)*KVARDI,2),""))</f>
        <v/>
      </c>
      <c r="AR24" s="66" t="n"/>
      <c r="AS24" s="78">
        <f>IF(OR(AR$4=0,AR24=""),"",IFERROR(ROUND(AR24/INDEX(Undirviðmið!$F$6:$F$205,AR$4)*INDEX(Undirviðmið!$E$6:$E$205,AR$4)*KVARDI,2),""))</f>
        <v/>
      </c>
      <c r="AT24" s="66" t="n"/>
      <c r="AU24" s="78">
        <f>IF(OR(AT$4=0,AT24=""),"",IFERROR(ROUND(AT24/INDEX(Undirviðmið!$F$6:$F$205,AT$4)*INDEX(Undirviðmið!$E$6:$E$205,AT$4)*KVARDI,2),""))</f>
        <v/>
      </c>
      <c r="AV24" s="66" t="n"/>
      <c r="AW24" s="78">
        <f>IF(OR(AV$4=0,AV24=""),"",IFERROR(ROUND(AV24/INDEX(Undirviðmið!$F$6:$F$205,AV$4)*INDEX(Undirviðmið!$E$6:$E$205,AV$4)*KVARDI,2),""))</f>
        <v/>
      </c>
      <c r="AX24" s="66" t="n"/>
      <c r="AY24" s="78">
        <f>IF(OR(AX$4=0,AX24=""),"",IFERROR(ROUND(AX24/INDEX(Undirviðmið!$F$6:$F$205,AX$4)*INDEX(Undirviðmið!$E$6:$E$205,AX$4)*KVARDI,2),""))</f>
        <v/>
      </c>
      <c r="AZ24" s="66" t="n"/>
      <c r="BA24" s="78">
        <f>IF(OR(AZ$4=0,AZ24=""),"",IFERROR(ROUND(AZ24/INDEX(Undirviðmið!$F$6:$F$205,AZ$4)*INDEX(Undirviðmið!$E$6:$E$205,AZ$4)*KVARDI,2),""))</f>
        <v/>
      </c>
      <c r="BB24" s="66" t="n"/>
      <c r="BC24" s="78">
        <f>IF(OR(BB$4=0,BB24=""),"",IFERROR(ROUND(BB24/INDEX(Undirviðmið!$F$6:$F$205,BB$4)*INDEX(Undirviðmið!$E$6:$E$205,BB$4)*KVARDI,2),""))</f>
        <v/>
      </c>
      <c r="BD24" s="66" t="n"/>
      <c r="BE24" s="78">
        <f>IF(OR(BD$4=0,BD24=""),"",IFERROR(ROUND(BD24/INDEX(Undirviðmið!$F$6:$F$205,BD$4)*INDEX(Undirviðmið!$E$6:$E$205,BD$4)*KVARDI,2),""))</f>
        <v/>
      </c>
      <c r="BF24" s="66" t="n"/>
      <c r="BG24" s="78">
        <f>IF(OR(BF$4=0,BF24=""),"",IFERROR(ROUND(BF24/INDEX(Undirviðmið!$F$6:$F$205,BF$4)*INDEX(Undirviðmið!$E$6:$E$205,BF$4)*KVARDI,2),""))</f>
        <v/>
      </c>
      <c r="BH24" s="66" t="n"/>
      <c r="BI24" s="78">
        <f>IF(OR(BH$4=0,BH24=""),"",IFERROR(ROUND(BH24/INDEX(Undirviðmið!$F$6:$F$205,BH$4)*INDEX(Undirviðmið!$E$6:$E$205,BH$4)*KVARDI,2),""))</f>
        <v/>
      </c>
      <c r="BJ24" s="66" t="n"/>
      <c r="BK24" s="78">
        <f>IF(OR(BJ$4=0,BJ24=""),"",IFERROR(ROUND(BJ24/INDEX(Undirviðmið!$F$6:$F$205,BJ$4)*INDEX(Undirviðmið!$E$6:$E$205,BJ$4)*KVARDI,2),""))</f>
        <v/>
      </c>
      <c r="BL24" s="66" t="n"/>
      <c r="BM24" s="78">
        <f>IF(OR(BL$4=0,BL24=""),"",IFERROR(ROUND(BL24/INDEX(Undirviðmið!$F$6:$F$205,BL$4)*INDEX(Undirviðmið!$E$6:$E$205,BL$4)*KVARDI,2),""))</f>
        <v/>
      </c>
      <c r="BN24" s="66" t="n"/>
      <c r="BO24" s="78">
        <f>IF(OR(BN$4=0,BN24=""),"",IFERROR(ROUND(BN24/INDEX(Undirviðmið!$F$6:$F$205,BN$4)*INDEX(Undirviðmið!$E$6:$E$205,BN$4)*KVARDI,2),""))</f>
        <v/>
      </c>
      <c r="BP24" s="66" t="n"/>
      <c r="BQ24" s="78">
        <f>IF(OR(BP$4=0,BP24=""),"",IFERROR(ROUND(BP24/INDEX(Undirviðmið!$F$6:$F$205,BP$4)*INDEX(Undirviðmið!$E$6:$E$205,BP$4)*KVARDI,2),""))</f>
        <v/>
      </c>
      <c r="BR24" s="66" t="n"/>
      <c r="BS24" s="78">
        <f>IF(OR(BR$4=0,BR24=""),"",IFERROR(ROUND(BR24/INDEX(Undirviðmið!$F$6:$F$205,BR$4)*INDEX(Undirviðmið!$E$6:$E$205,BR$4)*KVARDI,2),""))</f>
        <v/>
      </c>
      <c r="BT24" s="66" t="n"/>
      <c r="BU24" s="78">
        <f>IF(OR(BT$4=0,BT24=""),"",IFERROR(ROUND(BT24/INDEX(Undirviðmið!$F$6:$F$205,BT$4)*INDEX(Undirviðmið!$E$6:$E$205,BT$4)*KVARDI,2),""))</f>
        <v/>
      </c>
      <c r="BV24" s="66" t="n"/>
      <c r="BW24" s="78">
        <f>IF(OR(BV$4=0,BV24=""),"",IFERROR(ROUND(BV24/INDEX(Undirviðmið!$F$6:$F$205,BV$4)*INDEX(Undirviðmið!$E$6:$E$205,BV$4)*KVARDI,2),""))</f>
        <v/>
      </c>
      <c r="BX24" s="66" t="n"/>
      <c r="BY24" s="78">
        <f>IF(OR(BX$4=0,BX24=""),"",IFERROR(ROUND(BX24/INDEX(Undirviðmið!$F$6:$F$205,BX$4)*INDEX(Undirviðmið!$E$6:$E$205,BX$4)*KVARDI,2),""))</f>
        <v/>
      </c>
      <c r="BZ24" s="66" t="n"/>
      <c r="CA24" s="78">
        <f>IF(OR(BZ$4=0,BZ24=""),"",IFERROR(ROUND(BZ24/INDEX(Undirviðmið!$F$6:$F$205,BZ$4)*INDEX(Undirviðmið!$E$6:$E$205,BZ$4)*KVARDI,2),""))</f>
        <v/>
      </c>
      <c r="CB24" s="66" t="n"/>
      <c r="CC24" s="78">
        <f>IF(OR(CB$4=0,CB24=""),"",IFERROR(ROUND(CB24/INDEX(Undirviðmið!$F$6:$F$205,CB$4)*INDEX(Undirviðmið!$E$6:$E$205,CB$4)*KVARDI,2),""))</f>
        <v/>
      </c>
      <c r="CD24" s="66" t="n"/>
      <c r="CE24" s="78">
        <f>IF(OR(CD$4=0,CD24=""),"",IFERROR(ROUND(CD24/INDEX(Undirviðmið!$F$6:$F$205,CD$4)*INDEX(Undirviðmið!$E$6:$E$205,CD$4)*KVARDI,2),""))</f>
        <v/>
      </c>
      <c r="CF24" s="66" t="n"/>
      <c r="CG24" s="78">
        <f>IF(OR(CF$4=0,CF24=""),"",IFERROR(ROUND(CF24/INDEX(Undirviðmið!$F$6:$F$205,CF$4)*INDEX(Undirviðmið!$E$6:$E$205,CF$4)*KVARDI,2),""))</f>
        <v/>
      </c>
      <c r="CH24" s="66" t="n"/>
      <c r="CI24" s="78">
        <f>IF(OR(CH$4=0,CH24=""),"",IFERROR(ROUND(CH24/INDEX(Undirviðmið!$F$6:$F$205,CH$4)*INDEX(Undirviðmið!$E$6:$E$205,CH$4)*KVARDI,2),""))</f>
        <v/>
      </c>
      <c r="CJ24" s="66" t="n"/>
      <c r="CK24" s="78">
        <f>IF(OR(CJ$4=0,CJ24=""),"",IFERROR(ROUND(CJ24/INDEX(Undirviðmið!$F$6:$F$205,CJ$4)*INDEX(Undirviðmið!$E$6:$E$205,CJ$4)*KVARDI,2),""))</f>
        <v/>
      </c>
      <c r="CL24" s="66" t="n"/>
      <c r="CM24" s="78">
        <f>IF(OR(CL$4=0,CL24=""),"",IFERROR(ROUND(CL24/INDEX(Undirviðmið!$F$6:$F$205,CL$4)*INDEX(Undirviðmið!$E$6:$E$205,CL$4)*KVARDI,2),""))</f>
        <v/>
      </c>
      <c r="CN24" s="66" t="n"/>
      <c r="CO24" s="78">
        <f>IF(OR(CN$4=0,CN24=""),"",IFERROR(ROUND(CN24/INDEX(Undirviðmið!$F$6:$F$205,CN$4)*INDEX(Undirviðmið!$E$6:$E$205,CN$4)*KVARDI,2),""))</f>
        <v/>
      </c>
      <c r="CP24" s="66" t="n"/>
      <c r="CQ24" s="78">
        <f>IF(OR(CP$4=0,CP24=""),"",IFERROR(ROUND(CP24/INDEX(Undirviðmið!$F$6:$F$205,CP$4)*INDEX(Undirviðmið!$E$6:$E$205,CP$4)*KVARDI,2),""))</f>
        <v/>
      </c>
      <c r="CR24" s="66" t="n"/>
      <c r="CS24" s="78">
        <f>IF(OR(CR$4=0,CR24=""),"",IFERROR(ROUND(CR24/INDEX(Undirviðmið!$F$6:$F$205,CR$4)*INDEX(Undirviðmið!$E$6:$E$205,CR$4)*KVARDI,2),""))</f>
        <v/>
      </c>
      <c r="CT24" s="66" t="n"/>
      <c r="CU24" s="78">
        <f>IF(OR(CT$4=0,CT24=""),"",IFERROR(ROUND(CT24/INDEX(Undirviðmið!$F$6:$F$205,CT$4)*INDEX(Undirviðmið!$E$6:$E$205,CT$4)*KVARDI,2),""))</f>
        <v/>
      </c>
      <c r="CV24" s="66" t="n"/>
      <c r="CW24" s="78">
        <f>IF(OR(CV$4=0,CV24=""),"",IFERROR(ROUND(CV24/INDEX(Undirviðmið!$F$6:$F$205,CV$4)*INDEX(Undirviðmið!$E$6:$E$205,CV$4)*KVARDI,2),""))</f>
        <v/>
      </c>
      <c r="CX24" s="66" t="n"/>
      <c r="CY24" s="78">
        <f>IF(OR(CX$4=0,CX24=""),"",IFERROR(ROUND(CX24/INDEX(Undirviðmið!$F$6:$F$205,CX$4)*INDEX(Undirviðmið!$E$6:$E$205,CX$4)*KVARDI,2),""))</f>
        <v/>
      </c>
      <c r="CZ24" s="66" t="n"/>
      <c r="DA24" s="78">
        <f>IF(OR(CZ$4=0,CZ24=""),"",IFERROR(ROUND(CZ24/INDEX(Undirviðmið!$F$6:$F$205,CZ$4)*INDEX(Undirviðmið!$E$6:$E$205,CZ$4)*KVARDI,2),""))</f>
        <v/>
      </c>
      <c r="DB24" s="66" t="n"/>
      <c r="DC24" s="78">
        <f>IF(OR(DB$4=0,DB24=""),"",IFERROR(ROUND(DB24/INDEX(Undirviðmið!$F$6:$F$205,DB$4)*INDEX(Undirviðmið!$E$6:$E$205,DB$4)*KVARDI,2),""))</f>
        <v/>
      </c>
      <c r="DD24" s="66" t="n"/>
      <c r="DE24" s="78">
        <f>IF(OR(DD$4=0,DD24=""),"",IFERROR(ROUND(DD24/INDEX(Undirviðmið!$F$6:$F$205,DD$4)*INDEX(Undirviðmið!$E$6:$E$205,DD$4)*KVARDI,2),""))</f>
        <v/>
      </c>
      <c r="DF24" s="66" t="n"/>
      <c r="DG24" s="78">
        <f>IF(OR(DF$4=0,DF24=""),"",IFERROR(ROUND(DF24/INDEX(Undirviðmið!$F$6:$F$205,DF$4)*INDEX(Undirviðmið!$E$6:$E$205,DF$4)*KVARDI,2),""))</f>
        <v/>
      </c>
      <c r="DH24" s="66" t="n"/>
      <c r="DI24" s="78">
        <f>IF(OR(DH$4=0,DH24=""),"",IFERROR(ROUND(DH24/INDEX(Undirviðmið!$F$6:$F$205,DH$4)*INDEX(Undirviðmið!$E$6:$E$205,DH$4)*KVARDI,2),""))</f>
        <v/>
      </c>
      <c r="DJ24" s="66" t="n"/>
      <c r="DK24" s="78">
        <f>IF(OR(DJ$4=0,DJ24=""),"",IFERROR(ROUND(DJ24/INDEX(Undirviðmið!$F$6:$F$205,DJ$4)*INDEX(Undirviðmið!$E$6:$E$205,DJ$4)*KVARDI,2),""))</f>
        <v/>
      </c>
      <c r="DL24" s="66" t="n"/>
      <c r="DM24" s="78">
        <f>IF(OR(DL$4=0,DL24=""),"",IFERROR(ROUND(DL24/INDEX(Undirviðmið!$F$6:$F$205,DL$4)*INDEX(Undirviðmið!$E$6:$E$205,DL$4)*KVARDI,2),""))</f>
        <v/>
      </c>
      <c r="DN24" s="66" t="n"/>
      <c r="DO24" s="78">
        <f>IF(OR(DN$4=0,DN24=""),"",IFERROR(ROUND(DN24/INDEX(Undirviðmið!$F$6:$F$205,DN$4)*INDEX(Undirviðmið!$E$6:$E$205,DN$4)*KVARDI,2),""))</f>
        <v/>
      </c>
      <c r="DP24" s="66" t="n"/>
      <c r="DQ24" s="78">
        <f>IF(OR(DP$4=0,DP24=""),"",IFERROR(ROUND(DP24/INDEX(Undirviðmið!$F$6:$F$205,DP$4)*INDEX(Undirviðmið!$E$6:$E$205,DP$4)*KVARDI,2),""))</f>
        <v/>
      </c>
      <c r="DR24" s="66" t="n"/>
      <c r="DS24" s="78">
        <f>IF(OR(DR$4=0,DR24=""),"",IFERROR(ROUND(DR24/INDEX(Undirviðmið!$F$6:$F$205,DR$4)*INDEX(Undirviðmið!$E$6:$E$205,DR$4)*KVARDI,2),""))</f>
        <v/>
      </c>
      <c r="DT24" s="66" t="n"/>
      <c r="DU24" s="78">
        <f>IF(OR(DT$4=0,DT24=""),"",IFERROR(ROUND(DT24/INDEX(Undirviðmið!$F$6:$F$205,DT$4)*INDEX(Undirviðmið!$E$6:$E$205,DT$4)*KVARDI,2),""))</f>
        <v/>
      </c>
      <c r="DV24" s="66" t="n"/>
      <c r="DW24" s="78">
        <f>IF(OR(DV$4=0,DV24=""),"",IFERROR(ROUND(DV24/INDEX(Undirviðmið!$F$6:$F$205,DV$4)*INDEX(Undirviðmið!$E$6:$E$205,DV$4)*KVARDI,2),""))</f>
        <v/>
      </c>
      <c r="DX24" s="66" t="n"/>
      <c r="DY24" s="78">
        <f>IF(OR(DX$4=0,DX24=""),"",IFERROR(ROUND(DX24/INDEX(Undirviðmið!$F$6:$F$205,DX$4)*INDEX(Undirviðmið!$E$6:$E$205,DX$4)*KVARDI,2),""))</f>
        <v/>
      </c>
      <c r="DZ24" s="66" t="n"/>
      <c r="EA24" s="78">
        <f>IF(OR(DZ$4=0,DZ24=""),"",IFERROR(ROUND(DZ24/INDEX(Undirviðmið!$F$6:$F$205,DZ$4)*INDEX(Undirviðmið!$E$6:$E$205,DZ$4)*KVARDI,2),""))</f>
        <v/>
      </c>
      <c r="EB24" s="66" t="n"/>
      <c r="EC24" s="78">
        <f>IF(OR(EB$4=0,EB24=""),"",IFERROR(ROUND(EB24/INDEX(Undirviðmið!$F$6:$F$205,EB$4)*INDEX(Undirviðmið!$E$6:$E$205,EB$4)*KVARDI,2),""))</f>
        <v/>
      </c>
      <c r="ED24" s="66" t="n"/>
      <c r="EE24" s="78">
        <f>IF(OR(ED$4=0,ED24=""),"",IFERROR(ROUND(ED24/INDEX(Undirviðmið!$F$6:$F$205,ED$4)*INDEX(Undirviðmið!$E$6:$E$205,ED$4)*KVARDI,2),""))</f>
        <v/>
      </c>
      <c r="EF24" s="66" t="n"/>
      <c r="EG24" s="78">
        <f>IF(OR(EF$4=0,EF24=""),"",IFERROR(ROUND(EF24/INDEX(Undirviðmið!$F$6:$F$205,EF$4)*INDEX(Undirviðmið!$E$6:$E$205,EF$4)*KVARDI,2),""))</f>
        <v/>
      </c>
      <c r="EH24" s="66" t="n"/>
      <c r="EI24" s="78">
        <f>IF(OR(EH$4=0,EH24=""),"",IFERROR(ROUND(EH24/INDEX(Undirviðmið!$F$6:$F$205,EH$4)*INDEX(Undirviðmið!$E$6:$E$205,EH$4)*KVARDI,2),""))</f>
        <v/>
      </c>
      <c r="EJ24" s="66" t="n"/>
      <c r="EK24" s="78">
        <f>IF(OR(EJ$4=0,EJ24=""),"",IFERROR(ROUND(EJ24/INDEX(Undirviðmið!$F$6:$F$205,EJ$4)*INDEX(Undirviðmið!$E$6:$E$205,EJ$4)*KVARDI,2),""))</f>
        <v/>
      </c>
      <c r="EL24" s="66" t="n"/>
      <c r="EM24" s="78">
        <f>IF(OR(EL$4=0,EL24=""),"",IFERROR(ROUND(EL24/INDEX(Undirviðmið!$F$6:$F$205,EL$4)*INDEX(Undirviðmið!$E$6:$E$205,EL$4)*KVARDI,2),""))</f>
        <v/>
      </c>
      <c r="EN24" s="66" t="n"/>
      <c r="EO24" s="78">
        <f>IF(OR(EN$4=0,EN24=""),"",IFERROR(ROUND(EN24/INDEX(Undirviðmið!$F$6:$F$205,EN$4)*INDEX(Undirviðmið!$E$6:$E$205,EN$4)*KVARDI,2),""))</f>
        <v/>
      </c>
      <c r="EP24" s="66" t="n"/>
      <c r="EQ24" s="78">
        <f>IF(OR(EP$4=0,EP24=""),"",IFERROR(ROUND(EP24/INDEX(Undirviðmið!$F$6:$F$205,EP$4)*INDEX(Undirviðmið!$E$6:$E$205,EP$4)*KVARDI,2),""))</f>
        <v/>
      </c>
      <c r="ER24" s="66" t="n"/>
      <c r="ES24" s="78">
        <f>IF(OR(ER$4=0,ER24=""),"",IFERROR(ROUND(ER24/INDEX(Undirviðmið!$F$6:$F$205,ER$4)*INDEX(Undirviðmið!$E$6:$E$205,ER$4)*KVARDI,2),""))</f>
        <v/>
      </c>
      <c r="ET24" s="66" t="n"/>
      <c r="EU24" s="78">
        <f>IF(OR(ET$4=0,ET24=""),"",IFERROR(ROUND(ET24/INDEX(Undirviðmið!$F$6:$F$205,ET$4)*INDEX(Undirviðmið!$E$6:$E$205,ET$4)*KVARDI,2),""))</f>
        <v/>
      </c>
      <c r="EV24" s="66" t="n"/>
      <c r="EW24" s="78">
        <f>IF(OR(EV$4=0,EV24=""),"",IFERROR(ROUND(EV24/INDEX(Undirviðmið!$F$6:$F$205,EV$4)*INDEX(Undirviðmið!$E$6:$E$205,EV$4)*KVARDI,2),""))</f>
        <v/>
      </c>
      <c r="EX24" s="66" t="n"/>
      <c r="EY24" s="78">
        <f>IF(OR(EX$4=0,EX24=""),"",IFERROR(ROUND(EX24/INDEX(Undirviðmið!$F$6:$F$205,EX$4)*INDEX(Undirviðmið!$E$6:$E$205,EX$4)*KVARDI,2),""))</f>
        <v/>
      </c>
      <c r="EZ24" s="66" t="n"/>
      <c r="FA24" s="78">
        <f>IF(OR(EZ$4=0,EZ24=""),"",IFERROR(ROUND(EZ24/INDEX(Undirviðmið!$F$6:$F$205,EZ$4)*INDEX(Undirviðmið!$E$6:$E$205,EZ$4)*KVARDI,2),""))</f>
        <v/>
      </c>
      <c r="FB24" s="66" t="n"/>
      <c r="FC24" s="78">
        <f>IF(OR(FB$4=0,FB24=""),"",IFERROR(ROUND(FB24/INDEX(Undirviðmið!$F$6:$F$205,FB$4)*INDEX(Undirviðmið!$E$6:$E$205,FB$4)*KVARDI,2),""))</f>
        <v/>
      </c>
      <c r="FD24" s="66" t="n"/>
      <c r="FE24" s="78">
        <f>IF(OR(FD$4=0,FD24=""),"",IFERROR(ROUND(FD24/INDEX(Undirviðmið!$F$6:$F$205,FD$4)*INDEX(Undirviðmið!$E$6:$E$205,FD$4)*KVARDI,2),""))</f>
        <v/>
      </c>
      <c r="FF24" s="66" t="n"/>
      <c r="FG24" s="78">
        <f>IF(OR(FF$4=0,FF24=""),"",IFERROR(ROUND(FF24/INDEX(Undirviðmið!$F$6:$F$205,FF$4)*INDEX(Undirviðmið!$E$6:$E$205,FF$4)*KVARDI,2),""))</f>
        <v/>
      </c>
      <c r="FH24" s="66" t="n"/>
      <c r="FI24" s="78">
        <f>IF(OR(FH$4=0,FH24=""),"",IFERROR(ROUND(FH24/INDEX(Undirviðmið!$F$6:$F$205,FH$4)*INDEX(Undirviðmið!$E$6:$E$205,FH$4)*KVARDI,2),""))</f>
        <v/>
      </c>
      <c r="FJ24" s="66" t="n"/>
      <c r="FK24" s="78">
        <f>IF(OR(FJ$4=0,FJ24=""),"",IFERROR(ROUND(FJ24/INDEX(Undirviðmið!$F$6:$F$205,FJ$4)*INDEX(Undirviðmið!$E$6:$E$205,FJ$4)*KVARDI,2),""))</f>
        <v/>
      </c>
      <c r="FL24" s="66" t="n"/>
      <c r="FM24" s="78">
        <f>IF(OR(FL$4=0,FL24=""),"",IFERROR(ROUND(FL24/INDEX(Undirviðmið!$F$6:$F$205,FL$4)*INDEX(Undirviðmið!$E$6:$E$205,FL$4)*KVARDI,2),""))</f>
        <v/>
      </c>
      <c r="FN24" s="66" t="n"/>
      <c r="FO24" s="78">
        <f>IF(OR(FN$4=0,FN24=""),"",IFERROR(ROUND(FN24/INDEX(Undirviðmið!$F$6:$F$205,FN$4)*INDEX(Undirviðmið!$E$6:$E$205,FN$4)*KVARDI,2),""))</f>
        <v/>
      </c>
      <c r="FP24" s="66" t="n"/>
      <c r="FQ24" s="78">
        <f>IF(OR(FP$4=0,FP24=""),"",IFERROR(ROUND(FP24/INDEX(Undirviðmið!$F$6:$F$205,FP$4)*INDEX(Undirviðmið!$E$6:$E$205,FP$4)*KVARDI,2),""))</f>
        <v/>
      </c>
      <c r="FR24" s="66" t="n"/>
      <c r="FS24" s="78">
        <f>IF(OR(FR$4=0,FR24=""),"",IFERROR(ROUND(FR24/INDEX(Undirviðmið!$F$6:$F$205,FR$4)*INDEX(Undirviðmið!$E$6:$E$205,FR$4)*KVARDI,2),""))</f>
        <v/>
      </c>
      <c r="FT24" s="66" t="n"/>
      <c r="FU24" s="78">
        <f>IF(OR(FT$4=0,FT24=""),"",IFERROR(ROUND(FT24/INDEX(Undirviðmið!$F$6:$F$205,FT$4)*INDEX(Undirviðmið!$E$6:$E$205,FT$4)*KVARDI,2),""))</f>
        <v/>
      </c>
      <c r="FV24" s="66" t="n"/>
      <c r="FW24" s="78">
        <f>IF(OR(FV$4=0,FV24=""),"",IFERROR(ROUND(FV24/INDEX(Undirviðmið!$F$6:$F$205,FV$4)*INDEX(Undirviðmið!$E$6:$E$205,FV$4)*KVARDI,2),""))</f>
        <v/>
      </c>
      <c r="FX24" s="66" t="n"/>
      <c r="FY24" s="78">
        <f>IF(OR(FX$4=0,FX24=""),"",IFERROR(ROUND(FX24/INDEX(Undirviðmið!$F$6:$F$205,FX$4)*INDEX(Undirviðmið!$E$6:$E$205,FX$4)*KVARDI,2),""))</f>
        <v/>
      </c>
      <c r="FZ24" s="66" t="n"/>
      <c r="GA24" s="78">
        <f>IF(OR(FZ$4=0,FZ24=""),"",IFERROR(ROUND(FZ24/INDEX(Undirviðmið!$F$6:$F$205,FZ$4)*INDEX(Undirviðmið!$E$6:$E$205,FZ$4)*KVARDI,2),""))</f>
        <v/>
      </c>
      <c r="GB24" s="66" t="n"/>
      <c r="GC24" s="78">
        <f>IF(OR(GB$4=0,GB24=""),"",IFERROR(ROUND(GB24/INDEX(Undirviðmið!$F$6:$F$205,GB$4)*INDEX(Undirviðmið!$E$6:$E$205,GB$4)*KVARDI,2),""))</f>
        <v/>
      </c>
      <c r="GD24" s="66" t="n"/>
      <c r="GE24" s="78">
        <f>IF(OR(GD$4=0,GD24=""),"",IFERROR(ROUND(GD24/INDEX(Undirviðmið!$F$6:$F$205,GD$4)*INDEX(Undirviðmið!$E$6:$E$205,GD$4)*KVARDI,2),""))</f>
        <v/>
      </c>
      <c r="GF24" s="66" t="n"/>
      <c r="GG24" s="78">
        <f>IF(OR(GF$4=0,GF24=""),"",IFERROR(ROUND(GF24/INDEX(Undirviðmið!$F$6:$F$205,GF$4)*INDEX(Undirviðmið!$E$6:$E$205,GF$4)*KVARDI,2),""))</f>
        <v/>
      </c>
      <c r="GH24" s="66" t="n"/>
      <c r="GI24" s="78">
        <f>IF(OR(GH$4=0,GH24=""),"",IFERROR(ROUND(GH24/INDEX(Undirviðmið!$F$6:$F$205,GH$4)*INDEX(Undirviðmið!$E$6:$E$205,GH$4)*KVARDI,2),""))</f>
        <v/>
      </c>
      <c r="GJ24" s="66" t="n"/>
      <c r="GK24" s="78">
        <f>IF(OR(GJ$4=0,GJ24=""),"",IFERROR(ROUND(GJ24/INDEX(Undirviðmið!$F$6:$F$205,GJ$4)*INDEX(Undirviðmið!$E$6:$E$205,GJ$4)*KVARDI,2),""))</f>
        <v/>
      </c>
      <c r="GL24" s="66" t="n"/>
      <c r="GM24" s="78">
        <f>IF(OR(GL$4=0,GL24=""),"",IFERROR(ROUND(GL24/INDEX(Undirviðmið!$F$6:$F$205,GL$4)*INDEX(Undirviðmið!$E$6:$E$205,GL$4)*KVARDI,2),""))</f>
        <v/>
      </c>
      <c r="GN24" s="66" t="n"/>
      <c r="GO24" s="78">
        <f>IF(OR(GN$4=0,GN24=""),"",IFERROR(ROUND(GN24/INDEX(Undirviðmið!$F$6:$F$205,GN$4)*INDEX(Undirviðmið!$E$6:$E$205,GN$4)*KVARDI,2),""))</f>
        <v/>
      </c>
      <c r="GP24" s="66" t="n"/>
      <c r="GQ24" s="78">
        <f>IF(OR(GP$4=0,GP24=""),"",IFERROR(ROUND(GP24/INDEX(Undirviðmið!$F$6:$F$205,GP$4)*INDEX(Undirviðmið!$E$6:$E$205,GP$4)*KVARDI,2),""))</f>
        <v/>
      </c>
      <c r="GR24" s="66" t="n"/>
      <c r="GS24" s="78">
        <f>IF(OR(GR$4=0,GR24=""),"",IFERROR(ROUND(GR24/INDEX(Undirviðmið!$F$6:$F$205,GR$4)*INDEX(Undirviðmið!$E$6:$E$205,GR$4)*KVARDI,2),""))</f>
        <v/>
      </c>
      <c r="GT24" s="66" t="n"/>
      <c r="GU24" s="78">
        <f>IF(OR(GT$4=0,GT24=""),"",IFERROR(ROUND(GT24/INDEX(Undirviðmið!$F$6:$F$205,GT$4)*INDEX(Undirviðmið!$E$6:$E$205,GT$4)*KVARDI,2),""))</f>
        <v/>
      </c>
      <c r="GV24" s="63">
        <f>IFERROR(SUMIF($D$6:GU$6,"Stig",$D24:GU24),0)</f>
        <v/>
      </c>
    </row>
    <row r="25" ht="15" customHeight="1" s="47">
      <c r="A25" s="65">
        <f>ROW()-6</f>
        <v/>
      </c>
      <c r="B25" s="67">
        <f>IF(INDEX(Starfsmenn!$B$6:$B$10005,ROW()-6)="","",INDEX(Starfsmenn!$B$6:$B$10005,ROW()-6))</f>
        <v/>
      </c>
      <c r="C25" s="67">
        <f>IF(INDEX(Starfsmenn!$C$6:$C$10005,ROW()-6)="","",INDEX(Starfsmenn!$C$6:$C$10005,ROW()-6))</f>
        <v/>
      </c>
      <c r="D25" s="66" t="n"/>
      <c r="E25" s="78">
        <f>IF(OR(D$4=0,D25=""),"",IFERROR(ROUND(D25/INDEX(Undirviðmið!$F$6:$F$205,D$4)*INDEX(Undirviðmið!$E$6:$E$205,D$4)*KVARDI,2),""))</f>
        <v/>
      </c>
      <c r="F25" s="66" t="n"/>
      <c r="G25" s="78">
        <f>IF(OR(F$4=0,F25=""),"",IFERROR(ROUND(F25/INDEX(Undirviðmið!$F$6:$F$205,F$4)*INDEX(Undirviðmið!$E$6:$E$205,F$4)*KVARDI,2),""))</f>
        <v/>
      </c>
      <c r="H25" s="66" t="n"/>
      <c r="I25" s="78">
        <f>IF(OR(H$4=0,H25=""),"",IFERROR(ROUND(H25/INDEX(Undirviðmið!$F$6:$F$205,H$4)*INDEX(Undirviðmið!$E$6:$E$205,H$4)*KVARDI,2),""))</f>
        <v/>
      </c>
      <c r="J25" s="66" t="n"/>
      <c r="K25" s="78">
        <f>IF(OR(J$4=0,J25=""),"",IFERROR(ROUND(J25/INDEX(Undirviðmið!$F$6:$F$205,J$4)*INDEX(Undirviðmið!$E$6:$E$205,J$4)*KVARDI,2),""))</f>
        <v/>
      </c>
      <c r="L25" s="66" t="n"/>
      <c r="M25" s="78">
        <f>IF(OR(L$4=0,L25=""),"",IFERROR(ROUND(L25/INDEX(Undirviðmið!$F$6:$F$205,L$4)*INDEX(Undirviðmið!$E$6:$E$205,L$4)*KVARDI,2),""))</f>
        <v/>
      </c>
      <c r="N25" s="66" t="n"/>
      <c r="O25" s="78">
        <f>IF(OR(N$4=0,N25=""),"",IFERROR(ROUND(N25/INDEX(Undirviðmið!$F$6:$F$205,N$4)*INDEX(Undirviðmið!$E$6:$E$205,N$4)*KVARDI,2),""))</f>
        <v/>
      </c>
      <c r="P25" s="66" t="n"/>
      <c r="Q25" s="78">
        <f>IF(OR(P$4=0,P25=""),"",IFERROR(ROUND(P25/INDEX(Undirviðmið!$F$6:$F$205,P$4)*INDEX(Undirviðmið!$E$6:$E$205,P$4)*KVARDI,2),""))</f>
        <v/>
      </c>
      <c r="R25" s="66" t="n"/>
      <c r="S25" s="78">
        <f>IF(OR(R$4=0,R25=""),"",IFERROR(ROUND(R25/INDEX(Undirviðmið!$F$6:$F$205,R$4)*INDEX(Undirviðmið!$E$6:$E$205,R$4)*KVARDI,2),""))</f>
        <v/>
      </c>
      <c r="T25" s="66" t="n"/>
      <c r="U25" s="78">
        <f>IF(OR(T$4=0,T25=""),"",IFERROR(ROUND(T25/INDEX(Undirviðmið!$F$6:$F$205,T$4)*INDEX(Undirviðmið!$E$6:$E$205,T$4)*KVARDI,2),""))</f>
        <v/>
      </c>
      <c r="V25" s="66" t="n"/>
      <c r="W25" s="78">
        <f>IF(OR(V$4=0,V25=""),"",IFERROR(ROUND(V25/INDEX(Undirviðmið!$F$6:$F$205,V$4)*INDEX(Undirviðmið!$E$6:$E$205,V$4)*KVARDI,2),""))</f>
        <v/>
      </c>
      <c r="X25" s="66" t="n"/>
      <c r="Y25" s="78">
        <f>IF(OR(X$4=0,X25=""),"",IFERROR(ROUND(X25/INDEX(Undirviðmið!$F$6:$F$205,X$4)*INDEX(Undirviðmið!$E$6:$E$205,X$4)*KVARDI,2),""))</f>
        <v/>
      </c>
      <c r="Z25" s="66" t="n"/>
      <c r="AA25" s="78">
        <f>IF(OR(Z$4=0,Z25=""),"",IFERROR(ROUND(Z25/INDEX(Undirviðmið!$F$6:$F$205,Z$4)*INDEX(Undirviðmið!$E$6:$E$205,Z$4)*KVARDI,2),""))</f>
        <v/>
      </c>
      <c r="AB25" s="66" t="n"/>
      <c r="AC25" s="78">
        <f>IF(OR(AB$4=0,AB25=""),"",IFERROR(ROUND(AB25/INDEX(Undirviðmið!$F$6:$F$205,AB$4)*INDEX(Undirviðmið!$E$6:$E$205,AB$4)*KVARDI,2),""))</f>
        <v/>
      </c>
      <c r="AD25" s="66" t="n"/>
      <c r="AE25" s="78">
        <f>IF(OR(AD$4=0,AD25=""),"",IFERROR(ROUND(AD25/INDEX(Undirviðmið!$F$6:$F$205,AD$4)*INDEX(Undirviðmið!$E$6:$E$205,AD$4)*KVARDI,2),""))</f>
        <v/>
      </c>
      <c r="AF25" s="66" t="n"/>
      <c r="AG25" s="78">
        <f>IF(OR(AF$4=0,AF25=""),"",IFERROR(ROUND(AF25/INDEX(Undirviðmið!$F$6:$F$205,AF$4)*INDEX(Undirviðmið!$E$6:$E$205,AF$4)*KVARDI,2),""))</f>
        <v/>
      </c>
      <c r="AH25" s="66" t="n"/>
      <c r="AI25" s="78">
        <f>IF(OR(AH$4=0,AH25=""),"",IFERROR(ROUND(AH25/INDEX(Undirviðmið!$F$6:$F$205,AH$4)*INDEX(Undirviðmið!$E$6:$E$205,AH$4)*KVARDI,2),""))</f>
        <v/>
      </c>
      <c r="AJ25" s="66" t="n"/>
      <c r="AK25" s="78">
        <f>IF(OR(AJ$4=0,AJ25=""),"",IFERROR(ROUND(AJ25/INDEX(Undirviðmið!$F$6:$F$205,AJ$4)*INDEX(Undirviðmið!$E$6:$E$205,AJ$4)*KVARDI,2),""))</f>
        <v/>
      </c>
      <c r="AL25" s="66" t="n"/>
      <c r="AM25" s="78">
        <f>IF(OR(AL$4=0,AL25=""),"",IFERROR(ROUND(AL25/INDEX(Undirviðmið!$F$6:$F$205,AL$4)*INDEX(Undirviðmið!$E$6:$E$205,AL$4)*KVARDI,2),""))</f>
        <v/>
      </c>
      <c r="AN25" s="66" t="n"/>
      <c r="AO25" s="78">
        <f>IF(OR(AN$4=0,AN25=""),"",IFERROR(ROUND(AN25/INDEX(Undirviðmið!$F$6:$F$205,AN$4)*INDEX(Undirviðmið!$E$6:$E$205,AN$4)*KVARDI,2),""))</f>
        <v/>
      </c>
      <c r="AP25" s="66" t="n"/>
      <c r="AQ25" s="78">
        <f>IF(OR(AP$4=0,AP25=""),"",IFERROR(ROUND(AP25/INDEX(Undirviðmið!$F$6:$F$205,AP$4)*INDEX(Undirviðmið!$E$6:$E$205,AP$4)*KVARDI,2),""))</f>
        <v/>
      </c>
      <c r="AR25" s="66" t="n"/>
      <c r="AS25" s="78">
        <f>IF(OR(AR$4=0,AR25=""),"",IFERROR(ROUND(AR25/INDEX(Undirviðmið!$F$6:$F$205,AR$4)*INDEX(Undirviðmið!$E$6:$E$205,AR$4)*KVARDI,2),""))</f>
        <v/>
      </c>
      <c r="AT25" s="66" t="n"/>
      <c r="AU25" s="78">
        <f>IF(OR(AT$4=0,AT25=""),"",IFERROR(ROUND(AT25/INDEX(Undirviðmið!$F$6:$F$205,AT$4)*INDEX(Undirviðmið!$E$6:$E$205,AT$4)*KVARDI,2),""))</f>
        <v/>
      </c>
      <c r="AV25" s="66" t="n"/>
      <c r="AW25" s="78">
        <f>IF(OR(AV$4=0,AV25=""),"",IFERROR(ROUND(AV25/INDEX(Undirviðmið!$F$6:$F$205,AV$4)*INDEX(Undirviðmið!$E$6:$E$205,AV$4)*KVARDI,2),""))</f>
        <v/>
      </c>
      <c r="AX25" s="66" t="n"/>
      <c r="AY25" s="78">
        <f>IF(OR(AX$4=0,AX25=""),"",IFERROR(ROUND(AX25/INDEX(Undirviðmið!$F$6:$F$205,AX$4)*INDEX(Undirviðmið!$E$6:$E$205,AX$4)*KVARDI,2),""))</f>
        <v/>
      </c>
      <c r="AZ25" s="66" t="n"/>
      <c r="BA25" s="78">
        <f>IF(OR(AZ$4=0,AZ25=""),"",IFERROR(ROUND(AZ25/INDEX(Undirviðmið!$F$6:$F$205,AZ$4)*INDEX(Undirviðmið!$E$6:$E$205,AZ$4)*KVARDI,2),""))</f>
        <v/>
      </c>
      <c r="BB25" s="66" t="n"/>
      <c r="BC25" s="78">
        <f>IF(OR(BB$4=0,BB25=""),"",IFERROR(ROUND(BB25/INDEX(Undirviðmið!$F$6:$F$205,BB$4)*INDEX(Undirviðmið!$E$6:$E$205,BB$4)*KVARDI,2),""))</f>
        <v/>
      </c>
      <c r="BD25" s="66" t="n"/>
      <c r="BE25" s="78">
        <f>IF(OR(BD$4=0,BD25=""),"",IFERROR(ROUND(BD25/INDEX(Undirviðmið!$F$6:$F$205,BD$4)*INDEX(Undirviðmið!$E$6:$E$205,BD$4)*KVARDI,2),""))</f>
        <v/>
      </c>
      <c r="BF25" s="66" t="n"/>
      <c r="BG25" s="78">
        <f>IF(OR(BF$4=0,BF25=""),"",IFERROR(ROUND(BF25/INDEX(Undirviðmið!$F$6:$F$205,BF$4)*INDEX(Undirviðmið!$E$6:$E$205,BF$4)*KVARDI,2),""))</f>
        <v/>
      </c>
      <c r="BH25" s="66" t="n"/>
      <c r="BI25" s="78">
        <f>IF(OR(BH$4=0,BH25=""),"",IFERROR(ROUND(BH25/INDEX(Undirviðmið!$F$6:$F$205,BH$4)*INDEX(Undirviðmið!$E$6:$E$205,BH$4)*KVARDI,2),""))</f>
        <v/>
      </c>
      <c r="BJ25" s="66" t="n"/>
      <c r="BK25" s="78">
        <f>IF(OR(BJ$4=0,BJ25=""),"",IFERROR(ROUND(BJ25/INDEX(Undirviðmið!$F$6:$F$205,BJ$4)*INDEX(Undirviðmið!$E$6:$E$205,BJ$4)*KVARDI,2),""))</f>
        <v/>
      </c>
      <c r="BL25" s="66" t="n"/>
      <c r="BM25" s="78">
        <f>IF(OR(BL$4=0,BL25=""),"",IFERROR(ROUND(BL25/INDEX(Undirviðmið!$F$6:$F$205,BL$4)*INDEX(Undirviðmið!$E$6:$E$205,BL$4)*KVARDI,2),""))</f>
        <v/>
      </c>
      <c r="BN25" s="66" t="n"/>
      <c r="BO25" s="78">
        <f>IF(OR(BN$4=0,BN25=""),"",IFERROR(ROUND(BN25/INDEX(Undirviðmið!$F$6:$F$205,BN$4)*INDEX(Undirviðmið!$E$6:$E$205,BN$4)*KVARDI,2),""))</f>
        <v/>
      </c>
      <c r="BP25" s="66" t="n"/>
      <c r="BQ25" s="78">
        <f>IF(OR(BP$4=0,BP25=""),"",IFERROR(ROUND(BP25/INDEX(Undirviðmið!$F$6:$F$205,BP$4)*INDEX(Undirviðmið!$E$6:$E$205,BP$4)*KVARDI,2),""))</f>
        <v/>
      </c>
      <c r="BR25" s="66" t="n"/>
      <c r="BS25" s="78">
        <f>IF(OR(BR$4=0,BR25=""),"",IFERROR(ROUND(BR25/INDEX(Undirviðmið!$F$6:$F$205,BR$4)*INDEX(Undirviðmið!$E$6:$E$205,BR$4)*KVARDI,2),""))</f>
        <v/>
      </c>
      <c r="BT25" s="66" t="n"/>
      <c r="BU25" s="78">
        <f>IF(OR(BT$4=0,BT25=""),"",IFERROR(ROUND(BT25/INDEX(Undirviðmið!$F$6:$F$205,BT$4)*INDEX(Undirviðmið!$E$6:$E$205,BT$4)*KVARDI,2),""))</f>
        <v/>
      </c>
      <c r="BV25" s="66" t="n"/>
      <c r="BW25" s="78">
        <f>IF(OR(BV$4=0,BV25=""),"",IFERROR(ROUND(BV25/INDEX(Undirviðmið!$F$6:$F$205,BV$4)*INDEX(Undirviðmið!$E$6:$E$205,BV$4)*KVARDI,2),""))</f>
        <v/>
      </c>
      <c r="BX25" s="66" t="n"/>
      <c r="BY25" s="78">
        <f>IF(OR(BX$4=0,BX25=""),"",IFERROR(ROUND(BX25/INDEX(Undirviðmið!$F$6:$F$205,BX$4)*INDEX(Undirviðmið!$E$6:$E$205,BX$4)*KVARDI,2),""))</f>
        <v/>
      </c>
      <c r="BZ25" s="66" t="n"/>
      <c r="CA25" s="78">
        <f>IF(OR(BZ$4=0,BZ25=""),"",IFERROR(ROUND(BZ25/INDEX(Undirviðmið!$F$6:$F$205,BZ$4)*INDEX(Undirviðmið!$E$6:$E$205,BZ$4)*KVARDI,2),""))</f>
        <v/>
      </c>
      <c r="CB25" s="66" t="n"/>
      <c r="CC25" s="78">
        <f>IF(OR(CB$4=0,CB25=""),"",IFERROR(ROUND(CB25/INDEX(Undirviðmið!$F$6:$F$205,CB$4)*INDEX(Undirviðmið!$E$6:$E$205,CB$4)*KVARDI,2),""))</f>
        <v/>
      </c>
      <c r="CD25" s="66" t="n"/>
      <c r="CE25" s="78">
        <f>IF(OR(CD$4=0,CD25=""),"",IFERROR(ROUND(CD25/INDEX(Undirviðmið!$F$6:$F$205,CD$4)*INDEX(Undirviðmið!$E$6:$E$205,CD$4)*KVARDI,2),""))</f>
        <v/>
      </c>
      <c r="CF25" s="66" t="n"/>
      <c r="CG25" s="78">
        <f>IF(OR(CF$4=0,CF25=""),"",IFERROR(ROUND(CF25/INDEX(Undirviðmið!$F$6:$F$205,CF$4)*INDEX(Undirviðmið!$E$6:$E$205,CF$4)*KVARDI,2),""))</f>
        <v/>
      </c>
      <c r="CH25" s="66" t="n"/>
      <c r="CI25" s="78">
        <f>IF(OR(CH$4=0,CH25=""),"",IFERROR(ROUND(CH25/INDEX(Undirviðmið!$F$6:$F$205,CH$4)*INDEX(Undirviðmið!$E$6:$E$205,CH$4)*KVARDI,2),""))</f>
        <v/>
      </c>
      <c r="CJ25" s="66" t="n"/>
      <c r="CK25" s="78">
        <f>IF(OR(CJ$4=0,CJ25=""),"",IFERROR(ROUND(CJ25/INDEX(Undirviðmið!$F$6:$F$205,CJ$4)*INDEX(Undirviðmið!$E$6:$E$205,CJ$4)*KVARDI,2),""))</f>
        <v/>
      </c>
      <c r="CL25" s="66" t="n"/>
      <c r="CM25" s="78">
        <f>IF(OR(CL$4=0,CL25=""),"",IFERROR(ROUND(CL25/INDEX(Undirviðmið!$F$6:$F$205,CL$4)*INDEX(Undirviðmið!$E$6:$E$205,CL$4)*KVARDI,2),""))</f>
        <v/>
      </c>
      <c r="CN25" s="66" t="n"/>
      <c r="CO25" s="78">
        <f>IF(OR(CN$4=0,CN25=""),"",IFERROR(ROUND(CN25/INDEX(Undirviðmið!$F$6:$F$205,CN$4)*INDEX(Undirviðmið!$E$6:$E$205,CN$4)*KVARDI,2),""))</f>
        <v/>
      </c>
      <c r="CP25" s="66" t="n"/>
      <c r="CQ25" s="78">
        <f>IF(OR(CP$4=0,CP25=""),"",IFERROR(ROUND(CP25/INDEX(Undirviðmið!$F$6:$F$205,CP$4)*INDEX(Undirviðmið!$E$6:$E$205,CP$4)*KVARDI,2),""))</f>
        <v/>
      </c>
      <c r="CR25" s="66" t="n"/>
      <c r="CS25" s="78">
        <f>IF(OR(CR$4=0,CR25=""),"",IFERROR(ROUND(CR25/INDEX(Undirviðmið!$F$6:$F$205,CR$4)*INDEX(Undirviðmið!$E$6:$E$205,CR$4)*KVARDI,2),""))</f>
        <v/>
      </c>
      <c r="CT25" s="66" t="n"/>
      <c r="CU25" s="78">
        <f>IF(OR(CT$4=0,CT25=""),"",IFERROR(ROUND(CT25/INDEX(Undirviðmið!$F$6:$F$205,CT$4)*INDEX(Undirviðmið!$E$6:$E$205,CT$4)*KVARDI,2),""))</f>
        <v/>
      </c>
      <c r="CV25" s="66" t="n"/>
      <c r="CW25" s="78">
        <f>IF(OR(CV$4=0,CV25=""),"",IFERROR(ROUND(CV25/INDEX(Undirviðmið!$F$6:$F$205,CV$4)*INDEX(Undirviðmið!$E$6:$E$205,CV$4)*KVARDI,2),""))</f>
        <v/>
      </c>
      <c r="CX25" s="66" t="n"/>
      <c r="CY25" s="78">
        <f>IF(OR(CX$4=0,CX25=""),"",IFERROR(ROUND(CX25/INDEX(Undirviðmið!$F$6:$F$205,CX$4)*INDEX(Undirviðmið!$E$6:$E$205,CX$4)*KVARDI,2),""))</f>
        <v/>
      </c>
      <c r="CZ25" s="66" t="n"/>
      <c r="DA25" s="78">
        <f>IF(OR(CZ$4=0,CZ25=""),"",IFERROR(ROUND(CZ25/INDEX(Undirviðmið!$F$6:$F$205,CZ$4)*INDEX(Undirviðmið!$E$6:$E$205,CZ$4)*KVARDI,2),""))</f>
        <v/>
      </c>
      <c r="DB25" s="66" t="n"/>
      <c r="DC25" s="78">
        <f>IF(OR(DB$4=0,DB25=""),"",IFERROR(ROUND(DB25/INDEX(Undirviðmið!$F$6:$F$205,DB$4)*INDEX(Undirviðmið!$E$6:$E$205,DB$4)*KVARDI,2),""))</f>
        <v/>
      </c>
      <c r="DD25" s="66" t="n"/>
      <c r="DE25" s="78">
        <f>IF(OR(DD$4=0,DD25=""),"",IFERROR(ROUND(DD25/INDEX(Undirviðmið!$F$6:$F$205,DD$4)*INDEX(Undirviðmið!$E$6:$E$205,DD$4)*KVARDI,2),""))</f>
        <v/>
      </c>
      <c r="DF25" s="66" t="n"/>
      <c r="DG25" s="78">
        <f>IF(OR(DF$4=0,DF25=""),"",IFERROR(ROUND(DF25/INDEX(Undirviðmið!$F$6:$F$205,DF$4)*INDEX(Undirviðmið!$E$6:$E$205,DF$4)*KVARDI,2),""))</f>
        <v/>
      </c>
      <c r="DH25" s="66" t="n"/>
      <c r="DI25" s="78">
        <f>IF(OR(DH$4=0,DH25=""),"",IFERROR(ROUND(DH25/INDEX(Undirviðmið!$F$6:$F$205,DH$4)*INDEX(Undirviðmið!$E$6:$E$205,DH$4)*KVARDI,2),""))</f>
        <v/>
      </c>
      <c r="DJ25" s="66" t="n"/>
      <c r="DK25" s="78">
        <f>IF(OR(DJ$4=0,DJ25=""),"",IFERROR(ROUND(DJ25/INDEX(Undirviðmið!$F$6:$F$205,DJ$4)*INDEX(Undirviðmið!$E$6:$E$205,DJ$4)*KVARDI,2),""))</f>
        <v/>
      </c>
      <c r="DL25" s="66" t="n"/>
      <c r="DM25" s="78">
        <f>IF(OR(DL$4=0,DL25=""),"",IFERROR(ROUND(DL25/INDEX(Undirviðmið!$F$6:$F$205,DL$4)*INDEX(Undirviðmið!$E$6:$E$205,DL$4)*KVARDI,2),""))</f>
        <v/>
      </c>
      <c r="DN25" s="66" t="n"/>
      <c r="DO25" s="78">
        <f>IF(OR(DN$4=0,DN25=""),"",IFERROR(ROUND(DN25/INDEX(Undirviðmið!$F$6:$F$205,DN$4)*INDEX(Undirviðmið!$E$6:$E$205,DN$4)*KVARDI,2),""))</f>
        <v/>
      </c>
      <c r="DP25" s="66" t="n"/>
      <c r="DQ25" s="78">
        <f>IF(OR(DP$4=0,DP25=""),"",IFERROR(ROUND(DP25/INDEX(Undirviðmið!$F$6:$F$205,DP$4)*INDEX(Undirviðmið!$E$6:$E$205,DP$4)*KVARDI,2),""))</f>
        <v/>
      </c>
      <c r="DR25" s="66" t="n"/>
      <c r="DS25" s="78">
        <f>IF(OR(DR$4=0,DR25=""),"",IFERROR(ROUND(DR25/INDEX(Undirviðmið!$F$6:$F$205,DR$4)*INDEX(Undirviðmið!$E$6:$E$205,DR$4)*KVARDI,2),""))</f>
        <v/>
      </c>
      <c r="DT25" s="66" t="n"/>
      <c r="DU25" s="78">
        <f>IF(OR(DT$4=0,DT25=""),"",IFERROR(ROUND(DT25/INDEX(Undirviðmið!$F$6:$F$205,DT$4)*INDEX(Undirviðmið!$E$6:$E$205,DT$4)*KVARDI,2),""))</f>
        <v/>
      </c>
      <c r="DV25" s="66" t="n"/>
      <c r="DW25" s="78">
        <f>IF(OR(DV$4=0,DV25=""),"",IFERROR(ROUND(DV25/INDEX(Undirviðmið!$F$6:$F$205,DV$4)*INDEX(Undirviðmið!$E$6:$E$205,DV$4)*KVARDI,2),""))</f>
        <v/>
      </c>
      <c r="DX25" s="66" t="n"/>
      <c r="DY25" s="78">
        <f>IF(OR(DX$4=0,DX25=""),"",IFERROR(ROUND(DX25/INDEX(Undirviðmið!$F$6:$F$205,DX$4)*INDEX(Undirviðmið!$E$6:$E$205,DX$4)*KVARDI,2),""))</f>
        <v/>
      </c>
      <c r="DZ25" s="66" t="n"/>
      <c r="EA25" s="78">
        <f>IF(OR(DZ$4=0,DZ25=""),"",IFERROR(ROUND(DZ25/INDEX(Undirviðmið!$F$6:$F$205,DZ$4)*INDEX(Undirviðmið!$E$6:$E$205,DZ$4)*KVARDI,2),""))</f>
        <v/>
      </c>
      <c r="EB25" s="66" t="n"/>
      <c r="EC25" s="78">
        <f>IF(OR(EB$4=0,EB25=""),"",IFERROR(ROUND(EB25/INDEX(Undirviðmið!$F$6:$F$205,EB$4)*INDEX(Undirviðmið!$E$6:$E$205,EB$4)*KVARDI,2),""))</f>
        <v/>
      </c>
      <c r="ED25" s="66" t="n"/>
      <c r="EE25" s="78">
        <f>IF(OR(ED$4=0,ED25=""),"",IFERROR(ROUND(ED25/INDEX(Undirviðmið!$F$6:$F$205,ED$4)*INDEX(Undirviðmið!$E$6:$E$205,ED$4)*KVARDI,2),""))</f>
        <v/>
      </c>
      <c r="EF25" s="66" t="n"/>
      <c r="EG25" s="78">
        <f>IF(OR(EF$4=0,EF25=""),"",IFERROR(ROUND(EF25/INDEX(Undirviðmið!$F$6:$F$205,EF$4)*INDEX(Undirviðmið!$E$6:$E$205,EF$4)*KVARDI,2),""))</f>
        <v/>
      </c>
      <c r="EH25" s="66" t="n"/>
      <c r="EI25" s="78">
        <f>IF(OR(EH$4=0,EH25=""),"",IFERROR(ROUND(EH25/INDEX(Undirviðmið!$F$6:$F$205,EH$4)*INDEX(Undirviðmið!$E$6:$E$205,EH$4)*KVARDI,2),""))</f>
        <v/>
      </c>
      <c r="EJ25" s="66" t="n"/>
      <c r="EK25" s="78">
        <f>IF(OR(EJ$4=0,EJ25=""),"",IFERROR(ROUND(EJ25/INDEX(Undirviðmið!$F$6:$F$205,EJ$4)*INDEX(Undirviðmið!$E$6:$E$205,EJ$4)*KVARDI,2),""))</f>
        <v/>
      </c>
      <c r="EL25" s="66" t="n"/>
      <c r="EM25" s="78">
        <f>IF(OR(EL$4=0,EL25=""),"",IFERROR(ROUND(EL25/INDEX(Undirviðmið!$F$6:$F$205,EL$4)*INDEX(Undirviðmið!$E$6:$E$205,EL$4)*KVARDI,2),""))</f>
        <v/>
      </c>
      <c r="EN25" s="66" t="n"/>
      <c r="EO25" s="78">
        <f>IF(OR(EN$4=0,EN25=""),"",IFERROR(ROUND(EN25/INDEX(Undirviðmið!$F$6:$F$205,EN$4)*INDEX(Undirviðmið!$E$6:$E$205,EN$4)*KVARDI,2),""))</f>
        <v/>
      </c>
      <c r="EP25" s="66" t="n"/>
      <c r="EQ25" s="78">
        <f>IF(OR(EP$4=0,EP25=""),"",IFERROR(ROUND(EP25/INDEX(Undirviðmið!$F$6:$F$205,EP$4)*INDEX(Undirviðmið!$E$6:$E$205,EP$4)*KVARDI,2),""))</f>
        <v/>
      </c>
      <c r="ER25" s="66" t="n"/>
      <c r="ES25" s="78">
        <f>IF(OR(ER$4=0,ER25=""),"",IFERROR(ROUND(ER25/INDEX(Undirviðmið!$F$6:$F$205,ER$4)*INDEX(Undirviðmið!$E$6:$E$205,ER$4)*KVARDI,2),""))</f>
        <v/>
      </c>
      <c r="ET25" s="66" t="n"/>
      <c r="EU25" s="78">
        <f>IF(OR(ET$4=0,ET25=""),"",IFERROR(ROUND(ET25/INDEX(Undirviðmið!$F$6:$F$205,ET$4)*INDEX(Undirviðmið!$E$6:$E$205,ET$4)*KVARDI,2),""))</f>
        <v/>
      </c>
      <c r="EV25" s="66" t="n"/>
      <c r="EW25" s="78">
        <f>IF(OR(EV$4=0,EV25=""),"",IFERROR(ROUND(EV25/INDEX(Undirviðmið!$F$6:$F$205,EV$4)*INDEX(Undirviðmið!$E$6:$E$205,EV$4)*KVARDI,2),""))</f>
        <v/>
      </c>
      <c r="EX25" s="66" t="n"/>
      <c r="EY25" s="78">
        <f>IF(OR(EX$4=0,EX25=""),"",IFERROR(ROUND(EX25/INDEX(Undirviðmið!$F$6:$F$205,EX$4)*INDEX(Undirviðmið!$E$6:$E$205,EX$4)*KVARDI,2),""))</f>
        <v/>
      </c>
      <c r="EZ25" s="66" t="n"/>
      <c r="FA25" s="78">
        <f>IF(OR(EZ$4=0,EZ25=""),"",IFERROR(ROUND(EZ25/INDEX(Undirviðmið!$F$6:$F$205,EZ$4)*INDEX(Undirviðmið!$E$6:$E$205,EZ$4)*KVARDI,2),""))</f>
        <v/>
      </c>
      <c r="FB25" s="66" t="n"/>
      <c r="FC25" s="78">
        <f>IF(OR(FB$4=0,FB25=""),"",IFERROR(ROUND(FB25/INDEX(Undirviðmið!$F$6:$F$205,FB$4)*INDEX(Undirviðmið!$E$6:$E$205,FB$4)*KVARDI,2),""))</f>
        <v/>
      </c>
      <c r="FD25" s="66" t="n"/>
      <c r="FE25" s="78">
        <f>IF(OR(FD$4=0,FD25=""),"",IFERROR(ROUND(FD25/INDEX(Undirviðmið!$F$6:$F$205,FD$4)*INDEX(Undirviðmið!$E$6:$E$205,FD$4)*KVARDI,2),""))</f>
        <v/>
      </c>
      <c r="FF25" s="66" t="n"/>
      <c r="FG25" s="78">
        <f>IF(OR(FF$4=0,FF25=""),"",IFERROR(ROUND(FF25/INDEX(Undirviðmið!$F$6:$F$205,FF$4)*INDEX(Undirviðmið!$E$6:$E$205,FF$4)*KVARDI,2),""))</f>
        <v/>
      </c>
      <c r="FH25" s="66" t="n"/>
      <c r="FI25" s="78">
        <f>IF(OR(FH$4=0,FH25=""),"",IFERROR(ROUND(FH25/INDEX(Undirviðmið!$F$6:$F$205,FH$4)*INDEX(Undirviðmið!$E$6:$E$205,FH$4)*KVARDI,2),""))</f>
        <v/>
      </c>
      <c r="FJ25" s="66" t="n"/>
      <c r="FK25" s="78">
        <f>IF(OR(FJ$4=0,FJ25=""),"",IFERROR(ROUND(FJ25/INDEX(Undirviðmið!$F$6:$F$205,FJ$4)*INDEX(Undirviðmið!$E$6:$E$205,FJ$4)*KVARDI,2),""))</f>
        <v/>
      </c>
      <c r="FL25" s="66" t="n"/>
      <c r="FM25" s="78">
        <f>IF(OR(FL$4=0,FL25=""),"",IFERROR(ROUND(FL25/INDEX(Undirviðmið!$F$6:$F$205,FL$4)*INDEX(Undirviðmið!$E$6:$E$205,FL$4)*KVARDI,2),""))</f>
        <v/>
      </c>
      <c r="FN25" s="66" t="n"/>
      <c r="FO25" s="78">
        <f>IF(OR(FN$4=0,FN25=""),"",IFERROR(ROUND(FN25/INDEX(Undirviðmið!$F$6:$F$205,FN$4)*INDEX(Undirviðmið!$E$6:$E$205,FN$4)*KVARDI,2),""))</f>
        <v/>
      </c>
      <c r="FP25" s="66" t="n"/>
      <c r="FQ25" s="78">
        <f>IF(OR(FP$4=0,FP25=""),"",IFERROR(ROUND(FP25/INDEX(Undirviðmið!$F$6:$F$205,FP$4)*INDEX(Undirviðmið!$E$6:$E$205,FP$4)*KVARDI,2),""))</f>
        <v/>
      </c>
      <c r="FR25" s="66" t="n"/>
      <c r="FS25" s="78">
        <f>IF(OR(FR$4=0,FR25=""),"",IFERROR(ROUND(FR25/INDEX(Undirviðmið!$F$6:$F$205,FR$4)*INDEX(Undirviðmið!$E$6:$E$205,FR$4)*KVARDI,2),""))</f>
        <v/>
      </c>
      <c r="FT25" s="66" t="n"/>
      <c r="FU25" s="78">
        <f>IF(OR(FT$4=0,FT25=""),"",IFERROR(ROUND(FT25/INDEX(Undirviðmið!$F$6:$F$205,FT$4)*INDEX(Undirviðmið!$E$6:$E$205,FT$4)*KVARDI,2),""))</f>
        <v/>
      </c>
      <c r="FV25" s="66" t="n"/>
      <c r="FW25" s="78">
        <f>IF(OR(FV$4=0,FV25=""),"",IFERROR(ROUND(FV25/INDEX(Undirviðmið!$F$6:$F$205,FV$4)*INDEX(Undirviðmið!$E$6:$E$205,FV$4)*KVARDI,2),""))</f>
        <v/>
      </c>
      <c r="FX25" s="66" t="n"/>
      <c r="FY25" s="78">
        <f>IF(OR(FX$4=0,FX25=""),"",IFERROR(ROUND(FX25/INDEX(Undirviðmið!$F$6:$F$205,FX$4)*INDEX(Undirviðmið!$E$6:$E$205,FX$4)*KVARDI,2),""))</f>
        <v/>
      </c>
      <c r="FZ25" s="66" t="n"/>
      <c r="GA25" s="78">
        <f>IF(OR(FZ$4=0,FZ25=""),"",IFERROR(ROUND(FZ25/INDEX(Undirviðmið!$F$6:$F$205,FZ$4)*INDEX(Undirviðmið!$E$6:$E$205,FZ$4)*KVARDI,2),""))</f>
        <v/>
      </c>
      <c r="GB25" s="66" t="n"/>
      <c r="GC25" s="78">
        <f>IF(OR(GB$4=0,GB25=""),"",IFERROR(ROUND(GB25/INDEX(Undirviðmið!$F$6:$F$205,GB$4)*INDEX(Undirviðmið!$E$6:$E$205,GB$4)*KVARDI,2),""))</f>
        <v/>
      </c>
      <c r="GD25" s="66" t="n"/>
      <c r="GE25" s="78">
        <f>IF(OR(GD$4=0,GD25=""),"",IFERROR(ROUND(GD25/INDEX(Undirviðmið!$F$6:$F$205,GD$4)*INDEX(Undirviðmið!$E$6:$E$205,GD$4)*KVARDI,2),""))</f>
        <v/>
      </c>
      <c r="GF25" s="66" t="n"/>
      <c r="GG25" s="78">
        <f>IF(OR(GF$4=0,GF25=""),"",IFERROR(ROUND(GF25/INDEX(Undirviðmið!$F$6:$F$205,GF$4)*INDEX(Undirviðmið!$E$6:$E$205,GF$4)*KVARDI,2),""))</f>
        <v/>
      </c>
      <c r="GH25" s="66" t="n"/>
      <c r="GI25" s="78">
        <f>IF(OR(GH$4=0,GH25=""),"",IFERROR(ROUND(GH25/INDEX(Undirviðmið!$F$6:$F$205,GH$4)*INDEX(Undirviðmið!$E$6:$E$205,GH$4)*KVARDI,2),""))</f>
        <v/>
      </c>
      <c r="GJ25" s="66" t="n"/>
      <c r="GK25" s="78">
        <f>IF(OR(GJ$4=0,GJ25=""),"",IFERROR(ROUND(GJ25/INDEX(Undirviðmið!$F$6:$F$205,GJ$4)*INDEX(Undirviðmið!$E$6:$E$205,GJ$4)*KVARDI,2),""))</f>
        <v/>
      </c>
      <c r="GL25" s="66" t="n"/>
      <c r="GM25" s="78">
        <f>IF(OR(GL$4=0,GL25=""),"",IFERROR(ROUND(GL25/INDEX(Undirviðmið!$F$6:$F$205,GL$4)*INDEX(Undirviðmið!$E$6:$E$205,GL$4)*KVARDI,2),""))</f>
        <v/>
      </c>
      <c r="GN25" s="66" t="n"/>
      <c r="GO25" s="78">
        <f>IF(OR(GN$4=0,GN25=""),"",IFERROR(ROUND(GN25/INDEX(Undirviðmið!$F$6:$F$205,GN$4)*INDEX(Undirviðmið!$E$6:$E$205,GN$4)*KVARDI,2),""))</f>
        <v/>
      </c>
      <c r="GP25" s="66" t="n"/>
      <c r="GQ25" s="78">
        <f>IF(OR(GP$4=0,GP25=""),"",IFERROR(ROUND(GP25/INDEX(Undirviðmið!$F$6:$F$205,GP$4)*INDEX(Undirviðmið!$E$6:$E$205,GP$4)*KVARDI,2),""))</f>
        <v/>
      </c>
      <c r="GR25" s="66" t="n"/>
      <c r="GS25" s="78">
        <f>IF(OR(GR$4=0,GR25=""),"",IFERROR(ROUND(GR25/INDEX(Undirviðmið!$F$6:$F$205,GR$4)*INDEX(Undirviðmið!$E$6:$E$205,GR$4)*KVARDI,2),""))</f>
        <v/>
      </c>
      <c r="GT25" s="66" t="n"/>
      <c r="GU25" s="78">
        <f>IF(OR(GT$4=0,GT25=""),"",IFERROR(ROUND(GT25/INDEX(Undirviðmið!$F$6:$F$205,GT$4)*INDEX(Undirviðmið!$E$6:$E$205,GT$4)*KVARDI,2),""))</f>
        <v/>
      </c>
      <c r="GV25" s="63">
        <f>IFERROR(SUMIF($D$6:GU$6,"Stig",$D25:GU25),0)</f>
        <v/>
      </c>
    </row>
    <row r="26" ht="15" customHeight="1" s="47">
      <c r="A26" s="65">
        <f>ROW()-6</f>
        <v/>
      </c>
      <c r="B26" s="67">
        <f>IF(INDEX(Starfsmenn!$B$6:$B$10005,ROW()-6)="","",INDEX(Starfsmenn!$B$6:$B$10005,ROW()-6))</f>
        <v/>
      </c>
      <c r="C26" s="67">
        <f>IF(INDEX(Starfsmenn!$C$6:$C$10005,ROW()-6)="","",INDEX(Starfsmenn!$C$6:$C$10005,ROW()-6))</f>
        <v/>
      </c>
      <c r="D26" s="66" t="n"/>
      <c r="E26" s="78">
        <f>IF(OR(D$4=0,D26=""),"",IFERROR(ROUND(D26/INDEX(Undirviðmið!$F$6:$F$205,D$4)*INDEX(Undirviðmið!$E$6:$E$205,D$4)*KVARDI,2),""))</f>
        <v/>
      </c>
      <c r="F26" s="66" t="n"/>
      <c r="G26" s="78">
        <f>IF(OR(F$4=0,F26=""),"",IFERROR(ROUND(F26/INDEX(Undirviðmið!$F$6:$F$205,F$4)*INDEX(Undirviðmið!$E$6:$E$205,F$4)*KVARDI,2),""))</f>
        <v/>
      </c>
      <c r="H26" s="66" t="n"/>
      <c r="I26" s="78">
        <f>IF(OR(H$4=0,H26=""),"",IFERROR(ROUND(H26/INDEX(Undirviðmið!$F$6:$F$205,H$4)*INDEX(Undirviðmið!$E$6:$E$205,H$4)*KVARDI,2),""))</f>
        <v/>
      </c>
      <c r="J26" s="66" t="n"/>
      <c r="K26" s="78">
        <f>IF(OR(J$4=0,J26=""),"",IFERROR(ROUND(J26/INDEX(Undirviðmið!$F$6:$F$205,J$4)*INDEX(Undirviðmið!$E$6:$E$205,J$4)*KVARDI,2),""))</f>
        <v/>
      </c>
      <c r="L26" s="66" t="n"/>
      <c r="M26" s="78">
        <f>IF(OR(L$4=0,L26=""),"",IFERROR(ROUND(L26/INDEX(Undirviðmið!$F$6:$F$205,L$4)*INDEX(Undirviðmið!$E$6:$E$205,L$4)*KVARDI,2),""))</f>
        <v/>
      </c>
      <c r="N26" s="66" t="n"/>
      <c r="O26" s="78">
        <f>IF(OR(N$4=0,N26=""),"",IFERROR(ROUND(N26/INDEX(Undirviðmið!$F$6:$F$205,N$4)*INDEX(Undirviðmið!$E$6:$E$205,N$4)*KVARDI,2),""))</f>
        <v/>
      </c>
      <c r="P26" s="66" t="n"/>
      <c r="Q26" s="78">
        <f>IF(OR(P$4=0,P26=""),"",IFERROR(ROUND(P26/INDEX(Undirviðmið!$F$6:$F$205,P$4)*INDEX(Undirviðmið!$E$6:$E$205,P$4)*KVARDI,2),""))</f>
        <v/>
      </c>
      <c r="R26" s="66" t="n"/>
      <c r="S26" s="78">
        <f>IF(OR(R$4=0,R26=""),"",IFERROR(ROUND(R26/INDEX(Undirviðmið!$F$6:$F$205,R$4)*INDEX(Undirviðmið!$E$6:$E$205,R$4)*KVARDI,2),""))</f>
        <v/>
      </c>
      <c r="T26" s="66" t="n"/>
      <c r="U26" s="78">
        <f>IF(OR(T$4=0,T26=""),"",IFERROR(ROUND(T26/INDEX(Undirviðmið!$F$6:$F$205,T$4)*INDEX(Undirviðmið!$E$6:$E$205,T$4)*KVARDI,2),""))</f>
        <v/>
      </c>
      <c r="V26" s="66" t="n"/>
      <c r="W26" s="78">
        <f>IF(OR(V$4=0,V26=""),"",IFERROR(ROUND(V26/INDEX(Undirviðmið!$F$6:$F$205,V$4)*INDEX(Undirviðmið!$E$6:$E$205,V$4)*KVARDI,2),""))</f>
        <v/>
      </c>
      <c r="X26" s="66" t="n"/>
      <c r="Y26" s="78">
        <f>IF(OR(X$4=0,X26=""),"",IFERROR(ROUND(X26/INDEX(Undirviðmið!$F$6:$F$205,X$4)*INDEX(Undirviðmið!$E$6:$E$205,X$4)*KVARDI,2),""))</f>
        <v/>
      </c>
      <c r="Z26" s="66" t="n"/>
      <c r="AA26" s="78">
        <f>IF(OR(Z$4=0,Z26=""),"",IFERROR(ROUND(Z26/INDEX(Undirviðmið!$F$6:$F$205,Z$4)*INDEX(Undirviðmið!$E$6:$E$205,Z$4)*KVARDI,2),""))</f>
        <v/>
      </c>
      <c r="AB26" s="66" t="n"/>
      <c r="AC26" s="78">
        <f>IF(OR(AB$4=0,AB26=""),"",IFERROR(ROUND(AB26/INDEX(Undirviðmið!$F$6:$F$205,AB$4)*INDEX(Undirviðmið!$E$6:$E$205,AB$4)*KVARDI,2),""))</f>
        <v/>
      </c>
      <c r="AD26" s="66" t="n"/>
      <c r="AE26" s="78">
        <f>IF(OR(AD$4=0,AD26=""),"",IFERROR(ROUND(AD26/INDEX(Undirviðmið!$F$6:$F$205,AD$4)*INDEX(Undirviðmið!$E$6:$E$205,AD$4)*KVARDI,2),""))</f>
        <v/>
      </c>
      <c r="AF26" s="66" t="n"/>
      <c r="AG26" s="78">
        <f>IF(OR(AF$4=0,AF26=""),"",IFERROR(ROUND(AF26/INDEX(Undirviðmið!$F$6:$F$205,AF$4)*INDEX(Undirviðmið!$E$6:$E$205,AF$4)*KVARDI,2),""))</f>
        <v/>
      </c>
      <c r="AH26" s="66" t="n"/>
      <c r="AI26" s="78">
        <f>IF(OR(AH$4=0,AH26=""),"",IFERROR(ROUND(AH26/INDEX(Undirviðmið!$F$6:$F$205,AH$4)*INDEX(Undirviðmið!$E$6:$E$205,AH$4)*KVARDI,2),""))</f>
        <v/>
      </c>
      <c r="AJ26" s="66" t="n"/>
      <c r="AK26" s="78">
        <f>IF(OR(AJ$4=0,AJ26=""),"",IFERROR(ROUND(AJ26/INDEX(Undirviðmið!$F$6:$F$205,AJ$4)*INDEX(Undirviðmið!$E$6:$E$205,AJ$4)*KVARDI,2),""))</f>
        <v/>
      </c>
      <c r="AL26" s="66" t="n"/>
      <c r="AM26" s="78">
        <f>IF(OR(AL$4=0,AL26=""),"",IFERROR(ROUND(AL26/INDEX(Undirviðmið!$F$6:$F$205,AL$4)*INDEX(Undirviðmið!$E$6:$E$205,AL$4)*KVARDI,2),""))</f>
        <v/>
      </c>
      <c r="AN26" s="66" t="n"/>
      <c r="AO26" s="78">
        <f>IF(OR(AN$4=0,AN26=""),"",IFERROR(ROUND(AN26/INDEX(Undirviðmið!$F$6:$F$205,AN$4)*INDEX(Undirviðmið!$E$6:$E$205,AN$4)*KVARDI,2),""))</f>
        <v/>
      </c>
      <c r="AP26" s="66" t="n"/>
      <c r="AQ26" s="78">
        <f>IF(OR(AP$4=0,AP26=""),"",IFERROR(ROUND(AP26/INDEX(Undirviðmið!$F$6:$F$205,AP$4)*INDEX(Undirviðmið!$E$6:$E$205,AP$4)*KVARDI,2),""))</f>
        <v/>
      </c>
      <c r="AR26" s="66" t="n"/>
      <c r="AS26" s="78">
        <f>IF(OR(AR$4=0,AR26=""),"",IFERROR(ROUND(AR26/INDEX(Undirviðmið!$F$6:$F$205,AR$4)*INDEX(Undirviðmið!$E$6:$E$205,AR$4)*KVARDI,2),""))</f>
        <v/>
      </c>
      <c r="AT26" s="66" t="n"/>
      <c r="AU26" s="78">
        <f>IF(OR(AT$4=0,AT26=""),"",IFERROR(ROUND(AT26/INDEX(Undirviðmið!$F$6:$F$205,AT$4)*INDEX(Undirviðmið!$E$6:$E$205,AT$4)*KVARDI,2),""))</f>
        <v/>
      </c>
      <c r="AV26" s="66" t="n"/>
      <c r="AW26" s="78">
        <f>IF(OR(AV$4=0,AV26=""),"",IFERROR(ROUND(AV26/INDEX(Undirviðmið!$F$6:$F$205,AV$4)*INDEX(Undirviðmið!$E$6:$E$205,AV$4)*KVARDI,2),""))</f>
        <v/>
      </c>
      <c r="AX26" s="66" t="n"/>
      <c r="AY26" s="78">
        <f>IF(OR(AX$4=0,AX26=""),"",IFERROR(ROUND(AX26/INDEX(Undirviðmið!$F$6:$F$205,AX$4)*INDEX(Undirviðmið!$E$6:$E$205,AX$4)*KVARDI,2),""))</f>
        <v/>
      </c>
      <c r="AZ26" s="66" t="n"/>
      <c r="BA26" s="78">
        <f>IF(OR(AZ$4=0,AZ26=""),"",IFERROR(ROUND(AZ26/INDEX(Undirviðmið!$F$6:$F$205,AZ$4)*INDEX(Undirviðmið!$E$6:$E$205,AZ$4)*KVARDI,2),""))</f>
        <v/>
      </c>
      <c r="BB26" s="66" t="n"/>
      <c r="BC26" s="78">
        <f>IF(OR(BB$4=0,BB26=""),"",IFERROR(ROUND(BB26/INDEX(Undirviðmið!$F$6:$F$205,BB$4)*INDEX(Undirviðmið!$E$6:$E$205,BB$4)*KVARDI,2),""))</f>
        <v/>
      </c>
      <c r="BD26" s="66" t="n"/>
      <c r="BE26" s="78">
        <f>IF(OR(BD$4=0,BD26=""),"",IFERROR(ROUND(BD26/INDEX(Undirviðmið!$F$6:$F$205,BD$4)*INDEX(Undirviðmið!$E$6:$E$205,BD$4)*KVARDI,2),""))</f>
        <v/>
      </c>
      <c r="BF26" s="66" t="n"/>
      <c r="BG26" s="78">
        <f>IF(OR(BF$4=0,BF26=""),"",IFERROR(ROUND(BF26/INDEX(Undirviðmið!$F$6:$F$205,BF$4)*INDEX(Undirviðmið!$E$6:$E$205,BF$4)*KVARDI,2),""))</f>
        <v/>
      </c>
      <c r="BH26" s="66" t="n"/>
      <c r="BI26" s="78">
        <f>IF(OR(BH$4=0,BH26=""),"",IFERROR(ROUND(BH26/INDEX(Undirviðmið!$F$6:$F$205,BH$4)*INDEX(Undirviðmið!$E$6:$E$205,BH$4)*KVARDI,2),""))</f>
        <v/>
      </c>
      <c r="BJ26" s="66" t="n"/>
      <c r="BK26" s="78">
        <f>IF(OR(BJ$4=0,BJ26=""),"",IFERROR(ROUND(BJ26/INDEX(Undirviðmið!$F$6:$F$205,BJ$4)*INDEX(Undirviðmið!$E$6:$E$205,BJ$4)*KVARDI,2),""))</f>
        <v/>
      </c>
      <c r="BL26" s="66" t="n"/>
      <c r="BM26" s="78">
        <f>IF(OR(BL$4=0,BL26=""),"",IFERROR(ROUND(BL26/INDEX(Undirviðmið!$F$6:$F$205,BL$4)*INDEX(Undirviðmið!$E$6:$E$205,BL$4)*KVARDI,2),""))</f>
        <v/>
      </c>
      <c r="BN26" s="66" t="n"/>
      <c r="BO26" s="78">
        <f>IF(OR(BN$4=0,BN26=""),"",IFERROR(ROUND(BN26/INDEX(Undirviðmið!$F$6:$F$205,BN$4)*INDEX(Undirviðmið!$E$6:$E$205,BN$4)*KVARDI,2),""))</f>
        <v/>
      </c>
      <c r="BP26" s="66" t="n"/>
      <c r="BQ26" s="78">
        <f>IF(OR(BP$4=0,BP26=""),"",IFERROR(ROUND(BP26/INDEX(Undirviðmið!$F$6:$F$205,BP$4)*INDEX(Undirviðmið!$E$6:$E$205,BP$4)*KVARDI,2),""))</f>
        <v/>
      </c>
      <c r="BR26" s="66" t="n"/>
      <c r="BS26" s="78">
        <f>IF(OR(BR$4=0,BR26=""),"",IFERROR(ROUND(BR26/INDEX(Undirviðmið!$F$6:$F$205,BR$4)*INDEX(Undirviðmið!$E$6:$E$205,BR$4)*KVARDI,2),""))</f>
        <v/>
      </c>
      <c r="BT26" s="66" t="n"/>
      <c r="BU26" s="78">
        <f>IF(OR(BT$4=0,BT26=""),"",IFERROR(ROUND(BT26/INDEX(Undirviðmið!$F$6:$F$205,BT$4)*INDEX(Undirviðmið!$E$6:$E$205,BT$4)*KVARDI,2),""))</f>
        <v/>
      </c>
      <c r="BV26" s="66" t="n"/>
      <c r="BW26" s="78">
        <f>IF(OR(BV$4=0,BV26=""),"",IFERROR(ROUND(BV26/INDEX(Undirviðmið!$F$6:$F$205,BV$4)*INDEX(Undirviðmið!$E$6:$E$205,BV$4)*KVARDI,2),""))</f>
        <v/>
      </c>
      <c r="BX26" s="66" t="n"/>
      <c r="BY26" s="78">
        <f>IF(OR(BX$4=0,BX26=""),"",IFERROR(ROUND(BX26/INDEX(Undirviðmið!$F$6:$F$205,BX$4)*INDEX(Undirviðmið!$E$6:$E$205,BX$4)*KVARDI,2),""))</f>
        <v/>
      </c>
      <c r="BZ26" s="66" t="n"/>
      <c r="CA26" s="78">
        <f>IF(OR(BZ$4=0,BZ26=""),"",IFERROR(ROUND(BZ26/INDEX(Undirviðmið!$F$6:$F$205,BZ$4)*INDEX(Undirviðmið!$E$6:$E$205,BZ$4)*KVARDI,2),""))</f>
        <v/>
      </c>
      <c r="CB26" s="66" t="n"/>
      <c r="CC26" s="78">
        <f>IF(OR(CB$4=0,CB26=""),"",IFERROR(ROUND(CB26/INDEX(Undirviðmið!$F$6:$F$205,CB$4)*INDEX(Undirviðmið!$E$6:$E$205,CB$4)*KVARDI,2),""))</f>
        <v/>
      </c>
      <c r="CD26" s="66" t="n"/>
      <c r="CE26" s="78">
        <f>IF(OR(CD$4=0,CD26=""),"",IFERROR(ROUND(CD26/INDEX(Undirviðmið!$F$6:$F$205,CD$4)*INDEX(Undirviðmið!$E$6:$E$205,CD$4)*KVARDI,2),""))</f>
        <v/>
      </c>
      <c r="CF26" s="66" t="n"/>
      <c r="CG26" s="78">
        <f>IF(OR(CF$4=0,CF26=""),"",IFERROR(ROUND(CF26/INDEX(Undirviðmið!$F$6:$F$205,CF$4)*INDEX(Undirviðmið!$E$6:$E$205,CF$4)*KVARDI,2),""))</f>
        <v/>
      </c>
      <c r="CH26" s="66" t="n"/>
      <c r="CI26" s="78">
        <f>IF(OR(CH$4=0,CH26=""),"",IFERROR(ROUND(CH26/INDEX(Undirviðmið!$F$6:$F$205,CH$4)*INDEX(Undirviðmið!$E$6:$E$205,CH$4)*KVARDI,2),""))</f>
        <v/>
      </c>
      <c r="CJ26" s="66" t="n"/>
      <c r="CK26" s="78">
        <f>IF(OR(CJ$4=0,CJ26=""),"",IFERROR(ROUND(CJ26/INDEX(Undirviðmið!$F$6:$F$205,CJ$4)*INDEX(Undirviðmið!$E$6:$E$205,CJ$4)*KVARDI,2),""))</f>
        <v/>
      </c>
      <c r="CL26" s="66" t="n"/>
      <c r="CM26" s="78">
        <f>IF(OR(CL$4=0,CL26=""),"",IFERROR(ROUND(CL26/INDEX(Undirviðmið!$F$6:$F$205,CL$4)*INDEX(Undirviðmið!$E$6:$E$205,CL$4)*KVARDI,2),""))</f>
        <v/>
      </c>
      <c r="CN26" s="66" t="n"/>
      <c r="CO26" s="78">
        <f>IF(OR(CN$4=0,CN26=""),"",IFERROR(ROUND(CN26/INDEX(Undirviðmið!$F$6:$F$205,CN$4)*INDEX(Undirviðmið!$E$6:$E$205,CN$4)*KVARDI,2),""))</f>
        <v/>
      </c>
      <c r="CP26" s="66" t="n"/>
      <c r="CQ26" s="78">
        <f>IF(OR(CP$4=0,CP26=""),"",IFERROR(ROUND(CP26/INDEX(Undirviðmið!$F$6:$F$205,CP$4)*INDEX(Undirviðmið!$E$6:$E$205,CP$4)*KVARDI,2),""))</f>
        <v/>
      </c>
      <c r="CR26" s="66" t="n"/>
      <c r="CS26" s="78">
        <f>IF(OR(CR$4=0,CR26=""),"",IFERROR(ROUND(CR26/INDEX(Undirviðmið!$F$6:$F$205,CR$4)*INDEX(Undirviðmið!$E$6:$E$205,CR$4)*KVARDI,2),""))</f>
        <v/>
      </c>
      <c r="CT26" s="66" t="n"/>
      <c r="CU26" s="78">
        <f>IF(OR(CT$4=0,CT26=""),"",IFERROR(ROUND(CT26/INDEX(Undirviðmið!$F$6:$F$205,CT$4)*INDEX(Undirviðmið!$E$6:$E$205,CT$4)*KVARDI,2),""))</f>
        <v/>
      </c>
      <c r="CV26" s="66" t="n"/>
      <c r="CW26" s="78">
        <f>IF(OR(CV$4=0,CV26=""),"",IFERROR(ROUND(CV26/INDEX(Undirviðmið!$F$6:$F$205,CV$4)*INDEX(Undirviðmið!$E$6:$E$205,CV$4)*KVARDI,2),""))</f>
        <v/>
      </c>
      <c r="CX26" s="66" t="n"/>
      <c r="CY26" s="78">
        <f>IF(OR(CX$4=0,CX26=""),"",IFERROR(ROUND(CX26/INDEX(Undirviðmið!$F$6:$F$205,CX$4)*INDEX(Undirviðmið!$E$6:$E$205,CX$4)*KVARDI,2),""))</f>
        <v/>
      </c>
      <c r="CZ26" s="66" t="n"/>
      <c r="DA26" s="78">
        <f>IF(OR(CZ$4=0,CZ26=""),"",IFERROR(ROUND(CZ26/INDEX(Undirviðmið!$F$6:$F$205,CZ$4)*INDEX(Undirviðmið!$E$6:$E$205,CZ$4)*KVARDI,2),""))</f>
        <v/>
      </c>
      <c r="DB26" s="66" t="n"/>
      <c r="DC26" s="78">
        <f>IF(OR(DB$4=0,DB26=""),"",IFERROR(ROUND(DB26/INDEX(Undirviðmið!$F$6:$F$205,DB$4)*INDEX(Undirviðmið!$E$6:$E$205,DB$4)*KVARDI,2),""))</f>
        <v/>
      </c>
      <c r="DD26" s="66" t="n"/>
      <c r="DE26" s="78">
        <f>IF(OR(DD$4=0,DD26=""),"",IFERROR(ROUND(DD26/INDEX(Undirviðmið!$F$6:$F$205,DD$4)*INDEX(Undirviðmið!$E$6:$E$205,DD$4)*KVARDI,2),""))</f>
        <v/>
      </c>
      <c r="DF26" s="66" t="n"/>
      <c r="DG26" s="78">
        <f>IF(OR(DF$4=0,DF26=""),"",IFERROR(ROUND(DF26/INDEX(Undirviðmið!$F$6:$F$205,DF$4)*INDEX(Undirviðmið!$E$6:$E$205,DF$4)*KVARDI,2),""))</f>
        <v/>
      </c>
      <c r="DH26" s="66" t="n"/>
      <c r="DI26" s="78">
        <f>IF(OR(DH$4=0,DH26=""),"",IFERROR(ROUND(DH26/INDEX(Undirviðmið!$F$6:$F$205,DH$4)*INDEX(Undirviðmið!$E$6:$E$205,DH$4)*KVARDI,2),""))</f>
        <v/>
      </c>
      <c r="DJ26" s="66" t="n"/>
      <c r="DK26" s="78">
        <f>IF(OR(DJ$4=0,DJ26=""),"",IFERROR(ROUND(DJ26/INDEX(Undirviðmið!$F$6:$F$205,DJ$4)*INDEX(Undirviðmið!$E$6:$E$205,DJ$4)*KVARDI,2),""))</f>
        <v/>
      </c>
      <c r="DL26" s="66" t="n"/>
      <c r="DM26" s="78">
        <f>IF(OR(DL$4=0,DL26=""),"",IFERROR(ROUND(DL26/INDEX(Undirviðmið!$F$6:$F$205,DL$4)*INDEX(Undirviðmið!$E$6:$E$205,DL$4)*KVARDI,2),""))</f>
        <v/>
      </c>
      <c r="DN26" s="66" t="n"/>
      <c r="DO26" s="78">
        <f>IF(OR(DN$4=0,DN26=""),"",IFERROR(ROUND(DN26/INDEX(Undirviðmið!$F$6:$F$205,DN$4)*INDEX(Undirviðmið!$E$6:$E$205,DN$4)*KVARDI,2),""))</f>
        <v/>
      </c>
      <c r="DP26" s="66" t="n"/>
      <c r="DQ26" s="78">
        <f>IF(OR(DP$4=0,DP26=""),"",IFERROR(ROUND(DP26/INDEX(Undirviðmið!$F$6:$F$205,DP$4)*INDEX(Undirviðmið!$E$6:$E$205,DP$4)*KVARDI,2),""))</f>
        <v/>
      </c>
      <c r="DR26" s="66" t="n"/>
      <c r="DS26" s="78">
        <f>IF(OR(DR$4=0,DR26=""),"",IFERROR(ROUND(DR26/INDEX(Undirviðmið!$F$6:$F$205,DR$4)*INDEX(Undirviðmið!$E$6:$E$205,DR$4)*KVARDI,2),""))</f>
        <v/>
      </c>
      <c r="DT26" s="66" t="n"/>
      <c r="DU26" s="78">
        <f>IF(OR(DT$4=0,DT26=""),"",IFERROR(ROUND(DT26/INDEX(Undirviðmið!$F$6:$F$205,DT$4)*INDEX(Undirviðmið!$E$6:$E$205,DT$4)*KVARDI,2),""))</f>
        <v/>
      </c>
      <c r="DV26" s="66" t="n"/>
      <c r="DW26" s="78">
        <f>IF(OR(DV$4=0,DV26=""),"",IFERROR(ROUND(DV26/INDEX(Undirviðmið!$F$6:$F$205,DV$4)*INDEX(Undirviðmið!$E$6:$E$205,DV$4)*KVARDI,2),""))</f>
        <v/>
      </c>
      <c r="DX26" s="66" t="n"/>
      <c r="DY26" s="78">
        <f>IF(OR(DX$4=0,DX26=""),"",IFERROR(ROUND(DX26/INDEX(Undirviðmið!$F$6:$F$205,DX$4)*INDEX(Undirviðmið!$E$6:$E$205,DX$4)*KVARDI,2),""))</f>
        <v/>
      </c>
      <c r="DZ26" s="66" t="n"/>
      <c r="EA26" s="78">
        <f>IF(OR(DZ$4=0,DZ26=""),"",IFERROR(ROUND(DZ26/INDEX(Undirviðmið!$F$6:$F$205,DZ$4)*INDEX(Undirviðmið!$E$6:$E$205,DZ$4)*KVARDI,2),""))</f>
        <v/>
      </c>
      <c r="EB26" s="66" t="n"/>
      <c r="EC26" s="78">
        <f>IF(OR(EB$4=0,EB26=""),"",IFERROR(ROUND(EB26/INDEX(Undirviðmið!$F$6:$F$205,EB$4)*INDEX(Undirviðmið!$E$6:$E$205,EB$4)*KVARDI,2),""))</f>
        <v/>
      </c>
      <c r="ED26" s="66" t="n"/>
      <c r="EE26" s="78">
        <f>IF(OR(ED$4=0,ED26=""),"",IFERROR(ROUND(ED26/INDEX(Undirviðmið!$F$6:$F$205,ED$4)*INDEX(Undirviðmið!$E$6:$E$205,ED$4)*KVARDI,2),""))</f>
        <v/>
      </c>
      <c r="EF26" s="66" t="n"/>
      <c r="EG26" s="78">
        <f>IF(OR(EF$4=0,EF26=""),"",IFERROR(ROUND(EF26/INDEX(Undirviðmið!$F$6:$F$205,EF$4)*INDEX(Undirviðmið!$E$6:$E$205,EF$4)*KVARDI,2),""))</f>
        <v/>
      </c>
      <c r="EH26" s="66" t="n"/>
      <c r="EI26" s="78">
        <f>IF(OR(EH$4=0,EH26=""),"",IFERROR(ROUND(EH26/INDEX(Undirviðmið!$F$6:$F$205,EH$4)*INDEX(Undirviðmið!$E$6:$E$205,EH$4)*KVARDI,2),""))</f>
        <v/>
      </c>
      <c r="EJ26" s="66" t="n"/>
      <c r="EK26" s="78">
        <f>IF(OR(EJ$4=0,EJ26=""),"",IFERROR(ROUND(EJ26/INDEX(Undirviðmið!$F$6:$F$205,EJ$4)*INDEX(Undirviðmið!$E$6:$E$205,EJ$4)*KVARDI,2),""))</f>
        <v/>
      </c>
      <c r="EL26" s="66" t="n"/>
      <c r="EM26" s="78">
        <f>IF(OR(EL$4=0,EL26=""),"",IFERROR(ROUND(EL26/INDEX(Undirviðmið!$F$6:$F$205,EL$4)*INDEX(Undirviðmið!$E$6:$E$205,EL$4)*KVARDI,2),""))</f>
        <v/>
      </c>
      <c r="EN26" s="66" t="n"/>
      <c r="EO26" s="78">
        <f>IF(OR(EN$4=0,EN26=""),"",IFERROR(ROUND(EN26/INDEX(Undirviðmið!$F$6:$F$205,EN$4)*INDEX(Undirviðmið!$E$6:$E$205,EN$4)*KVARDI,2),""))</f>
        <v/>
      </c>
      <c r="EP26" s="66" t="n"/>
      <c r="EQ26" s="78">
        <f>IF(OR(EP$4=0,EP26=""),"",IFERROR(ROUND(EP26/INDEX(Undirviðmið!$F$6:$F$205,EP$4)*INDEX(Undirviðmið!$E$6:$E$205,EP$4)*KVARDI,2),""))</f>
        <v/>
      </c>
      <c r="ER26" s="66" t="n"/>
      <c r="ES26" s="78">
        <f>IF(OR(ER$4=0,ER26=""),"",IFERROR(ROUND(ER26/INDEX(Undirviðmið!$F$6:$F$205,ER$4)*INDEX(Undirviðmið!$E$6:$E$205,ER$4)*KVARDI,2),""))</f>
        <v/>
      </c>
      <c r="ET26" s="66" t="n"/>
      <c r="EU26" s="78">
        <f>IF(OR(ET$4=0,ET26=""),"",IFERROR(ROUND(ET26/INDEX(Undirviðmið!$F$6:$F$205,ET$4)*INDEX(Undirviðmið!$E$6:$E$205,ET$4)*KVARDI,2),""))</f>
        <v/>
      </c>
      <c r="EV26" s="66" t="n"/>
      <c r="EW26" s="78">
        <f>IF(OR(EV$4=0,EV26=""),"",IFERROR(ROUND(EV26/INDEX(Undirviðmið!$F$6:$F$205,EV$4)*INDEX(Undirviðmið!$E$6:$E$205,EV$4)*KVARDI,2),""))</f>
        <v/>
      </c>
      <c r="EX26" s="66" t="n"/>
      <c r="EY26" s="78">
        <f>IF(OR(EX$4=0,EX26=""),"",IFERROR(ROUND(EX26/INDEX(Undirviðmið!$F$6:$F$205,EX$4)*INDEX(Undirviðmið!$E$6:$E$205,EX$4)*KVARDI,2),""))</f>
        <v/>
      </c>
      <c r="EZ26" s="66" t="n"/>
      <c r="FA26" s="78">
        <f>IF(OR(EZ$4=0,EZ26=""),"",IFERROR(ROUND(EZ26/INDEX(Undirviðmið!$F$6:$F$205,EZ$4)*INDEX(Undirviðmið!$E$6:$E$205,EZ$4)*KVARDI,2),""))</f>
        <v/>
      </c>
      <c r="FB26" s="66" t="n"/>
      <c r="FC26" s="78">
        <f>IF(OR(FB$4=0,FB26=""),"",IFERROR(ROUND(FB26/INDEX(Undirviðmið!$F$6:$F$205,FB$4)*INDEX(Undirviðmið!$E$6:$E$205,FB$4)*KVARDI,2),""))</f>
        <v/>
      </c>
      <c r="FD26" s="66" t="n"/>
      <c r="FE26" s="78">
        <f>IF(OR(FD$4=0,FD26=""),"",IFERROR(ROUND(FD26/INDEX(Undirviðmið!$F$6:$F$205,FD$4)*INDEX(Undirviðmið!$E$6:$E$205,FD$4)*KVARDI,2),""))</f>
        <v/>
      </c>
      <c r="FF26" s="66" t="n"/>
      <c r="FG26" s="78">
        <f>IF(OR(FF$4=0,FF26=""),"",IFERROR(ROUND(FF26/INDEX(Undirviðmið!$F$6:$F$205,FF$4)*INDEX(Undirviðmið!$E$6:$E$205,FF$4)*KVARDI,2),""))</f>
        <v/>
      </c>
      <c r="FH26" s="66" t="n"/>
      <c r="FI26" s="78">
        <f>IF(OR(FH$4=0,FH26=""),"",IFERROR(ROUND(FH26/INDEX(Undirviðmið!$F$6:$F$205,FH$4)*INDEX(Undirviðmið!$E$6:$E$205,FH$4)*KVARDI,2),""))</f>
        <v/>
      </c>
      <c r="FJ26" s="66" t="n"/>
      <c r="FK26" s="78">
        <f>IF(OR(FJ$4=0,FJ26=""),"",IFERROR(ROUND(FJ26/INDEX(Undirviðmið!$F$6:$F$205,FJ$4)*INDEX(Undirviðmið!$E$6:$E$205,FJ$4)*KVARDI,2),""))</f>
        <v/>
      </c>
      <c r="FL26" s="66" t="n"/>
      <c r="FM26" s="78">
        <f>IF(OR(FL$4=0,FL26=""),"",IFERROR(ROUND(FL26/INDEX(Undirviðmið!$F$6:$F$205,FL$4)*INDEX(Undirviðmið!$E$6:$E$205,FL$4)*KVARDI,2),""))</f>
        <v/>
      </c>
      <c r="FN26" s="66" t="n"/>
      <c r="FO26" s="78">
        <f>IF(OR(FN$4=0,FN26=""),"",IFERROR(ROUND(FN26/INDEX(Undirviðmið!$F$6:$F$205,FN$4)*INDEX(Undirviðmið!$E$6:$E$205,FN$4)*KVARDI,2),""))</f>
        <v/>
      </c>
      <c r="FP26" s="66" t="n"/>
      <c r="FQ26" s="78">
        <f>IF(OR(FP$4=0,FP26=""),"",IFERROR(ROUND(FP26/INDEX(Undirviðmið!$F$6:$F$205,FP$4)*INDEX(Undirviðmið!$E$6:$E$205,FP$4)*KVARDI,2),""))</f>
        <v/>
      </c>
      <c r="FR26" s="66" t="n"/>
      <c r="FS26" s="78">
        <f>IF(OR(FR$4=0,FR26=""),"",IFERROR(ROUND(FR26/INDEX(Undirviðmið!$F$6:$F$205,FR$4)*INDEX(Undirviðmið!$E$6:$E$205,FR$4)*KVARDI,2),""))</f>
        <v/>
      </c>
      <c r="FT26" s="66" t="n"/>
      <c r="FU26" s="78">
        <f>IF(OR(FT$4=0,FT26=""),"",IFERROR(ROUND(FT26/INDEX(Undirviðmið!$F$6:$F$205,FT$4)*INDEX(Undirviðmið!$E$6:$E$205,FT$4)*KVARDI,2),""))</f>
        <v/>
      </c>
      <c r="FV26" s="66" t="n"/>
      <c r="FW26" s="78">
        <f>IF(OR(FV$4=0,FV26=""),"",IFERROR(ROUND(FV26/INDEX(Undirviðmið!$F$6:$F$205,FV$4)*INDEX(Undirviðmið!$E$6:$E$205,FV$4)*KVARDI,2),""))</f>
        <v/>
      </c>
      <c r="FX26" s="66" t="n"/>
      <c r="FY26" s="78">
        <f>IF(OR(FX$4=0,FX26=""),"",IFERROR(ROUND(FX26/INDEX(Undirviðmið!$F$6:$F$205,FX$4)*INDEX(Undirviðmið!$E$6:$E$205,FX$4)*KVARDI,2),""))</f>
        <v/>
      </c>
      <c r="FZ26" s="66" t="n"/>
      <c r="GA26" s="78">
        <f>IF(OR(FZ$4=0,FZ26=""),"",IFERROR(ROUND(FZ26/INDEX(Undirviðmið!$F$6:$F$205,FZ$4)*INDEX(Undirviðmið!$E$6:$E$205,FZ$4)*KVARDI,2),""))</f>
        <v/>
      </c>
      <c r="GB26" s="66" t="n"/>
      <c r="GC26" s="78">
        <f>IF(OR(GB$4=0,GB26=""),"",IFERROR(ROUND(GB26/INDEX(Undirviðmið!$F$6:$F$205,GB$4)*INDEX(Undirviðmið!$E$6:$E$205,GB$4)*KVARDI,2),""))</f>
        <v/>
      </c>
      <c r="GD26" s="66" t="n"/>
      <c r="GE26" s="78">
        <f>IF(OR(GD$4=0,GD26=""),"",IFERROR(ROUND(GD26/INDEX(Undirviðmið!$F$6:$F$205,GD$4)*INDEX(Undirviðmið!$E$6:$E$205,GD$4)*KVARDI,2),""))</f>
        <v/>
      </c>
      <c r="GF26" s="66" t="n"/>
      <c r="GG26" s="78">
        <f>IF(OR(GF$4=0,GF26=""),"",IFERROR(ROUND(GF26/INDEX(Undirviðmið!$F$6:$F$205,GF$4)*INDEX(Undirviðmið!$E$6:$E$205,GF$4)*KVARDI,2),""))</f>
        <v/>
      </c>
      <c r="GH26" s="66" t="n"/>
      <c r="GI26" s="78">
        <f>IF(OR(GH$4=0,GH26=""),"",IFERROR(ROUND(GH26/INDEX(Undirviðmið!$F$6:$F$205,GH$4)*INDEX(Undirviðmið!$E$6:$E$205,GH$4)*KVARDI,2),""))</f>
        <v/>
      </c>
      <c r="GJ26" s="66" t="n"/>
      <c r="GK26" s="78">
        <f>IF(OR(GJ$4=0,GJ26=""),"",IFERROR(ROUND(GJ26/INDEX(Undirviðmið!$F$6:$F$205,GJ$4)*INDEX(Undirviðmið!$E$6:$E$205,GJ$4)*KVARDI,2),""))</f>
        <v/>
      </c>
      <c r="GL26" s="66" t="n"/>
      <c r="GM26" s="78">
        <f>IF(OR(GL$4=0,GL26=""),"",IFERROR(ROUND(GL26/INDEX(Undirviðmið!$F$6:$F$205,GL$4)*INDEX(Undirviðmið!$E$6:$E$205,GL$4)*KVARDI,2),""))</f>
        <v/>
      </c>
      <c r="GN26" s="66" t="n"/>
      <c r="GO26" s="78">
        <f>IF(OR(GN$4=0,GN26=""),"",IFERROR(ROUND(GN26/INDEX(Undirviðmið!$F$6:$F$205,GN$4)*INDEX(Undirviðmið!$E$6:$E$205,GN$4)*KVARDI,2),""))</f>
        <v/>
      </c>
      <c r="GP26" s="66" t="n"/>
      <c r="GQ26" s="78">
        <f>IF(OR(GP$4=0,GP26=""),"",IFERROR(ROUND(GP26/INDEX(Undirviðmið!$F$6:$F$205,GP$4)*INDEX(Undirviðmið!$E$6:$E$205,GP$4)*KVARDI,2),""))</f>
        <v/>
      </c>
      <c r="GR26" s="66" t="n"/>
      <c r="GS26" s="78">
        <f>IF(OR(GR$4=0,GR26=""),"",IFERROR(ROUND(GR26/INDEX(Undirviðmið!$F$6:$F$205,GR$4)*INDEX(Undirviðmið!$E$6:$E$205,GR$4)*KVARDI,2),""))</f>
        <v/>
      </c>
      <c r="GT26" s="66" t="n"/>
      <c r="GU26" s="78">
        <f>IF(OR(GT$4=0,GT26=""),"",IFERROR(ROUND(GT26/INDEX(Undirviðmið!$F$6:$F$205,GT$4)*INDEX(Undirviðmið!$E$6:$E$205,GT$4)*KVARDI,2),""))</f>
        <v/>
      </c>
      <c r="GV26" s="63">
        <f>IFERROR(SUMIF($D$6:GU$6,"Stig",$D26:GU26),0)</f>
        <v/>
      </c>
    </row>
    <row r="27" ht="15" customHeight="1" s="47">
      <c r="A27" s="65">
        <f>ROW()-6</f>
        <v/>
      </c>
      <c r="B27" s="67">
        <f>IF(INDEX(Starfsmenn!$B$6:$B$10005,ROW()-6)="","",INDEX(Starfsmenn!$B$6:$B$10005,ROW()-6))</f>
        <v/>
      </c>
      <c r="C27" s="67">
        <f>IF(INDEX(Starfsmenn!$C$6:$C$10005,ROW()-6)="","",INDEX(Starfsmenn!$C$6:$C$10005,ROW()-6))</f>
        <v/>
      </c>
      <c r="D27" s="66" t="n"/>
      <c r="E27" s="78">
        <f>IF(OR(D$4=0,D27=""),"",IFERROR(ROUND(D27/INDEX(Undirviðmið!$F$6:$F$205,D$4)*INDEX(Undirviðmið!$E$6:$E$205,D$4)*KVARDI,2),""))</f>
        <v/>
      </c>
      <c r="F27" s="66" t="n"/>
      <c r="G27" s="78">
        <f>IF(OR(F$4=0,F27=""),"",IFERROR(ROUND(F27/INDEX(Undirviðmið!$F$6:$F$205,F$4)*INDEX(Undirviðmið!$E$6:$E$205,F$4)*KVARDI,2),""))</f>
        <v/>
      </c>
      <c r="H27" s="66" t="n"/>
      <c r="I27" s="78">
        <f>IF(OR(H$4=0,H27=""),"",IFERROR(ROUND(H27/INDEX(Undirviðmið!$F$6:$F$205,H$4)*INDEX(Undirviðmið!$E$6:$E$205,H$4)*KVARDI,2),""))</f>
        <v/>
      </c>
      <c r="J27" s="66" t="n"/>
      <c r="K27" s="78">
        <f>IF(OR(J$4=0,J27=""),"",IFERROR(ROUND(J27/INDEX(Undirviðmið!$F$6:$F$205,J$4)*INDEX(Undirviðmið!$E$6:$E$205,J$4)*KVARDI,2),""))</f>
        <v/>
      </c>
      <c r="L27" s="66" t="n"/>
      <c r="M27" s="78">
        <f>IF(OR(L$4=0,L27=""),"",IFERROR(ROUND(L27/INDEX(Undirviðmið!$F$6:$F$205,L$4)*INDEX(Undirviðmið!$E$6:$E$205,L$4)*KVARDI,2),""))</f>
        <v/>
      </c>
      <c r="N27" s="66" t="n"/>
      <c r="O27" s="78">
        <f>IF(OR(N$4=0,N27=""),"",IFERROR(ROUND(N27/INDEX(Undirviðmið!$F$6:$F$205,N$4)*INDEX(Undirviðmið!$E$6:$E$205,N$4)*KVARDI,2),""))</f>
        <v/>
      </c>
      <c r="P27" s="66" t="n"/>
      <c r="Q27" s="78">
        <f>IF(OR(P$4=0,P27=""),"",IFERROR(ROUND(P27/INDEX(Undirviðmið!$F$6:$F$205,P$4)*INDEX(Undirviðmið!$E$6:$E$205,P$4)*KVARDI,2),""))</f>
        <v/>
      </c>
      <c r="R27" s="66" t="n"/>
      <c r="S27" s="78">
        <f>IF(OR(R$4=0,R27=""),"",IFERROR(ROUND(R27/INDEX(Undirviðmið!$F$6:$F$205,R$4)*INDEX(Undirviðmið!$E$6:$E$205,R$4)*KVARDI,2),""))</f>
        <v/>
      </c>
      <c r="T27" s="66" t="n"/>
      <c r="U27" s="78">
        <f>IF(OR(T$4=0,T27=""),"",IFERROR(ROUND(T27/INDEX(Undirviðmið!$F$6:$F$205,T$4)*INDEX(Undirviðmið!$E$6:$E$205,T$4)*KVARDI,2),""))</f>
        <v/>
      </c>
      <c r="V27" s="66" t="n"/>
      <c r="W27" s="78">
        <f>IF(OR(V$4=0,V27=""),"",IFERROR(ROUND(V27/INDEX(Undirviðmið!$F$6:$F$205,V$4)*INDEX(Undirviðmið!$E$6:$E$205,V$4)*KVARDI,2),""))</f>
        <v/>
      </c>
      <c r="X27" s="66" t="n"/>
      <c r="Y27" s="78">
        <f>IF(OR(X$4=0,X27=""),"",IFERROR(ROUND(X27/INDEX(Undirviðmið!$F$6:$F$205,X$4)*INDEX(Undirviðmið!$E$6:$E$205,X$4)*KVARDI,2),""))</f>
        <v/>
      </c>
      <c r="Z27" s="66" t="n"/>
      <c r="AA27" s="78">
        <f>IF(OR(Z$4=0,Z27=""),"",IFERROR(ROUND(Z27/INDEX(Undirviðmið!$F$6:$F$205,Z$4)*INDEX(Undirviðmið!$E$6:$E$205,Z$4)*KVARDI,2),""))</f>
        <v/>
      </c>
      <c r="AB27" s="66" t="n"/>
      <c r="AC27" s="78">
        <f>IF(OR(AB$4=0,AB27=""),"",IFERROR(ROUND(AB27/INDEX(Undirviðmið!$F$6:$F$205,AB$4)*INDEX(Undirviðmið!$E$6:$E$205,AB$4)*KVARDI,2),""))</f>
        <v/>
      </c>
      <c r="AD27" s="66" t="n"/>
      <c r="AE27" s="78">
        <f>IF(OR(AD$4=0,AD27=""),"",IFERROR(ROUND(AD27/INDEX(Undirviðmið!$F$6:$F$205,AD$4)*INDEX(Undirviðmið!$E$6:$E$205,AD$4)*KVARDI,2),""))</f>
        <v/>
      </c>
      <c r="AF27" s="66" t="n"/>
      <c r="AG27" s="78">
        <f>IF(OR(AF$4=0,AF27=""),"",IFERROR(ROUND(AF27/INDEX(Undirviðmið!$F$6:$F$205,AF$4)*INDEX(Undirviðmið!$E$6:$E$205,AF$4)*KVARDI,2),""))</f>
        <v/>
      </c>
      <c r="AH27" s="66" t="n"/>
      <c r="AI27" s="78">
        <f>IF(OR(AH$4=0,AH27=""),"",IFERROR(ROUND(AH27/INDEX(Undirviðmið!$F$6:$F$205,AH$4)*INDEX(Undirviðmið!$E$6:$E$205,AH$4)*KVARDI,2),""))</f>
        <v/>
      </c>
      <c r="AJ27" s="66" t="n"/>
      <c r="AK27" s="78">
        <f>IF(OR(AJ$4=0,AJ27=""),"",IFERROR(ROUND(AJ27/INDEX(Undirviðmið!$F$6:$F$205,AJ$4)*INDEX(Undirviðmið!$E$6:$E$205,AJ$4)*KVARDI,2),""))</f>
        <v/>
      </c>
      <c r="AL27" s="66" t="n"/>
      <c r="AM27" s="78">
        <f>IF(OR(AL$4=0,AL27=""),"",IFERROR(ROUND(AL27/INDEX(Undirviðmið!$F$6:$F$205,AL$4)*INDEX(Undirviðmið!$E$6:$E$205,AL$4)*KVARDI,2),""))</f>
        <v/>
      </c>
      <c r="AN27" s="66" t="n"/>
      <c r="AO27" s="78">
        <f>IF(OR(AN$4=0,AN27=""),"",IFERROR(ROUND(AN27/INDEX(Undirviðmið!$F$6:$F$205,AN$4)*INDEX(Undirviðmið!$E$6:$E$205,AN$4)*KVARDI,2),""))</f>
        <v/>
      </c>
      <c r="AP27" s="66" t="n"/>
      <c r="AQ27" s="78">
        <f>IF(OR(AP$4=0,AP27=""),"",IFERROR(ROUND(AP27/INDEX(Undirviðmið!$F$6:$F$205,AP$4)*INDEX(Undirviðmið!$E$6:$E$205,AP$4)*KVARDI,2),""))</f>
        <v/>
      </c>
      <c r="AR27" s="66" t="n"/>
      <c r="AS27" s="78">
        <f>IF(OR(AR$4=0,AR27=""),"",IFERROR(ROUND(AR27/INDEX(Undirviðmið!$F$6:$F$205,AR$4)*INDEX(Undirviðmið!$E$6:$E$205,AR$4)*KVARDI,2),""))</f>
        <v/>
      </c>
      <c r="AT27" s="66" t="n"/>
      <c r="AU27" s="78">
        <f>IF(OR(AT$4=0,AT27=""),"",IFERROR(ROUND(AT27/INDEX(Undirviðmið!$F$6:$F$205,AT$4)*INDEX(Undirviðmið!$E$6:$E$205,AT$4)*KVARDI,2),""))</f>
        <v/>
      </c>
      <c r="AV27" s="66" t="n"/>
      <c r="AW27" s="78">
        <f>IF(OR(AV$4=0,AV27=""),"",IFERROR(ROUND(AV27/INDEX(Undirviðmið!$F$6:$F$205,AV$4)*INDEX(Undirviðmið!$E$6:$E$205,AV$4)*KVARDI,2),""))</f>
        <v/>
      </c>
      <c r="AX27" s="66" t="n"/>
      <c r="AY27" s="78">
        <f>IF(OR(AX$4=0,AX27=""),"",IFERROR(ROUND(AX27/INDEX(Undirviðmið!$F$6:$F$205,AX$4)*INDEX(Undirviðmið!$E$6:$E$205,AX$4)*KVARDI,2),""))</f>
        <v/>
      </c>
      <c r="AZ27" s="66" t="n"/>
      <c r="BA27" s="78">
        <f>IF(OR(AZ$4=0,AZ27=""),"",IFERROR(ROUND(AZ27/INDEX(Undirviðmið!$F$6:$F$205,AZ$4)*INDEX(Undirviðmið!$E$6:$E$205,AZ$4)*KVARDI,2),""))</f>
        <v/>
      </c>
      <c r="BB27" s="66" t="n"/>
      <c r="BC27" s="78">
        <f>IF(OR(BB$4=0,BB27=""),"",IFERROR(ROUND(BB27/INDEX(Undirviðmið!$F$6:$F$205,BB$4)*INDEX(Undirviðmið!$E$6:$E$205,BB$4)*KVARDI,2),""))</f>
        <v/>
      </c>
      <c r="BD27" s="66" t="n"/>
      <c r="BE27" s="78">
        <f>IF(OR(BD$4=0,BD27=""),"",IFERROR(ROUND(BD27/INDEX(Undirviðmið!$F$6:$F$205,BD$4)*INDEX(Undirviðmið!$E$6:$E$205,BD$4)*KVARDI,2),""))</f>
        <v/>
      </c>
      <c r="BF27" s="66" t="n"/>
      <c r="BG27" s="78">
        <f>IF(OR(BF$4=0,BF27=""),"",IFERROR(ROUND(BF27/INDEX(Undirviðmið!$F$6:$F$205,BF$4)*INDEX(Undirviðmið!$E$6:$E$205,BF$4)*KVARDI,2),""))</f>
        <v/>
      </c>
      <c r="BH27" s="66" t="n"/>
      <c r="BI27" s="78">
        <f>IF(OR(BH$4=0,BH27=""),"",IFERROR(ROUND(BH27/INDEX(Undirviðmið!$F$6:$F$205,BH$4)*INDEX(Undirviðmið!$E$6:$E$205,BH$4)*KVARDI,2),""))</f>
        <v/>
      </c>
      <c r="BJ27" s="66" t="n"/>
      <c r="BK27" s="78">
        <f>IF(OR(BJ$4=0,BJ27=""),"",IFERROR(ROUND(BJ27/INDEX(Undirviðmið!$F$6:$F$205,BJ$4)*INDEX(Undirviðmið!$E$6:$E$205,BJ$4)*KVARDI,2),""))</f>
        <v/>
      </c>
      <c r="BL27" s="66" t="n"/>
      <c r="BM27" s="78">
        <f>IF(OR(BL$4=0,BL27=""),"",IFERROR(ROUND(BL27/INDEX(Undirviðmið!$F$6:$F$205,BL$4)*INDEX(Undirviðmið!$E$6:$E$205,BL$4)*KVARDI,2),""))</f>
        <v/>
      </c>
      <c r="BN27" s="66" t="n"/>
      <c r="BO27" s="78">
        <f>IF(OR(BN$4=0,BN27=""),"",IFERROR(ROUND(BN27/INDEX(Undirviðmið!$F$6:$F$205,BN$4)*INDEX(Undirviðmið!$E$6:$E$205,BN$4)*KVARDI,2),""))</f>
        <v/>
      </c>
      <c r="BP27" s="66" t="n"/>
      <c r="BQ27" s="78">
        <f>IF(OR(BP$4=0,BP27=""),"",IFERROR(ROUND(BP27/INDEX(Undirviðmið!$F$6:$F$205,BP$4)*INDEX(Undirviðmið!$E$6:$E$205,BP$4)*KVARDI,2),""))</f>
        <v/>
      </c>
      <c r="BR27" s="66" t="n"/>
      <c r="BS27" s="78">
        <f>IF(OR(BR$4=0,BR27=""),"",IFERROR(ROUND(BR27/INDEX(Undirviðmið!$F$6:$F$205,BR$4)*INDEX(Undirviðmið!$E$6:$E$205,BR$4)*KVARDI,2),""))</f>
        <v/>
      </c>
      <c r="BT27" s="66" t="n"/>
      <c r="BU27" s="78">
        <f>IF(OR(BT$4=0,BT27=""),"",IFERROR(ROUND(BT27/INDEX(Undirviðmið!$F$6:$F$205,BT$4)*INDEX(Undirviðmið!$E$6:$E$205,BT$4)*KVARDI,2),""))</f>
        <v/>
      </c>
      <c r="BV27" s="66" t="n"/>
      <c r="BW27" s="78">
        <f>IF(OR(BV$4=0,BV27=""),"",IFERROR(ROUND(BV27/INDEX(Undirviðmið!$F$6:$F$205,BV$4)*INDEX(Undirviðmið!$E$6:$E$205,BV$4)*KVARDI,2),""))</f>
        <v/>
      </c>
      <c r="BX27" s="66" t="n"/>
      <c r="BY27" s="78">
        <f>IF(OR(BX$4=0,BX27=""),"",IFERROR(ROUND(BX27/INDEX(Undirviðmið!$F$6:$F$205,BX$4)*INDEX(Undirviðmið!$E$6:$E$205,BX$4)*KVARDI,2),""))</f>
        <v/>
      </c>
      <c r="BZ27" s="66" t="n"/>
      <c r="CA27" s="78">
        <f>IF(OR(BZ$4=0,BZ27=""),"",IFERROR(ROUND(BZ27/INDEX(Undirviðmið!$F$6:$F$205,BZ$4)*INDEX(Undirviðmið!$E$6:$E$205,BZ$4)*KVARDI,2),""))</f>
        <v/>
      </c>
      <c r="CB27" s="66" t="n"/>
      <c r="CC27" s="78">
        <f>IF(OR(CB$4=0,CB27=""),"",IFERROR(ROUND(CB27/INDEX(Undirviðmið!$F$6:$F$205,CB$4)*INDEX(Undirviðmið!$E$6:$E$205,CB$4)*KVARDI,2),""))</f>
        <v/>
      </c>
      <c r="CD27" s="66" t="n"/>
      <c r="CE27" s="78">
        <f>IF(OR(CD$4=0,CD27=""),"",IFERROR(ROUND(CD27/INDEX(Undirviðmið!$F$6:$F$205,CD$4)*INDEX(Undirviðmið!$E$6:$E$205,CD$4)*KVARDI,2),""))</f>
        <v/>
      </c>
      <c r="CF27" s="66" t="n"/>
      <c r="CG27" s="78">
        <f>IF(OR(CF$4=0,CF27=""),"",IFERROR(ROUND(CF27/INDEX(Undirviðmið!$F$6:$F$205,CF$4)*INDEX(Undirviðmið!$E$6:$E$205,CF$4)*KVARDI,2),""))</f>
        <v/>
      </c>
      <c r="CH27" s="66" t="n"/>
      <c r="CI27" s="78">
        <f>IF(OR(CH$4=0,CH27=""),"",IFERROR(ROUND(CH27/INDEX(Undirviðmið!$F$6:$F$205,CH$4)*INDEX(Undirviðmið!$E$6:$E$205,CH$4)*KVARDI,2),""))</f>
        <v/>
      </c>
      <c r="CJ27" s="66" t="n"/>
      <c r="CK27" s="78">
        <f>IF(OR(CJ$4=0,CJ27=""),"",IFERROR(ROUND(CJ27/INDEX(Undirviðmið!$F$6:$F$205,CJ$4)*INDEX(Undirviðmið!$E$6:$E$205,CJ$4)*KVARDI,2),""))</f>
        <v/>
      </c>
      <c r="CL27" s="66" t="n"/>
      <c r="CM27" s="78">
        <f>IF(OR(CL$4=0,CL27=""),"",IFERROR(ROUND(CL27/INDEX(Undirviðmið!$F$6:$F$205,CL$4)*INDEX(Undirviðmið!$E$6:$E$205,CL$4)*KVARDI,2),""))</f>
        <v/>
      </c>
      <c r="CN27" s="66" t="n"/>
      <c r="CO27" s="78">
        <f>IF(OR(CN$4=0,CN27=""),"",IFERROR(ROUND(CN27/INDEX(Undirviðmið!$F$6:$F$205,CN$4)*INDEX(Undirviðmið!$E$6:$E$205,CN$4)*KVARDI,2),""))</f>
        <v/>
      </c>
      <c r="CP27" s="66" t="n"/>
      <c r="CQ27" s="78">
        <f>IF(OR(CP$4=0,CP27=""),"",IFERROR(ROUND(CP27/INDEX(Undirviðmið!$F$6:$F$205,CP$4)*INDEX(Undirviðmið!$E$6:$E$205,CP$4)*KVARDI,2),""))</f>
        <v/>
      </c>
      <c r="CR27" s="66" t="n"/>
      <c r="CS27" s="78">
        <f>IF(OR(CR$4=0,CR27=""),"",IFERROR(ROUND(CR27/INDEX(Undirviðmið!$F$6:$F$205,CR$4)*INDEX(Undirviðmið!$E$6:$E$205,CR$4)*KVARDI,2),""))</f>
        <v/>
      </c>
      <c r="CT27" s="66" t="n"/>
      <c r="CU27" s="78">
        <f>IF(OR(CT$4=0,CT27=""),"",IFERROR(ROUND(CT27/INDEX(Undirviðmið!$F$6:$F$205,CT$4)*INDEX(Undirviðmið!$E$6:$E$205,CT$4)*KVARDI,2),""))</f>
        <v/>
      </c>
      <c r="CV27" s="66" t="n"/>
      <c r="CW27" s="78">
        <f>IF(OR(CV$4=0,CV27=""),"",IFERROR(ROUND(CV27/INDEX(Undirviðmið!$F$6:$F$205,CV$4)*INDEX(Undirviðmið!$E$6:$E$205,CV$4)*KVARDI,2),""))</f>
        <v/>
      </c>
      <c r="CX27" s="66" t="n"/>
      <c r="CY27" s="78">
        <f>IF(OR(CX$4=0,CX27=""),"",IFERROR(ROUND(CX27/INDEX(Undirviðmið!$F$6:$F$205,CX$4)*INDEX(Undirviðmið!$E$6:$E$205,CX$4)*KVARDI,2),""))</f>
        <v/>
      </c>
      <c r="CZ27" s="66" t="n"/>
      <c r="DA27" s="78">
        <f>IF(OR(CZ$4=0,CZ27=""),"",IFERROR(ROUND(CZ27/INDEX(Undirviðmið!$F$6:$F$205,CZ$4)*INDEX(Undirviðmið!$E$6:$E$205,CZ$4)*KVARDI,2),""))</f>
        <v/>
      </c>
      <c r="DB27" s="66" t="n"/>
      <c r="DC27" s="78">
        <f>IF(OR(DB$4=0,DB27=""),"",IFERROR(ROUND(DB27/INDEX(Undirviðmið!$F$6:$F$205,DB$4)*INDEX(Undirviðmið!$E$6:$E$205,DB$4)*KVARDI,2),""))</f>
        <v/>
      </c>
      <c r="DD27" s="66" t="n"/>
      <c r="DE27" s="78">
        <f>IF(OR(DD$4=0,DD27=""),"",IFERROR(ROUND(DD27/INDEX(Undirviðmið!$F$6:$F$205,DD$4)*INDEX(Undirviðmið!$E$6:$E$205,DD$4)*KVARDI,2),""))</f>
        <v/>
      </c>
      <c r="DF27" s="66" t="n"/>
      <c r="DG27" s="78">
        <f>IF(OR(DF$4=0,DF27=""),"",IFERROR(ROUND(DF27/INDEX(Undirviðmið!$F$6:$F$205,DF$4)*INDEX(Undirviðmið!$E$6:$E$205,DF$4)*KVARDI,2),""))</f>
        <v/>
      </c>
      <c r="DH27" s="66" t="n"/>
      <c r="DI27" s="78">
        <f>IF(OR(DH$4=0,DH27=""),"",IFERROR(ROUND(DH27/INDEX(Undirviðmið!$F$6:$F$205,DH$4)*INDEX(Undirviðmið!$E$6:$E$205,DH$4)*KVARDI,2),""))</f>
        <v/>
      </c>
      <c r="DJ27" s="66" t="n"/>
      <c r="DK27" s="78">
        <f>IF(OR(DJ$4=0,DJ27=""),"",IFERROR(ROUND(DJ27/INDEX(Undirviðmið!$F$6:$F$205,DJ$4)*INDEX(Undirviðmið!$E$6:$E$205,DJ$4)*KVARDI,2),""))</f>
        <v/>
      </c>
      <c r="DL27" s="66" t="n"/>
      <c r="DM27" s="78">
        <f>IF(OR(DL$4=0,DL27=""),"",IFERROR(ROUND(DL27/INDEX(Undirviðmið!$F$6:$F$205,DL$4)*INDEX(Undirviðmið!$E$6:$E$205,DL$4)*KVARDI,2),""))</f>
        <v/>
      </c>
      <c r="DN27" s="66" t="n"/>
      <c r="DO27" s="78">
        <f>IF(OR(DN$4=0,DN27=""),"",IFERROR(ROUND(DN27/INDEX(Undirviðmið!$F$6:$F$205,DN$4)*INDEX(Undirviðmið!$E$6:$E$205,DN$4)*KVARDI,2),""))</f>
        <v/>
      </c>
      <c r="DP27" s="66" t="n"/>
      <c r="DQ27" s="78">
        <f>IF(OR(DP$4=0,DP27=""),"",IFERROR(ROUND(DP27/INDEX(Undirviðmið!$F$6:$F$205,DP$4)*INDEX(Undirviðmið!$E$6:$E$205,DP$4)*KVARDI,2),""))</f>
        <v/>
      </c>
      <c r="DR27" s="66" t="n"/>
      <c r="DS27" s="78">
        <f>IF(OR(DR$4=0,DR27=""),"",IFERROR(ROUND(DR27/INDEX(Undirviðmið!$F$6:$F$205,DR$4)*INDEX(Undirviðmið!$E$6:$E$205,DR$4)*KVARDI,2),""))</f>
        <v/>
      </c>
      <c r="DT27" s="66" t="n"/>
      <c r="DU27" s="78">
        <f>IF(OR(DT$4=0,DT27=""),"",IFERROR(ROUND(DT27/INDEX(Undirviðmið!$F$6:$F$205,DT$4)*INDEX(Undirviðmið!$E$6:$E$205,DT$4)*KVARDI,2),""))</f>
        <v/>
      </c>
      <c r="DV27" s="66" t="n"/>
      <c r="DW27" s="78">
        <f>IF(OR(DV$4=0,DV27=""),"",IFERROR(ROUND(DV27/INDEX(Undirviðmið!$F$6:$F$205,DV$4)*INDEX(Undirviðmið!$E$6:$E$205,DV$4)*KVARDI,2),""))</f>
        <v/>
      </c>
      <c r="DX27" s="66" t="n"/>
      <c r="DY27" s="78">
        <f>IF(OR(DX$4=0,DX27=""),"",IFERROR(ROUND(DX27/INDEX(Undirviðmið!$F$6:$F$205,DX$4)*INDEX(Undirviðmið!$E$6:$E$205,DX$4)*KVARDI,2),""))</f>
        <v/>
      </c>
      <c r="DZ27" s="66" t="n"/>
      <c r="EA27" s="78">
        <f>IF(OR(DZ$4=0,DZ27=""),"",IFERROR(ROUND(DZ27/INDEX(Undirviðmið!$F$6:$F$205,DZ$4)*INDEX(Undirviðmið!$E$6:$E$205,DZ$4)*KVARDI,2),""))</f>
        <v/>
      </c>
      <c r="EB27" s="66" t="n"/>
      <c r="EC27" s="78">
        <f>IF(OR(EB$4=0,EB27=""),"",IFERROR(ROUND(EB27/INDEX(Undirviðmið!$F$6:$F$205,EB$4)*INDEX(Undirviðmið!$E$6:$E$205,EB$4)*KVARDI,2),""))</f>
        <v/>
      </c>
      <c r="ED27" s="66" t="n"/>
      <c r="EE27" s="78">
        <f>IF(OR(ED$4=0,ED27=""),"",IFERROR(ROUND(ED27/INDEX(Undirviðmið!$F$6:$F$205,ED$4)*INDEX(Undirviðmið!$E$6:$E$205,ED$4)*KVARDI,2),""))</f>
        <v/>
      </c>
      <c r="EF27" s="66" t="n"/>
      <c r="EG27" s="78">
        <f>IF(OR(EF$4=0,EF27=""),"",IFERROR(ROUND(EF27/INDEX(Undirviðmið!$F$6:$F$205,EF$4)*INDEX(Undirviðmið!$E$6:$E$205,EF$4)*KVARDI,2),""))</f>
        <v/>
      </c>
      <c r="EH27" s="66" t="n"/>
      <c r="EI27" s="78">
        <f>IF(OR(EH$4=0,EH27=""),"",IFERROR(ROUND(EH27/INDEX(Undirviðmið!$F$6:$F$205,EH$4)*INDEX(Undirviðmið!$E$6:$E$205,EH$4)*KVARDI,2),""))</f>
        <v/>
      </c>
      <c r="EJ27" s="66" t="n"/>
      <c r="EK27" s="78">
        <f>IF(OR(EJ$4=0,EJ27=""),"",IFERROR(ROUND(EJ27/INDEX(Undirviðmið!$F$6:$F$205,EJ$4)*INDEX(Undirviðmið!$E$6:$E$205,EJ$4)*KVARDI,2),""))</f>
        <v/>
      </c>
      <c r="EL27" s="66" t="n"/>
      <c r="EM27" s="78">
        <f>IF(OR(EL$4=0,EL27=""),"",IFERROR(ROUND(EL27/INDEX(Undirviðmið!$F$6:$F$205,EL$4)*INDEX(Undirviðmið!$E$6:$E$205,EL$4)*KVARDI,2),""))</f>
        <v/>
      </c>
      <c r="EN27" s="66" t="n"/>
      <c r="EO27" s="78">
        <f>IF(OR(EN$4=0,EN27=""),"",IFERROR(ROUND(EN27/INDEX(Undirviðmið!$F$6:$F$205,EN$4)*INDEX(Undirviðmið!$E$6:$E$205,EN$4)*KVARDI,2),""))</f>
        <v/>
      </c>
      <c r="EP27" s="66" t="n"/>
      <c r="EQ27" s="78">
        <f>IF(OR(EP$4=0,EP27=""),"",IFERROR(ROUND(EP27/INDEX(Undirviðmið!$F$6:$F$205,EP$4)*INDEX(Undirviðmið!$E$6:$E$205,EP$4)*KVARDI,2),""))</f>
        <v/>
      </c>
      <c r="ER27" s="66" t="n"/>
      <c r="ES27" s="78">
        <f>IF(OR(ER$4=0,ER27=""),"",IFERROR(ROUND(ER27/INDEX(Undirviðmið!$F$6:$F$205,ER$4)*INDEX(Undirviðmið!$E$6:$E$205,ER$4)*KVARDI,2),""))</f>
        <v/>
      </c>
      <c r="ET27" s="66" t="n"/>
      <c r="EU27" s="78">
        <f>IF(OR(ET$4=0,ET27=""),"",IFERROR(ROUND(ET27/INDEX(Undirviðmið!$F$6:$F$205,ET$4)*INDEX(Undirviðmið!$E$6:$E$205,ET$4)*KVARDI,2),""))</f>
        <v/>
      </c>
      <c r="EV27" s="66" t="n"/>
      <c r="EW27" s="78">
        <f>IF(OR(EV$4=0,EV27=""),"",IFERROR(ROUND(EV27/INDEX(Undirviðmið!$F$6:$F$205,EV$4)*INDEX(Undirviðmið!$E$6:$E$205,EV$4)*KVARDI,2),""))</f>
        <v/>
      </c>
      <c r="EX27" s="66" t="n"/>
      <c r="EY27" s="78">
        <f>IF(OR(EX$4=0,EX27=""),"",IFERROR(ROUND(EX27/INDEX(Undirviðmið!$F$6:$F$205,EX$4)*INDEX(Undirviðmið!$E$6:$E$205,EX$4)*KVARDI,2),""))</f>
        <v/>
      </c>
      <c r="EZ27" s="66" t="n"/>
      <c r="FA27" s="78">
        <f>IF(OR(EZ$4=0,EZ27=""),"",IFERROR(ROUND(EZ27/INDEX(Undirviðmið!$F$6:$F$205,EZ$4)*INDEX(Undirviðmið!$E$6:$E$205,EZ$4)*KVARDI,2),""))</f>
        <v/>
      </c>
      <c r="FB27" s="66" t="n"/>
      <c r="FC27" s="78">
        <f>IF(OR(FB$4=0,FB27=""),"",IFERROR(ROUND(FB27/INDEX(Undirviðmið!$F$6:$F$205,FB$4)*INDEX(Undirviðmið!$E$6:$E$205,FB$4)*KVARDI,2),""))</f>
        <v/>
      </c>
      <c r="FD27" s="66" t="n"/>
      <c r="FE27" s="78">
        <f>IF(OR(FD$4=0,FD27=""),"",IFERROR(ROUND(FD27/INDEX(Undirviðmið!$F$6:$F$205,FD$4)*INDEX(Undirviðmið!$E$6:$E$205,FD$4)*KVARDI,2),""))</f>
        <v/>
      </c>
      <c r="FF27" s="66" t="n"/>
      <c r="FG27" s="78">
        <f>IF(OR(FF$4=0,FF27=""),"",IFERROR(ROUND(FF27/INDEX(Undirviðmið!$F$6:$F$205,FF$4)*INDEX(Undirviðmið!$E$6:$E$205,FF$4)*KVARDI,2),""))</f>
        <v/>
      </c>
      <c r="FH27" s="66" t="n"/>
      <c r="FI27" s="78">
        <f>IF(OR(FH$4=0,FH27=""),"",IFERROR(ROUND(FH27/INDEX(Undirviðmið!$F$6:$F$205,FH$4)*INDEX(Undirviðmið!$E$6:$E$205,FH$4)*KVARDI,2),""))</f>
        <v/>
      </c>
      <c r="FJ27" s="66" t="n"/>
      <c r="FK27" s="78">
        <f>IF(OR(FJ$4=0,FJ27=""),"",IFERROR(ROUND(FJ27/INDEX(Undirviðmið!$F$6:$F$205,FJ$4)*INDEX(Undirviðmið!$E$6:$E$205,FJ$4)*KVARDI,2),""))</f>
        <v/>
      </c>
      <c r="FL27" s="66" t="n"/>
      <c r="FM27" s="78">
        <f>IF(OR(FL$4=0,FL27=""),"",IFERROR(ROUND(FL27/INDEX(Undirviðmið!$F$6:$F$205,FL$4)*INDEX(Undirviðmið!$E$6:$E$205,FL$4)*KVARDI,2),""))</f>
        <v/>
      </c>
      <c r="FN27" s="66" t="n"/>
      <c r="FO27" s="78">
        <f>IF(OR(FN$4=0,FN27=""),"",IFERROR(ROUND(FN27/INDEX(Undirviðmið!$F$6:$F$205,FN$4)*INDEX(Undirviðmið!$E$6:$E$205,FN$4)*KVARDI,2),""))</f>
        <v/>
      </c>
      <c r="FP27" s="66" t="n"/>
      <c r="FQ27" s="78">
        <f>IF(OR(FP$4=0,FP27=""),"",IFERROR(ROUND(FP27/INDEX(Undirviðmið!$F$6:$F$205,FP$4)*INDEX(Undirviðmið!$E$6:$E$205,FP$4)*KVARDI,2),""))</f>
        <v/>
      </c>
      <c r="FR27" s="66" t="n"/>
      <c r="FS27" s="78">
        <f>IF(OR(FR$4=0,FR27=""),"",IFERROR(ROUND(FR27/INDEX(Undirviðmið!$F$6:$F$205,FR$4)*INDEX(Undirviðmið!$E$6:$E$205,FR$4)*KVARDI,2),""))</f>
        <v/>
      </c>
      <c r="FT27" s="66" t="n"/>
      <c r="FU27" s="78">
        <f>IF(OR(FT$4=0,FT27=""),"",IFERROR(ROUND(FT27/INDEX(Undirviðmið!$F$6:$F$205,FT$4)*INDEX(Undirviðmið!$E$6:$E$205,FT$4)*KVARDI,2),""))</f>
        <v/>
      </c>
      <c r="FV27" s="66" t="n"/>
      <c r="FW27" s="78">
        <f>IF(OR(FV$4=0,FV27=""),"",IFERROR(ROUND(FV27/INDEX(Undirviðmið!$F$6:$F$205,FV$4)*INDEX(Undirviðmið!$E$6:$E$205,FV$4)*KVARDI,2),""))</f>
        <v/>
      </c>
      <c r="FX27" s="66" t="n"/>
      <c r="FY27" s="78">
        <f>IF(OR(FX$4=0,FX27=""),"",IFERROR(ROUND(FX27/INDEX(Undirviðmið!$F$6:$F$205,FX$4)*INDEX(Undirviðmið!$E$6:$E$205,FX$4)*KVARDI,2),""))</f>
        <v/>
      </c>
      <c r="FZ27" s="66" t="n"/>
      <c r="GA27" s="78">
        <f>IF(OR(FZ$4=0,FZ27=""),"",IFERROR(ROUND(FZ27/INDEX(Undirviðmið!$F$6:$F$205,FZ$4)*INDEX(Undirviðmið!$E$6:$E$205,FZ$4)*KVARDI,2),""))</f>
        <v/>
      </c>
      <c r="GB27" s="66" t="n"/>
      <c r="GC27" s="78">
        <f>IF(OR(GB$4=0,GB27=""),"",IFERROR(ROUND(GB27/INDEX(Undirviðmið!$F$6:$F$205,GB$4)*INDEX(Undirviðmið!$E$6:$E$205,GB$4)*KVARDI,2),""))</f>
        <v/>
      </c>
      <c r="GD27" s="66" t="n"/>
      <c r="GE27" s="78">
        <f>IF(OR(GD$4=0,GD27=""),"",IFERROR(ROUND(GD27/INDEX(Undirviðmið!$F$6:$F$205,GD$4)*INDEX(Undirviðmið!$E$6:$E$205,GD$4)*KVARDI,2),""))</f>
        <v/>
      </c>
      <c r="GF27" s="66" t="n"/>
      <c r="GG27" s="78">
        <f>IF(OR(GF$4=0,GF27=""),"",IFERROR(ROUND(GF27/INDEX(Undirviðmið!$F$6:$F$205,GF$4)*INDEX(Undirviðmið!$E$6:$E$205,GF$4)*KVARDI,2),""))</f>
        <v/>
      </c>
      <c r="GH27" s="66" t="n"/>
      <c r="GI27" s="78">
        <f>IF(OR(GH$4=0,GH27=""),"",IFERROR(ROUND(GH27/INDEX(Undirviðmið!$F$6:$F$205,GH$4)*INDEX(Undirviðmið!$E$6:$E$205,GH$4)*KVARDI,2),""))</f>
        <v/>
      </c>
      <c r="GJ27" s="66" t="n"/>
      <c r="GK27" s="78">
        <f>IF(OR(GJ$4=0,GJ27=""),"",IFERROR(ROUND(GJ27/INDEX(Undirviðmið!$F$6:$F$205,GJ$4)*INDEX(Undirviðmið!$E$6:$E$205,GJ$4)*KVARDI,2),""))</f>
        <v/>
      </c>
      <c r="GL27" s="66" t="n"/>
      <c r="GM27" s="78">
        <f>IF(OR(GL$4=0,GL27=""),"",IFERROR(ROUND(GL27/INDEX(Undirviðmið!$F$6:$F$205,GL$4)*INDEX(Undirviðmið!$E$6:$E$205,GL$4)*KVARDI,2),""))</f>
        <v/>
      </c>
      <c r="GN27" s="66" t="n"/>
      <c r="GO27" s="78">
        <f>IF(OR(GN$4=0,GN27=""),"",IFERROR(ROUND(GN27/INDEX(Undirviðmið!$F$6:$F$205,GN$4)*INDEX(Undirviðmið!$E$6:$E$205,GN$4)*KVARDI,2),""))</f>
        <v/>
      </c>
      <c r="GP27" s="66" t="n"/>
      <c r="GQ27" s="78">
        <f>IF(OR(GP$4=0,GP27=""),"",IFERROR(ROUND(GP27/INDEX(Undirviðmið!$F$6:$F$205,GP$4)*INDEX(Undirviðmið!$E$6:$E$205,GP$4)*KVARDI,2),""))</f>
        <v/>
      </c>
      <c r="GR27" s="66" t="n"/>
      <c r="GS27" s="78">
        <f>IF(OR(GR$4=0,GR27=""),"",IFERROR(ROUND(GR27/INDEX(Undirviðmið!$F$6:$F$205,GR$4)*INDEX(Undirviðmið!$E$6:$E$205,GR$4)*KVARDI,2),""))</f>
        <v/>
      </c>
      <c r="GT27" s="66" t="n"/>
      <c r="GU27" s="78">
        <f>IF(OR(GT$4=0,GT27=""),"",IFERROR(ROUND(GT27/INDEX(Undirviðmið!$F$6:$F$205,GT$4)*INDEX(Undirviðmið!$E$6:$E$205,GT$4)*KVARDI,2),""))</f>
        <v/>
      </c>
      <c r="GV27" s="63">
        <f>IFERROR(SUMIF($D$6:GU$6,"Stig",$D27:GU27),0)</f>
        <v/>
      </c>
    </row>
    <row r="28" ht="15" customHeight="1" s="47">
      <c r="A28" s="65">
        <f>ROW()-6</f>
        <v/>
      </c>
      <c r="B28" s="67">
        <f>IF(INDEX(Starfsmenn!$B$6:$B$10005,ROW()-6)="","",INDEX(Starfsmenn!$B$6:$B$10005,ROW()-6))</f>
        <v/>
      </c>
      <c r="C28" s="67">
        <f>IF(INDEX(Starfsmenn!$C$6:$C$10005,ROW()-6)="","",INDEX(Starfsmenn!$C$6:$C$10005,ROW()-6))</f>
        <v/>
      </c>
      <c r="D28" s="66" t="n"/>
      <c r="E28" s="78">
        <f>IF(OR(D$4=0,D28=""),"",IFERROR(ROUND(D28/INDEX(Undirviðmið!$F$6:$F$205,D$4)*INDEX(Undirviðmið!$E$6:$E$205,D$4)*KVARDI,2),""))</f>
        <v/>
      </c>
      <c r="F28" s="66" t="n"/>
      <c r="G28" s="78">
        <f>IF(OR(F$4=0,F28=""),"",IFERROR(ROUND(F28/INDEX(Undirviðmið!$F$6:$F$205,F$4)*INDEX(Undirviðmið!$E$6:$E$205,F$4)*KVARDI,2),""))</f>
        <v/>
      </c>
      <c r="H28" s="66" t="n"/>
      <c r="I28" s="78">
        <f>IF(OR(H$4=0,H28=""),"",IFERROR(ROUND(H28/INDEX(Undirviðmið!$F$6:$F$205,H$4)*INDEX(Undirviðmið!$E$6:$E$205,H$4)*KVARDI,2),""))</f>
        <v/>
      </c>
      <c r="J28" s="66" t="n"/>
      <c r="K28" s="78">
        <f>IF(OR(J$4=0,J28=""),"",IFERROR(ROUND(J28/INDEX(Undirviðmið!$F$6:$F$205,J$4)*INDEX(Undirviðmið!$E$6:$E$205,J$4)*KVARDI,2),""))</f>
        <v/>
      </c>
      <c r="L28" s="66" t="n"/>
      <c r="M28" s="78">
        <f>IF(OR(L$4=0,L28=""),"",IFERROR(ROUND(L28/INDEX(Undirviðmið!$F$6:$F$205,L$4)*INDEX(Undirviðmið!$E$6:$E$205,L$4)*KVARDI,2),""))</f>
        <v/>
      </c>
      <c r="N28" s="66" t="n"/>
      <c r="O28" s="78">
        <f>IF(OR(N$4=0,N28=""),"",IFERROR(ROUND(N28/INDEX(Undirviðmið!$F$6:$F$205,N$4)*INDEX(Undirviðmið!$E$6:$E$205,N$4)*KVARDI,2),""))</f>
        <v/>
      </c>
      <c r="P28" s="66" t="n"/>
      <c r="Q28" s="78">
        <f>IF(OR(P$4=0,P28=""),"",IFERROR(ROUND(P28/INDEX(Undirviðmið!$F$6:$F$205,P$4)*INDEX(Undirviðmið!$E$6:$E$205,P$4)*KVARDI,2),""))</f>
        <v/>
      </c>
      <c r="R28" s="66" t="n"/>
      <c r="S28" s="78">
        <f>IF(OR(R$4=0,R28=""),"",IFERROR(ROUND(R28/INDEX(Undirviðmið!$F$6:$F$205,R$4)*INDEX(Undirviðmið!$E$6:$E$205,R$4)*KVARDI,2),""))</f>
        <v/>
      </c>
      <c r="T28" s="66" t="n"/>
      <c r="U28" s="78">
        <f>IF(OR(T$4=0,T28=""),"",IFERROR(ROUND(T28/INDEX(Undirviðmið!$F$6:$F$205,T$4)*INDEX(Undirviðmið!$E$6:$E$205,T$4)*KVARDI,2),""))</f>
        <v/>
      </c>
      <c r="V28" s="66" t="n"/>
      <c r="W28" s="78">
        <f>IF(OR(V$4=0,V28=""),"",IFERROR(ROUND(V28/INDEX(Undirviðmið!$F$6:$F$205,V$4)*INDEX(Undirviðmið!$E$6:$E$205,V$4)*KVARDI,2),""))</f>
        <v/>
      </c>
      <c r="X28" s="66" t="n"/>
      <c r="Y28" s="78">
        <f>IF(OR(X$4=0,X28=""),"",IFERROR(ROUND(X28/INDEX(Undirviðmið!$F$6:$F$205,X$4)*INDEX(Undirviðmið!$E$6:$E$205,X$4)*KVARDI,2),""))</f>
        <v/>
      </c>
      <c r="Z28" s="66" t="n"/>
      <c r="AA28" s="78">
        <f>IF(OR(Z$4=0,Z28=""),"",IFERROR(ROUND(Z28/INDEX(Undirviðmið!$F$6:$F$205,Z$4)*INDEX(Undirviðmið!$E$6:$E$205,Z$4)*KVARDI,2),""))</f>
        <v/>
      </c>
      <c r="AB28" s="66" t="n"/>
      <c r="AC28" s="78">
        <f>IF(OR(AB$4=0,AB28=""),"",IFERROR(ROUND(AB28/INDEX(Undirviðmið!$F$6:$F$205,AB$4)*INDEX(Undirviðmið!$E$6:$E$205,AB$4)*KVARDI,2),""))</f>
        <v/>
      </c>
      <c r="AD28" s="66" t="n"/>
      <c r="AE28" s="78">
        <f>IF(OR(AD$4=0,AD28=""),"",IFERROR(ROUND(AD28/INDEX(Undirviðmið!$F$6:$F$205,AD$4)*INDEX(Undirviðmið!$E$6:$E$205,AD$4)*KVARDI,2),""))</f>
        <v/>
      </c>
      <c r="AF28" s="66" t="n"/>
      <c r="AG28" s="78">
        <f>IF(OR(AF$4=0,AF28=""),"",IFERROR(ROUND(AF28/INDEX(Undirviðmið!$F$6:$F$205,AF$4)*INDEX(Undirviðmið!$E$6:$E$205,AF$4)*KVARDI,2),""))</f>
        <v/>
      </c>
      <c r="AH28" s="66" t="n"/>
      <c r="AI28" s="78">
        <f>IF(OR(AH$4=0,AH28=""),"",IFERROR(ROUND(AH28/INDEX(Undirviðmið!$F$6:$F$205,AH$4)*INDEX(Undirviðmið!$E$6:$E$205,AH$4)*KVARDI,2),""))</f>
        <v/>
      </c>
      <c r="AJ28" s="66" t="n"/>
      <c r="AK28" s="78">
        <f>IF(OR(AJ$4=0,AJ28=""),"",IFERROR(ROUND(AJ28/INDEX(Undirviðmið!$F$6:$F$205,AJ$4)*INDEX(Undirviðmið!$E$6:$E$205,AJ$4)*KVARDI,2),""))</f>
        <v/>
      </c>
      <c r="AL28" s="66" t="n"/>
      <c r="AM28" s="78">
        <f>IF(OR(AL$4=0,AL28=""),"",IFERROR(ROUND(AL28/INDEX(Undirviðmið!$F$6:$F$205,AL$4)*INDEX(Undirviðmið!$E$6:$E$205,AL$4)*KVARDI,2),""))</f>
        <v/>
      </c>
      <c r="AN28" s="66" t="n"/>
      <c r="AO28" s="78">
        <f>IF(OR(AN$4=0,AN28=""),"",IFERROR(ROUND(AN28/INDEX(Undirviðmið!$F$6:$F$205,AN$4)*INDEX(Undirviðmið!$E$6:$E$205,AN$4)*KVARDI,2),""))</f>
        <v/>
      </c>
      <c r="AP28" s="66" t="n"/>
      <c r="AQ28" s="78">
        <f>IF(OR(AP$4=0,AP28=""),"",IFERROR(ROUND(AP28/INDEX(Undirviðmið!$F$6:$F$205,AP$4)*INDEX(Undirviðmið!$E$6:$E$205,AP$4)*KVARDI,2),""))</f>
        <v/>
      </c>
      <c r="AR28" s="66" t="n"/>
      <c r="AS28" s="78">
        <f>IF(OR(AR$4=0,AR28=""),"",IFERROR(ROUND(AR28/INDEX(Undirviðmið!$F$6:$F$205,AR$4)*INDEX(Undirviðmið!$E$6:$E$205,AR$4)*KVARDI,2),""))</f>
        <v/>
      </c>
      <c r="AT28" s="66" t="n"/>
      <c r="AU28" s="78">
        <f>IF(OR(AT$4=0,AT28=""),"",IFERROR(ROUND(AT28/INDEX(Undirviðmið!$F$6:$F$205,AT$4)*INDEX(Undirviðmið!$E$6:$E$205,AT$4)*KVARDI,2),""))</f>
        <v/>
      </c>
      <c r="AV28" s="66" t="n"/>
      <c r="AW28" s="78">
        <f>IF(OR(AV$4=0,AV28=""),"",IFERROR(ROUND(AV28/INDEX(Undirviðmið!$F$6:$F$205,AV$4)*INDEX(Undirviðmið!$E$6:$E$205,AV$4)*KVARDI,2),""))</f>
        <v/>
      </c>
      <c r="AX28" s="66" t="n"/>
      <c r="AY28" s="78">
        <f>IF(OR(AX$4=0,AX28=""),"",IFERROR(ROUND(AX28/INDEX(Undirviðmið!$F$6:$F$205,AX$4)*INDEX(Undirviðmið!$E$6:$E$205,AX$4)*KVARDI,2),""))</f>
        <v/>
      </c>
      <c r="AZ28" s="66" t="n"/>
      <c r="BA28" s="78">
        <f>IF(OR(AZ$4=0,AZ28=""),"",IFERROR(ROUND(AZ28/INDEX(Undirviðmið!$F$6:$F$205,AZ$4)*INDEX(Undirviðmið!$E$6:$E$205,AZ$4)*KVARDI,2),""))</f>
        <v/>
      </c>
      <c r="BB28" s="66" t="n"/>
      <c r="BC28" s="78">
        <f>IF(OR(BB$4=0,BB28=""),"",IFERROR(ROUND(BB28/INDEX(Undirviðmið!$F$6:$F$205,BB$4)*INDEX(Undirviðmið!$E$6:$E$205,BB$4)*KVARDI,2),""))</f>
        <v/>
      </c>
      <c r="BD28" s="66" t="n"/>
      <c r="BE28" s="78">
        <f>IF(OR(BD$4=0,BD28=""),"",IFERROR(ROUND(BD28/INDEX(Undirviðmið!$F$6:$F$205,BD$4)*INDEX(Undirviðmið!$E$6:$E$205,BD$4)*KVARDI,2),""))</f>
        <v/>
      </c>
      <c r="BF28" s="66" t="n"/>
      <c r="BG28" s="78">
        <f>IF(OR(BF$4=0,BF28=""),"",IFERROR(ROUND(BF28/INDEX(Undirviðmið!$F$6:$F$205,BF$4)*INDEX(Undirviðmið!$E$6:$E$205,BF$4)*KVARDI,2),""))</f>
        <v/>
      </c>
      <c r="BH28" s="66" t="n"/>
      <c r="BI28" s="78">
        <f>IF(OR(BH$4=0,BH28=""),"",IFERROR(ROUND(BH28/INDEX(Undirviðmið!$F$6:$F$205,BH$4)*INDEX(Undirviðmið!$E$6:$E$205,BH$4)*KVARDI,2),""))</f>
        <v/>
      </c>
      <c r="BJ28" s="66" t="n"/>
      <c r="BK28" s="78">
        <f>IF(OR(BJ$4=0,BJ28=""),"",IFERROR(ROUND(BJ28/INDEX(Undirviðmið!$F$6:$F$205,BJ$4)*INDEX(Undirviðmið!$E$6:$E$205,BJ$4)*KVARDI,2),""))</f>
        <v/>
      </c>
      <c r="BL28" s="66" t="n"/>
      <c r="BM28" s="78">
        <f>IF(OR(BL$4=0,BL28=""),"",IFERROR(ROUND(BL28/INDEX(Undirviðmið!$F$6:$F$205,BL$4)*INDEX(Undirviðmið!$E$6:$E$205,BL$4)*KVARDI,2),""))</f>
        <v/>
      </c>
      <c r="BN28" s="66" t="n"/>
      <c r="BO28" s="78">
        <f>IF(OR(BN$4=0,BN28=""),"",IFERROR(ROUND(BN28/INDEX(Undirviðmið!$F$6:$F$205,BN$4)*INDEX(Undirviðmið!$E$6:$E$205,BN$4)*KVARDI,2),""))</f>
        <v/>
      </c>
      <c r="BP28" s="66" t="n"/>
      <c r="BQ28" s="78">
        <f>IF(OR(BP$4=0,BP28=""),"",IFERROR(ROUND(BP28/INDEX(Undirviðmið!$F$6:$F$205,BP$4)*INDEX(Undirviðmið!$E$6:$E$205,BP$4)*KVARDI,2),""))</f>
        <v/>
      </c>
      <c r="BR28" s="66" t="n"/>
      <c r="BS28" s="78">
        <f>IF(OR(BR$4=0,BR28=""),"",IFERROR(ROUND(BR28/INDEX(Undirviðmið!$F$6:$F$205,BR$4)*INDEX(Undirviðmið!$E$6:$E$205,BR$4)*KVARDI,2),""))</f>
        <v/>
      </c>
      <c r="BT28" s="66" t="n"/>
      <c r="BU28" s="78">
        <f>IF(OR(BT$4=0,BT28=""),"",IFERROR(ROUND(BT28/INDEX(Undirviðmið!$F$6:$F$205,BT$4)*INDEX(Undirviðmið!$E$6:$E$205,BT$4)*KVARDI,2),""))</f>
        <v/>
      </c>
      <c r="BV28" s="66" t="n"/>
      <c r="BW28" s="78">
        <f>IF(OR(BV$4=0,BV28=""),"",IFERROR(ROUND(BV28/INDEX(Undirviðmið!$F$6:$F$205,BV$4)*INDEX(Undirviðmið!$E$6:$E$205,BV$4)*KVARDI,2),""))</f>
        <v/>
      </c>
      <c r="BX28" s="66" t="n"/>
      <c r="BY28" s="78">
        <f>IF(OR(BX$4=0,BX28=""),"",IFERROR(ROUND(BX28/INDEX(Undirviðmið!$F$6:$F$205,BX$4)*INDEX(Undirviðmið!$E$6:$E$205,BX$4)*KVARDI,2),""))</f>
        <v/>
      </c>
      <c r="BZ28" s="66" t="n"/>
      <c r="CA28" s="78">
        <f>IF(OR(BZ$4=0,BZ28=""),"",IFERROR(ROUND(BZ28/INDEX(Undirviðmið!$F$6:$F$205,BZ$4)*INDEX(Undirviðmið!$E$6:$E$205,BZ$4)*KVARDI,2),""))</f>
        <v/>
      </c>
      <c r="CB28" s="66" t="n"/>
      <c r="CC28" s="78">
        <f>IF(OR(CB$4=0,CB28=""),"",IFERROR(ROUND(CB28/INDEX(Undirviðmið!$F$6:$F$205,CB$4)*INDEX(Undirviðmið!$E$6:$E$205,CB$4)*KVARDI,2),""))</f>
        <v/>
      </c>
      <c r="CD28" s="66" t="n"/>
      <c r="CE28" s="78">
        <f>IF(OR(CD$4=0,CD28=""),"",IFERROR(ROUND(CD28/INDEX(Undirviðmið!$F$6:$F$205,CD$4)*INDEX(Undirviðmið!$E$6:$E$205,CD$4)*KVARDI,2),""))</f>
        <v/>
      </c>
      <c r="CF28" s="66" t="n"/>
      <c r="CG28" s="78">
        <f>IF(OR(CF$4=0,CF28=""),"",IFERROR(ROUND(CF28/INDEX(Undirviðmið!$F$6:$F$205,CF$4)*INDEX(Undirviðmið!$E$6:$E$205,CF$4)*KVARDI,2),""))</f>
        <v/>
      </c>
      <c r="CH28" s="66" t="n"/>
      <c r="CI28" s="78">
        <f>IF(OR(CH$4=0,CH28=""),"",IFERROR(ROUND(CH28/INDEX(Undirviðmið!$F$6:$F$205,CH$4)*INDEX(Undirviðmið!$E$6:$E$205,CH$4)*KVARDI,2),""))</f>
        <v/>
      </c>
      <c r="CJ28" s="66" t="n"/>
      <c r="CK28" s="78">
        <f>IF(OR(CJ$4=0,CJ28=""),"",IFERROR(ROUND(CJ28/INDEX(Undirviðmið!$F$6:$F$205,CJ$4)*INDEX(Undirviðmið!$E$6:$E$205,CJ$4)*KVARDI,2),""))</f>
        <v/>
      </c>
      <c r="CL28" s="66" t="n"/>
      <c r="CM28" s="78">
        <f>IF(OR(CL$4=0,CL28=""),"",IFERROR(ROUND(CL28/INDEX(Undirviðmið!$F$6:$F$205,CL$4)*INDEX(Undirviðmið!$E$6:$E$205,CL$4)*KVARDI,2),""))</f>
        <v/>
      </c>
      <c r="CN28" s="66" t="n"/>
      <c r="CO28" s="78">
        <f>IF(OR(CN$4=0,CN28=""),"",IFERROR(ROUND(CN28/INDEX(Undirviðmið!$F$6:$F$205,CN$4)*INDEX(Undirviðmið!$E$6:$E$205,CN$4)*KVARDI,2),""))</f>
        <v/>
      </c>
      <c r="CP28" s="66" t="n"/>
      <c r="CQ28" s="78">
        <f>IF(OR(CP$4=0,CP28=""),"",IFERROR(ROUND(CP28/INDEX(Undirviðmið!$F$6:$F$205,CP$4)*INDEX(Undirviðmið!$E$6:$E$205,CP$4)*KVARDI,2),""))</f>
        <v/>
      </c>
      <c r="CR28" s="66" t="n"/>
      <c r="CS28" s="78">
        <f>IF(OR(CR$4=0,CR28=""),"",IFERROR(ROUND(CR28/INDEX(Undirviðmið!$F$6:$F$205,CR$4)*INDEX(Undirviðmið!$E$6:$E$205,CR$4)*KVARDI,2),""))</f>
        <v/>
      </c>
      <c r="CT28" s="66" t="n"/>
      <c r="CU28" s="78">
        <f>IF(OR(CT$4=0,CT28=""),"",IFERROR(ROUND(CT28/INDEX(Undirviðmið!$F$6:$F$205,CT$4)*INDEX(Undirviðmið!$E$6:$E$205,CT$4)*KVARDI,2),""))</f>
        <v/>
      </c>
      <c r="CV28" s="66" t="n"/>
      <c r="CW28" s="78">
        <f>IF(OR(CV$4=0,CV28=""),"",IFERROR(ROUND(CV28/INDEX(Undirviðmið!$F$6:$F$205,CV$4)*INDEX(Undirviðmið!$E$6:$E$205,CV$4)*KVARDI,2),""))</f>
        <v/>
      </c>
      <c r="CX28" s="66" t="n"/>
      <c r="CY28" s="78">
        <f>IF(OR(CX$4=0,CX28=""),"",IFERROR(ROUND(CX28/INDEX(Undirviðmið!$F$6:$F$205,CX$4)*INDEX(Undirviðmið!$E$6:$E$205,CX$4)*KVARDI,2),""))</f>
        <v/>
      </c>
      <c r="CZ28" s="66" t="n"/>
      <c r="DA28" s="78">
        <f>IF(OR(CZ$4=0,CZ28=""),"",IFERROR(ROUND(CZ28/INDEX(Undirviðmið!$F$6:$F$205,CZ$4)*INDEX(Undirviðmið!$E$6:$E$205,CZ$4)*KVARDI,2),""))</f>
        <v/>
      </c>
      <c r="DB28" s="66" t="n"/>
      <c r="DC28" s="78">
        <f>IF(OR(DB$4=0,DB28=""),"",IFERROR(ROUND(DB28/INDEX(Undirviðmið!$F$6:$F$205,DB$4)*INDEX(Undirviðmið!$E$6:$E$205,DB$4)*KVARDI,2),""))</f>
        <v/>
      </c>
      <c r="DD28" s="66" t="n"/>
      <c r="DE28" s="78">
        <f>IF(OR(DD$4=0,DD28=""),"",IFERROR(ROUND(DD28/INDEX(Undirviðmið!$F$6:$F$205,DD$4)*INDEX(Undirviðmið!$E$6:$E$205,DD$4)*KVARDI,2),""))</f>
        <v/>
      </c>
      <c r="DF28" s="66" t="n"/>
      <c r="DG28" s="78">
        <f>IF(OR(DF$4=0,DF28=""),"",IFERROR(ROUND(DF28/INDEX(Undirviðmið!$F$6:$F$205,DF$4)*INDEX(Undirviðmið!$E$6:$E$205,DF$4)*KVARDI,2),""))</f>
        <v/>
      </c>
      <c r="DH28" s="66" t="n"/>
      <c r="DI28" s="78">
        <f>IF(OR(DH$4=0,DH28=""),"",IFERROR(ROUND(DH28/INDEX(Undirviðmið!$F$6:$F$205,DH$4)*INDEX(Undirviðmið!$E$6:$E$205,DH$4)*KVARDI,2),""))</f>
        <v/>
      </c>
      <c r="DJ28" s="66" t="n"/>
      <c r="DK28" s="78">
        <f>IF(OR(DJ$4=0,DJ28=""),"",IFERROR(ROUND(DJ28/INDEX(Undirviðmið!$F$6:$F$205,DJ$4)*INDEX(Undirviðmið!$E$6:$E$205,DJ$4)*KVARDI,2),""))</f>
        <v/>
      </c>
      <c r="DL28" s="66" t="n"/>
      <c r="DM28" s="78">
        <f>IF(OR(DL$4=0,DL28=""),"",IFERROR(ROUND(DL28/INDEX(Undirviðmið!$F$6:$F$205,DL$4)*INDEX(Undirviðmið!$E$6:$E$205,DL$4)*KVARDI,2),""))</f>
        <v/>
      </c>
      <c r="DN28" s="66" t="n"/>
      <c r="DO28" s="78">
        <f>IF(OR(DN$4=0,DN28=""),"",IFERROR(ROUND(DN28/INDEX(Undirviðmið!$F$6:$F$205,DN$4)*INDEX(Undirviðmið!$E$6:$E$205,DN$4)*KVARDI,2),""))</f>
        <v/>
      </c>
      <c r="DP28" s="66" t="n"/>
      <c r="DQ28" s="78">
        <f>IF(OR(DP$4=0,DP28=""),"",IFERROR(ROUND(DP28/INDEX(Undirviðmið!$F$6:$F$205,DP$4)*INDEX(Undirviðmið!$E$6:$E$205,DP$4)*KVARDI,2),""))</f>
        <v/>
      </c>
      <c r="DR28" s="66" t="n"/>
      <c r="DS28" s="78">
        <f>IF(OR(DR$4=0,DR28=""),"",IFERROR(ROUND(DR28/INDEX(Undirviðmið!$F$6:$F$205,DR$4)*INDEX(Undirviðmið!$E$6:$E$205,DR$4)*KVARDI,2),""))</f>
        <v/>
      </c>
      <c r="DT28" s="66" t="n"/>
      <c r="DU28" s="78">
        <f>IF(OR(DT$4=0,DT28=""),"",IFERROR(ROUND(DT28/INDEX(Undirviðmið!$F$6:$F$205,DT$4)*INDEX(Undirviðmið!$E$6:$E$205,DT$4)*KVARDI,2),""))</f>
        <v/>
      </c>
      <c r="DV28" s="66" t="n"/>
      <c r="DW28" s="78">
        <f>IF(OR(DV$4=0,DV28=""),"",IFERROR(ROUND(DV28/INDEX(Undirviðmið!$F$6:$F$205,DV$4)*INDEX(Undirviðmið!$E$6:$E$205,DV$4)*KVARDI,2),""))</f>
        <v/>
      </c>
      <c r="DX28" s="66" t="n"/>
      <c r="DY28" s="78">
        <f>IF(OR(DX$4=0,DX28=""),"",IFERROR(ROUND(DX28/INDEX(Undirviðmið!$F$6:$F$205,DX$4)*INDEX(Undirviðmið!$E$6:$E$205,DX$4)*KVARDI,2),""))</f>
        <v/>
      </c>
      <c r="DZ28" s="66" t="n"/>
      <c r="EA28" s="78">
        <f>IF(OR(DZ$4=0,DZ28=""),"",IFERROR(ROUND(DZ28/INDEX(Undirviðmið!$F$6:$F$205,DZ$4)*INDEX(Undirviðmið!$E$6:$E$205,DZ$4)*KVARDI,2),""))</f>
        <v/>
      </c>
      <c r="EB28" s="66" t="n"/>
      <c r="EC28" s="78">
        <f>IF(OR(EB$4=0,EB28=""),"",IFERROR(ROUND(EB28/INDEX(Undirviðmið!$F$6:$F$205,EB$4)*INDEX(Undirviðmið!$E$6:$E$205,EB$4)*KVARDI,2),""))</f>
        <v/>
      </c>
      <c r="ED28" s="66" t="n"/>
      <c r="EE28" s="78">
        <f>IF(OR(ED$4=0,ED28=""),"",IFERROR(ROUND(ED28/INDEX(Undirviðmið!$F$6:$F$205,ED$4)*INDEX(Undirviðmið!$E$6:$E$205,ED$4)*KVARDI,2),""))</f>
        <v/>
      </c>
      <c r="EF28" s="66" t="n"/>
      <c r="EG28" s="78">
        <f>IF(OR(EF$4=0,EF28=""),"",IFERROR(ROUND(EF28/INDEX(Undirviðmið!$F$6:$F$205,EF$4)*INDEX(Undirviðmið!$E$6:$E$205,EF$4)*KVARDI,2),""))</f>
        <v/>
      </c>
      <c r="EH28" s="66" t="n"/>
      <c r="EI28" s="78">
        <f>IF(OR(EH$4=0,EH28=""),"",IFERROR(ROUND(EH28/INDEX(Undirviðmið!$F$6:$F$205,EH$4)*INDEX(Undirviðmið!$E$6:$E$205,EH$4)*KVARDI,2),""))</f>
        <v/>
      </c>
      <c r="EJ28" s="66" t="n"/>
      <c r="EK28" s="78">
        <f>IF(OR(EJ$4=0,EJ28=""),"",IFERROR(ROUND(EJ28/INDEX(Undirviðmið!$F$6:$F$205,EJ$4)*INDEX(Undirviðmið!$E$6:$E$205,EJ$4)*KVARDI,2),""))</f>
        <v/>
      </c>
      <c r="EL28" s="66" t="n"/>
      <c r="EM28" s="78">
        <f>IF(OR(EL$4=0,EL28=""),"",IFERROR(ROUND(EL28/INDEX(Undirviðmið!$F$6:$F$205,EL$4)*INDEX(Undirviðmið!$E$6:$E$205,EL$4)*KVARDI,2),""))</f>
        <v/>
      </c>
      <c r="EN28" s="66" t="n"/>
      <c r="EO28" s="78">
        <f>IF(OR(EN$4=0,EN28=""),"",IFERROR(ROUND(EN28/INDEX(Undirviðmið!$F$6:$F$205,EN$4)*INDEX(Undirviðmið!$E$6:$E$205,EN$4)*KVARDI,2),""))</f>
        <v/>
      </c>
      <c r="EP28" s="66" t="n"/>
      <c r="EQ28" s="78">
        <f>IF(OR(EP$4=0,EP28=""),"",IFERROR(ROUND(EP28/INDEX(Undirviðmið!$F$6:$F$205,EP$4)*INDEX(Undirviðmið!$E$6:$E$205,EP$4)*KVARDI,2),""))</f>
        <v/>
      </c>
      <c r="ER28" s="66" t="n"/>
      <c r="ES28" s="78">
        <f>IF(OR(ER$4=0,ER28=""),"",IFERROR(ROUND(ER28/INDEX(Undirviðmið!$F$6:$F$205,ER$4)*INDEX(Undirviðmið!$E$6:$E$205,ER$4)*KVARDI,2),""))</f>
        <v/>
      </c>
      <c r="ET28" s="66" t="n"/>
      <c r="EU28" s="78">
        <f>IF(OR(ET$4=0,ET28=""),"",IFERROR(ROUND(ET28/INDEX(Undirviðmið!$F$6:$F$205,ET$4)*INDEX(Undirviðmið!$E$6:$E$205,ET$4)*KVARDI,2),""))</f>
        <v/>
      </c>
      <c r="EV28" s="66" t="n"/>
      <c r="EW28" s="78">
        <f>IF(OR(EV$4=0,EV28=""),"",IFERROR(ROUND(EV28/INDEX(Undirviðmið!$F$6:$F$205,EV$4)*INDEX(Undirviðmið!$E$6:$E$205,EV$4)*KVARDI,2),""))</f>
        <v/>
      </c>
      <c r="EX28" s="66" t="n"/>
      <c r="EY28" s="78">
        <f>IF(OR(EX$4=0,EX28=""),"",IFERROR(ROUND(EX28/INDEX(Undirviðmið!$F$6:$F$205,EX$4)*INDEX(Undirviðmið!$E$6:$E$205,EX$4)*KVARDI,2),""))</f>
        <v/>
      </c>
      <c r="EZ28" s="66" t="n"/>
      <c r="FA28" s="78">
        <f>IF(OR(EZ$4=0,EZ28=""),"",IFERROR(ROUND(EZ28/INDEX(Undirviðmið!$F$6:$F$205,EZ$4)*INDEX(Undirviðmið!$E$6:$E$205,EZ$4)*KVARDI,2),""))</f>
        <v/>
      </c>
      <c r="FB28" s="66" t="n"/>
      <c r="FC28" s="78">
        <f>IF(OR(FB$4=0,FB28=""),"",IFERROR(ROUND(FB28/INDEX(Undirviðmið!$F$6:$F$205,FB$4)*INDEX(Undirviðmið!$E$6:$E$205,FB$4)*KVARDI,2),""))</f>
        <v/>
      </c>
      <c r="FD28" s="66" t="n"/>
      <c r="FE28" s="78">
        <f>IF(OR(FD$4=0,FD28=""),"",IFERROR(ROUND(FD28/INDEX(Undirviðmið!$F$6:$F$205,FD$4)*INDEX(Undirviðmið!$E$6:$E$205,FD$4)*KVARDI,2),""))</f>
        <v/>
      </c>
      <c r="FF28" s="66" t="n"/>
      <c r="FG28" s="78">
        <f>IF(OR(FF$4=0,FF28=""),"",IFERROR(ROUND(FF28/INDEX(Undirviðmið!$F$6:$F$205,FF$4)*INDEX(Undirviðmið!$E$6:$E$205,FF$4)*KVARDI,2),""))</f>
        <v/>
      </c>
      <c r="FH28" s="66" t="n"/>
      <c r="FI28" s="78">
        <f>IF(OR(FH$4=0,FH28=""),"",IFERROR(ROUND(FH28/INDEX(Undirviðmið!$F$6:$F$205,FH$4)*INDEX(Undirviðmið!$E$6:$E$205,FH$4)*KVARDI,2),""))</f>
        <v/>
      </c>
      <c r="FJ28" s="66" t="n"/>
      <c r="FK28" s="78">
        <f>IF(OR(FJ$4=0,FJ28=""),"",IFERROR(ROUND(FJ28/INDEX(Undirviðmið!$F$6:$F$205,FJ$4)*INDEX(Undirviðmið!$E$6:$E$205,FJ$4)*KVARDI,2),""))</f>
        <v/>
      </c>
      <c r="FL28" s="66" t="n"/>
      <c r="FM28" s="78">
        <f>IF(OR(FL$4=0,FL28=""),"",IFERROR(ROUND(FL28/INDEX(Undirviðmið!$F$6:$F$205,FL$4)*INDEX(Undirviðmið!$E$6:$E$205,FL$4)*KVARDI,2),""))</f>
        <v/>
      </c>
      <c r="FN28" s="66" t="n"/>
      <c r="FO28" s="78">
        <f>IF(OR(FN$4=0,FN28=""),"",IFERROR(ROUND(FN28/INDEX(Undirviðmið!$F$6:$F$205,FN$4)*INDEX(Undirviðmið!$E$6:$E$205,FN$4)*KVARDI,2),""))</f>
        <v/>
      </c>
      <c r="FP28" s="66" t="n"/>
      <c r="FQ28" s="78">
        <f>IF(OR(FP$4=0,FP28=""),"",IFERROR(ROUND(FP28/INDEX(Undirviðmið!$F$6:$F$205,FP$4)*INDEX(Undirviðmið!$E$6:$E$205,FP$4)*KVARDI,2),""))</f>
        <v/>
      </c>
      <c r="FR28" s="66" t="n"/>
      <c r="FS28" s="78">
        <f>IF(OR(FR$4=0,FR28=""),"",IFERROR(ROUND(FR28/INDEX(Undirviðmið!$F$6:$F$205,FR$4)*INDEX(Undirviðmið!$E$6:$E$205,FR$4)*KVARDI,2),""))</f>
        <v/>
      </c>
      <c r="FT28" s="66" t="n"/>
      <c r="FU28" s="78">
        <f>IF(OR(FT$4=0,FT28=""),"",IFERROR(ROUND(FT28/INDEX(Undirviðmið!$F$6:$F$205,FT$4)*INDEX(Undirviðmið!$E$6:$E$205,FT$4)*KVARDI,2),""))</f>
        <v/>
      </c>
      <c r="FV28" s="66" t="n"/>
      <c r="FW28" s="78">
        <f>IF(OR(FV$4=0,FV28=""),"",IFERROR(ROUND(FV28/INDEX(Undirviðmið!$F$6:$F$205,FV$4)*INDEX(Undirviðmið!$E$6:$E$205,FV$4)*KVARDI,2),""))</f>
        <v/>
      </c>
      <c r="FX28" s="66" t="n"/>
      <c r="FY28" s="78">
        <f>IF(OR(FX$4=0,FX28=""),"",IFERROR(ROUND(FX28/INDEX(Undirviðmið!$F$6:$F$205,FX$4)*INDEX(Undirviðmið!$E$6:$E$205,FX$4)*KVARDI,2),""))</f>
        <v/>
      </c>
      <c r="FZ28" s="66" t="n"/>
      <c r="GA28" s="78">
        <f>IF(OR(FZ$4=0,FZ28=""),"",IFERROR(ROUND(FZ28/INDEX(Undirviðmið!$F$6:$F$205,FZ$4)*INDEX(Undirviðmið!$E$6:$E$205,FZ$4)*KVARDI,2),""))</f>
        <v/>
      </c>
      <c r="GB28" s="66" t="n"/>
      <c r="GC28" s="78">
        <f>IF(OR(GB$4=0,GB28=""),"",IFERROR(ROUND(GB28/INDEX(Undirviðmið!$F$6:$F$205,GB$4)*INDEX(Undirviðmið!$E$6:$E$205,GB$4)*KVARDI,2),""))</f>
        <v/>
      </c>
      <c r="GD28" s="66" t="n"/>
      <c r="GE28" s="78">
        <f>IF(OR(GD$4=0,GD28=""),"",IFERROR(ROUND(GD28/INDEX(Undirviðmið!$F$6:$F$205,GD$4)*INDEX(Undirviðmið!$E$6:$E$205,GD$4)*KVARDI,2),""))</f>
        <v/>
      </c>
      <c r="GF28" s="66" t="n"/>
      <c r="GG28" s="78">
        <f>IF(OR(GF$4=0,GF28=""),"",IFERROR(ROUND(GF28/INDEX(Undirviðmið!$F$6:$F$205,GF$4)*INDEX(Undirviðmið!$E$6:$E$205,GF$4)*KVARDI,2),""))</f>
        <v/>
      </c>
      <c r="GH28" s="66" t="n"/>
      <c r="GI28" s="78">
        <f>IF(OR(GH$4=0,GH28=""),"",IFERROR(ROUND(GH28/INDEX(Undirviðmið!$F$6:$F$205,GH$4)*INDEX(Undirviðmið!$E$6:$E$205,GH$4)*KVARDI,2),""))</f>
        <v/>
      </c>
      <c r="GJ28" s="66" t="n"/>
      <c r="GK28" s="78">
        <f>IF(OR(GJ$4=0,GJ28=""),"",IFERROR(ROUND(GJ28/INDEX(Undirviðmið!$F$6:$F$205,GJ$4)*INDEX(Undirviðmið!$E$6:$E$205,GJ$4)*KVARDI,2),""))</f>
        <v/>
      </c>
      <c r="GL28" s="66" t="n"/>
      <c r="GM28" s="78">
        <f>IF(OR(GL$4=0,GL28=""),"",IFERROR(ROUND(GL28/INDEX(Undirviðmið!$F$6:$F$205,GL$4)*INDEX(Undirviðmið!$E$6:$E$205,GL$4)*KVARDI,2),""))</f>
        <v/>
      </c>
      <c r="GN28" s="66" t="n"/>
      <c r="GO28" s="78">
        <f>IF(OR(GN$4=0,GN28=""),"",IFERROR(ROUND(GN28/INDEX(Undirviðmið!$F$6:$F$205,GN$4)*INDEX(Undirviðmið!$E$6:$E$205,GN$4)*KVARDI,2),""))</f>
        <v/>
      </c>
      <c r="GP28" s="66" t="n"/>
      <c r="GQ28" s="78">
        <f>IF(OR(GP$4=0,GP28=""),"",IFERROR(ROUND(GP28/INDEX(Undirviðmið!$F$6:$F$205,GP$4)*INDEX(Undirviðmið!$E$6:$E$205,GP$4)*KVARDI,2),""))</f>
        <v/>
      </c>
      <c r="GR28" s="66" t="n"/>
      <c r="GS28" s="78">
        <f>IF(OR(GR$4=0,GR28=""),"",IFERROR(ROUND(GR28/INDEX(Undirviðmið!$F$6:$F$205,GR$4)*INDEX(Undirviðmið!$E$6:$E$205,GR$4)*KVARDI,2),""))</f>
        <v/>
      </c>
      <c r="GT28" s="66" t="n"/>
      <c r="GU28" s="78">
        <f>IF(OR(GT$4=0,GT28=""),"",IFERROR(ROUND(GT28/INDEX(Undirviðmið!$F$6:$F$205,GT$4)*INDEX(Undirviðmið!$E$6:$E$205,GT$4)*KVARDI,2),""))</f>
        <v/>
      </c>
      <c r="GV28" s="63">
        <f>IFERROR(SUMIF($D$6:GU$6,"Stig",$D28:GU28),0)</f>
        <v/>
      </c>
    </row>
    <row r="29" ht="15" customHeight="1" s="47">
      <c r="A29" s="65">
        <f>ROW()-6</f>
        <v/>
      </c>
      <c r="B29" s="67">
        <f>IF(INDEX(Starfsmenn!$B$6:$B$10005,ROW()-6)="","",INDEX(Starfsmenn!$B$6:$B$10005,ROW()-6))</f>
        <v/>
      </c>
      <c r="C29" s="67">
        <f>IF(INDEX(Starfsmenn!$C$6:$C$10005,ROW()-6)="","",INDEX(Starfsmenn!$C$6:$C$10005,ROW()-6))</f>
        <v/>
      </c>
      <c r="D29" s="66" t="n"/>
      <c r="E29" s="78">
        <f>IF(OR(D$4=0,D29=""),"",IFERROR(ROUND(D29/INDEX(Undirviðmið!$F$6:$F$205,D$4)*INDEX(Undirviðmið!$E$6:$E$205,D$4)*KVARDI,2),""))</f>
        <v/>
      </c>
      <c r="F29" s="66" t="n"/>
      <c r="G29" s="78">
        <f>IF(OR(F$4=0,F29=""),"",IFERROR(ROUND(F29/INDEX(Undirviðmið!$F$6:$F$205,F$4)*INDEX(Undirviðmið!$E$6:$E$205,F$4)*KVARDI,2),""))</f>
        <v/>
      </c>
      <c r="H29" s="66" t="n"/>
      <c r="I29" s="78">
        <f>IF(OR(H$4=0,H29=""),"",IFERROR(ROUND(H29/INDEX(Undirviðmið!$F$6:$F$205,H$4)*INDEX(Undirviðmið!$E$6:$E$205,H$4)*KVARDI,2),""))</f>
        <v/>
      </c>
      <c r="J29" s="66" t="n"/>
      <c r="K29" s="78">
        <f>IF(OR(J$4=0,J29=""),"",IFERROR(ROUND(J29/INDEX(Undirviðmið!$F$6:$F$205,J$4)*INDEX(Undirviðmið!$E$6:$E$205,J$4)*KVARDI,2),""))</f>
        <v/>
      </c>
      <c r="L29" s="66" t="n"/>
      <c r="M29" s="78">
        <f>IF(OR(L$4=0,L29=""),"",IFERROR(ROUND(L29/INDEX(Undirviðmið!$F$6:$F$205,L$4)*INDEX(Undirviðmið!$E$6:$E$205,L$4)*KVARDI,2),""))</f>
        <v/>
      </c>
      <c r="N29" s="66" t="n"/>
      <c r="O29" s="78">
        <f>IF(OR(N$4=0,N29=""),"",IFERROR(ROUND(N29/INDEX(Undirviðmið!$F$6:$F$205,N$4)*INDEX(Undirviðmið!$E$6:$E$205,N$4)*KVARDI,2),""))</f>
        <v/>
      </c>
      <c r="P29" s="66" t="n"/>
      <c r="Q29" s="78">
        <f>IF(OR(P$4=0,P29=""),"",IFERROR(ROUND(P29/INDEX(Undirviðmið!$F$6:$F$205,P$4)*INDEX(Undirviðmið!$E$6:$E$205,P$4)*KVARDI,2),""))</f>
        <v/>
      </c>
      <c r="R29" s="66" t="n"/>
      <c r="S29" s="78">
        <f>IF(OR(R$4=0,R29=""),"",IFERROR(ROUND(R29/INDEX(Undirviðmið!$F$6:$F$205,R$4)*INDEX(Undirviðmið!$E$6:$E$205,R$4)*KVARDI,2),""))</f>
        <v/>
      </c>
      <c r="T29" s="66" t="n"/>
      <c r="U29" s="78">
        <f>IF(OR(T$4=0,T29=""),"",IFERROR(ROUND(T29/INDEX(Undirviðmið!$F$6:$F$205,T$4)*INDEX(Undirviðmið!$E$6:$E$205,T$4)*KVARDI,2),""))</f>
        <v/>
      </c>
      <c r="V29" s="66" t="n"/>
      <c r="W29" s="78">
        <f>IF(OR(V$4=0,V29=""),"",IFERROR(ROUND(V29/INDEX(Undirviðmið!$F$6:$F$205,V$4)*INDEX(Undirviðmið!$E$6:$E$205,V$4)*KVARDI,2),""))</f>
        <v/>
      </c>
      <c r="X29" s="66" t="n"/>
      <c r="Y29" s="78">
        <f>IF(OR(X$4=0,X29=""),"",IFERROR(ROUND(X29/INDEX(Undirviðmið!$F$6:$F$205,X$4)*INDEX(Undirviðmið!$E$6:$E$205,X$4)*KVARDI,2),""))</f>
        <v/>
      </c>
      <c r="Z29" s="66" t="n"/>
      <c r="AA29" s="78">
        <f>IF(OR(Z$4=0,Z29=""),"",IFERROR(ROUND(Z29/INDEX(Undirviðmið!$F$6:$F$205,Z$4)*INDEX(Undirviðmið!$E$6:$E$205,Z$4)*KVARDI,2),""))</f>
        <v/>
      </c>
      <c r="AB29" s="66" t="n"/>
      <c r="AC29" s="78">
        <f>IF(OR(AB$4=0,AB29=""),"",IFERROR(ROUND(AB29/INDEX(Undirviðmið!$F$6:$F$205,AB$4)*INDEX(Undirviðmið!$E$6:$E$205,AB$4)*KVARDI,2),""))</f>
        <v/>
      </c>
      <c r="AD29" s="66" t="n"/>
      <c r="AE29" s="78">
        <f>IF(OR(AD$4=0,AD29=""),"",IFERROR(ROUND(AD29/INDEX(Undirviðmið!$F$6:$F$205,AD$4)*INDEX(Undirviðmið!$E$6:$E$205,AD$4)*KVARDI,2),""))</f>
        <v/>
      </c>
      <c r="AF29" s="66" t="n"/>
      <c r="AG29" s="78">
        <f>IF(OR(AF$4=0,AF29=""),"",IFERROR(ROUND(AF29/INDEX(Undirviðmið!$F$6:$F$205,AF$4)*INDEX(Undirviðmið!$E$6:$E$205,AF$4)*KVARDI,2),""))</f>
        <v/>
      </c>
      <c r="AH29" s="66" t="n"/>
      <c r="AI29" s="78">
        <f>IF(OR(AH$4=0,AH29=""),"",IFERROR(ROUND(AH29/INDEX(Undirviðmið!$F$6:$F$205,AH$4)*INDEX(Undirviðmið!$E$6:$E$205,AH$4)*KVARDI,2),""))</f>
        <v/>
      </c>
      <c r="AJ29" s="66" t="n"/>
      <c r="AK29" s="78">
        <f>IF(OR(AJ$4=0,AJ29=""),"",IFERROR(ROUND(AJ29/INDEX(Undirviðmið!$F$6:$F$205,AJ$4)*INDEX(Undirviðmið!$E$6:$E$205,AJ$4)*KVARDI,2),""))</f>
        <v/>
      </c>
      <c r="AL29" s="66" t="n"/>
      <c r="AM29" s="78">
        <f>IF(OR(AL$4=0,AL29=""),"",IFERROR(ROUND(AL29/INDEX(Undirviðmið!$F$6:$F$205,AL$4)*INDEX(Undirviðmið!$E$6:$E$205,AL$4)*KVARDI,2),""))</f>
        <v/>
      </c>
      <c r="AN29" s="66" t="n"/>
      <c r="AO29" s="78">
        <f>IF(OR(AN$4=0,AN29=""),"",IFERROR(ROUND(AN29/INDEX(Undirviðmið!$F$6:$F$205,AN$4)*INDEX(Undirviðmið!$E$6:$E$205,AN$4)*KVARDI,2),""))</f>
        <v/>
      </c>
      <c r="AP29" s="66" t="n"/>
      <c r="AQ29" s="78">
        <f>IF(OR(AP$4=0,AP29=""),"",IFERROR(ROUND(AP29/INDEX(Undirviðmið!$F$6:$F$205,AP$4)*INDEX(Undirviðmið!$E$6:$E$205,AP$4)*KVARDI,2),""))</f>
        <v/>
      </c>
      <c r="AR29" s="66" t="n"/>
      <c r="AS29" s="78">
        <f>IF(OR(AR$4=0,AR29=""),"",IFERROR(ROUND(AR29/INDEX(Undirviðmið!$F$6:$F$205,AR$4)*INDEX(Undirviðmið!$E$6:$E$205,AR$4)*KVARDI,2),""))</f>
        <v/>
      </c>
      <c r="AT29" s="66" t="n"/>
      <c r="AU29" s="78">
        <f>IF(OR(AT$4=0,AT29=""),"",IFERROR(ROUND(AT29/INDEX(Undirviðmið!$F$6:$F$205,AT$4)*INDEX(Undirviðmið!$E$6:$E$205,AT$4)*KVARDI,2),""))</f>
        <v/>
      </c>
      <c r="AV29" s="66" t="n"/>
      <c r="AW29" s="78">
        <f>IF(OR(AV$4=0,AV29=""),"",IFERROR(ROUND(AV29/INDEX(Undirviðmið!$F$6:$F$205,AV$4)*INDEX(Undirviðmið!$E$6:$E$205,AV$4)*KVARDI,2),""))</f>
        <v/>
      </c>
      <c r="AX29" s="66" t="n"/>
      <c r="AY29" s="78">
        <f>IF(OR(AX$4=0,AX29=""),"",IFERROR(ROUND(AX29/INDEX(Undirviðmið!$F$6:$F$205,AX$4)*INDEX(Undirviðmið!$E$6:$E$205,AX$4)*KVARDI,2),""))</f>
        <v/>
      </c>
      <c r="AZ29" s="66" t="n"/>
      <c r="BA29" s="78">
        <f>IF(OR(AZ$4=0,AZ29=""),"",IFERROR(ROUND(AZ29/INDEX(Undirviðmið!$F$6:$F$205,AZ$4)*INDEX(Undirviðmið!$E$6:$E$205,AZ$4)*KVARDI,2),""))</f>
        <v/>
      </c>
      <c r="BB29" s="66" t="n"/>
      <c r="BC29" s="78">
        <f>IF(OR(BB$4=0,BB29=""),"",IFERROR(ROUND(BB29/INDEX(Undirviðmið!$F$6:$F$205,BB$4)*INDEX(Undirviðmið!$E$6:$E$205,BB$4)*KVARDI,2),""))</f>
        <v/>
      </c>
      <c r="BD29" s="66" t="n"/>
      <c r="BE29" s="78">
        <f>IF(OR(BD$4=0,BD29=""),"",IFERROR(ROUND(BD29/INDEX(Undirviðmið!$F$6:$F$205,BD$4)*INDEX(Undirviðmið!$E$6:$E$205,BD$4)*KVARDI,2),""))</f>
        <v/>
      </c>
      <c r="BF29" s="66" t="n"/>
      <c r="BG29" s="78">
        <f>IF(OR(BF$4=0,BF29=""),"",IFERROR(ROUND(BF29/INDEX(Undirviðmið!$F$6:$F$205,BF$4)*INDEX(Undirviðmið!$E$6:$E$205,BF$4)*KVARDI,2),""))</f>
        <v/>
      </c>
      <c r="BH29" s="66" t="n"/>
      <c r="BI29" s="78">
        <f>IF(OR(BH$4=0,BH29=""),"",IFERROR(ROUND(BH29/INDEX(Undirviðmið!$F$6:$F$205,BH$4)*INDEX(Undirviðmið!$E$6:$E$205,BH$4)*KVARDI,2),""))</f>
        <v/>
      </c>
      <c r="BJ29" s="66" t="n"/>
      <c r="BK29" s="78">
        <f>IF(OR(BJ$4=0,BJ29=""),"",IFERROR(ROUND(BJ29/INDEX(Undirviðmið!$F$6:$F$205,BJ$4)*INDEX(Undirviðmið!$E$6:$E$205,BJ$4)*KVARDI,2),""))</f>
        <v/>
      </c>
      <c r="BL29" s="66" t="n"/>
      <c r="BM29" s="78">
        <f>IF(OR(BL$4=0,BL29=""),"",IFERROR(ROUND(BL29/INDEX(Undirviðmið!$F$6:$F$205,BL$4)*INDEX(Undirviðmið!$E$6:$E$205,BL$4)*KVARDI,2),""))</f>
        <v/>
      </c>
      <c r="BN29" s="66" t="n"/>
      <c r="BO29" s="78">
        <f>IF(OR(BN$4=0,BN29=""),"",IFERROR(ROUND(BN29/INDEX(Undirviðmið!$F$6:$F$205,BN$4)*INDEX(Undirviðmið!$E$6:$E$205,BN$4)*KVARDI,2),""))</f>
        <v/>
      </c>
      <c r="BP29" s="66" t="n"/>
      <c r="BQ29" s="78">
        <f>IF(OR(BP$4=0,BP29=""),"",IFERROR(ROUND(BP29/INDEX(Undirviðmið!$F$6:$F$205,BP$4)*INDEX(Undirviðmið!$E$6:$E$205,BP$4)*KVARDI,2),""))</f>
        <v/>
      </c>
      <c r="BR29" s="66" t="n"/>
      <c r="BS29" s="78">
        <f>IF(OR(BR$4=0,BR29=""),"",IFERROR(ROUND(BR29/INDEX(Undirviðmið!$F$6:$F$205,BR$4)*INDEX(Undirviðmið!$E$6:$E$205,BR$4)*KVARDI,2),""))</f>
        <v/>
      </c>
      <c r="BT29" s="66" t="n"/>
      <c r="BU29" s="78">
        <f>IF(OR(BT$4=0,BT29=""),"",IFERROR(ROUND(BT29/INDEX(Undirviðmið!$F$6:$F$205,BT$4)*INDEX(Undirviðmið!$E$6:$E$205,BT$4)*KVARDI,2),""))</f>
        <v/>
      </c>
      <c r="BV29" s="66" t="n"/>
      <c r="BW29" s="78">
        <f>IF(OR(BV$4=0,BV29=""),"",IFERROR(ROUND(BV29/INDEX(Undirviðmið!$F$6:$F$205,BV$4)*INDEX(Undirviðmið!$E$6:$E$205,BV$4)*KVARDI,2),""))</f>
        <v/>
      </c>
      <c r="BX29" s="66" t="n"/>
      <c r="BY29" s="78">
        <f>IF(OR(BX$4=0,BX29=""),"",IFERROR(ROUND(BX29/INDEX(Undirviðmið!$F$6:$F$205,BX$4)*INDEX(Undirviðmið!$E$6:$E$205,BX$4)*KVARDI,2),""))</f>
        <v/>
      </c>
      <c r="BZ29" s="66" t="n"/>
      <c r="CA29" s="78">
        <f>IF(OR(BZ$4=0,BZ29=""),"",IFERROR(ROUND(BZ29/INDEX(Undirviðmið!$F$6:$F$205,BZ$4)*INDEX(Undirviðmið!$E$6:$E$205,BZ$4)*KVARDI,2),""))</f>
        <v/>
      </c>
      <c r="CB29" s="66" t="n"/>
      <c r="CC29" s="78">
        <f>IF(OR(CB$4=0,CB29=""),"",IFERROR(ROUND(CB29/INDEX(Undirviðmið!$F$6:$F$205,CB$4)*INDEX(Undirviðmið!$E$6:$E$205,CB$4)*KVARDI,2),""))</f>
        <v/>
      </c>
      <c r="CD29" s="66" t="n"/>
      <c r="CE29" s="78">
        <f>IF(OR(CD$4=0,CD29=""),"",IFERROR(ROUND(CD29/INDEX(Undirviðmið!$F$6:$F$205,CD$4)*INDEX(Undirviðmið!$E$6:$E$205,CD$4)*KVARDI,2),""))</f>
        <v/>
      </c>
      <c r="CF29" s="66" t="n"/>
      <c r="CG29" s="78">
        <f>IF(OR(CF$4=0,CF29=""),"",IFERROR(ROUND(CF29/INDEX(Undirviðmið!$F$6:$F$205,CF$4)*INDEX(Undirviðmið!$E$6:$E$205,CF$4)*KVARDI,2),""))</f>
        <v/>
      </c>
      <c r="CH29" s="66" t="n"/>
      <c r="CI29" s="78">
        <f>IF(OR(CH$4=0,CH29=""),"",IFERROR(ROUND(CH29/INDEX(Undirviðmið!$F$6:$F$205,CH$4)*INDEX(Undirviðmið!$E$6:$E$205,CH$4)*KVARDI,2),""))</f>
        <v/>
      </c>
      <c r="CJ29" s="66" t="n"/>
      <c r="CK29" s="78">
        <f>IF(OR(CJ$4=0,CJ29=""),"",IFERROR(ROUND(CJ29/INDEX(Undirviðmið!$F$6:$F$205,CJ$4)*INDEX(Undirviðmið!$E$6:$E$205,CJ$4)*KVARDI,2),""))</f>
        <v/>
      </c>
      <c r="CL29" s="66" t="n"/>
      <c r="CM29" s="78">
        <f>IF(OR(CL$4=0,CL29=""),"",IFERROR(ROUND(CL29/INDEX(Undirviðmið!$F$6:$F$205,CL$4)*INDEX(Undirviðmið!$E$6:$E$205,CL$4)*KVARDI,2),""))</f>
        <v/>
      </c>
      <c r="CN29" s="66" t="n"/>
      <c r="CO29" s="78">
        <f>IF(OR(CN$4=0,CN29=""),"",IFERROR(ROUND(CN29/INDEX(Undirviðmið!$F$6:$F$205,CN$4)*INDEX(Undirviðmið!$E$6:$E$205,CN$4)*KVARDI,2),""))</f>
        <v/>
      </c>
      <c r="CP29" s="66" t="n"/>
      <c r="CQ29" s="78">
        <f>IF(OR(CP$4=0,CP29=""),"",IFERROR(ROUND(CP29/INDEX(Undirviðmið!$F$6:$F$205,CP$4)*INDEX(Undirviðmið!$E$6:$E$205,CP$4)*KVARDI,2),""))</f>
        <v/>
      </c>
      <c r="CR29" s="66" t="n"/>
      <c r="CS29" s="78">
        <f>IF(OR(CR$4=0,CR29=""),"",IFERROR(ROUND(CR29/INDEX(Undirviðmið!$F$6:$F$205,CR$4)*INDEX(Undirviðmið!$E$6:$E$205,CR$4)*KVARDI,2),""))</f>
        <v/>
      </c>
      <c r="CT29" s="66" t="n"/>
      <c r="CU29" s="78">
        <f>IF(OR(CT$4=0,CT29=""),"",IFERROR(ROUND(CT29/INDEX(Undirviðmið!$F$6:$F$205,CT$4)*INDEX(Undirviðmið!$E$6:$E$205,CT$4)*KVARDI,2),""))</f>
        <v/>
      </c>
      <c r="CV29" s="66" t="n"/>
      <c r="CW29" s="78">
        <f>IF(OR(CV$4=0,CV29=""),"",IFERROR(ROUND(CV29/INDEX(Undirviðmið!$F$6:$F$205,CV$4)*INDEX(Undirviðmið!$E$6:$E$205,CV$4)*KVARDI,2),""))</f>
        <v/>
      </c>
      <c r="CX29" s="66" t="n"/>
      <c r="CY29" s="78">
        <f>IF(OR(CX$4=0,CX29=""),"",IFERROR(ROUND(CX29/INDEX(Undirviðmið!$F$6:$F$205,CX$4)*INDEX(Undirviðmið!$E$6:$E$205,CX$4)*KVARDI,2),""))</f>
        <v/>
      </c>
      <c r="CZ29" s="66" t="n"/>
      <c r="DA29" s="78">
        <f>IF(OR(CZ$4=0,CZ29=""),"",IFERROR(ROUND(CZ29/INDEX(Undirviðmið!$F$6:$F$205,CZ$4)*INDEX(Undirviðmið!$E$6:$E$205,CZ$4)*KVARDI,2),""))</f>
        <v/>
      </c>
      <c r="DB29" s="66" t="n"/>
      <c r="DC29" s="78">
        <f>IF(OR(DB$4=0,DB29=""),"",IFERROR(ROUND(DB29/INDEX(Undirviðmið!$F$6:$F$205,DB$4)*INDEX(Undirviðmið!$E$6:$E$205,DB$4)*KVARDI,2),""))</f>
        <v/>
      </c>
      <c r="DD29" s="66" t="n"/>
      <c r="DE29" s="78">
        <f>IF(OR(DD$4=0,DD29=""),"",IFERROR(ROUND(DD29/INDEX(Undirviðmið!$F$6:$F$205,DD$4)*INDEX(Undirviðmið!$E$6:$E$205,DD$4)*KVARDI,2),""))</f>
        <v/>
      </c>
      <c r="DF29" s="66" t="n"/>
      <c r="DG29" s="78">
        <f>IF(OR(DF$4=0,DF29=""),"",IFERROR(ROUND(DF29/INDEX(Undirviðmið!$F$6:$F$205,DF$4)*INDEX(Undirviðmið!$E$6:$E$205,DF$4)*KVARDI,2),""))</f>
        <v/>
      </c>
      <c r="DH29" s="66" t="n"/>
      <c r="DI29" s="78">
        <f>IF(OR(DH$4=0,DH29=""),"",IFERROR(ROUND(DH29/INDEX(Undirviðmið!$F$6:$F$205,DH$4)*INDEX(Undirviðmið!$E$6:$E$205,DH$4)*KVARDI,2),""))</f>
        <v/>
      </c>
      <c r="DJ29" s="66" t="n"/>
      <c r="DK29" s="78">
        <f>IF(OR(DJ$4=0,DJ29=""),"",IFERROR(ROUND(DJ29/INDEX(Undirviðmið!$F$6:$F$205,DJ$4)*INDEX(Undirviðmið!$E$6:$E$205,DJ$4)*KVARDI,2),""))</f>
        <v/>
      </c>
      <c r="DL29" s="66" t="n"/>
      <c r="DM29" s="78">
        <f>IF(OR(DL$4=0,DL29=""),"",IFERROR(ROUND(DL29/INDEX(Undirviðmið!$F$6:$F$205,DL$4)*INDEX(Undirviðmið!$E$6:$E$205,DL$4)*KVARDI,2),""))</f>
        <v/>
      </c>
      <c r="DN29" s="66" t="n"/>
      <c r="DO29" s="78">
        <f>IF(OR(DN$4=0,DN29=""),"",IFERROR(ROUND(DN29/INDEX(Undirviðmið!$F$6:$F$205,DN$4)*INDEX(Undirviðmið!$E$6:$E$205,DN$4)*KVARDI,2),""))</f>
        <v/>
      </c>
      <c r="DP29" s="66" t="n"/>
      <c r="DQ29" s="78">
        <f>IF(OR(DP$4=0,DP29=""),"",IFERROR(ROUND(DP29/INDEX(Undirviðmið!$F$6:$F$205,DP$4)*INDEX(Undirviðmið!$E$6:$E$205,DP$4)*KVARDI,2),""))</f>
        <v/>
      </c>
      <c r="DR29" s="66" t="n"/>
      <c r="DS29" s="78">
        <f>IF(OR(DR$4=0,DR29=""),"",IFERROR(ROUND(DR29/INDEX(Undirviðmið!$F$6:$F$205,DR$4)*INDEX(Undirviðmið!$E$6:$E$205,DR$4)*KVARDI,2),""))</f>
        <v/>
      </c>
      <c r="DT29" s="66" t="n"/>
      <c r="DU29" s="78">
        <f>IF(OR(DT$4=0,DT29=""),"",IFERROR(ROUND(DT29/INDEX(Undirviðmið!$F$6:$F$205,DT$4)*INDEX(Undirviðmið!$E$6:$E$205,DT$4)*KVARDI,2),""))</f>
        <v/>
      </c>
      <c r="DV29" s="66" t="n"/>
      <c r="DW29" s="78">
        <f>IF(OR(DV$4=0,DV29=""),"",IFERROR(ROUND(DV29/INDEX(Undirviðmið!$F$6:$F$205,DV$4)*INDEX(Undirviðmið!$E$6:$E$205,DV$4)*KVARDI,2),""))</f>
        <v/>
      </c>
      <c r="DX29" s="66" t="n"/>
      <c r="DY29" s="78">
        <f>IF(OR(DX$4=0,DX29=""),"",IFERROR(ROUND(DX29/INDEX(Undirviðmið!$F$6:$F$205,DX$4)*INDEX(Undirviðmið!$E$6:$E$205,DX$4)*KVARDI,2),""))</f>
        <v/>
      </c>
      <c r="DZ29" s="66" t="n"/>
      <c r="EA29" s="78">
        <f>IF(OR(DZ$4=0,DZ29=""),"",IFERROR(ROUND(DZ29/INDEX(Undirviðmið!$F$6:$F$205,DZ$4)*INDEX(Undirviðmið!$E$6:$E$205,DZ$4)*KVARDI,2),""))</f>
        <v/>
      </c>
      <c r="EB29" s="66" t="n"/>
      <c r="EC29" s="78">
        <f>IF(OR(EB$4=0,EB29=""),"",IFERROR(ROUND(EB29/INDEX(Undirviðmið!$F$6:$F$205,EB$4)*INDEX(Undirviðmið!$E$6:$E$205,EB$4)*KVARDI,2),""))</f>
        <v/>
      </c>
      <c r="ED29" s="66" t="n"/>
      <c r="EE29" s="78">
        <f>IF(OR(ED$4=0,ED29=""),"",IFERROR(ROUND(ED29/INDEX(Undirviðmið!$F$6:$F$205,ED$4)*INDEX(Undirviðmið!$E$6:$E$205,ED$4)*KVARDI,2),""))</f>
        <v/>
      </c>
      <c r="EF29" s="66" t="n"/>
      <c r="EG29" s="78">
        <f>IF(OR(EF$4=0,EF29=""),"",IFERROR(ROUND(EF29/INDEX(Undirviðmið!$F$6:$F$205,EF$4)*INDEX(Undirviðmið!$E$6:$E$205,EF$4)*KVARDI,2),""))</f>
        <v/>
      </c>
      <c r="EH29" s="66" t="n"/>
      <c r="EI29" s="78">
        <f>IF(OR(EH$4=0,EH29=""),"",IFERROR(ROUND(EH29/INDEX(Undirviðmið!$F$6:$F$205,EH$4)*INDEX(Undirviðmið!$E$6:$E$205,EH$4)*KVARDI,2),""))</f>
        <v/>
      </c>
      <c r="EJ29" s="66" t="n"/>
      <c r="EK29" s="78">
        <f>IF(OR(EJ$4=0,EJ29=""),"",IFERROR(ROUND(EJ29/INDEX(Undirviðmið!$F$6:$F$205,EJ$4)*INDEX(Undirviðmið!$E$6:$E$205,EJ$4)*KVARDI,2),""))</f>
        <v/>
      </c>
      <c r="EL29" s="66" t="n"/>
      <c r="EM29" s="78">
        <f>IF(OR(EL$4=0,EL29=""),"",IFERROR(ROUND(EL29/INDEX(Undirviðmið!$F$6:$F$205,EL$4)*INDEX(Undirviðmið!$E$6:$E$205,EL$4)*KVARDI,2),""))</f>
        <v/>
      </c>
      <c r="EN29" s="66" t="n"/>
      <c r="EO29" s="78">
        <f>IF(OR(EN$4=0,EN29=""),"",IFERROR(ROUND(EN29/INDEX(Undirviðmið!$F$6:$F$205,EN$4)*INDEX(Undirviðmið!$E$6:$E$205,EN$4)*KVARDI,2),""))</f>
        <v/>
      </c>
      <c r="EP29" s="66" t="n"/>
      <c r="EQ29" s="78">
        <f>IF(OR(EP$4=0,EP29=""),"",IFERROR(ROUND(EP29/INDEX(Undirviðmið!$F$6:$F$205,EP$4)*INDEX(Undirviðmið!$E$6:$E$205,EP$4)*KVARDI,2),""))</f>
        <v/>
      </c>
      <c r="ER29" s="66" t="n"/>
      <c r="ES29" s="78">
        <f>IF(OR(ER$4=0,ER29=""),"",IFERROR(ROUND(ER29/INDEX(Undirviðmið!$F$6:$F$205,ER$4)*INDEX(Undirviðmið!$E$6:$E$205,ER$4)*KVARDI,2),""))</f>
        <v/>
      </c>
      <c r="ET29" s="66" t="n"/>
      <c r="EU29" s="78">
        <f>IF(OR(ET$4=0,ET29=""),"",IFERROR(ROUND(ET29/INDEX(Undirviðmið!$F$6:$F$205,ET$4)*INDEX(Undirviðmið!$E$6:$E$205,ET$4)*KVARDI,2),""))</f>
        <v/>
      </c>
      <c r="EV29" s="66" t="n"/>
      <c r="EW29" s="78">
        <f>IF(OR(EV$4=0,EV29=""),"",IFERROR(ROUND(EV29/INDEX(Undirviðmið!$F$6:$F$205,EV$4)*INDEX(Undirviðmið!$E$6:$E$205,EV$4)*KVARDI,2),""))</f>
        <v/>
      </c>
      <c r="EX29" s="66" t="n"/>
      <c r="EY29" s="78">
        <f>IF(OR(EX$4=0,EX29=""),"",IFERROR(ROUND(EX29/INDEX(Undirviðmið!$F$6:$F$205,EX$4)*INDEX(Undirviðmið!$E$6:$E$205,EX$4)*KVARDI,2),""))</f>
        <v/>
      </c>
      <c r="EZ29" s="66" t="n"/>
      <c r="FA29" s="78">
        <f>IF(OR(EZ$4=0,EZ29=""),"",IFERROR(ROUND(EZ29/INDEX(Undirviðmið!$F$6:$F$205,EZ$4)*INDEX(Undirviðmið!$E$6:$E$205,EZ$4)*KVARDI,2),""))</f>
        <v/>
      </c>
      <c r="FB29" s="66" t="n"/>
      <c r="FC29" s="78">
        <f>IF(OR(FB$4=0,FB29=""),"",IFERROR(ROUND(FB29/INDEX(Undirviðmið!$F$6:$F$205,FB$4)*INDEX(Undirviðmið!$E$6:$E$205,FB$4)*KVARDI,2),""))</f>
        <v/>
      </c>
      <c r="FD29" s="66" t="n"/>
      <c r="FE29" s="78">
        <f>IF(OR(FD$4=0,FD29=""),"",IFERROR(ROUND(FD29/INDEX(Undirviðmið!$F$6:$F$205,FD$4)*INDEX(Undirviðmið!$E$6:$E$205,FD$4)*KVARDI,2),""))</f>
        <v/>
      </c>
      <c r="FF29" s="66" t="n"/>
      <c r="FG29" s="78">
        <f>IF(OR(FF$4=0,FF29=""),"",IFERROR(ROUND(FF29/INDEX(Undirviðmið!$F$6:$F$205,FF$4)*INDEX(Undirviðmið!$E$6:$E$205,FF$4)*KVARDI,2),""))</f>
        <v/>
      </c>
      <c r="FH29" s="66" t="n"/>
      <c r="FI29" s="78">
        <f>IF(OR(FH$4=0,FH29=""),"",IFERROR(ROUND(FH29/INDEX(Undirviðmið!$F$6:$F$205,FH$4)*INDEX(Undirviðmið!$E$6:$E$205,FH$4)*KVARDI,2),""))</f>
        <v/>
      </c>
      <c r="FJ29" s="66" t="n"/>
      <c r="FK29" s="78">
        <f>IF(OR(FJ$4=0,FJ29=""),"",IFERROR(ROUND(FJ29/INDEX(Undirviðmið!$F$6:$F$205,FJ$4)*INDEX(Undirviðmið!$E$6:$E$205,FJ$4)*KVARDI,2),""))</f>
        <v/>
      </c>
      <c r="FL29" s="66" t="n"/>
      <c r="FM29" s="78">
        <f>IF(OR(FL$4=0,FL29=""),"",IFERROR(ROUND(FL29/INDEX(Undirviðmið!$F$6:$F$205,FL$4)*INDEX(Undirviðmið!$E$6:$E$205,FL$4)*KVARDI,2),""))</f>
        <v/>
      </c>
      <c r="FN29" s="66" t="n"/>
      <c r="FO29" s="78">
        <f>IF(OR(FN$4=0,FN29=""),"",IFERROR(ROUND(FN29/INDEX(Undirviðmið!$F$6:$F$205,FN$4)*INDEX(Undirviðmið!$E$6:$E$205,FN$4)*KVARDI,2),""))</f>
        <v/>
      </c>
      <c r="FP29" s="66" t="n"/>
      <c r="FQ29" s="78">
        <f>IF(OR(FP$4=0,FP29=""),"",IFERROR(ROUND(FP29/INDEX(Undirviðmið!$F$6:$F$205,FP$4)*INDEX(Undirviðmið!$E$6:$E$205,FP$4)*KVARDI,2),""))</f>
        <v/>
      </c>
      <c r="FR29" s="66" t="n"/>
      <c r="FS29" s="78">
        <f>IF(OR(FR$4=0,FR29=""),"",IFERROR(ROUND(FR29/INDEX(Undirviðmið!$F$6:$F$205,FR$4)*INDEX(Undirviðmið!$E$6:$E$205,FR$4)*KVARDI,2),""))</f>
        <v/>
      </c>
      <c r="FT29" s="66" t="n"/>
      <c r="FU29" s="78">
        <f>IF(OR(FT$4=0,FT29=""),"",IFERROR(ROUND(FT29/INDEX(Undirviðmið!$F$6:$F$205,FT$4)*INDEX(Undirviðmið!$E$6:$E$205,FT$4)*KVARDI,2),""))</f>
        <v/>
      </c>
      <c r="FV29" s="66" t="n"/>
      <c r="FW29" s="78">
        <f>IF(OR(FV$4=0,FV29=""),"",IFERROR(ROUND(FV29/INDEX(Undirviðmið!$F$6:$F$205,FV$4)*INDEX(Undirviðmið!$E$6:$E$205,FV$4)*KVARDI,2),""))</f>
        <v/>
      </c>
      <c r="FX29" s="66" t="n"/>
      <c r="FY29" s="78">
        <f>IF(OR(FX$4=0,FX29=""),"",IFERROR(ROUND(FX29/INDEX(Undirviðmið!$F$6:$F$205,FX$4)*INDEX(Undirviðmið!$E$6:$E$205,FX$4)*KVARDI,2),""))</f>
        <v/>
      </c>
      <c r="FZ29" s="66" t="n"/>
      <c r="GA29" s="78">
        <f>IF(OR(FZ$4=0,FZ29=""),"",IFERROR(ROUND(FZ29/INDEX(Undirviðmið!$F$6:$F$205,FZ$4)*INDEX(Undirviðmið!$E$6:$E$205,FZ$4)*KVARDI,2),""))</f>
        <v/>
      </c>
      <c r="GB29" s="66" t="n"/>
      <c r="GC29" s="78">
        <f>IF(OR(GB$4=0,GB29=""),"",IFERROR(ROUND(GB29/INDEX(Undirviðmið!$F$6:$F$205,GB$4)*INDEX(Undirviðmið!$E$6:$E$205,GB$4)*KVARDI,2),""))</f>
        <v/>
      </c>
      <c r="GD29" s="66" t="n"/>
      <c r="GE29" s="78">
        <f>IF(OR(GD$4=0,GD29=""),"",IFERROR(ROUND(GD29/INDEX(Undirviðmið!$F$6:$F$205,GD$4)*INDEX(Undirviðmið!$E$6:$E$205,GD$4)*KVARDI,2),""))</f>
        <v/>
      </c>
      <c r="GF29" s="66" t="n"/>
      <c r="GG29" s="78">
        <f>IF(OR(GF$4=0,GF29=""),"",IFERROR(ROUND(GF29/INDEX(Undirviðmið!$F$6:$F$205,GF$4)*INDEX(Undirviðmið!$E$6:$E$205,GF$4)*KVARDI,2),""))</f>
        <v/>
      </c>
      <c r="GH29" s="66" t="n"/>
      <c r="GI29" s="78">
        <f>IF(OR(GH$4=0,GH29=""),"",IFERROR(ROUND(GH29/INDEX(Undirviðmið!$F$6:$F$205,GH$4)*INDEX(Undirviðmið!$E$6:$E$205,GH$4)*KVARDI,2),""))</f>
        <v/>
      </c>
      <c r="GJ29" s="66" t="n"/>
      <c r="GK29" s="78">
        <f>IF(OR(GJ$4=0,GJ29=""),"",IFERROR(ROUND(GJ29/INDEX(Undirviðmið!$F$6:$F$205,GJ$4)*INDEX(Undirviðmið!$E$6:$E$205,GJ$4)*KVARDI,2),""))</f>
        <v/>
      </c>
      <c r="GL29" s="66" t="n"/>
      <c r="GM29" s="78">
        <f>IF(OR(GL$4=0,GL29=""),"",IFERROR(ROUND(GL29/INDEX(Undirviðmið!$F$6:$F$205,GL$4)*INDEX(Undirviðmið!$E$6:$E$205,GL$4)*KVARDI,2),""))</f>
        <v/>
      </c>
      <c r="GN29" s="66" t="n"/>
      <c r="GO29" s="78">
        <f>IF(OR(GN$4=0,GN29=""),"",IFERROR(ROUND(GN29/INDEX(Undirviðmið!$F$6:$F$205,GN$4)*INDEX(Undirviðmið!$E$6:$E$205,GN$4)*KVARDI,2),""))</f>
        <v/>
      </c>
      <c r="GP29" s="66" t="n"/>
      <c r="GQ29" s="78">
        <f>IF(OR(GP$4=0,GP29=""),"",IFERROR(ROUND(GP29/INDEX(Undirviðmið!$F$6:$F$205,GP$4)*INDEX(Undirviðmið!$E$6:$E$205,GP$4)*KVARDI,2),""))</f>
        <v/>
      </c>
      <c r="GR29" s="66" t="n"/>
      <c r="GS29" s="78">
        <f>IF(OR(GR$4=0,GR29=""),"",IFERROR(ROUND(GR29/INDEX(Undirviðmið!$F$6:$F$205,GR$4)*INDEX(Undirviðmið!$E$6:$E$205,GR$4)*KVARDI,2),""))</f>
        <v/>
      </c>
      <c r="GT29" s="66" t="n"/>
      <c r="GU29" s="78">
        <f>IF(OR(GT$4=0,GT29=""),"",IFERROR(ROUND(GT29/INDEX(Undirviðmið!$F$6:$F$205,GT$4)*INDEX(Undirviðmið!$E$6:$E$205,GT$4)*KVARDI,2),""))</f>
        <v/>
      </c>
      <c r="GV29" s="63">
        <f>IFERROR(SUMIF($D$6:GU$6,"Stig",$D29:GU29),0)</f>
        <v/>
      </c>
    </row>
    <row r="30" ht="15" customHeight="1" s="47">
      <c r="A30" s="65">
        <f>ROW()-6</f>
        <v/>
      </c>
      <c r="B30" s="67">
        <f>IF(INDEX(Starfsmenn!$B$6:$B$10005,ROW()-6)="","",INDEX(Starfsmenn!$B$6:$B$10005,ROW()-6))</f>
        <v/>
      </c>
      <c r="C30" s="67">
        <f>IF(INDEX(Starfsmenn!$C$6:$C$10005,ROW()-6)="","",INDEX(Starfsmenn!$C$6:$C$10005,ROW()-6))</f>
        <v/>
      </c>
      <c r="D30" s="66" t="n"/>
      <c r="E30" s="78">
        <f>IF(OR(D$4=0,D30=""),"",IFERROR(ROUND(D30/INDEX(Undirviðmið!$F$6:$F$205,D$4)*INDEX(Undirviðmið!$E$6:$E$205,D$4)*KVARDI,2),""))</f>
        <v/>
      </c>
      <c r="F30" s="66" t="n"/>
      <c r="G30" s="78">
        <f>IF(OR(F$4=0,F30=""),"",IFERROR(ROUND(F30/INDEX(Undirviðmið!$F$6:$F$205,F$4)*INDEX(Undirviðmið!$E$6:$E$205,F$4)*KVARDI,2),""))</f>
        <v/>
      </c>
      <c r="H30" s="66" t="n"/>
      <c r="I30" s="78">
        <f>IF(OR(H$4=0,H30=""),"",IFERROR(ROUND(H30/INDEX(Undirviðmið!$F$6:$F$205,H$4)*INDEX(Undirviðmið!$E$6:$E$205,H$4)*KVARDI,2),""))</f>
        <v/>
      </c>
      <c r="J30" s="66" t="n"/>
      <c r="K30" s="78">
        <f>IF(OR(J$4=0,J30=""),"",IFERROR(ROUND(J30/INDEX(Undirviðmið!$F$6:$F$205,J$4)*INDEX(Undirviðmið!$E$6:$E$205,J$4)*KVARDI,2),""))</f>
        <v/>
      </c>
      <c r="L30" s="66" t="n"/>
      <c r="M30" s="78">
        <f>IF(OR(L$4=0,L30=""),"",IFERROR(ROUND(L30/INDEX(Undirviðmið!$F$6:$F$205,L$4)*INDEX(Undirviðmið!$E$6:$E$205,L$4)*KVARDI,2),""))</f>
        <v/>
      </c>
      <c r="N30" s="66" t="n"/>
      <c r="O30" s="78">
        <f>IF(OR(N$4=0,N30=""),"",IFERROR(ROUND(N30/INDEX(Undirviðmið!$F$6:$F$205,N$4)*INDEX(Undirviðmið!$E$6:$E$205,N$4)*KVARDI,2),""))</f>
        <v/>
      </c>
      <c r="P30" s="66" t="n"/>
      <c r="Q30" s="78">
        <f>IF(OR(P$4=0,P30=""),"",IFERROR(ROUND(P30/INDEX(Undirviðmið!$F$6:$F$205,P$4)*INDEX(Undirviðmið!$E$6:$E$205,P$4)*KVARDI,2),""))</f>
        <v/>
      </c>
      <c r="R30" s="66" t="n"/>
      <c r="S30" s="78">
        <f>IF(OR(R$4=0,R30=""),"",IFERROR(ROUND(R30/INDEX(Undirviðmið!$F$6:$F$205,R$4)*INDEX(Undirviðmið!$E$6:$E$205,R$4)*KVARDI,2),""))</f>
        <v/>
      </c>
      <c r="T30" s="66" t="n"/>
      <c r="U30" s="78">
        <f>IF(OR(T$4=0,T30=""),"",IFERROR(ROUND(T30/INDEX(Undirviðmið!$F$6:$F$205,T$4)*INDEX(Undirviðmið!$E$6:$E$205,T$4)*KVARDI,2),""))</f>
        <v/>
      </c>
      <c r="V30" s="66" t="n"/>
      <c r="W30" s="78">
        <f>IF(OR(V$4=0,V30=""),"",IFERROR(ROUND(V30/INDEX(Undirviðmið!$F$6:$F$205,V$4)*INDEX(Undirviðmið!$E$6:$E$205,V$4)*KVARDI,2),""))</f>
        <v/>
      </c>
      <c r="X30" s="66" t="n"/>
      <c r="Y30" s="78">
        <f>IF(OR(X$4=0,X30=""),"",IFERROR(ROUND(X30/INDEX(Undirviðmið!$F$6:$F$205,X$4)*INDEX(Undirviðmið!$E$6:$E$205,X$4)*KVARDI,2),""))</f>
        <v/>
      </c>
      <c r="Z30" s="66" t="n"/>
      <c r="AA30" s="78">
        <f>IF(OR(Z$4=0,Z30=""),"",IFERROR(ROUND(Z30/INDEX(Undirviðmið!$F$6:$F$205,Z$4)*INDEX(Undirviðmið!$E$6:$E$205,Z$4)*KVARDI,2),""))</f>
        <v/>
      </c>
      <c r="AB30" s="66" t="n"/>
      <c r="AC30" s="78">
        <f>IF(OR(AB$4=0,AB30=""),"",IFERROR(ROUND(AB30/INDEX(Undirviðmið!$F$6:$F$205,AB$4)*INDEX(Undirviðmið!$E$6:$E$205,AB$4)*KVARDI,2),""))</f>
        <v/>
      </c>
      <c r="AD30" s="66" t="n"/>
      <c r="AE30" s="78">
        <f>IF(OR(AD$4=0,AD30=""),"",IFERROR(ROUND(AD30/INDEX(Undirviðmið!$F$6:$F$205,AD$4)*INDEX(Undirviðmið!$E$6:$E$205,AD$4)*KVARDI,2),""))</f>
        <v/>
      </c>
      <c r="AF30" s="66" t="n"/>
      <c r="AG30" s="78">
        <f>IF(OR(AF$4=0,AF30=""),"",IFERROR(ROUND(AF30/INDEX(Undirviðmið!$F$6:$F$205,AF$4)*INDEX(Undirviðmið!$E$6:$E$205,AF$4)*KVARDI,2),""))</f>
        <v/>
      </c>
      <c r="AH30" s="66" t="n"/>
      <c r="AI30" s="78">
        <f>IF(OR(AH$4=0,AH30=""),"",IFERROR(ROUND(AH30/INDEX(Undirviðmið!$F$6:$F$205,AH$4)*INDEX(Undirviðmið!$E$6:$E$205,AH$4)*KVARDI,2),""))</f>
        <v/>
      </c>
      <c r="AJ30" s="66" t="n"/>
      <c r="AK30" s="78">
        <f>IF(OR(AJ$4=0,AJ30=""),"",IFERROR(ROUND(AJ30/INDEX(Undirviðmið!$F$6:$F$205,AJ$4)*INDEX(Undirviðmið!$E$6:$E$205,AJ$4)*KVARDI,2),""))</f>
        <v/>
      </c>
      <c r="AL30" s="66" t="n"/>
      <c r="AM30" s="78">
        <f>IF(OR(AL$4=0,AL30=""),"",IFERROR(ROUND(AL30/INDEX(Undirviðmið!$F$6:$F$205,AL$4)*INDEX(Undirviðmið!$E$6:$E$205,AL$4)*KVARDI,2),""))</f>
        <v/>
      </c>
      <c r="AN30" s="66" t="n"/>
      <c r="AO30" s="78">
        <f>IF(OR(AN$4=0,AN30=""),"",IFERROR(ROUND(AN30/INDEX(Undirviðmið!$F$6:$F$205,AN$4)*INDEX(Undirviðmið!$E$6:$E$205,AN$4)*KVARDI,2),""))</f>
        <v/>
      </c>
      <c r="AP30" s="66" t="n"/>
      <c r="AQ30" s="78">
        <f>IF(OR(AP$4=0,AP30=""),"",IFERROR(ROUND(AP30/INDEX(Undirviðmið!$F$6:$F$205,AP$4)*INDEX(Undirviðmið!$E$6:$E$205,AP$4)*KVARDI,2),""))</f>
        <v/>
      </c>
      <c r="AR30" s="66" t="n"/>
      <c r="AS30" s="78">
        <f>IF(OR(AR$4=0,AR30=""),"",IFERROR(ROUND(AR30/INDEX(Undirviðmið!$F$6:$F$205,AR$4)*INDEX(Undirviðmið!$E$6:$E$205,AR$4)*KVARDI,2),""))</f>
        <v/>
      </c>
      <c r="AT30" s="66" t="n"/>
      <c r="AU30" s="78">
        <f>IF(OR(AT$4=0,AT30=""),"",IFERROR(ROUND(AT30/INDEX(Undirviðmið!$F$6:$F$205,AT$4)*INDEX(Undirviðmið!$E$6:$E$205,AT$4)*KVARDI,2),""))</f>
        <v/>
      </c>
      <c r="AV30" s="66" t="n"/>
      <c r="AW30" s="78">
        <f>IF(OR(AV$4=0,AV30=""),"",IFERROR(ROUND(AV30/INDEX(Undirviðmið!$F$6:$F$205,AV$4)*INDEX(Undirviðmið!$E$6:$E$205,AV$4)*KVARDI,2),""))</f>
        <v/>
      </c>
      <c r="AX30" s="66" t="n"/>
      <c r="AY30" s="78">
        <f>IF(OR(AX$4=0,AX30=""),"",IFERROR(ROUND(AX30/INDEX(Undirviðmið!$F$6:$F$205,AX$4)*INDEX(Undirviðmið!$E$6:$E$205,AX$4)*KVARDI,2),""))</f>
        <v/>
      </c>
      <c r="AZ30" s="66" t="n"/>
      <c r="BA30" s="78">
        <f>IF(OR(AZ$4=0,AZ30=""),"",IFERROR(ROUND(AZ30/INDEX(Undirviðmið!$F$6:$F$205,AZ$4)*INDEX(Undirviðmið!$E$6:$E$205,AZ$4)*KVARDI,2),""))</f>
        <v/>
      </c>
      <c r="BB30" s="66" t="n"/>
      <c r="BC30" s="78">
        <f>IF(OR(BB$4=0,BB30=""),"",IFERROR(ROUND(BB30/INDEX(Undirviðmið!$F$6:$F$205,BB$4)*INDEX(Undirviðmið!$E$6:$E$205,BB$4)*KVARDI,2),""))</f>
        <v/>
      </c>
      <c r="BD30" s="66" t="n"/>
      <c r="BE30" s="78">
        <f>IF(OR(BD$4=0,BD30=""),"",IFERROR(ROUND(BD30/INDEX(Undirviðmið!$F$6:$F$205,BD$4)*INDEX(Undirviðmið!$E$6:$E$205,BD$4)*KVARDI,2),""))</f>
        <v/>
      </c>
      <c r="BF30" s="66" t="n"/>
      <c r="BG30" s="78">
        <f>IF(OR(BF$4=0,BF30=""),"",IFERROR(ROUND(BF30/INDEX(Undirviðmið!$F$6:$F$205,BF$4)*INDEX(Undirviðmið!$E$6:$E$205,BF$4)*KVARDI,2),""))</f>
        <v/>
      </c>
      <c r="BH30" s="66" t="n"/>
      <c r="BI30" s="78">
        <f>IF(OR(BH$4=0,BH30=""),"",IFERROR(ROUND(BH30/INDEX(Undirviðmið!$F$6:$F$205,BH$4)*INDEX(Undirviðmið!$E$6:$E$205,BH$4)*KVARDI,2),""))</f>
        <v/>
      </c>
      <c r="BJ30" s="66" t="n"/>
      <c r="BK30" s="78">
        <f>IF(OR(BJ$4=0,BJ30=""),"",IFERROR(ROUND(BJ30/INDEX(Undirviðmið!$F$6:$F$205,BJ$4)*INDEX(Undirviðmið!$E$6:$E$205,BJ$4)*KVARDI,2),""))</f>
        <v/>
      </c>
      <c r="BL30" s="66" t="n"/>
      <c r="BM30" s="78">
        <f>IF(OR(BL$4=0,BL30=""),"",IFERROR(ROUND(BL30/INDEX(Undirviðmið!$F$6:$F$205,BL$4)*INDEX(Undirviðmið!$E$6:$E$205,BL$4)*KVARDI,2),""))</f>
        <v/>
      </c>
      <c r="BN30" s="66" t="n"/>
      <c r="BO30" s="78">
        <f>IF(OR(BN$4=0,BN30=""),"",IFERROR(ROUND(BN30/INDEX(Undirviðmið!$F$6:$F$205,BN$4)*INDEX(Undirviðmið!$E$6:$E$205,BN$4)*KVARDI,2),""))</f>
        <v/>
      </c>
      <c r="BP30" s="66" t="n"/>
      <c r="BQ30" s="78">
        <f>IF(OR(BP$4=0,BP30=""),"",IFERROR(ROUND(BP30/INDEX(Undirviðmið!$F$6:$F$205,BP$4)*INDEX(Undirviðmið!$E$6:$E$205,BP$4)*KVARDI,2),""))</f>
        <v/>
      </c>
      <c r="BR30" s="66" t="n"/>
      <c r="BS30" s="78">
        <f>IF(OR(BR$4=0,BR30=""),"",IFERROR(ROUND(BR30/INDEX(Undirviðmið!$F$6:$F$205,BR$4)*INDEX(Undirviðmið!$E$6:$E$205,BR$4)*KVARDI,2),""))</f>
        <v/>
      </c>
      <c r="BT30" s="66" t="n"/>
      <c r="BU30" s="78">
        <f>IF(OR(BT$4=0,BT30=""),"",IFERROR(ROUND(BT30/INDEX(Undirviðmið!$F$6:$F$205,BT$4)*INDEX(Undirviðmið!$E$6:$E$205,BT$4)*KVARDI,2),""))</f>
        <v/>
      </c>
      <c r="BV30" s="66" t="n"/>
      <c r="BW30" s="78">
        <f>IF(OR(BV$4=0,BV30=""),"",IFERROR(ROUND(BV30/INDEX(Undirviðmið!$F$6:$F$205,BV$4)*INDEX(Undirviðmið!$E$6:$E$205,BV$4)*KVARDI,2),""))</f>
        <v/>
      </c>
      <c r="BX30" s="66" t="n"/>
      <c r="BY30" s="78">
        <f>IF(OR(BX$4=0,BX30=""),"",IFERROR(ROUND(BX30/INDEX(Undirviðmið!$F$6:$F$205,BX$4)*INDEX(Undirviðmið!$E$6:$E$205,BX$4)*KVARDI,2),""))</f>
        <v/>
      </c>
      <c r="BZ30" s="66" t="n"/>
      <c r="CA30" s="78">
        <f>IF(OR(BZ$4=0,BZ30=""),"",IFERROR(ROUND(BZ30/INDEX(Undirviðmið!$F$6:$F$205,BZ$4)*INDEX(Undirviðmið!$E$6:$E$205,BZ$4)*KVARDI,2),""))</f>
        <v/>
      </c>
      <c r="CB30" s="66" t="n"/>
      <c r="CC30" s="78">
        <f>IF(OR(CB$4=0,CB30=""),"",IFERROR(ROUND(CB30/INDEX(Undirviðmið!$F$6:$F$205,CB$4)*INDEX(Undirviðmið!$E$6:$E$205,CB$4)*KVARDI,2),""))</f>
        <v/>
      </c>
      <c r="CD30" s="66" t="n"/>
      <c r="CE30" s="78">
        <f>IF(OR(CD$4=0,CD30=""),"",IFERROR(ROUND(CD30/INDEX(Undirviðmið!$F$6:$F$205,CD$4)*INDEX(Undirviðmið!$E$6:$E$205,CD$4)*KVARDI,2),""))</f>
        <v/>
      </c>
      <c r="CF30" s="66" t="n"/>
      <c r="CG30" s="78">
        <f>IF(OR(CF$4=0,CF30=""),"",IFERROR(ROUND(CF30/INDEX(Undirviðmið!$F$6:$F$205,CF$4)*INDEX(Undirviðmið!$E$6:$E$205,CF$4)*KVARDI,2),""))</f>
        <v/>
      </c>
      <c r="CH30" s="66" t="n"/>
      <c r="CI30" s="78">
        <f>IF(OR(CH$4=0,CH30=""),"",IFERROR(ROUND(CH30/INDEX(Undirviðmið!$F$6:$F$205,CH$4)*INDEX(Undirviðmið!$E$6:$E$205,CH$4)*KVARDI,2),""))</f>
        <v/>
      </c>
      <c r="CJ30" s="66" t="n"/>
      <c r="CK30" s="78">
        <f>IF(OR(CJ$4=0,CJ30=""),"",IFERROR(ROUND(CJ30/INDEX(Undirviðmið!$F$6:$F$205,CJ$4)*INDEX(Undirviðmið!$E$6:$E$205,CJ$4)*KVARDI,2),""))</f>
        <v/>
      </c>
      <c r="CL30" s="66" t="n"/>
      <c r="CM30" s="78">
        <f>IF(OR(CL$4=0,CL30=""),"",IFERROR(ROUND(CL30/INDEX(Undirviðmið!$F$6:$F$205,CL$4)*INDEX(Undirviðmið!$E$6:$E$205,CL$4)*KVARDI,2),""))</f>
        <v/>
      </c>
      <c r="CN30" s="66" t="n"/>
      <c r="CO30" s="78">
        <f>IF(OR(CN$4=0,CN30=""),"",IFERROR(ROUND(CN30/INDEX(Undirviðmið!$F$6:$F$205,CN$4)*INDEX(Undirviðmið!$E$6:$E$205,CN$4)*KVARDI,2),""))</f>
        <v/>
      </c>
      <c r="CP30" s="66" t="n"/>
      <c r="CQ30" s="78">
        <f>IF(OR(CP$4=0,CP30=""),"",IFERROR(ROUND(CP30/INDEX(Undirviðmið!$F$6:$F$205,CP$4)*INDEX(Undirviðmið!$E$6:$E$205,CP$4)*KVARDI,2),""))</f>
        <v/>
      </c>
      <c r="CR30" s="66" t="n"/>
      <c r="CS30" s="78">
        <f>IF(OR(CR$4=0,CR30=""),"",IFERROR(ROUND(CR30/INDEX(Undirviðmið!$F$6:$F$205,CR$4)*INDEX(Undirviðmið!$E$6:$E$205,CR$4)*KVARDI,2),""))</f>
        <v/>
      </c>
      <c r="CT30" s="66" t="n"/>
      <c r="CU30" s="78">
        <f>IF(OR(CT$4=0,CT30=""),"",IFERROR(ROUND(CT30/INDEX(Undirviðmið!$F$6:$F$205,CT$4)*INDEX(Undirviðmið!$E$6:$E$205,CT$4)*KVARDI,2),""))</f>
        <v/>
      </c>
      <c r="CV30" s="66" t="n"/>
      <c r="CW30" s="78">
        <f>IF(OR(CV$4=0,CV30=""),"",IFERROR(ROUND(CV30/INDEX(Undirviðmið!$F$6:$F$205,CV$4)*INDEX(Undirviðmið!$E$6:$E$205,CV$4)*KVARDI,2),""))</f>
        <v/>
      </c>
      <c r="CX30" s="66" t="n"/>
      <c r="CY30" s="78">
        <f>IF(OR(CX$4=0,CX30=""),"",IFERROR(ROUND(CX30/INDEX(Undirviðmið!$F$6:$F$205,CX$4)*INDEX(Undirviðmið!$E$6:$E$205,CX$4)*KVARDI,2),""))</f>
        <v/>
      </c>
      <c r="CZ30" s="66" t="n"/>
      <c r="DA30" s="78">
        <f>IF(OR(CZ$4=0,CZ30=""),"",IFERROR(ROUND(CZ30/INDEX(Undirviðmið!$F$6:$F$205,CZ$4)*INDEX(Undirviðmið!$E$6:$E$205,CZ$4)*KVARDI,2),""))</f>
        <v/>
      </c>
      <c r="DB30" s="66" t="n"/>
      <c r="DC30" s="78">
        <f>IF(OR(DB$4=0,DB30=""),"",IFERROR(ROUND(DB30/INDEX(Undirviðmið!$F$6:$F$205,DB$4)*INDEX(Undirviðmið!$E$6:$E$205,DB$4)*KVARDI,2),""))</f>
        <v/>
      </c>
      <c r="DD30" s="66" t="n"/>
      <c r="DE30" s="78">
        <f>IF(OR(DD$4=0,DD30=""),"",IFERROR(ROUND(DD30/INDEX(Undirviðmið!$F$6:$F$205,DD$4)*INDEX(Undirviðmið!$E$6:$E$205,DD$4)*KVARDI,2),""))</f>
        <v/>
      </c>
      <c r="DF30" s="66" t="n"/>
      <c r="DG30" s="78">
        <f>IF(OR(DF$4=0,DF30=""),"",IFERROR(ROUND(DF30/INDEX(Undirviðmið!$F$6:$F$205,DF$4)*INDEX(Undirviðmið!$E$6:$E$205,DF$4)*KVARDI,2),""))</f>
        <v/>
      </c>
      <c r="DH30" s="66" t="n"/>
      <c r="DI30" s="78">
        <f>IF(OR(DH$4=0,DH30=""),"",IFERROR(ROUND(DH30/INDEX(Undirviðmið!$F$6:$F$205,DH$4)*INDEX(Undirviðmið!$E$6:$E$205,DH$4)*KVARDI,2),""))</f>
        <v/>
      </c>
      <c r="DJ30" s="66" t="n"/>
      <c r="DK30" s="78">
        <f>IF(OR(DJ$4=0,DJ30=""),"",IFERROR(ROUND(DJ30/INDEX(Undirviðmið!$F$6:$F$205,DJ$4)*INDEX(Undirviðmið!$E$6:$E$205,DJ$4)*KVARDI,2),""))</f>
        <v/>
      </c>
      <c r="DL30" s="66" t="n"/>
      <c r="DM30" s="78">
        <f>IF(OR(DL$4=0,DL30=""),"",IFERROR(ROUND(DL30/INDEX(Undirviðmið!$F$6:$F$205,DL$4)*INDEX(Undirviðmið!$E$6:$E$205,DL$4)*KVARDI,2),""))</f>
        <v/>
      </c>
      <c r="DN30" s="66" t="n"/>
      <c r="DO30" s="78">
        <f>IF(OR(DN$4=0,DN30=""),"",IFERROR(ROUND(DN30/INDEX(Undirviðmið!$F$6:$F$205,DN$4)*INDEX(Undirviðmið!$E$6:$E$205,DN$4)*KVARDI,2),""))</f>
        <v/>
      </c>
      <c r="DP30" s="66" t="n"/>
      <c r="DQ30" s="78">
        <f>IF(OR(DP$4=0,DP30=""),"",IFERROR(ROUND(DP30/INDEX(Undirviðmið!$F$6:$F$205,DP$4)*INDEX(Undirviðmið!$E$6:$E$205,DP$4)*KVARDI,2),""))</f>
        <v/>
      </c>
      <c r="DR30" s="66" t="n"/>
      <c r="DS30" s="78">
        <f>IF(OR(DR$4=0,DR30=""),"",IFERROR(ROUND(DR30/INDEX(Undirviðmið!$F$6:$F$205,DR$4)*INDEX(Undirviðmið!$E$6:$E$205,DR$4)*KVARDI,2),""))</f>
        <v/>
      </c>
      <c r="DT30" s="66" t="n"/>
      <c r="DU30" s="78">
        <f>IF(OR(DT$4=0,DT30=""),"",IFERROR(ROUND(DT30/INDEX(Undirviðmið!$F$6:$F$205,DT$4)*INDEX(Undirviðmið!$E$6:$E$205,DT$4)*KVARDI,2),""))</f>
        <v/>
      </c>
      <c r="DV30" s="66" t="n"/>
      <c r="DW30" s="78">
        <f>IF(OR(DV$4=0,DV30=""),"",IFERROR(ROUND(DV30/INDEX(Undirviðmið!$F$6:$F$205,DV$4)*INDEX(Undirviðmið!$E$6:$E$205,DV$4)*KVARDI,2),""))</f>
        <v/>
      </c>
      <c r="DX30" s="66" t="n"/>
      <c r="DY30" s="78">
        <f>IF(OR(DX$4=0,DX30=""),"",IFERROR(ROUND(DX30/INDEX(Undirviðmið!$F$6:$F$205,DX$4)*INDEX(Undirviðmið!$E$6:$E$205,DX$4)*KVARDI,2),""))</f>
        <v/>
      </c>
      <c r="DZ30" s="66" t="n"/>
      <c r="EA30" s="78">
        <f>IF(OR(DZ$4=0,DZ30=""),"",IFERROR(ROUND(DZ30/INDEX(Undirviðmið!$F$6:$F$205,DZ$4)*INDEX(Undirviðmið!$E$6:$E$205,DZ$4)*KVARDI,2),""))</f>
        <v/>
      </c>
      <c r="EB30" s="66" t="n"/>
      <c r="EC30" s="78">
        <f>IF(OR(EB$4=0,EB30=""),"",IFERROR(ROUND(EB30/INDEX(Undirviðmið!$F$6:$F$205,EB$4)*INDEX(Undirviðmið!$E$6:$E$205,EB$4)*KVARDI,2),""))</f>
        <v/>
      </c>
      <c r="ED30" s="66" t="n"/>
      <c r="EE30" s="78">
        <f>IF(OR(ED$4=0,ED30=""),"",IFERROR(ROUND(ED30/INDEX(Undirviðmið!$F$6:$F$205,ED$4)*INDEX(Undirviðmið!$E$6:$E$205,ED$4)*KVARDI,2),""))</f>
        <v/>
      </c>
      <c r="EF30" s="66" t="n"/>
      <c r="EG30" s="78">
        <f>IF(OR(EF$4=0,EF30=""),"",IFERROR(ROUND(EF30/INDEX(Undirviðmið!$F$6:$F$205,EF$4)*INDEX(Undirviðmið!$E$6:$E$205,EF$4)*KVARDI,2),""))</f>
        <v/>
      </c>
      <c r="EH30" s="66" t="n"/>
      <c r="EI30" s="78">
        <f>IF(OR(EH$4=0,EH30=""),"",IFERROR(ROUND(EH30/INDEX(Undirviðmið!$F$6:$F$205,EH$4)*INDEX(Undirviðmið!$E$6:$E$205,EH$4)*KVARDI,2),""))</f>
        <v/>
      </c>
      <c r="EJ30" s="66" t="n"/>
      <c r="EK30" s="78">
        <f>IF(OR(EJ$4=0,EJ30=""),"",IFERROR(ROUND(EJ30/INDEX(Undirviðmið!$F$6:$F$205,EJ$4)*INDEX(Undirviðmið!$E$6:$E$205,EJ$4)*KVARDI,2),""))</f>
        <v/>
      </c>
      <c r="EL30" s="66" t="n"/>
      <c r="EM30" s="78">
        <f>IF(OR(EL$4=0,EL30=""),"",IFERROR(ROUND(EL30/INDEX(Undirviðmið!$F$6:$F$205,EL$4)*INDEX(Undirviðmið!$E$6:$E$205,EL$4)*KVARDI,2),""))</f>
        <v/>
      </c>
      <c r="EN30" s="66" t="n"/>
      <c r="EO30" s="78">
        <f>IF(OR(EN$4=0,EN30=""),"",IFERROR(ROUND(EN30/INDEX(Undirviðmið!$F$6:$F$205,EN$4)*INDEX(Undirviðmið!$E$6:$E$205,EN$4)*KVARDI,2),""))</f>
        <v/>
      </c>
      <c r="EP30" s="66" t="n"/>
      <c r="EQ30" s="78">
        <f>IF(OR(EP$4=0,EP30=""),"",IFERROR(ROUND(EP30/INDEX(Undirviðmið!$F$6:$F$205,EP$4)*INDEX(Undirviðmið!$E$6:$E$205,EP$4)*KVARDI,2),""))</f>
        <v/>
      </c>
      <c r="ER30" s="66" t="n"/>
      <c r="ES30" s="78">
        <f>IF(OR(ER$4=0,ER30=""),"",IFERROR(ROUND(ER30/INDEX(Undirviðmið!$F$6:$F$205,ER$4)*INDEX(Undirviðmið!$E$6:$E$205,ER$4)*KVARDI,2),""))</f>
        <v/>
      </c>
      <c r="ET30" s="66" t="n"/>
      <c r="EU30" s="78">
        <f>IF(OR(ET$4=0,ET30=""),"",IFERROR(ROUND(ET30/INDEX(Undirviðmið!$F$6:$F$205,ET$4)*INDEX(Undirviðmið!$E$6:$E$205,ET$4)*KVARDI,2),""))</f>
        <v/>
      </c>
      <c r="EV30" s="66" t="n"/>
      <c r="EW30" s="78">
        <f>IF(OR(EV$4=0,EV30=""),"",IFERROR(ROUND(EV30/INDEX(Undirviðmið!$F$6:$F$205,EV$4)*INDEX(Undirviðmið!$E$6:$E$205,EV$4)*KVARDI,2),""))</f>
        <v/>
      </c>
      <c r="EX30" s="66" t="n"/>
      <c r="EY30" s="78">
        <f>IF(OR(EX$4=0,EX30=""),"",IFERROR(ROUND(EX30/INDEX(Undirviðmið!$F$6:$F$205,EX$4)*INDEX(Undirviðmið!$E$6:$E$205,EX$4)*KVARDI,2),""))</f>
        <v/>
      </c>
      <c r="EZ30" s="66" t="n"/>
      <c r="FA30" s="78">
        <f>IF(OR(EZ$4=0,EZ30=""),"",IFERROR(ROUND(EZ30/INDEX(Undirviðmið!$F$6:$F$205,EZ$4)*INDEX(Undirviðmið!$E$6:$E$205,EZ$4)*KVARDI,2),""))</f>
        <v/>
      </c>
      <c r="FB30" s="66" t="n"/>
      <c r="FC30" s="78">
        <f>IF(OR(FB$4=0,FB30=""),"",IFERROR(ROUND(FB30/INDEX(Undirviðmið!$F$6:$F$205,FB$4)*INDEX(Undirviðmið!$E$6:$E$205,FB$4)*KVARDI,2),""))</f>
        <v/>
      </c>
      <c r="FD30" s="66" t="n"/>
      <c r="FE30" s="78">
        <f>IF(OR(FD$4=0,FD30=""),"",IFERROR(ROUND(FD30/INDEX(Undirviðmið!$F$6:$F$205,FD$4)*INDEX(Undirviðmið!$E$6:$E$205,FD$4)*KVARDI,2),""))</f>
        <v/>
      </c>
      <c r="FF30" s="66" t="n"/>
      <c r="FG30" s="78">
        <f>IF(OR(FF$4=0,FF30=""),"",IFERROR(ROUND(FF30/INDEX(Undirviðmið!$F$6:$F$205,FF$4)*INDEX(Undirviðmið!$E$6:$E$205,FF$4)*KVARDI,2),""))</f>
        <v/>
      </c>
      <c r="FH30" s="66" t="n"/>
      <c r="FI30" s="78">
        <f>IF(OR(FH$4=0,FH30=""),"",IFERROR(ROUND(FH30/INDEX(Undirviðmið!$F$6:$F$205,FH$4)*INDEX(Undirviðmið!$E$6:$E$205,FH$4)*KVARDI,2),""))</f>
        <v/>
      </c>
      <c r="FJ30" s="66" t="n"/>
      <c r="FK30" s="78">
        <f>IF(OR(FJ$4=0,FJ30=""),"",IFERROR(ROUND(FJ30/INDEX(Undirviðmið!$F$6:$F$205,FJ$4)*INDEX(Undirviðmið!$E$6:$E$205,FJ$4)*KVARDI,2),""))</f>
        <v/>
      </c>
      <c r="FL30" s="66" t="n"/>
      <c r="FM30" s="78">
        <f>IF(OR(FL$4=0,FL30=""),"",IFERROR(ROUND(FL30/INDEX(Undirviðmið!$F$6:$F$205,FL$4)*INDEX(Undirviðmið!$E$6:$E$205,FL$4)*KVARDI,2),""))</f>
        <v/>
      </c>
      <c r="FN30" s="66" t="n"/>
      <c r="FO30" s="78">
        <f>IF(OR(FN$4=0,FN30=""),"",IFERROR(ROUND(FN30/INDEX(Undirviðmið!$F$6:$F$205,FN$4)*INDEX(Undirviðmið!$E$6:$E$205,FN$4)*KVARDI,2),""))</f>
        <v/>
      </c>
      <c r="FP30" s="66" t="n"/>
      <c r="FQ30" s="78">
        <f>IF(OR(FP$4=0,FP30=""),"",IFERROR(ROUND(FP30/INDEX(Undirviðmið!$F$6:$F$205,FP$4)*INDEX(Undirviðmið!$E$6:$E$205,FP$4)*KVARDI,2),""))</f>
        <v/>
      </c>
      <c r="FR30" s="66" t="n"/>
      <c r="FS30" s="78">
        <f>IF(OR(FR$4=0,FR30=""),"",IFERROR(ROUND(FR30/INDEX(Undirviðmið!$F$6:$F$205,FR$4)*INDEX(Undirviðmið!$E$6:$E$205,FR$4)*KVARDI,2),""))</f>
        <v/>
      </c>
      <c r="FT30" s="66" t="n"/>
      <c r="FU30" s="78">
        <f>IF(OR(FT$4=0,FT30=""),"",IFERROR(ROUND(FT30/INDEX(Undirviðmið!$F$6:$F$205,FT$4)*INDEX(Undirviðmið!$E$6:$E$205,FT$4)*KVARDI,2),""))</f>
        <v/>
      </c>
      <c r="FV30" s="66" t="n"/>
      <c r="FW30" s="78">
        <f>IF(OR(FV$4=0,FV30=""),"",IFERROR(ROUND(FV30/INDEX(Undirviðmið!$F$6:$F$205,FV$4)*INDEX(Undirviðmið!$E$6:$E$205,FV$4)*KVARDI,2),""))</f>
        <v/>
      </c>
      <c r="FX30" s="66" t="n"/>
      <c r="FY30" s="78">
        <f>IF(OR(FX$4=0,FX30=""),"",IFERROR(ROUND(FX30/INDEX(Undirviðmið!$F$6:$F$205,FX$4)*INDEX(Undirviðmið!$E$6:$E$205,FX$4)*KVARDI,2),""))</f>
        <v/>
      </c>
      <c r="FZ30" s="66" t="n"/>
      <c r="GA30" s="78">
        <f>IF(OR(FZ$4=0,FZ30=""),"",IFERROR(ROUND(FZ30/INDEX(Undirviðmið!$F$6:$F$205,FZ$4)*INDEX(Undirviðmið!$E$6:$E$205,FZ$4)*KVARDI,2),""))</f>
        <v/>
      </c>
      <c r="GB30" s="66" t="n"/>
      <c r="GC30" s="78">
        <f>IF(OR(GB$4=0,GB30=""),"",IFERROR(ROUND(GB30/INDEX(Undirviðmið!$F$6:$F$205,GB$4)*INDEX(Undirviðmið!$E$6:$E$205,GB$4)*KVARDI,2),""))</f>
        <v/>
      </c>
      <c r="GD30" s="66" t="n"/>
      <c r="GE30" s="78">
        <f>IF(OR(GD$4=0,GD30=""),"",IFERROR(ROUND(GD30/INDEX(Undirviðmið!$F$6:$F$205,GD$4)*INDEX(Undirviðmið!$E$6:$E$205,GD$4)*KVARDI,2),""))</f>
        <v/>
      </c>
      <c r="GF30" s="66" t="n"/>
      <c r="GG30" s="78">
        <f>IF(OR(GF$4=0,GF30=""),"",IFERROR(ROUND(GF30/INDEX(Undirviðmið!$F$6:$F$205,GF$4)*INDEX(Undirviðmið!$E$6:$E$205,GF$4)*KVARDI,2),""))</f>
        <v/>
      </c>
      <c r="GH30" s="66" t="n"/>
      <c r="GI30" s="78">
        <f>IF(OR(GH$4=0,GH30=""),"",IFERROR(ROUND(GH30/INDEX(Undirviðmið!$F$6:$F$205,GH$4)*INDEX(Undirviðmið!$E$6:$E$205,GH$4)*KVARDI,2),""))</f>
        <v/>
      </c>
      <c r="GJ30" s="66" t="n"/>
      <c r="GK30" s="78">
        <f>IF(OR(GJ$4=0,GJ30=""),"",IFERROR(ROUND(GJ30/INDEX(Undirviðmið!$F$6:$F$205,GJ$4)*INDEX(Undirviðmið!$E$6:$E$205,GJ$4)*KVARDI,2),""))</f>
        <v/>
      </c>
      <c r="GL30" s="66" t="n"/>
      <c r="GM30" s="78">
        <f>IF(OR(GL$4=0,GL30=""),"",IFERROR(ROUND(GL30/INDEX(Undirviðmið!$F$6:$F$205,GL$4)*INDEX(Undirviðmið!$E$6:$E$205,GL$4)*KVARDI,2),""))</f>
        <v/>
      </c>
      <c r="GN30" s="66" t="n"/>
      <c r="GO30" s="78">
        <f>IF(OR(GN$4=0,GN30=""),"",IFERROR(ROUND(GN30/INDEX(Undirviðmið!$F$6:$F$205,GN$4)*INDEX(Undirviðmið!$E$6:$E$205,GN$4)*KVARDI,2),""))</f>
        <v/>
      </c>
      <c r="GP30" s="66" t="n"/>
      <c r="GQ30" s="78">
        <f>IF(OR(GP$4=0,GP30=""),"",IFERROR(ROUND(GP30/INDEX(Undirviðmið!$F$6:$F$205,GP$4)*INDEX(Undirviðmið!$E$6:$E$205,GP$4)*KVARDI,2),""))</f>
        <v/>
      </c>
      <c r="GR30" s="66" t="n"/>
      <c r="GS30" s="78">
        <f>IF(OR(GR$4=0,GR30=""),"",IFERROR(ROUND(GR30/INDEX(Undirviðmið!$F$6:$F$205,GR$4)*INDEX(Undirviðmið!$E$6:$E$205,GR$4)*KVARDI,2),""))</f>
        <v/>
      </c>
      <c r="GT30" s="66" t="n"/>
      <c r="GU30" s="78">
        <f>IF(OR(GT$4=0,GT30=""),"",IFERROR(ROUND(GT30/INDEX(Undirviðmið!$F$6:$F$205,GT$4)*INDEX(Undirviðmið!$E$6:$E$205,GT$4)*KVARDI,2),""))</f>
        <v/>
      </c>
      <c r="GV30" s="63">
        <f>IFERROR(SUMIF($D$6:GU$6,"Stig",$D30:GU30),0)</f>
        <v/>
      </c>
    </row>
    <row r="31" ht="15" customHeight="1" s="47">
      <c r="A31" s="65">
        <f>ROW()-6</f>
        <v/>
      </c>
      <c r="B31" s="67">
        <f>IF(INDEX(Starfsmenn!$B$6:$B$10005,ROW()-6)="","",INDEX(Starfsmenn!$B$6:$B$10005,ROW()-6))</f>
        <v/>
      </c>
      <c r="C31" s="67">
        <f>IF(INDEX(Starfsmenn!$C$6:$C$10005,ROW()-6)="","",INDEX(Starfsmenn!$C$6:$C$10005,ROW()-6))</f>
        <v/>
      </c>
      <c r="D31" s="66" t="n"/>
      <c r="E31" s="78">
        <f>IF(OR(D$4=0,D31=""),"",IFERROR(ROUND(D31/INDEX(Undirviðmið!$F$6:$F$205,D$4)*INDEX(Undirviðmið!$E$6:$E$205,D$4)*KVARDI,2),""))</f>
        <v/>
      </c>
      <c r="F31" s="66" t="n"/>
      <c r="G31" s="78">
        <f>IF(OR(F$4=0,F31=""),"",IFERROR(ROUND(F31/INDEX(Undirviðmið!$F$6:$F$205,F$4)*INDEX(Undirviðmið!$E$6:$E$205,F$4)*KVARDI,2),""))</f>
        <v/>
      </c>
      <c r="H31" s="66" t="n"/>
      <c r="I31" s="78">
        <f>IF(OR(H$4=0,H31=""),"",IFERROR(ROUND(H31/INDEX(Undirviðmið!$F$6:$F$205,H$4)*INDEX(Undirviðmið!$E$6:$E$205,H$4)*KVARDI,2),""))</f>
        <v/>
      </c>
      <c r="J31" s="66" t="n"/>
      <c r="K31" s="78">
        <f>IF(OR(J$4=0,J31=""),"",IFERROR(ROUND(J31/INDEX(Undirviðmið!$F$6:$F$205,J$4)*INDEX(Undirviðmið!$E$6:$E$205,J$4)*KVARDI,2),""))</f>
        <v/>
      </c>
      <c r="L31" s="66" t="n"/>
      <c r="M31" s="78">
        <f>IF(OR(L$4=0,L31=""),"",IFERROR(ROUND(L31/INDEX(Undirviðmið!$F$6:$F$205,L$4)*INDEX(Undirviðmið!$E$6:$E$205,L$4)*KVARDI,2),""))</f>
        <v/>
      </c>
      <c r="N31" s="66" t="n"/>
      <c r="O31" s="78">
        <f>IF(OR(N$4=0,N31=""),"",IFERROR(ROUND(N31/INDEX(Undirviðmið!$F$6:$F$205,N$4)*INDEX(Undirviðmið!$E$6:$E$205,N$4)*KVARDI,2),""))</f>
        <v/>
      </c>
      <c r="P31" s="66" t="n"/>
      <c r="Q31" s="78">
        <f>IF(OR(P$4=0,P31=""),"",IFERROR(ROUND(P31/INDEX(Undirviðmið!$F$6:$F$205,P$4)*INDEX(Undirviðmið!$E$6:$E$205,P$4)*KVARDI,2),""))</f>
        <v/>
      </c>
      <c r="R31" s="66" t="n"/>
      <c r="S31" s="78">
        <f>IF(OR(R$4=0,R31=""),"",IFERROR(ROUND(R31/INDEX(Undirviðmið!$F$6:$F$205,R$4)*INDEX(Undirviðmið!$E$6:$E$205,R$4)*KVARDI,2),""))</f>
        <v/>
      </c>
      <c r="T31" s="66" t="n"/>
      <c r="U31" s="78">
        <f>IF(OR(T$4=0,T31=""),"",IFERROR(ROUND(T31/INDEX(Undirviðmið!$F$6:$F$205,T$4)*INDEX(Undirviðmið!$E$6:$E$205,T$4)*KVARDI,2),""))</f>
        <v/>
      </c>
      <c r="V31" s="66" t="n"/>
      <c r="W31" s="78">
        <f>IF(OR(V$4=0,V31=""),"",IFERROR(ROUND(V31/INDEX(Undirviðmið!$F$6:$F$205,V$4)*INDEX(Undirviðmið!$E$6:$E$205,V$4)*KVARDI,2),""))</f>
        <v/>
      </c>
      <c r="X31" s="66" t="n"/>
      <c r="Y31" s="78">
        <f>IF(OR(X$4=0,X31=""),"",IFERROR(ROUND(X31/INDEX(Undirviðmið!$F$6:$F$205,X$4)*INDEX(Undirviðmið!$E$6:$E$205,X$4)*KVARDI,2),""))</f>
        <v/>
      </c>
      <c r="Z31" s="66" t="n"/>
      <c r="AA31" s="78">
        <f>IF(OR(Z$4=0,Z31=""),"",IFERROR(ROUND(Z31/INDEX(Undirviðmið!$F$6:$F$205,Z$4)*INDEX(Undirviðmið!$E$6:$E$205,Z$4)*KVARDI,2),""))</f>
        <v/>
      </c>
      <c r="AB31" s="66" t="n"/>
      <c r="AC31" s="78">
        <f>IF(OR(AB$4=0,AB31=""),"",IFERROR(ROUND(AB31/INDEX(Undirviðmið!$F$6:$F$205,AB$4)*INDEX(Undirviðmið!$E$6:$E$205,AB$4)*KVARDI,2),""))</f>
        <v/>
      </c>
      <c r="AD31" s="66" t="n"/>
      <c r="AE31" s="78">
        <f>IF(OR(AD$4=0,AD31=""),"",IFERROR(ROUND(AD31/INDEX(Undirviðmið!$F$6:$F$205,AD$4)*INDEX(Undirviðmið!$E$6:$E$205,AD$4)*KVARDI,2),""))</f>
        <v/>
      </c>
      <c r="AF31" s="66" t="n"/>
      <c r="AG31" s="78">
        <f>IF(OR(AF$4=0,AF31=""),"",IFERROR(ROUND(AF31/INDEX(Undirviðmið!$F$6:$F$205,AF$4)*INDEX(Undirviðmið!$E$6:$E$205,AF$4)*KVARDI,2),""))</f>
        <v/>
      </c>
      <c r="AH31" s="66" t="n"/>
      <c r="AI31" s="78">
        <f>IF(OR(AH$4=0,AH31=""),"",IFERROR(ROUND(AH31/INDEX(Undirviðmið!$F$6:$F$205,AH$4)*INDEX(Undirviðmið!$E$6:$E$205,AH$4)*KVARDI,2),""))</f>
        <v/>
      </c>
      <c r="AJ31" s="66" t="n"/>
      <c r="AK31" s="78">
        <f>IF(OR(AJ$4=0,AJ31=""),"",IFERROR(ROUND(AJ31/INDEX(Undirviðmið!$F$6:$F$205,AJ$4)*INDEX(Undirviðmið!$E$6:$E$205,AJ$4)*KVARDI,2),""))</f>
        <v/>
      </c>
      <c r="AL31" s="66" t="n"/>
      <c r="AM31" s="78">
        <f>IF(OR(AL$4=0,AL31=""),"",IFERROR(ROUND(AL31/INDEX(Undirviðmið!$F$6:$F$205,AL$4)*INDEX(Undirviðmið!$E$6:$E$205,AL$4)*KVARDI,2),""))</f>
        <v/>
      </c>
      <c r="AN31" s="66" t="n"/>
      <c r="AO31" s="78">
        <f>IF(OR(AN$4=0,AN31=""),"",IFERROR(ROUND(AN31/INDEX(Undirviðmið!$F$6:$F$205,AN$4)*INDEX(Undirviðmið!$E$6:$E$205,AN$4)*KVARDI,2),""))</f>
        <v/>
      </c>
      <c r="AP31" s="66" t="n"/>
      <c r="AQ31" s="78">
        <f>IF(OR(AP$4=0,AP31=""),"",IFERROR(ROUND(AP31/INDEX(Undirviðmið!$F$6:$F$205,AP$4)*INDEX(Undirviðmið!$E$6:$E$205,AP$4)*KVARDI,2),""))</f>
        <v/>
      </c>
      <c r="AR31" s="66" t="n"/>
      <c r="AS31" s="78">
        <f>IF(OR(AR$4=0,AR31=""),"",IFERROR(ROUND(AR31/INDEX(Undirviðmið!$F$6:$F$205,AR$4)*INDEX(Undirviðmið!$E$6:$E$205,AR$4)*KVARDI,2),""))</f>
        <v/>
      </c>
      <c r="AT31" s="66" t="n"/>
      <c r="AU31" s="78">
        <f>IF(OR(AT$4=0,AT31=""),"",IFERROR(ROUND(AT31/INDEX(Undirviðmið!$F$6:$F$205,AT$4)*INDEX(Undirviðmið!$E$6:$E$205,AT$4)*KVARDI,2),""))</f>
        <v/>
      </c>
      <c r="AV31" s="66" t="n"/>
      <c r="AW31" s="78">
        <f>IF(OR(AV$4=0,AV31=""),"",IFERROR(ROUND(AV31/INDEX(Undirviðmið!$F$6:$F$205,AV$4)*INDEX(Undirviðmið!$E$6:$E$205,AV$4)*KVARDI,2),""))</f>
        <v/>
      </c>
      <c r="AX31" s="66" t="n"/>
      <c r="AY31" s="78">
        <f>IF(OR(AX$4=0,AX31=""),"",IFERROR(ROUND(AX31/INDEX(Undirviðmið!$F$6:$F$205,AX$4)*INDEX(Undirviðmið!$E$6:$E$205,AX$4)*KVARDI,2),""))</f>
        <v/>
      </c>
      <c r="AZ31" s="66" t="n"/>
      <c r="BA31" s="78">
        <f>IF(OR(AZ$4=0,AZ31=""),"",IFERROR(ROUND(AZ31/INDEX(Undirviðmið!$F$6:$F$205,AZ$4)*INDEX(Undirviðmið!$E$6:$E$205,AZ$4)*KVARDI,2),""))</f>
        <v/>
      </c>
      <c r="BB31" s="66" t="n"/>
      <c r="BC31" s="78">
        <f>IF(OR(BB$4=0,BB31=""),"",IFERROR(ROUND(BB31/INDEX(Undirviðmið!$F$6:$F$205,BB$4)*INDEX(Undirviðmið!$E$6:$E$205,BB$4)*KVARDI,2),""))</f>
        <v/>
      </c>
      <c r="BD31" s="66" t="n"/>
      <c r="BE31" s="78">
        <f>IF(OR(BD$4=0,BD31=""),"",IFERROR(ROUND(BD31/INDEX(Undirviðmið!$F$6:$F$205,BD$4)*INDEX(Undirviðmið!$E$6:$E$205,BD$4)*KVARDI,2),""))</f>
        <v/>
      </c>
      <c r="BF31" s="66" t="n"/>
      <c r="BG31" s="78">
        <f>IF(OR(BF$4=0,BF31=""),"",IFERROR(ROUND(BF31/INDEX(Undirviðmið!$F$6:$F$205,BF$4)*INDEX(Undirviðmið!$E$6:$E$205,BF$4)*KVARDI,2),""))</f>
        <v/>
      </c>
      <c r="BH31" s="66" t="n"/>
      <c r="BI31" s="78">
        <f>IF(OR(BH$4=0,BH31=""),"",IFERROR(ROUND(BH31/INDEX(Undirviðmið!$F$6:$F$205,BH$4)*INDEX(Undirviðmið!$E$6:$E$205,BH$4)*KVARDI,2),""))</f>
        <v/>
      </c>
      <c r="BJ31" s="66" t="n"/>
      <c r="BK31" s="78">
        <f>IF(OR(BJ$4=0,BJ31=""),"",IFERROR(ROUND(BJ31/INDEX(Undirviðmið!$F$6:$F$205,BJ$4)*INDEX(Undirviðmið!$E$6:$E$205,BJ$4)*KVARDI,2),""))</f>
        <v/>
      </c>
      <c r="BL31" s="66" t="n"/>
      <c r="BM31" s="78">
        <f>IF(OR(BL$4=0,BL31=""),"",IFERROR(ROUND(BL31/INDEX(Undirviðmið!$F$6:$F$205,BL$4)*INDEX(Undirviðmið!$E$6:$E$205,BL$4)*KVARDI,2),""))</f>
        <v/>
      </c>
      <c r="BN31" s="66" t="n"/>
      <c r="BO31" s="78">
        <f>IF(OR(BN$4=0,BN31=""),"",IFERROR(ROUND(BN31/INDEX(Undirviðmið!$F$6:$F$205,BN$4)*INDEX(Undirviðmið!$E$6:$E$205,BN$4)*KVARDI,2),""))</f>
        <v/>
      </c>
      <c r="BP31" s="66" t="n"/>
      <c r="BQ31" s="78">
        <f>IF(OR(BP$4=0,BP31=""),"",IFERROR(ROUND(BP31/INDEX(Undirviðmið!$F$6:$F$205,BP$4)*INDEX(Undirviðmið!$E$6:$E$205,BP$4)*KVARDI,2),""))</f>
        <v/>
      </c>
      <c r="BR31" s="66" t="n"/>
      <c r="BS31" s="78">
        <f>IF(OR(BR$4=0,BR31=""),"",IFERROR(ROUND(BR31/INDEX(Undirviðmið!$F$6:$F$205,BR$4)*INDEX(Undirviðmið!$E$6:$E$205,BR$4)*KVARDI,2),""))</f>
        <v/>
      </c>
      <c r="BT31" s="66" t="n"/>
      <c r="BU31" s="78">
        <f>IF(OR(BT$4=0,BT31=""),"",IFERROR(ROUND(BT31/INDEX(Undirviðmið!$F$6:$F$205,BT$4)*INDEX(Undirviðmið!$E$6:$E$205,BT$4)*KVARDI,2),""))</f>
        <v/>
      </c>
      <c r="BV31" s="66" t="n"/>
      <c r="BW31" s="78">
        <f>IF(OR(BV$4=0,BV31=""),"",IFERROR(ROUND(BV31/INDEX(Undirviðmið!$F$6:$F$205,BV$4)*INDEX(Undirviðmið!$E$6:$E$205,BV$4)*KVARDI,2),""))</f>
        <v/>
      </c>
      <c r="BX31" s="66" t="n"/>
      <c r="BY31" s="78">
        <f>IF(OR(BX$4=0,BX31=""),"",IFERROR(ROUND(BX31/INDEX(Undirviðmið!$F$6:$F$205,BX$4)*INDEX(Undirviðmið!$E$6:$E$205,BX$4)*KVARDI,2),""))</f>
        <v/>
      </c>
      <c r="BZ31" s="66" t="n"/>
      <c r="CA31" s="78">
        <f>IF(OR(BZ$4=0,BZ31=""),"",IFERROR(ROUND(BZ31/INDEX(Undirviðmið!$F$6:$F$205,BZ$4)*INDEX(Undirviðmið!$E$6:$E$205,BZ$4)*KVARDI,2),""))</f>
        <v/>
      </c>
      <c r="CB31" s="66" t="n"/>
      <c r="CC31" s="78">
        <f>IF(OR(CB$4=0,CB31=""),"",IFERROR(ROUND(CB31/INDEX(Undirviðmið!$F$6:$F$205,CB$4)*INDEX(Undirviðmið!$E$6:$E$205,CB$4)*KVARDI,2),""))</f>
        <v/>
      </c>
      <c r="CD31" s="66" t="n"/>
      <c r="CE31" s="78">
        <f>IF(OR(CD$4=0,CD31=""),"",IFERROR(ROUND(CD31/INDEX(Undirviðmið!$F$6:$F$205,CD$4)*INDEX(Undirviðmið!$E$6:$E$205,CD$4)*KVARDI,2),""))</f>
        <v/>
      </c>
      <c r="CF31" s="66" t="n"/>
      <c r="CG31" s="78">
        <f>IF(OR(CF$4=0,CF31=""),"",IFERROR(ROUND(CF31/INDEX(Undirviðmið!$F$6:$F$205,CF$4)*INDEX(Undirviðmið!$E$6:$E$205,CF$4)*KVARDI,2),""))</f>
        <v/>
      </c>
      <c r="CH31" s="66" t="n"/>
      <c r="CI31" s="78">
        <f>IF(OR(CH$4=0,CH31=""),"",IFERROR(ROUND(CH31/INDEX(Undirviðmið!$F$6:$F$205,CH$4)*INDEX(Undirviðmið!$E$6:$E$205,CH$4)*KVARDI,2),""))</f>
        <v/>
      </c>
      <c r="CJ31" s="66" t="n"/>
      <c r="CK31" s="78">
        <f>IF(OR(CJ$4=0,CJ31=""),"",IFERROR(ROUND(CJ31/INDEX(Undirviðmið!$F$6:$F$205,CJ$4)*INDEX(Undirviðmið!$E$6:$E$205,CJ$4)*KVARDI,2),""))</f>
        <v/>
      </c>
      <c r="CL31" s="66" t="n"/>
      <c r="CM31" s="78">
        <f>IF(OR(CL$4=0,CL31=""),"",IFERROR(ROUND(CL31/INDEX(Undirviðmið!$F$6:$F$205,CL$4)*INDEX(Undirviðmið!$E$6:$E$205,CL$4)*KVARDI,2),""))</f>
        <v/>
      </c>
      <c r="CN31" s="66" t="n"/>
      <c r="CO31" s="78">
        <f>IF(OR(CN$4=0,CN31=""),"",IFERROR(ROUND(CN31/INDEX(Undirviðmið!$F$6:$F$205,CN$4)*INDEX(Undirviðmið!$E$6:$E$205,CN$4)*KVARDI,2),""))</f>
        <v/>
      </c>
      <c r="CP31" s="66" t="n"/>
      <c r="CQ31" s="78">
        <f>IF(OR(CP$4=0,CP31=""),"",IFERROR(ROUND(CP31/INDEX(Undirviðmið!$F$6:$F$205,CP$4)*INDEX(Undirviðmið!$E$6:$E$205,CP$4)*KVARDI,2),""))</f>
        <v/>
      </c>
      <c r="CR31" s="66" t="n"/>
      <c r="CS31" s="78">
        <f>IF(OR(CR$4=0,CR31=""),"",IFERROR(ROUND(CR31/INDEX(Undirviðmið!$F$6:$F$205,CR$4)*INDEX(Undirviðmið!$E$6:$E$205,CR$4)*KVARDI,2),""))</f>
        <v/>
      </c>
      <c r="CT31" s="66" t="n"/>
      <c r="CU31" s="78">
        <f>IF(OR(CT$4=0,CT31=""),"",IFERROR(ROUND(CT31/INDEX(Undirviðmið!$F$6:$F$205,CT$4)*INDEX(Undirviðmið!$E$6:$E$205,CT$4)*KVARDI,2),""))</f>
        <v/>
      </c>
      <c r="CV31" s="66" t="n"/>
      <c r="CW31" s="78">
        <f>IF(OR(CV$4=0,CV31=""),"",IFERROR(ROUND(CV31/INDEX(Undirviðmið!$F$6:$F$205,CV$4)*INDEX(Undirviðmið!$E$6:$E$205,CV$4)*KVARDI,2),""))</f>
        <v/>
      </c>
      <c r="CX31" s="66" t="n"/>
      <c r="CY31" s="78">
        <f>IF(OR(CX$4=0,CX31=""),"",IFERROR(ROUND(CX31/INDEX(Undirviðmið!$F$6:$F$205,CX$4)*INDEX(Undirviðmið!$E$6:$E$205,CX$4)*KVARDI,2),""))</f>
        <v/>
      </c>
      <c r="CZ31" s="66" t="n"/>
      <c r="DA31" s="78">
        <f>IF(OR(CZ$4=0,CZ31=""),"",IFERROR(ROUND(CZ31/INDEX(Undirviðmið!$F$6:$F$205,CZ$4)*INDEX(Undirviðmið!$E$6:$E$205,CZ$4)*KVARDI,2),""))</f>
        <v/>
      </c>
      <c r="DB31" s="66" t="n"/>
      <c r="DC31" s="78">
        <f>IF(OR(DB$4=0,DB31=""),"",IFERROR(ROUND(DB31/INDEX(Undirviðmið!$F$6:$F$205,DB$4)*INDEX(Undirviðmið!$E$6:$E$205,DB$4)*KVARDI,2),""))</f>
        <v/>
      </c>
      <c r="DD31" s="66" t="n"/>
      <c r="DE31" s="78">
        <f>IF(OR(DD$4=0,DD31=""),"",IFERROR(ROUND(DD31/INDEX(Undirviðmið!$F$6:$F$205,DD$4)*INDEX(Undirviðmið!$E$6:$E$205,DD$4)*KVARDI,2),""))</f>
        <v/>
      </c>
      <c r="DF31" s="66" t="n"/>
      <c r="DG31" s="78">
        <f>IF(OR(DF$4=0,DF31=""),"",IFERROR(ROUND(DF31/INDEX(Undirviðmið!$F$6:$F$205,DF$4)*INDEX(Undirviðmið!$E$6:$E$205,DF$4)*KVARDI,2),""))</f>
        <v/>
      </c>
      <c r="DH31" s="66" t="n"/>
      <c r="DI31" s="78">
        <f>IF(OR(DH$4=0,DH31=""),"",IFERROR(ROUND(DH31/INDEX(Undirviðmið!$F$6:$F$205,DH$4)*INDEX(Undirviðmið!$E$6:$E$205,DH$4)*KVARDI,2),""))</f>
        <v/>
      </c>
      <c r="DJ31" s="66" t="n"/>
      <c r="DK31" s="78">
        <f>IF(OR(DJ$4=0,DJ31=""),"",IFERROR(ROUND(DJ31/INDEX(Undirviðmið!$F$6:$F$205,DJ$4)*INDEX(Undirviðmið!$E$6:$E$205,DJ$4)*KVARDI,2),""))</f>
        <v/>
      </c>
      <c r="DL31" s="66" t="n"/>
      <c r="DM31" s="78">
        <f>IF(OR(DL$4=0,DL31=""),"",IFERROR(ROUND(DL31/INDEX(Undirviðmið!$F$6:$F$205,DL$4)*INDEX(Undirviðmið!$E$6:$E$205,DL$4)*KVARDI,2),""))</f>
        <v/>
      </c>
      <c r="DN31" s="66" t="n"/>
      <c r="DO31" s="78">
        <f>IF(OR(DN$4=0,DN31=""),"",IFERROR(ROUND(DN31/INDEX(Undirviðmið!$F$6:$F$205,DN$4)*INDEX(Undirviðmið!$E$6:$E$205,DN$4)*KVARDI,2),""))</f>
        <v/>
      </c>
      <c r="DP31" s="66" t="n"/>
      <c r="DQ31" s="78">
        <f>IF(OR(DP$4=0,DP31=""),"",IFERROR(ROUND(DP31/INDEX(Undirviðmið!$F$6:$F$205,DP$4)*INDEX(Undirviðmið!$E$6:$E$205,DP$4)*KVARDI,2),""))</f>
        <v/>
      </c>
      <c r="DR31" s="66" t="n"/>
      <c r="DS31" s="78">
        <f>IF(OR(DR$4=0,DR31=""),"",IFERROR(ROUND(DR31/INDEX(Undirviðmið!$F$6:$F$205,DR$4)*INDEX(Undirviðmið!$E$6:$E$205,DR$4)*KVARDI,2),""))</f>
        <v/>
      </c>
      <c r="DT31" s="66" t="n"/>
      <c r="DU31" s="78">
        <f>IF(OR(DT$4=0,DT31=""),"",IFERROR(ROUND(DT31/INDEX(Undirviðmið!$F$6:$F$205,DT$4)*INDEX(Undirviðmið!$E$6:$E$205,DT$4)*KVARDI,2),""))</f>
        <v/>
      </c>
      <c r="DV31" s="66" t="n"/>
      <c r="DW31" s="78">
        <f>IF(OR(DV$4=0,DV31=""),"",IFERROR(ROUND(DV31/INDEX(Undirviðmið!$F$6:$F$205,DV$4)*INDEX(Undirviðmið!$E$6:$E$205,DV$4)*KVARDI,2),""))</f>
        <v/>
      </c>
      <c r="DX31" s="66" t="n"/>
      <c r="DY31" s="78">
        <f>IF(OR(DX$4=0,DX31=""),"",IFERROR(ROUND(DX31/INDEX(Undirviðmið!$F$6:$F$205,DX$4)*INDEX(Undirviðmið!$E$6:$E$205,DX$4)*KVARDI,2),""))</f>
        <v/>
      </c>
      <c r="DZ31" s="66" t="n"/>
      <c r="EA31" s="78">
        <f>IF(OR(DZ$4=0,DZ31=""),"",IFERROR(ROUND(DZ31/INDEX(Undirviðmið!$F$6:$F$205,DZ$4)*INDEX(Undirviðmið!$E$6:$E$205,DZ$4)*KVARDI,2),""))</f>
        <v/>
      </c>
      <c r="EB31" s="66" t="n"/>
      <c r="EC31" s="78">
        <f>IF(OR(EB$4=0,EB31=""),"",IFERROR(ROUND(EB31/INDEX(Undirviðmið!$F$6:$F$205,EB$4)*INDEX(Undirviðmið!$E$6:$E$205,EB$4)*KVARDI,2),""))</f>
        <v/>
      </c>
      <c r="ED31" s="66" t="n"/>
      <c r="EE31" s="78">
        <f>IF(OR(ED$4=0,ED31=""),"",IFERROR(ROUND(ED31/INDEX(Undirviðmið!$F$6:$F$205,ED$4)*INDEX(Undirviðmið!$E$6:$E$205,ED$4)*KVARDI,2),""))</f>
        <v/>
      </c>
      <c r="EF31" s="66" t="n"/>
      <c r="EG31" s="78">
        <f>IF(OR(EF$4=0,EF31=""),"",IFERROR(ROUND(EF31/INDEX(Undirviðmið!$F$6:$F$205,EF$4)*INDEX(Undirviðmið!$E$6:$E$205,EF$4)*KVARDI,2),""))</f>
        <v/>
      </c>
      <c r="EH31" s="66" t="n"/>
      <c r="EI31" s="78">
        <f>IF(OR(EH$4=0,EH31=""),"",IFERROR(ROUND(EH31/INDEX(Undirviðmið!$F$6:$F$205,EH$4)*INDEX(Undirviðmið!$E$6:$E$205,EH$4)*KVARDI,2),""))</f>
        <v/>
      </c>
      <c r="EJ31" s="66" t="n"/>
      <c r="EK31" s="78">
        <f>IF(OR(EJ$4=0,EJ31=""),"",IFERROR(ROUND(EJ31/INDEX(Undirviðmið!$F$6:$F$205,EJ$4)*INDEX(Undirviðmið!$E$6:$E$205,EJ$4)*KVARDI,2),""))</f>
        <v/>
      </c>
      <c r="EL31" s="66" t="n"/>
      <c r="EM31" s="78">
        <f>IF(OR(EL$4=0,EL31=""),"",IFERROR(ROUND(EL31/INDEX(Undirviðmið!$F$6:$F$205,EL$4)*INDEX(Undirviðmið!$E$6:$E$205,EL$4)*KVARDI,2),""))</f>
        <v/>
      </c>
      <c r="EN31" s="66" t="n"/>
      <c r="EO31" s="78">
        <f>IF(OR(EN$4=0,EN31=""),"",IFERROR(ROUND(EN31/INDEX(Undirviðmið!$F$6:$F$205,EN$4)*INDEX(Undirviðmið!$E$6:$E$205,EN$4)*KVARDI,2),""))</f>
        <v/>
      </c>
      <c r="EP31" s="66" t="n"/>
      <c r="EQ31" s="78">
        <f>IF(OR(EP$4=0,EP31=""),"",IFERROR(ROUND(EP31/INDEX(Undirviðmið!$F$6:$F$205,EP$4)*INDEX(Undirviðmið!$E$6:$E$205,EP$4)*KVARDI,2),""))</f>
        <v/>
      </c>
      <c r="ER31" s="66" t="n"/>
      <c r="ES31" s="78">
        <f>IF(OR(ER$4=0,ER31=""),"",IFERROR(ROUND(ER31/INDEX(Undirviðmið!$F$6:$F$205,ER$4)*INDEX(Undirviðmið!$E$6:$E$205,ER$4)*KVARDI,2),""))</f>
        <v/>
      </c>
      <c r="ET31" s="66" t="n"/>
      <c r="EU31" s="78">
        <f>IF(OR(ET$4=0,ET31=""),"",IFERROR(ROUND(ET31/INDEX(Undirviðmið!$F$6:$F$205,ET$4)*INDEX(Undirviðmið!$E$6:$E$205,ET$4)*KVARDI,2),""))</f>
        <v/>
      </c>
      <c r="EV31" s="66" t="n"/>
      <c r="EW31" s="78">
        <f>IF(OR(EV$4=0,EV31=""),"",IFERROR(ROUND(EV31/INDEX(Undirviðmið!$F$6:$F$205,EV$4)*INDEX(Undirviðmið!$E$6:$E$205,EV$4)*KVARDI,2),""))</f>
        <v/>
      </c>
      <c r="EX31" s="66" t="n"/>
      <c r="EY31" s="78">
        <f>IF(OR(EX$4=0,EX31=""),"",IFERROR(ROUND(EX31/INDEX(Undirviðmið!$F$6:$F$205,EX$4)*INDEX(Undirviðmið!$E$6:$E$205,EX$4)*KVARDI,2),""))</f>
        <v/>
      </c>
      <c r="EZ31" s="66" t="n"/>
      <c r="FA31" s="78">
        <f>IF(OR(EZ$4=0,EZ31=""),"",IFERROR(ROUND(EZ31/INDEX(Undirviðmið!$F$6:$F$205,EZ$4)*INDEX(Undirviðmið!$E$6:$E$205,EZ$4)*KVARDI,2),""))</f>
        <v/>
      </c>
      <c r="FB31" s="66" t="n"/>
      <c r="FC31" s="78">
        <f>IF(OR(FB$4=0,FB31=""),"",IFERROR(ROUND(FB31/INDEX(Undirviðmið!$F$6:$F$205,FB$4)*INDEX(Undirviðmið!$E$6:$E$205,FB$4)*KVARDI,2),""))</f>
        <v/>
      </c>
      <c r="FD31" s="66" t="n"/>
      <c r="FE31" s="78">
        <f>IF(OR(FD$4=0,FD31=""),"",IFERROR(ROUND(FD31/INDEX(Undirviðmið!$F$6:$F$205,FD$4)*INDEX(Undirviðmið!$E$6:$E$205,FD$4)*KVARDI,2),""))</f>
        <v/>
      </c>
      <c r="FF31" s="66" t="n"/>
      <c r="FG31" s="78">
        <f>IF(OR(FF$4=0,FF31=""),"",IFERROR(ROUND(FF31/INDEX(Undirviðmið!$F$6:$F$205,FF$4)*INDEX(Undirviðmið!$E$6:$E$205,FF$4)*KVARDI,2),""))</f>
        <v/>
      </c>
      <c r="FH31" s="66" t="n"/>
      <c r="FI31" s="78">
        <f>IF(OR(FH$4=0,FH31=""),"",IFERROR(ROUND(FH31/INDEX(Undirviðmið!$F$6:$F$205,FH$4)*INDEX(Undirviðmið!$E$6:$E$205,FH$4)*KVARDI,2),""))</f>
        <v/>
      </c>
      <c r="FJ31" s="66" t="n"/>
      <c r="FK31" s="78">
        <f>IF(OR(FJ$4=0,FJ31=""),"",IFERROR(ROUND(FJ31/INDEX(Undirviðmið!$F$6:$F$205,FJ$4)*INDEX(Undirviðmið!$E$6:$E$205,FJ$4)*KVARDI,2),""))</f>
        <v/>
      </c>
      <c r="FL31" s="66" t="n"/>
      <c r="FM31" s="78">
        <f>IF(OR(FL$4=0,FL31=""),"",IFERROR(ROUND(FL31/INDEX(Undirviðmið!$F$6:$F$205,FL$4)*INDEX(Undirviðmið!$E$6:$E$205,FL$4)*KVARDI,2),""))</f>
        <v/>
      </c>
      <c r="FN31" s="66" t="n"/>
      <c r="FO31" s="78">
        <f>IF(OR(FN$4=0,FN31=""),"",IFERROR(ROUND(FN31/INDEX(Undirviðmið!$F$6:$F$205,FN$4)*INDEX(Undirviðmið!$E$6:$E$205,FN$4)*KVARDI,2),""))</f>
        <v/>
      </c>
      <c r="FP31" s="66" t="n"/>
      <c r="FQ31" s="78">
        <f>IF(OR(FP$4=0,FP31=""),"",IFERROR(ROUND(FP31/INDEX(Undirviðmið!$F$6:$F$205,FP$4)*INDEX(Undirviðmið!$E$6:$E$205,FP$4)*KVARDI,2),""))</f>
        <v/>
      </c>
      <c r="FR31" s="66" t="n"/>
      <c r="FS31" s="78">
        <f>IF(OR(FR$4=0,FR31=""),"",IFERROR(ROUND(FR31/INDEX(Undirviðmið!$F$6:$F$205,FR$4)*INDEX(Undirviðmið!$E$6:$E$205,FR$4)*KVARDI,2),""))</f>
        <v/>
      </c>
      <c r="FT31" s="66" t="n"/>
      <c r="FU31" s="78">
        <f>IF(OR(FT$4=0,FT31=""),"",IFERROR(ROUND(FT31/INDEX(Undirviðmið!$F$6:$F$205,FT$4)*INDEX(Undirviðmið!$E$6:$E$205,FT$4)*KVARDI,2),""))</f>
        <v/>
      </c>
      <c r="FV31" s="66" t="n"/>
      <c r="FW31" s="78">
        <f>IF(OR(FV$4=0,FV31=""),"",IFERROR(ROUND(FV31/INDEX(Undirviðmið!$F$6:$F$205,FV$4)*INDEX(Undirviðmið!$E$6:$E$205,FV$4)*KVARDI,2),""))</f>
        <v/>
      </c>
      <c r="FX31" s="66" t="n"/>
      <c r="FY31" s="78">
        <f>IF(OR(FX$4=0,FX31=""),"",IFERROR(ROUND(FX31/INDEX(Undirviðmið!$F$6:$F$205,FX$4)*INDEX(Undirviðmið!$E$6:$E$205,FX$4)*KVARDI,2),""))</f>
        <v/>
      </c>
      <c r="FZ31" s="66" t="n"/>
      <c r="GA31" s="78">
        <f>IF(OR(FZ$4=0,FZ31=""),"",IFERROR(ROUND(FZ31/INDEX(Undirviðmið!$F$6:$F$205,FZ$4)*INDEX(Undirviðmið!$E$6:$E$205,FZ$4)*KVARDI,2),""))</f>
        <v/>
      </c>
      <c r="GB31" s="66" t="n"/>
      <c r="GC31" s="78">
        <f>IF(OR(GB$4=0,GB31=""),"",IFERROR(ROUND(GB31/INDEX(Undirviðmið!$F$6:$F$205,GB$4)*INDEX(Undirviðmið!$E$6:$E$205,GB$4)*KVARDI,2),""))</f>
        <v/>
      </c>
      <c r="GD31" s="66" t="n"/>
      <c r="GE31" s="78">
        <f>IF(OR(GD$4=0,GD31=""),"",IFERROR(ROUND(GD31/INDEX(Undirviðmið!$F$6:$F$205,GD$4)*INDEX(Undirviðmið!$E$6:$E$205,GD$4)*KVARDI,2),""))</f>
        <v/>
      </c>
      <c r="GF31" s="66" t="n"/>
      <c r="GG31" s="78">
        <f>IF(OR(GF$4=0,GF31=""),"",IFERROR(ROUND(GF31/INDEX(Undirviðmið!$F$6:$F$205,GF$4)*INDEX(Undirviðmið!$E$6:$E$205,GF$4)*KVARDI,2),""))</f>
        <v/>
      </c>
      <c r="GH31" s="66" t="n"/>
      <c r="GI31" s="78">
        <f>IF(OR(GH$4=0,GH31=""),"",IFERROR(ROUND(GH31/INDEX(Undirviðmið!$F$6:$F$205,GH$4)*INDEX(Undirviðmið!$E$6:$E$205,GH$4)*KVARDI,2),""))</f>
        <v/>
      </c>
      <c r="GJ31" s="66" t="n"/>
      <c r="GK31" s="78">
        <f>IF(OR(GJ$4=0,GJ31=""),"",IFERROR(ROUND(GJ31/INDEX(Undirviðmið!$F$6:$F$205,GJ$4)*INDEX(Undirviðmið!$E$6:$E$205,GJ$4)*KVARDI,2),""))</f>
        <v/>
      </c>
      <c r="GL31" s="66" t="n"/>
      <c r="GM31" s="78">
        <f>IF(OR(GL$4=0,GL31=""),"",IFERROR(ROUND(GL31/INDEX(Undirviðmið!$F$6:$F$205,GL$4)*INDEX(Undirviðmið!$E$6:$E$205,GL$4)*KVARDI,2),""))</f>
        <v/>
      </c>
      <c r="GN31" s="66" t="n"/>
      <c r="GO31" s="78">
        <f>IF(OR(GN$4=0,GN31=""),"",IFERROR(ROUND(GN31/INDEX(Undirviðmið!$F$6:$F$205,GN$4)*INDEX(Undirviðmið!$E$6:$E$205,GN$4)*KVARDI,2),""))</f>
        <v/>
      </c>
      <c r="GP31" s="66" t="n"/>
      <c r="GQ31" s="78">
        <f>IF(OR(GP$4=0,GP31=""),"",IFERROR(ROUND(GP31/INDEX(Undirviðmið!$F$6:$F$205,GP$4)*INDEX(Undirviðmið!$E$6:$E$205,GP$4)*KVARDI,2),""))</f>
        <v/>
      </c>
      <c r="GR31" s="66" t="n"/>
      <c r="GS31" s="78">
        <f>IF(OR(GR$4=0,GR31=""),"",IFERROR(ROUND(GR31/INDEX(Undirviðmið!$F$6:$F$205,GR$4)*INDEX(Undirviðmið!$E$6:$E$205,GR$4)*KVARDI,2),""))</f>
        <v/>
      </c>
      <c r="GT31" s="66" t="n"/>
      <c r="GU31" s="78">
        <f>IF(OR(GT$4=0,GT31=""),"",IFERROR(ROUND(GT31/INDEX(Undirviðmið!$F$6:$F$205,GT$4)*INDEX(Undirviðmið!$E$6:$E$205,GT$4)*KVARDI,2),""))</f>
        <v/>
      </c>
      <c r="GV31" s="63">
        <f>IFERROR(SUMIF($D$6:GU$6,"Stig",$D31:GU31),0)</f>
        <v/>
      </c>
    </row>
    <row r="32" ht="15" customHeight="1" s="47">
      <c r="A32" s="65">
        <f>ROW()-6</f>
        <v/>
      </c>
      <c r="B32" s="67">
        <f>IF(INDEX(Starfsmenn!$B$6:$B$10005,ROW()-6)="","",INDEX(Starfsmenn!$B$6:$B$10005,ROW()-6))</f>
        <v/>
      </c>
      <c r="C32" s="67">
        <f>IF(INDEX(Starfsmenn!$C$6:$C$10005,ROW()-6)="","",INDEX(Starfsmenn!$C$6:$C$10005,ROW()-6))</f>
        <v/>
      </c>
      <c r="D32" s="66" t="n"/>
      <c r="E32" s="78">
        <f>IF(OR(D$4=0,D32=""),"",IFERROR(ROUND(D32/INDEX(Undirviðmið!$F$6:$F$205,D$4)*INDEX(Undirviðmið!$E$6:$E$205,D$4)*KVARDI,2),""))</f>
        <v/>
      </c>
      <c r="F32" s="66" t="n"/>
      <c r="G32" s="78">
        <f>IF(OR(F$4=0,F32=""),"",IFERROR(ROUND(F32/INDEX(Undirviðmið!$F$6:$F$205,F$4)*INDEX(Undirviðmið!$E$6:$E$205,F$4)*KVARDI,2),""))</f>
        <v/>
      </c>
      <c r="H32" s="66" t="n"/>
      <c r="I32" s="78">
        <f>IF(OR(H$4=0,H32=""),"",IFERROR(ROUND(H32/INDEX(Undirviðmið!$F$6:$F$205,H$4)*INDEX(Undirviðmið!$E$6:$E$205,H$4)*KVARDI,2),""))</f>
        <v/>
      </c>
      <c r="J32" s="66" t="n"/>
      <c r="K32" s="78">
        <f>IF(OR(J$4=0,J32=""),"",IFERROR(ROUND(J32/INDEX(Undirviðmið!$F$6:$F$205,J$4)*INDEX(Undirviðmið!$E$6:$E$205,J$4)*KVARDI,2),""))</f>
        <v/>
      </c>
      <c r="L32" s="66" t="n"/>
      <c r="M32" s="78">
        <f>IF(OR(L$4=0,L32=""),"",IFERROR(ROUND(L32/INDEX(Undirviðmið!$F$6:$F$205,L$4)*INDEX(Undirviðmið!$E$6:$E$205,L$4)*KVARDI,2),""))</f>
        <v/>
      </c>
      <c r="N32" s="66" t="n"/>
      <c r="O32" s="78">
        <f>IF(OR(N$4=0,N32=""),"",IFERROR(ROUND(N32/INDEX(Undirviðmið!$F$6:$F$205,N$4)*INDEX(Undirviðmið!$E$6:$E$205,N$4)*KVARDI,2),""))</f>
        <v/>
      </c>
      <c r="P32" s="66" t="n"/>
      <c r="Q32" s="78">
        <f>IF(OR(P$4=0,P32=""),"",IFERROR(ROUND(P32/INDEX(Undirviðmið!$F$6:$F$205,P$4)*INDEX(Undirviðmið!$E$6:$E$205,P$4)*KVARDI,2),""))</f>
        <v/>
      </c>
      <c r="R32" s="66" t="n"/>
      <c r="S32" s="78">
        <f>IF(OR(R$4=0,R32=""),"",IFERROR(ROUND(R32/INDEX(Undirviðmið!$F$6:$F$205,R$4)*INDEX(Undirviðmið!$E$6:$E$205,R$4)*KVARDI,2),""))</f>
        <v/>
      </c>
      <c r="T32" s="66" t="n"/>
      <c r="U32" s="78">
        <f>IF(OR(T$4=0,T32=""),"",IFERROR(ROUND(T32/INDEX(Undirviðmið!$F$6:$F$205,T$4)*INDEX(Undirviðmið!$E$6:$E$205,T$4)*KVARDI,2),""))</f>
        <v/>
      </c>
      <c r="V32" s="66" t="n"/>
      <c r="W32" s="78">
        <f>IF(OR(V$4=0,V32=""),"",IFERROR(ROUND(V32/INDEX(Undirviðmið!$F$6:$F$205,V$4)*INDEX(Undirviðmið!$E$6:$E$205,V$4)*KVARDI,2),""))</f>
        <v/>
      </c>
      <c r="X32" s="66" t="n"/>
      <c r="Y32" s="78">
        <f>IF(OR(X$4=0,X32=""),"",IFERROR(ROUND(X32/INDEX(Undirviðmið!$F$6:$F$205,X$4)*INDEX(Undirviðmið!$E$6:$E$205,X$4)*KVARDI,2),""))</f>
        <v/>
      </c>
      <c r="Z32" s="66" t="n"/>
      <c r="AA32" s="78">
        <f>IF(OR(Z$4=0,Z32=""),"",IFERROR(ROUND(Z32/INDEX(Undirviðmið!$F$6:$F$205,Z$4)*INDEX(Undirviðmið!$E$6:$E$205,Z$4)*KVARDI,2),""))</f>
        <v/>
      </c>
      <c r="AB32" s="66" t="n"/>
      <c r="AC32" s="78">
        <f>IF(OR(AB$4=0,AB32=""),"",IFERROR(ROUND(AB32/INDEX(Undirviðmið!$F$6:$F$205,AB$4)*INDEX(Undirviðmið!$E$6:$E$205,AB$4)*KVARDI,2),""))</f>
        <v/>
      </c>
      <c r="AD32" s="66" t="n"/>
      <c r="AE32" s="78">
        <f>IF(OR(AD$4=0,AD32=""),"",IFERROR(ROUND(AD32/INDEX(Undirviðmið!$F$6:$F$205,AD$4)*INDEX(Undirviðmið!$E$6:$E$205,AD$4)*KVARDI,2),""))</f>
        <v/>
      </c>
      <c r="AF32" s="66" t="n"/>
      <c r="AG32" s="78">
        <f>IF(OR(AF$4=0,AF32=""),"",IFERROR(ROUND(AF32/INDEX(Undirviðmið!$F$6:$F$205,AF$4)*INDEX(Undirviðmið!$E$6:$E$205,AF$4)*KVARDI,2),""))</f>
        <v/>
      </c>
      <c r="AH32" s="66" t="n"/>
      <c r="AI32" s="78">
        <f>IF(OR(AH$4=0,AH32=""),"",IFERROR(ROUND(AH32/INDEX(Undirviðmið!$F$6:$F$205,AH$4)*INDEX(Undirviðmið!$E$6:$E$205,AH$4)*KVARDI,2),""))</f>
        <v/>
      </c>
      <c r="AJ32" s="66" t="n"/>
      <c r="AK32" s="78">
        <f>IF(OR(AJ$4=0,AJ32=""),"",IFERROR(ROUND(AJ32/INDEX(Undirviðmið!$F$6:$F$205,AJ$4)*INDEX(Undirviðmið!$E$6:$E$205,AJ$4)*KVARDI,2),""))</f>
        <v/>
      </c>
      <c r="AL32" s="66" t="n"/>
      <c r="AM32" s="78">
        <f>IF(OR(AL$4=0,AL32=""),"",IFERROR(ROUND(AL32/INDEX(Undirviðmið!$F$6:$F$205,AL$4)*INDEX(Undirviðmið!$E$6:$E$205,AL$4)*KVARDI,2),""))</f>
        <v/>
      </c>
      <c r="AN32" s="66" t="n"/>
      <c r="AO32" s="78">
        <f>IF(OR(AN$4=0,AN32=""),"",IFERROR(ROUND(AN32/INDEX(Undirviðmið!$F$6:$F$205,AN$4)*INDEX(Undirviðmið!$E$6:$E$205,AN$4)*KVARDI,2),""))</f>
        <v/>
      </c>
      <c r="AP32" s="66" t="n"/>
      <c r="AQ32" s="78">
        <f>IF(OR(AP$4=0,AP32=""),"",IFERROR(ROUND(AP32/INDEX(Undirviðmið!$F$6:$F$205,AP$4)*INDEX(Undirviðmið!$E$6:$E$205,AP$4)*KVARDI,2),""))</f>
        <v/>
      </c>
      <c r="AR32" s="66" t="n"/>
      <c r="AS32" s="78">
        <f>IF(OR(AR$4=0,AR32=""),"",IFERROR(ROUND(AR32/INDEX(Undirviðmið!$F$6:$F$205,AR$4)*INDEX(Undirviðmið!$E$6:$E$205,AR$4)*KVARDI,2),""))</f>
        <v/>
      </c>
      <c r="AT32" s="66" t="n"/>
      <c r="AU32" s="78">
        <f>IF(OR(AT$4=0,AT32=""),"",IFERROR(ROUND(AT32/INDEX(Undirviðmið!$F$6:$F$205,AT$4)*INDEX(Undirviðmið!$E$6:$E$205,AT$4)*KVARDI,2),""))</f>
        <v/>
      </c>
      <c r="AV32" s="66" t="n"/>
      <c r="AW32" s="78">
        <f>IF(OR(AV$4=0,AV32=""),"",IFERROR(ROUND(AV32/INDEX(Undirviðmið!$F$6:$F$205,AV$4)*INDEX(Undirviðmið!$E$6:$E$205,AV$4)*KVARDI,2),""))</f>
        <v/>
      </c>
      <c r="AX32" s="66" t="n"/>
      <c r="AY32" s="78">
        <f>IF(OR(AX$4=0,AX32=""),"",IFERROR(ROUND(AX32/INDEX(Undirviðmið!$F$6:$F$205,AX$4)*INDEX(Undirviðmið!$E$6:$E$205,AX$4)*KVARDI,2),""))</f>
        <v/>
      </c>
      <c r="AZ32" s="66" t="n"/>
      <c r="BA32" s="78">
        <f>IF(OR(AZ$4=0,AZ32=""),"",IFERROR(ROUND(AZ32/INDEX(Undirviðmið!$F$6:$F$205,AZ$4)*INDEX(Undirviðmið!$E$6:$E$205,AZ$4)*KVARDI,2),""))</f>
        <v/>
      </c>
      <c r="BB32" s="66" t="n"/>
      <c r="BC32" s="78">
        <f>IF(OR(BB$4=0,BB32=""),"",IFERROR(ROUND(BB32/INDEX(Undirviðmið!$F$6:$F$205,BB$4)*INDEX(Undirviðmið!$E$6:$E$205,BB$4)*KVARDI,2),""))</f>
        <v/>
      </c>
      <c r="BD32" s="66" t="n"/>
      <c r="BE32" s="78">
        <f>IF(OR(BD$4=0,BD32=""),"",IFERROR(ROUND(BD32/INDEX(Undirviðmið!$F$6:$F$205,BD$4)*INDEX(Undirviðmið!$E$6:$E$205,BD$4)*KVARDI,2),""))</f>
        <v/>
      </c>
      <c r="BF32" s="66" t="n"/>
      <c r="BG32" s="78">
        <f>IF(OR(BF$4=0,BF32=""),"",IFERROR(ROUND(BF32/INDEX(Undirviðmið!$F$6:$F$205,BF$4)*INDEX(Undirviðmið!$E$6:$E$205,BF$4)*KVARDI,2),""))</f>
        <v/>
      </c>
      <c r="BH32" s="66" t="n"/>
      <c r="BI32" s="78">
        <f>IF(OR(BH$4=0,BH32=""),"",IFERROR(ROUND(BH32/INDEX(Undirviðmið!$F$6:$F$205,BH$4)*INDEX(Undirviðmið!$E$6:$E$205,BH$4)*KVARDI,2),""))</f>
        <v/>
      </c>
      <c r="BJ32" s="66" t="n"/>
      <c r="BK32" s="78">
        <f>IF(OR(BJ$4=0,BJ32=""),"",IFERROR(ROUND(BJ32/INDEX(Undirviðmið!$F$6:$F$205,BJ$4)*INDEX(Undirviðmið!$E$6:$E$205,BJ$4)*KVARDI,2),""))</f>
        <v/>
      </c>
      <c r="BL32" s="66" t="n"/>
      <c r="BM32" s="78">
        <f>IF(OR(BL$4=0,BL32=""),"",IFERROR(ROUND(BL32/INDEX(Undirviðmið!$F$6:$F$205,BL$4)*INDEX(Undirviðmið!$E$6:$E$205,BL$4)*KVARDI,2),""))</f>
        <v/>
      </c>
      <c r="BN32" s="66" t="n"/>
      <c r="BO32" s="78">
        <f>IF(OR(BN$4=0,BN32=""),"",IFERROR(ROUND(BN32/INDEX(Undirviðmið!$F$6:$F$205,BN$4)*INDEX(Undirviðmið!$E$6:$E$205,BN$4)*KVARDI,2),""))</f>
        <v/>
      </c>
      <c r="BP32" s="66" t="n"/>
      <c r="BQ32" s="78">
        <f>IF(OR(BP$4=0,BP32=""),"",IFERROR(ROUND(BP32/INDEX(Undirviðmið!$F$6:$F$205,BP$4)*INDEX(Undirviðmið!$E$6:$E$205,BP$4)*KVARDI,2),""))</f>
        <v/>
      </c>
      <c r="BR32" s="66" t="n"/>
      <c r="BS32" s="78">
        <f>IF(OR(BR$4=0,BR32=""),"",IFERROR(ROUND(BR32/INDEX(Undirviðmið!$F$6:$F$205,BR$4)*INDEX(Undirviðmið!$E$6:$E$205,BR$4)*KVARDI,2),""))</f>
        <v/>
      </c>
      <c r="BT32" s="66" t="n"/>
      <c r="BU32" s="78">
        <f>IF(OR(BT$4=0,BT32=""),"",IFERROR(ROUND(BT32/INDEX(Undirviðmið!$F$6:$F$205,BT$4)*INDEX(Undirviðmið!$E$6:$E$205,BT$4)*KVARDI,2),""))</f>
        <v/>
      </c>
      <c r="BV32" s="66" t="n"/>
      <c r="BW32" s="78">
        <f>IF(OR(BV$4=0,BV32=""),"",IFERROR(ROUND(BV32/INDEX(Undirviðmið!$F$6:$F$205,BV$4)*INDEX(Undirviðmið!$E$6:$E$205,BV$4)*KVARDI,2),""))</f>
        <v/>
      </c>
      <c r="BX32" s="66" t="n"/>
      <c r="BY32" s="78">
        <f>IF(OR(BX$4=0,BX32=""),"",IFERROR(ROUND(BX32/INDEX(Undirviðmið!$F$6:$F$205,BX$4)*INDEX(Undirviðmið!$E$6:$E$205,BX$4)*KVARDI,2),""))</f>
        <v/>
      </c>
      <c r="BZ32" s="66" t="n"/>
      <c r="CA32" s="78">
        <f>IF(OR(BZ$4=0,BZ32=""),"",IFERROR(ROUND(BZ32/INDEX(Undirviðmið!$F$6:$F$205,BZ$4)*INDEX(Undirviðmið!$E$6:$E$205,BZ$4)*KVARDI,2),""))</f>
        <v/>
      </c>
      <c r="CB32" s="66" t="n"/>
      <c r="CC32" s="78">
        <f>IF(OR(CB$4=0,CB32=""),"",IFERROR(ROUND(CB32/INDEX(Undirviðmið!$F$6:$F$205,CB$4)*INDEX(Undirviðmið!$E$6:$E$205,CB$4)*KVARDI,2),""))</f>
        <v/>
      </c>
      <c r="CD32" s="66" t="n"/>
      <c r="CE32" s="78">
        <f>IF(OR(CD$4=0,CD32=""),"",IFERROR(ROUND(CD32/INDEX(Undirviðmið!$F$6:$F$205,CD$4)*INDEX(Undirviðmið!$E$6:$E$205,CD$4)*KVARDI,2),""))</f>
        <v/>
      </c>
      <c r="CF32" s="66" t="n"/>
      <c r="CG32" s="78">
        <f>IF(OR(CF$4=0,CF32=""),"",IFERROR(ROUND(CF32/INDEX(Undirviðmið!$F$6:$F$205,CF$4)*INDEX(Undirviðmið!$E$6:$E$205,CF$4)*KVARDI,2),""))</f>
        <v/>
      </c>
      <c r="CH32" s="66" t="n"/>
      <c r="CI32" s="78">
        <f>IF(OR(CH$4=0,CH32=""),"",IFERROR(ROUND(CH32/INDEX(Undirviðmið!$F$6:$F$205,CH$4)*INDEX(Undirviðmið!$E$6:$E$205,CH$4)*KVARDI,2),""))</f>
        <v/>
      </c>
      <c r="CJ32" s="66" t="n"/>
      <c r="CK32" s="78">
        <f>IF(OR(CJ$4=0,CJ32=""),"",IFERROR(ROUND(CJ32/INDEX(Undirviðmið!$F$6:$F$205,CJ$4)*INDEX(Undirviðmið!$E$6:$E$205,CJ$4)*KVARDI,2),""))</f>
        <v/>
      </c>
      <c r="CL32" s="66" t="n"/>
      <c r="CM32" s="78">
        <f>IF(OR(CL$4=0,CL32=""),"",IFERROR(ROUND(CL32/INDEX(Undirviðmið!$F$6:$F$205,CL$4)*INDEX(Undirviðmið!$E$6:$E$205,CL$4)*KVARDI,2),""))</f>
        <v/>
      </c>
      <c r="CN32" s="66" t="n"/>
      <c r="CO32" s="78">
        <f>IF(OR(CN$4=0,CN32=""),"",IFERROR(ROUND(CN32/INDEX(Undirviðmið!$F$6:$F$205,CN$4)*INDEX(Undirviðmið!$E$6:$E$205,CN$4)*KVARDI,2),""))</f>
        <v/>
      </c>
      <c r="CP32" s="66" t="n"/>
      <c r="CQ32" s="78">
        <f>IF(OR(CP$4=0,CP32=""),"",IFERROR(ROUND(CP32/INDEX(Undirviðmið!$F$6:$F$205,CP$4)*INDEX(Undirviðmið!$E$6:$E$205,CP$4)*KVARDI,2),""))</f>
        <v/>
      </c>
      <c r="CR32" s="66" t="n"/>
      <c r="CS32" s="78">
        <f>IF(OR(CR$4=0,CR32=""),"",IFERROR(ROUND(CR32/INDEX(Undirviðmið!$F$6:$F$205,CR$4)*INDEX(Undirviðmið!$E$6:$E$205,CR$4)*KVARDI,2),""))</f>
        <v/>
      </c>
      <c r="CT32" s="66" t="n"/>
      <c r="CU32" s="78">
        <f>IF(OR(CT$4=0,CT32=""),"",IFERROR(ROUND(CT32/INDEX(Undirviðmið!$F$6:$F$205,CT$4)*INDEX(Undirviðmið!$E$6:$E$205,CT$4)*KVARDI,2),""))</f>
        <v/>
      </c>
      <c r="CV32" s="66" t="n"/>
      <c r="CW32" s="78">
        <f>IF(OR(CV$4=0,CV32=""),"",IFERROR(ROUND(CV32/INDEX(Undirviðmið!$F$6:$F$205,CV$4)*INDEX(Undirviðmið!$E$6:$E$205,CV$4)*KVARDI,2),""))</f>
        <v/>
      </c>
      <c r="CX32" s="66" t="n"/>
      <c r="CY32" s="78">
        <f>IF(OR(CX$4=0,CX32=""),"",IFERROR(ROUND(CX32/INDEX(Undirviðmið!$F$6:$F$205,CX$4)*INDEX(Undirviðmið!$E$6:$E$205,CX$4)*KVARDI,2),""))</f>
        <v/>
      </c>
      <c r="CZ32" s="66" t="n"/>
      <c r="DA32" s="78">
        <f>IF(OR(CZ$4=0,CZ32=""),"",IFERROR(ROUND(CZ32/INDEX(Undirviðmið!$F$6:$F$205,CZ$4)*INDEX(Undirviðmið!$E$6:$E$205,CZ$4)*KVARDI,2),""))</f>
        <v/>
      </c>
      <c r="DB32" s="66" t="n"/>
      <c r="DC32" s="78">
        <f>IF(OR(DB$4=0,DB32=""),"",IFERROR(ROUND(DB32/INDEX(Undirviðmið!$F$6:$F$205,DB$4)*INDEX(Undirviðmið!$E$6:$E$205,DB$4)*KVARDI,2),""))</f>
        <v/>
      </c>
      <c r="DD32" s="66" t="n"/>
      <c r="DE32" s="78">
        <f>IF(OR(DD$4=0,DD32=""),"",IFERROR(ROUND(DD32/INDEX(Undirviðmið!$F$6:$F$205,DD$4)*INDEX(Undirviðmið!$E$6:$E$205,DD$4)*KVARDI,2),""))</f>
        <v/>
      </c>
      <c r="DF32" s="66" t="n"/>
      <c r="DG32" s="78">
        <f>IF(OR(DF$4=0,DF32=""),"",IFERROR(ROUND(DF32/INDEX(Undirviðmið!$F$6:$F$205,DF$4)*INDEX(Undirviðmið!$E$6:$E$205,DF$4)*KVARDI,2),""))</f>
        <v/>
      </c>
      <c r="DH32" s="66" t="n"/>
      <c r="DI32" s="78">
        <f>IF(OR(DH$4=0,DH32=""),"",IFERROR(ROUND(DH32/INDEX(Undirviðmið!$F$6:$F$205,DH$4)*INDEX(Undirviðmið!$E$6:$E$205,DH$4)*KVARDI,2),""))</f>
        <v/>
      </c>
      <c r="DJ32" s="66" t="n"/>
      <c r="DK32" s="78">
        <f>IF(OR(DJ$4=0,DJ32=""),"",IFERROR(ROUND(DJ32/INDEX(Undirviðmið!$F$6:$F$205,DJ$4)*INDEX(Undirviðmið!$E$6:$E$205,DJ$4)*KVARDI,2),""))</f>
        <v/>
      </c>
      <c r="DL32" s="66" t="n"/>
      <c r="DM32" s="78">
        <f>IF(OR(DL$4=0,DL32=""),"",IFERROR(ROUND(DL32/INDEX(Undirviðmið!$F$6:$F$205,DL$4)*INDEX(Undirviðmið!$E$6:$E$205,DL$4)*KVARDI,2),""))</f>
        <v/>
      </c>
      <c r="DN32" s="66" t="n"/>
      <c r="DO32" s="78">
        <f>IF(OR(DN$4=0,DN32=""),"",IFERROR(ROUND(DN32/INDEX(Undirviðmið!$F$6:$F$205,DN$4)*INDEX(Undirviðmið!$E$6:$E$205,DN$4)*KVARDI,2),""))</f>
        <v/>
      </c>
      <c r="DP32" s="66" t="n"/>
      <c r="DQ32" s="78">
        <f>IF(OR(DP$4=0,DP32=""),"",IFERROR(ROUND(DP32/INDEX(Undirviðmið!$F$6:$F$205,DP$4)*INDEX(Undirviðmið!$E$6:$E$205,DP$4)*KVARDI,2),""))</f>
        <v/>
      </c>
      <c r="DR32" s="66" t="n"/>
      <c r="DS32" s="78">
        <f>IF(OR(DR$4=0,DR32=""),"",IFERROR(ROUND(DR32/INDEX(Undirviðmið!$F$6:$F$205,DR$4)*INDEX(Undirviðmið!$E$6:$E$205,DR$4)*KVARDI,2),""))</f>
        <v/>
      </c>
      <c r="DT32" s="66" t="n"/>
      <c r="DU32" s="78">
        <f>IF(OR(DT$4=0,DT32=""),"",IFERROR(ROUND(DT32/INDEX(Undirviðmið!$F$6:$F$205,DT$4)*INDEX(Undirviðmið!$E$6:$E$205,DT$4)*KVARDI,2),""))</f>
        <v/>
      </c>
      <c r="DV32" s="66" t="n"/>
      <c r="DW32" s="78">
        <f>IF(OR(DV$4=0,DV32=""),"",IFERROR(ROUND(DV32/INDEX(Undirviðmið!$F$6:$F$205,DV$4)*INDEX(Undirviðmið!$E$6:$E$205,DV$4)*KVARDI,2),""))</f>
        <v/>
      </c>
      <c r="DX32" s="66" t="n"/>
      <c r="DY32" s="78">
        <f>IF(OR(DX$4=0,DX32=""),"",IFERROR(ROUND(DX32/INDEX(Undirviðmið!$F$6:$F$205,DX$4)*INDEX(Undirviðmið!$E$6:$E$205,DX$4)*KVARDI,2),""))</f>
        <v/>
      </c>
      <c r="DZ32" s="66" t="n"/>
      <c r="EA32" s="78">
        <f>IF(OR(DZ$4=0,DZ32=""),"",IFERROR(ROUND(DZ32/INDEX(Undirviðmið!$F$6:$F$205,DZ$4)*INDEX(Undirviðmið!$E$6:$E$205,DZ$4)*KVARDI,2),""))</f>
        <v/>
      </c>
      <c r="EB32" s="66" t="n"/>
      <c r="EC32" s="78">
        <f>IF(OR(EB$4=0,EB32=""),"",IFERROR(ROUND(EB32/INDEX(Undirviðmið!$F$6:$F$205,EB$4)*INDEX(Undirviðmið!$E$6:$E$205,EB$4)*KVARDI,2),""))</f>
        <v/>
      </c>
      <c r="ED32" s="66" t="n"/>
      <c r="EE32" s="78">
        <f>IF(OR(ED$4=0,ED32=""),"",IFERROR(ROUND(ED32/INDEX(Undirviðmið!$F$6:$F$205,ED$4)*INDEX(Undirviðmið!$E$6:$E$205,ED$4)*KVARDI,2),""))</f>
        <v/>
      </c>
      <c r="EF32" s="66" t="n"/>
      <c r="EG32" s="78">
        <f>IF(OR(EF$4=0,EF32=""),"",IFERROR(ROUND(EF32/INDEX(Undirviðmið!$F$6:$F$205,EF$4)*INDEX(Undirviðmið!$E$6:$E$205,EF$4)*KVARDI,2),""))</f>
        <v/>
      </c>
      <c r="EH32" s="66" t="n"/>
      <c r="EI32" s="78">
        <f>IF(OR(EH$4=0,EH32=""),"",IFERROR(ROUND(EH32/INDEX(Undirviðmið!$F$6:$F$205,EH$4)*INDEX(Undirviðmið!$E$6:$E$205,EH$4)*KVARDI,2),""))</f>
        <v/>
      </c>
      <c r="EJ32" s="66" t="n"/>
      <c r="EK32" s="78">
        <f>IF(OR(EJ$4=0,EJ32=""),"",IFERROR(ROUND(EJ32/INDEX(Undirviðmið!$F$6:$F$205,EJ$4)*INDEX(Undirviðmið!$E$6:$E$205,EJ$4)*KVARDI,2),""))</f>
        <v/>
      </c>
      <c r="EL32" s="66" t="n"/>
      <c r="EM32" s="78">
        <f>IF(OR(EL$4=0,EL32=""),"",IFERROR(ROUND(EL32/INDEX(Undirviðmið!$F$6:$F$205,EL$4)*INDEX(Undirviðmið!$E$6:$E$205,EL$4)*KVARDI,2),""))</f>
        <v/>
      </c>
      <c r="EN32" s="66" t="n"/>
      <c r="EO32" s="78">
        <f>IF(OR(EN$4=0,EN32=""),"",IFERROR(ROUND(EN32/INDEX(Undirviðmið!$F$6:$F$205,EN$4)*INDEX(Undirviðmið!$E$6:$E$205,EN$4)*KVARDI,2),""))</f>
        <v/>
      </c>
      <c r="EP32" s="66" t="n"/>
      <c r="EQ32" s="78">
        <f>IF(OR(EP$4=0,EP32=""),"",IFERROR(ROUND(EP32/INDEX(Undirviðmið!$F$6:$F$205,EP$4)*INDEX(Undirviðmið!$E$6:$E$205,EP$4)*KVARDI,2),""))</f>
        <v/>
      </c>
      <c r="ER32" s="66" t="n"/>
      <c r="ES32" s="78">
        <f>IF(OR(ER$4=0,ER32=""),"",IFERROR(ROUND(ER32/INDEX(Undirviðmið!$F$6:$F$205,ER$4)*INDEX(Undirviðmið!$E$6:$E$205,ER$4)*KVARDI,2),""))</f>
        <v/>
      </c>
      <c r="ET32" s="66" t="n"/>
      <c r="EU32" s="78">
        <f>IF(OR(ET$4=0,ET32=""),"",IFERROR(ROUND(ET32/INDEX(Undirviðmið!$F$6:$F$205,ET$4)*INDEX(Undirviðmið!$E$6:$E$205,ET$4)*KVARDI,2),""))</f>
        <v/>
      </c>
      <c r="EV32" s="66" t="n"/>
      <c r="EW32" s="78">
        <f>IF(OR(EV$4=0,EV32=""),"",IFERROR(ROUND(EV32/INDEX(Undirviðmið!$F$6:$F$205,EV$4)*INDEX(Undirviðmið!$E$6:$E$205,EV$4)*KVARDI,2),""))</f>
        <v/>
      </c>
      <c r="EX32" s="66" t="n"/>
      <c r="EY32" s="78">
        <f>IF(OR(EX$4=0,EX32=""),"",IFERROR(ROUND(EX32/INDEX(Undirviðmið!$F$6:$F$205,EX$4)*INDEX(Undirviðmið!$E$6:$E$205,EX$4)*KVARDI,2),""))</f>
        <v/>
      </c>
      <c r="EZ32" s="66" t="n"/>
      <c r="FA32" s="78">
        <f>IF(OR(EZ$4=0,EZ32=""),"",IFERROR(ROUND(EZ32/INDEX(Undirviðmið!$F$6:$F$205,EZ$4)*INDEX(Undirviðmið!$E$6:$E$205,EZ$4)*KVARDI,2),""))</f>
        <v/>
      </c>
      <c r="FB32" s="66" t="n"/>
      <c r="FC32" s="78">
        <f>IF(OR(FB$4=0,FB32=""),"",IFERROR(ROUND(FB32/INDEX(Undirviðmið!$F$6:$F$205,FB$4)*INDEX(Undirviðmið!$E$6:$E$205,FB$4)*KVARDI,2),""))</f>
        <v/>
      </c>
      <c r="FD32" s="66" t="n"/>
      <c r="FE32" s="78">
        <f>IF(OR(FD$4=0,FD32=""),"",IFERROR(ROUND(FD32/INDEX(Undirviðmið!$F$6:$F$205,FD$4)*INDEX(Undirviðmið!$E$6:$E$205,FD$4)*KVARDI,2),""))</f>
        <v/>
      </c>
      <c r="FF32" s="66" t="n"/>
      <c r="FG32" s="78">
        <f>IF(OR(FF$4=0,FF32=""),"",IFERROR(ROUND(FF32/INDEX(Undirviðmið!$F$6:$F$205,FF$4)*INDEX(Undirviðmið!$E$6:$E$205,FF$4)*KVARDI,2),""))</f>
        <v/>
      </c>
      <c r="FH32" s="66" t="n"/>
      <c r="FI32" s="78">
        <f>IF(OR(FH$4=0,FH32=""),"",IFERROR(ROUND(FH32/INDEX(Undirviðmið!$F$6:$F$205,FH$4)*INDEX(Undirviðmið!$E$6:$E$205,FH$4)*KVARDI,2),""))</f>
        <v/>
      </c>
      <c r="FJ32" s="66" t="n"/>
      <c r="FK32" s="78">
        <f>IF(OR(FJ$4=0,FJ32=""),"",IFERROR(ROUND(FJ32/INDEX(Undirviðmið!$F$6:$F$205,FJ$4)*INDEX(Undirviðmið!$E$6:$E$205,FJ$4)*KVARDI,2),""))</f>
        <v/>
      </c>
      <c r="FL32" s="66" t="n"/>
      <c r="FM32" s="78">
        <f>IF(OR(FL$4=0,FL32=""),"",IFERROR(ROUND(FL32/INDEX(Undirviðmið!$F$6:$F$205,FL$4)*INDEX(Undirviðmið!$E$6:$E$205,FL$4)*KVARDI,2),""))</f>
        <v/>
      </c>
      <c r="FN32" s="66" t="n"/>
      <c r="FO32" s="78">
        <f>IF(OR(FN$4=0,FN32=""),"",IFERROR(ROUND(FN32/INDEX(Undirviðmið!$F$6:$F$205,FN$4)*INDEX(Undirviðmið!$E$6:$E$205,FN$4)*KVARDI,2),""))</f>
        <v/>
      </c>
      <c r="FP32" s="66" t="n"/>
      <c r="FQ32" s="78">
        <f>IF(OR(FP$4=0,FP32=""),"",IFERROR(ROUND(FP32/INDEX(Undirviðmið!$F$6:$F$205,FP$4)*INDEX(Undirviðmið!$E$6:$E$205,FP$4)*KVARDI,2),""))</f>
        <v/>
      </c>
      <c r="FR32" s="66" t="n"/>
      <c r="FS32" s="78">
        <f>IF(OR(FR$4=0,FR32=""),"",IFERROR(ROUND(FR32/INDEX(Undirviðmið!$F$6:$F$205,FR$4)*INDEX(Undirviðmið!$E$6:$E$205,FR$4)*KVARDI,2),""))</f>
        <v/>
      </c>
      <c r="FT32" s="66" t="n"/>
      <c r="FU32" s="78">
        <f>IF(OR(FT$4=0,FT32=""),"",IFERROR(ROUND(FT32/INDEX(Undirviðmið!$F$6:$F$205,FT$4)*INDEX(Undirviðmið!$E$6:$E$205,FT$4)*KVARDI,2),""))</f>
        <v/>
      </c>
      <c r="FV32" s="66" t="n"/>
      <c r="FW32" s="78">
        <f>IF(OR(FV$4=0,FV32=""),"",IFERROR(ROUND(FV32/INDEX(Undirviðmið!$F$6:$F$205,FV$4)*INDEX(Undirviðmið!$E$6:$E$205,FV$4)*KVARDI,2),""))</f>
        <v/>
      </c>
      <c r="FX32" s="66" t="n"/>
      <c r="FY32" s="78">
        <f>IF(OR(FX$4=0,FX32=""),"",IFERROR(ROUND(FX32/INDEX(Undirviðmið!$F$6:$F$205,FX$4)*INDEX(Undirviðmið!$E$6:$E$205,FX$4)*KVARDI,2),""))</f>
        <v/>
      </c>
      <c r="FZ32" s="66" t="n"/>
      <c r="GA32" s="78">
        <f>IF(OR(FZ$4=0,FZ32=""),"",IFERROR(ROUND(FZ32/INDEX(Undirviðmið!$F$6:$F$205,FZ$4)*INDEX(Undirviðmið!$E$6:$E$205,FZ$4)*KVARDI,2),""))</f>
        <v/>
      </c>
      <c r="GB32" s="66" t="n"/>
      <c r="GC32" s="78">
        <f>IF(OR(GB$4=0,GB32=""),"",IFERROR(ROUND(GB32/INDEX(Undirviðmið!$F$6:$F$205,GB$4)*INDEX(Undirviðmið!$E$6:$E$205,GB$4)*KVARDI,2),""))</f>
        <v/>
      </c>
      <c r="GD32" s="66" t="n"/>
      <c r="GE32" s="78">
        <f>IF(OR(GD$4=0,GD32=""),"",IFERROR(ROUND(GD32/INDEX(Undirviðmið!$F$6:$F$205,GD$4)*INDEX(Undirviðmið!$E$6:$E$205,GD$4)*KVARDI,2),""))</f>
        <v/>
      </c>
      <c r="GF32" s="66" t="n"/>
      <c r="GG32" s="78">
        <f>IF(OR(GF$4=0,GF32=""),"",IFERROR(ROUND(GF32/INDEX(Undirviðmið!$F$6:$F$205,GF$4)*INDEX(Undirviðmið!$E$6:$E$205,GF$4)*KVARDI,2),""))</f>
        <v/>
      </c>
      <c r="GH32" s="66" t="n"/>
      <c r="GI32" s="78">
        <f>IF(OR(GH$4=0,GH32=""),"",IFERROR(ROUND(GH32/INDEX(Undirviðmið!$F$6:$F$205,GH$4)*INDEX(Undirviðmið!$E$6:$E$205,GH$4)*KVARDI,2),""))</f>
        <v/>
      </c>
      <c r="GJ32" s="66" t="n"/>
      <c r="GK32" s="78">
        <f>IF(OR(GJ$4=0,GJ32=""),"",IFERROR(ROUND(GJ32/INDEX(Undirviðmið!$F$6:$F$205,GJ$4)*INDEX(Undirviðmið!$E$6:$E$205,GJ$4)*KVARDI,2),""))</f>
        <v/>
      </c>
      <c r="GL32" s="66" t="n"/>
      <c r="GM32" s="78">
        <f>IF(OR(GL$4=0,GL32=""),"",IFERROR(ROUND(GL32/INDEX(Undirviðmið!$F$6:$F$205,GL$4)*INDEX(Undirviðmið!$E$6:$E$205,GL$4)*KVARDI,2),""))</f>
        <v/>
      </c>
      <c r="GN32" s="66" t="n"/>
      <c r="GO32" s="78">
        <f>IF(OR(GN$4=0,GN32=""),"",IFERROR(ROUND(GN32/INDEX(Undirviðmið!$F$6:$F$205,GN$4)*INDEX(Undirviðmið!$E$6:$E$205,GN$4)*KVARDI,2),""))</f>
        <v/>
      </c>
      <c r="GP32" s="66" t="n"/>
      <c r="GQ32" s="78">
        <f>IF(OR(GP$4=0,GP32=""),"",IFERROR(ROUND(GP32/INDEX(Undirviðmið!$F$6:$F$205,GP$4)*INDEX(Undirviðmið!$E$6:$E$205,GP$4)*KVARDI,2),""))</f>
        <v/>
      </c>
      <c r="GR32" s="66" t="n"/>
      <c r="GS32" s="78">
        <f>IF(OR(GR$4=0,GR32=""),"",IFERROR(ROUND(GR32/INDEX(Undirviðmið!$F$6:$F$205,GR$4)*INDEX(Undirviðmið!$E$6:$E$205,GR$4)*KVARDI,2),""))</f>
        <v/>
      </c>
      <c r="GT32" s="66" t="n"/>
      <c r="GU32" s="78">
        <f>IF(OR(GT$4=0,GT32=""),"",IFERROR(ROUND(GT32/INDEX(Undirviðmið!$F$6:$F$205,GT$4)*INDEX(Undirviðmið!$E$6:$E$205,GT$4)*KVARDI,2),""))</f>
        <v/>
      </c>
      <c r="GV32" s="63">
        <f>IFERROR(SUMIF($D$6:GU$6,"Stig",$D32:GU32),0)</f>
        <v/>
      </c>
    </row>
    <row r="33" ht="15" customHeight="1" s="47">
      <c r="A33" s="65">
        <f>ROW()-6</f>
        <v/>
      </c>
      <c r="B33" s="67">
        <f>IF(INDEX(Starfsmenn!$B$6:$B$10005,ROW()-6)="","",INDEX(Starfsmenn!$B$6:$B$10005,ROW()-6))</f>
        <v/>
      </c>
      <c r="C33" s="67">
        <f>IF(INDEX(Starfsmenn!$C$6:$C$10005,ROW()-6)="","",INDEX(Starfsmenn!$C$6:$C$10005,ROW()-6))</f>
        <v/>
      </c>
      <c r="D33" s="66" t="n"/>
      <c r="E33" s="78">
        <f>IF(OR(D$4=0,D33=""),"",IFERROR(ROUND(D33/INDEX(Undirviðmið!$F$6:$F$205,D$4)*INDEX(Undirviðmið!$E$6:$E$205,D$4)*KVARDI,2),""))</f>
        <v/>
      </c>
      <c r="F33" s="66" t="n"/>
      <c r="G33" s="78">
        <f>IF(OR(F$4=0,F33=""),"",IFERROR(ROUND(F33/INDEX(Undirviðmið!$F$6:$F$205,F$4)*INDEX(Undirviðmið!$E$6:$E$205,F$4)*KVARDI,2),""))</f>
        <v/>
      </c>
      <c r="H33" s="66" t="n"/>
      <c r="I33" s="78">
        <f>IF(OR(H$4=0,H33=""),"",IFERROR(ROUND(H33/INDEX(Undirviðmið!$F$6:$F$205,H$4)*INDEX(Undirviðmið!$E$6:$E$205,H$4)*KVARDI,2),""))</f>
        <v/>
      </c>
      <c r="J33" s="66" t="n"/>
      <c r="K33" s="78">
        <f>IF(OR(J$4=0,J33=""),"",IFERROR(ROUND(J33/INDEX(Undirviðmið!$F$6:$F$205,J$4)*INDEX(Undirviðmið!$E$6:$E$205,J$4)*KVARDI,2),""))</f>
        <v/>
      </c>
      <c r="L33" s="66" t="n"/>
      <c r="M33" s="78">
        <f>IF(OR(L$4=0,L33=""),"",IFERROR(ROUND(L33/INDEX(Undirviðmið!$F$6:$F$205,L$4)*INDEX(Undirviðmið!$E$6:$E$205,L$4)*KVARDI,2),""))</f>
        <v/>
      </c>
      <c r="N33" s="66" t="n"/>
      <c r="O33" s="78">
        <f>IF(OR(N$4=0,N33=""),"",IFERROR(ROUND(N33/INDEX(Undirviðmið!$F$6:$F$205,N$4)*INDEX(Undirviðmið!$E$6:$E$205,N$4)*KVARDI,2),""))</f>
        <v/>
      </c>
      <c r="P33" s="66" t="n"/>
      <c r="Q33" s="78">
        <f>IF(OR(P$4=0,P33=""),"",IFERROR(ROUND(P33/INDEX(Undirviðmið!$F$6:$F$205,P$4)*INDEX(Undirviðmið!$E$6:$E$205,P$4)*KVARDI,2),""))</f>
        <v/>
      </c>
      <c r="R33" s="66" t="n"/>
      <c r="S33" s="78">
        <f>IF(OR(R$4=0,R33=""),"",IFERROR(ROUND(R33/INDEX(Undirviðmið!$F$6:$F$205,R$4)*INDEX(Undirviðmið!$E$6:$E$205,R$4)*KVARDI,2),""))</f>
        <v/>
      </c>
      <c r="T33" s="66" t="n"/>
      <c r="U33" s="78">
        <f>IF(OR(T$4=0,T33=""),"",IFERROR(ROUND(T33/INDEX(Undirviðmið!$F$6:$F$205,T$4)*INDEX(Undirviðmið!$E$6:$E$205,T$4)*KVARDI,2),""))</f>
        <v/>
      </c>
      <c r="V33" s="66" t="n"/>
      <c r="W33" s="78">
        <f>IF(OR(V$4=0,V33=""),"",IFERROR(ROUND(V33/INDEX(Undirviðmið!$F$6:$F$205,V$4)*INDEX(Undirviðmið!$E$6:$E$205,V$4)*KVARDI,2),""))</f>
        <v/>
      </c>
      <c r="X33" s="66" t="n"/>
      <c r="Y33" s="78">
        <f>IF(OR(X$4=0,X33=""),"",IFERROR(ROUND(X33/INDEX(Undirviðmið!$F$6:$F$205,X$4)*INDEX(Undirviðmið!$E$6:$E$205,X$4)*KVARDI,2),""))</f>
        <v/>
      </c>
      <c r="Z33" s="66" t="n"/>
      <c r="AA33" s="78">
        <f>IF(OR(Z$4=0,Z33=""),"",IFERROR(ROUND(Z33/INDEX(Undirviðmið!$F$6:$F$205,Z$4)*INDEX(Undirviðmið!$E$6:$E$205,Z$4)*KVARDI,2),""))</f>
        <v/>
      </c>
      <c r="AB33" s="66" t="n"/>
      <c r="AC33" s="78">
        <f>IF(OR(AB$4=0,AB33=""),"",IFERROR(ROUND(AB33/INDEX(Undirviðmið!$F$6:$F$205,AB$4)*INDEX(Undirviðmið!$E$6:$E$205,AB$4)*KVARDI,2),""))</f>
        <v/>
      </c>
      <c r="AD33" s="66" t="n"/>
      <c r="AE33" s="78">
        <f>IF(OR(AD$4=0,AD33=""),"",IFERROR(ROUND(AD33/INDEX(Undirviðmið!$F$6:$F$205,AD$4)*INDEX(Undirviðmið!$E$6:$E$205,AD$4)*KVARDI,2),""))</f>
        <v/>
      </c>
      <c r="AF33" s="66" t="n"/>
      <c r="AG33" s="78">
        <f>IF(OR(AF$4=0,AF33=""),"",IFERROR(ROUND(AF33/INDEX(Undirviðmið!$F$6:$F$205,AF$4)*INDEX(Undirviðmið!$E$6:$E$205,AF$4)*KVARDI,2),""))</f>
        <v/>
      </c>
      <c r="AH33" s="66" t="n"/>
      <c r="AI33" s="78">
        <f>IF(OR(AH$4=0,AH33=""),"",IFERROR(ROUND(AH33/INDEX(Undirviðmið!$F$6:$F$205,AH$4)*INDEX(Undirviðmið!$E$6:$E$205,AH$4)*KVARDI,2),""))</f>
        <v/>
      </c>
      <c r="AJ33" s="66" t="n"/>
      <c r="AK33" s="78">
        <f>IF(OR(AJ$4=0,AJ33=""),"",IFERROR(ROUND(AJ33/INDEX(Undirviðmið!$F$6:$F$205,AJ$4)*INDEX(Undirviðmið!$E$6:$E$205,AJ$4)*KVARDI,2),""))</f>
        <v/>
      </c>
      <c r="AL33" s="66" t="n"/>
      <c r="AM33" s="78">
        <f>IF(OR(AL$4=0,AL33=""),"",IFERROR(ROUND(AL33/INDEX(Undirviðmið!$F$6:$F$205,AL$4)*INDEX(Undirviðmið!$E$6:$E$205,AL$4)*KVARDI,2),""))</f>
        <v/>
      </c>
      <c r="AN33" s="66" t="n"/>
      <c r="AO33" s="78">
        <f>IF(OR(AN$4=0,AN33=""),"",IFERROR(ROUND(AN33/INDEX(Undirviðmið!$F$6:$F$205,AN$4)*INDEX(Undirviðmið!$E$6:$E$205,AN$4)*KVARDI,2),""))</f>
        <v/>
      </c>
      <c r="AP33" s="66" t="n"/>
      <c r="AQ33" s="78">
        <f>IF(OR(AP$4=0,AP33=""),"",IFERROR(ROUND(AP33/INDEX(Undirviðmið!$F$6:$F$205,AP$4)*INDEX(Undirviðmið!$E$6:$E$205,AP$4)*KVARDI,2),""))</f>
        <v/>
      </c>
      <c r="AR33" s="66" t="n"/>
      <c r="AS33" s="78">
        <f>IF(OR(AR$4=0,AR33=""),"",IFERROR(ROUND(AR33/INDEX(Undirviðmið!$F$6:$F$205,AR$4)*INDEX(Undirviðmið!$E$6:$E$205,AR$4)*KVARDI,2),""))</f>
        <v/>
      </c>
      <c r="AT33" s="66" t="n"/>
      <c r="AU33" s="78">
        <f>IF(OR(AT$4=0,AT33=""),"",IFERROR(ROUND(AT33/INDEX(Undirviðmið!$F$6:$F$205,AT$4)*INDEX(Undirviðmið!$E$6:$E$205,AT$4)*KVARDI,2),""))</f>
        <v/>
      </c>
      <c r="AV33" s="66" t="n"/>
      <c r="AW33" s="78">
        <f>IF(OR(AV$4=0,AV33=""),"",IFERROR(ROUND(AV33/INDEX(Undirviðmið!$F$6:$F$205,AV$4)*INDEX(Undirviðmið!$E$6:$E$205,AV$4)*KVARDI,2),""))</f>
        <v/>
      </c>
      <c r="AX33" s="66" t="n"/>
      <c r="AY33" s="78">
        <f>IF(OR(AX$4=0,AX33=""),"",IFERROR(ROUND(AX33/INDEX(Undirviðmið!$F$6:$F$205,AX$4)*INDEX(Undirviðmið!$E$6:$E$205,AX$4)*KVARDI,2),""))</f>
        <v/>
      </c>
      <c r="AZ33" s="66" t="n"/>
      <c r="BA33" s="78">
        <f>IF(OR(AZ$4=0,AZ33=""),"",IFERROR(ROUND(AZ33/INDEX(Undirviðmið!$F$6:$F$205,AZ$4)*INDEX(Undirviðmið!$E$6:$E$205,AZ$4)*KVARDI,2),""))</f>
        <v/>
      </c>
      <c r="BB33" s="66" t="n"/>
      <c r="BC33" s="78">
        <f>IF(OR(BB$4=0,BB33=""),"",IFERROR(ROUND(BB33/INDEX(Undirviðmið!$F$6:$F$205,BB$4)*INDEX(Undirviðmið!$E$6:$E$205,BB$4)*KVARDI,2),""))</f>
        <v/>
      </c>
      <c r="BD33" s="66" t="n"/>
      <c r="BE33" s="78">
        <f>IF(OR(BD$4=0,BD33=""),"",IFERROR(ROUND(BD33/INDEX(Undirviðmið!$F$6:$F$205,BD$4)*INDEX(Undirviðmið!$E$6:$E$205,BD$4)*KVARDI,2),""))</f>
        <v/>
      </c>
      <c r="BF33" s="66" t="n"/>
      <c r="BG33" s="78">
        <f>IF(OR(BF$4=0,BF33=""),"",IFERROR(ROUND(BF33/INDEX(Undirviðmið!$F$6:$F$205,BF$4)*INDEX(Undirviðmið!$E$6:$E$205,BF$4)*KVARDI,2),""))</f>
        <v/>
      </c>
      <c r="BH33" s="66" t="n"/>
      <c r="BI33" s="78">
        <f>IF(OR(BH$4=0,BH33=""),"",IFERROR(ROUND(BH33/INDEX(Undirviðmið!$F$6:$F$205,BH$4)*INDEX(Undirviðmið!$E$6:$E$205,BH$4)*KVARDI,2),""))</f>
        <v/>
      </c>
      <c r="BJ33" s="66" t="n"/>
      <c r="BK33" s="78">
        <f>IF(OR(BJ$4=0,BJ33=""),"",IFERROR(ROUND(BJ33/INDEX(Undirviðmið!$F$6:$F$205,BJ$4)*INDEX(Undirviðmið!$E$6:$E$205,BJ$4)*KVARDI,2),""))</f>
        <v/>
      </c>
      <c r="BL33" s="66" t="n"/>
      <c r="BM33" s="78">
        <f>IF(OR(BL$4=0,BL33=""),"",IFERROR(ROUND(BL33/INDEX(Undirviðmið!$F$6:$F$205,BL$4)*INDEX(Undirviðmið!$E$6:$E$205,BL$4)*KVARDI,2),""))</f>
        <v/>
      </c>
      <c r="BN33" s="66" t="n"/>
      <c r="BO33" s="78">
        <f>IF(OR(BN$4=0,BN33=""),"",IFERROR(ROUND(BN33/INDEX(Undirviðmið!$F$6:$F$205,BN$4)*INDEX(Undirviðmið!$E$6:$E$205,BN$4)*KVARDI,2),""))</f>
        <v/>
      </c>
      <c r="BP33" s="66" t="n"/>
      <c r="BQ33" s="78">
        <f>IF(OR(BP$4=0,BP33=""),"",IFERROR(ROUND(BP33/INDEX(Undirviðmið!$F$6:$F$205,BP$4)*INDEX(Undirviðmið!$E$6:$E$205,BP$4)*KVARDI,2),""))</f>
        <v/>
      </c>
      <c r="BR33" s="66" t="n"/>
      <c r="BS33" s="78">
        <f>IF(OR(BR$4=0,BR33=""),"",IFERROR(ROUND(BR33/INDEX(Undirviðmið!$F$6:$F$205,BR$4)*INDEX(Undirviðmið!$E$6:$E$205,BR$4)*KVARDI,2),""))</f>
        <v/>
      </c>
      <c r="BT33" s="66" t="n"/>
      <c r="BU33" s="78">
        <f>IF(OR(BT$4=0,BT33=""),"",IFERROR(ROUND(BT33/INDEX(Undirviðmið!$F$6:$F$205,BT$4)*INDEX(Undirviðmið!$E$6:$E$205,BT$4)*KVARDI,2),""))</f>
        <v/>
      </c>
      <c r="BV33" s="66" t="n"/>
      <c r="BW33" s="78">
        <f>IF(OR(BV$4=0,BV33=""),"",IFERROR(ROUND(BV33/INDEX(Undirviðmið!$F$6:$F$205,BV$4)*INDEX(Undirviðmið!$E$6:$E$205,BV$4)*KVARDI,2),""))</f>
        <v/>
      </c>
      <c r="BX33" s="66" t="n"/>
      <c r="BY33" s="78">
        <f>IF(OR(BX$4=0,BX33=""),"",IFERROR(ROUND(BX33/INDEX(Undirviðmið!$F$6:$F$205,BX$4)*INDEX(Undirviðmið!$E$6:$E$205,BX$4)*KVARDI,2),""))</f>
        <v/>
      </c>
      <c r="BZ33" s="66" t="n"/>
      <c r="CA33" s="78">
        <f>IF(OR(BZ$4=0,BZ33=""),"",IFERROR(ROUND(BZ33/INDEX(Undirviðmið!$F$6:$F$205,BZ$4)*INDEX(Undirviðmið!$E$6:$E$205,BZ$4)*KVARDI,2),""))</f>
        <v/>
      </c>
      <c r="CB33" s="66" t="n"/>
      <c r="CC33" s="78">
        <f>IF(OR(CB$4=0,CB33=""),"",IFERROR(ROUND(CB33/INDEX(Undirviðmið!$F$6:$F$205,CB$4)*INDEX(Undirviðmið!$E$6:$E$205,CB$4)*KVARDI,2),""))</f>
        <v/>
      </c>
      <c r="CD33" s="66" t="n"/>
      <c r="CE33" s="78">
        <f>IF(OR(CD$4=0,CD33=""),"",IFERROR(ROUND(CD33/INDEX(Undirviðmið!$F$6:$F$205,CD$4)*INDEX(Undirviðmið!$E$6:$E$205,CD$4)*KVARDI,2),""))</f>
        <v/>
      </c>
      <c r="CF33" s="66" t="n"/>
      <c r="CG33" s="78">
        <f>IF(OR(CF$4=0,CF33=""),"",IFERROR(ROUND(CF33/INDEX(Undirviðmið!$F$6:$F$205,CF$4)*INDEX(Undirviðmið!$E$6:$E$205,CF$4)*KVARDI,2),""))</f>
        <v/>
      </c>
      <c r="CH33" s="66" t="n"/>
      <c r="CI33" s="78">
        <f>IF(OR(CH$4=0,CH33=""),"",IFERROR(ROUND(CH33/INDEX(Undirviðmið!$F$6:$F$205,CH$4)*INDEX(Undirviðmið!$E$6:$E$205,CH$4)*KVARDI,2),""))</f>
        <v/>
      </c>
      <c r="CJ33" s="66" t="n"/>
      <c r="CK33" s="78">
        <f>IF(OR(CJ$4=0,CJ33=""),"",IFERROR(ROUND(CJ33/INDEX(Undirviðmið!$F$6:$F$205,CJ$4)*INDEX(Undirviðmið!$E$6:$E$205,CJ$4)*KVARDI,2),""))</f>
        <v/>
      </c>
      <c r="CL33" s="66" t="n"/>
      <c r="CM33" s="78">
        <f>IF(OR(CL$4=0,CL33=""),"",IFERROR(ROUND(CL33/INDEX(Undirviðmið!$F$6:$F$205,CL$4)*INDEX(Undirviðmið!$E$6:$E$205,CL$4)*KVARDI,2),""))</f>
        <v/>
      </c>
      <c r="CN33" s="66" t="n"/>
      <c r="CO33" s="78">
        <f>IF(OR(CN$4=0,CN33=""),"",IFERROR(ROUND(CN33/INDEX(Undirviðmið!$F$6:$F$205,CN$4)*INDEX(Undirviðmið!$E$6:$E$205,CN$4)*KVARDI,2),""))</f>
        <v/>
      </c>
      <c r="CP33" s="66" t="n"/>
      <c r="CQ33" s="78">
        <f>IF(OR(CP$4=0,CP33=""),"",IFERROR(ROUND(CP33/INDEX(Undirviðmið!$F$6:$F$205,CP$4)*INDEX(Undirviðmið!$E$6:$E$205,CP$4)*KVARDI,2),""))</f>
        <v/>
      </c>
      <c r="CR33" s="66" t="n"/>
      <c r="CS33" s="78">
        <f>IF(OR(CR$4=0,CR33=""),"",IFERROR(ROUND(CR33/INDEX(Undirviðmið!$F$6:$F$205,CR$4)*INDEX(Undirviðmið!$E$6:$E$205,CR$4)*KVARDI,2),""))</f>
        <v/>
      </c>
      <c r="CT33" s="66" t="n"/>
      <c r="CU33" s="78">
        <f>IF(OR(CT$4=0,CT33=""),"",IFERROR(ROUND(CT33/INDEX(Undirviðmið!$F$6:$F$205,CT$4)*INDEX(Undirviðmið!$E$6:$E$205,CT$4)*KVARDI,2),""))</f>
        <v/>
      </c>
      <c r="CV33" s="66" t="n"/>
      <c r="CW33" s="78">
        <f>IF(OR(CV$4=0,CV33=""),"",IFERROR(ROUND(CV33/INDEX(Undirviðmið!$F$6:$F$205,CV$4)*INDEX(Undirviðmið!$E$6:$E$205,CV$4)*KVARDI,2),""))</f>
        <v/>
      </c>
      <c r="CX33" s="66" t="n"/>
      <c r="CY33" s="78">
        <f>IF(OR(CX$4=0,CX33=""),"",IFERROR(ROUND(CX33/INDEX(Undirviðmið!$F$6:$F$205,CX$4)*INDEX(Undirviðmið!$E$6:$E$205,CX$4)*KVARDI,2),""))</f>
        <v/>
      </c>
      <c r="CZ33" s="66" t="n"/>
      <c r="DA33" s="78">
        <f>IF(OR(CZ$4=0,CZ33=""),"",IFERROR(ROUND(CZ33/INDEX(Undirviðmið!$F$6:$F$205,CZ$4)*INDEX(Undirviðmið!$E$6:$E$205,CZ$4)*KVARDI,2),""))</f>
        <v/>
      </c>
      <c r="DB33" s="66" t="n"/>
      <c r="DC33" s="78">
        <f>IF(OR(DB$4=0,DB33=""),"",IFERROR(ROUND(DB33/INDEX(Undirviðmið!$F$6:$F$205,DB$4)*INDEX(Undirviðmið!$E$6:$E$205,DB$4)*KVARDI,2),""))</f>
        <v/>
      </c>
      <c r="DD33" s="66" t="n"/>
      <c r="DE33" s="78">
        <f>IF(OR(DD$4=0,DD33=""),"",IFERROR(ROUND(DD33/INDEX(Undirviðmið!$F$6:$F$205,DD$4)*INDEX(Undirviðmið!$E$6:$E$205,DD$4)*KVARDI,2),""))</f>
        <v/>
      </c>
      <c r="DF33" s="66" t="n"/>
      <c r="DG33" s="78">
        <f>IF(OR(DF$4=0,DF33=""),"",IFERROR(ROUND(DF33/INDEX(Undirviðmið!$F$6:$F$205,DF$4)*INDEX(Undirviðmið!$E$6:$E$205,DF$4)*KVARDI,2),""))</f>
        <v/>
      </c>
      <c r="DH33" s="66" t="n"/>
      <c r="DI33" s="78">
        <f>IF(OR(DH$4=0,DH33=""),"",IFERROR(ROUND(DH33/INDEX(Undirviðmið!$F$6:$F$205,DH$4)*INDEX(Undirviðmið!$E$6:$E$205,DH$4)*KVARDI,2),""))</f>
        <v/>
      </c>
      <c r="DJ33" s="66" t="n"/>
      <c r="DK33" s="78">
        <f>IF(OR(DJ$4=0,DJ33=""),"",IFERROR(ROUND(DJ33/INDEX(Undirviðmið!$F$6:$F$205,DJ$4)*INDEX(Undirviðmið!$E$6:$E$205,DJ$4)*KVARDI,2),""))</f>
        <v/>
      </c>
      <c r="DL33" s="66" t="n"/>
      <c r="DM33" s="78">
        <f>IF(OR(DL$4=0,DL33=""),"",IFERROR(ROUND(DL33/INDEX(Undirviðmið!$F$6:$F$205,DL$4)*INDEX(Undirviðmið!$E$6:$E$205,DL$4)*KVARDI,2),""))</f>
        <v/>
      </c>
      <c r="DN33" s="66" t="n"/>
      <c r="DO33" s="78">
        <f>IF(OR(DN$4=0,DN33=""),"",IFERROR(ROUND(DN33/INDEX(Undirviðmið!$F$6:$F$205,DN$4)*INDEX(Undirviðmið!$E$6:$E$205,DN$4)*KVARDI,2),""))</f>
        <v/>
      </c>
      <c r="DP33" s="66" t="n"/>
      <c r="DQ33" s="78">
        <f>IF(OR(DP$4=0,DP33=""),"",IFERROR(ROUND(DP33/INDEX(Undirviðmið!$F$6:$F$205,DP$4)*INDEX(Undirviðmið!$E$6:$E$205,DP$4)*KVARDI,2),""))</f>
        <v/>
      </c>
      <c r="DR33" s="66" t="n"/>
      <c r="DS33" s="78">
        <f>IF(OR(DR$4=0,DR33=""),"",IFERROR(ROUND(DR33/INDEX(Undirviðmið!$F$6:$F$205,DR$4)*INDEX(Undirviðmið!$E$6:$E$205,DR$4)*KVARDI,2),""))</f>
        <v/>
      </c>
      <c r="DT33" s="66" t="n"/>
      <c r="DU33" s="78">
        <f>IF(OR(DT$4=0,DT33=""),"",IFERROR(ROUND(DT33/INDEX(Undirviðmið!$F$6:$F$205,DT$4)*INDEX(Undirviðmið!$E$6:$E$205,DT$4)*KVARDI,2),""))</f>
        <v/>
      </c>
      <c r="DV33" s="66" t="n"/>
      <c r="DW33" s="78">
        <f>IF(OR(DV$4=0,DV33=""),"",IFERROR(ROUND(DV33/INDEX(Undirviðmið!$F$6:$F$205,DV$4)*INDEX(Undirviðmið!$E$6:$E$205,DV$4)*KVARDI,2),""))</f>
        <v/>
      </c>
      <c r="DX33" s="66" t="n"/>
      <c r="DY33" s="78">
        <f>IF(OR(DX$4=0,DX33=""),"",IFERROR(ROUND(DX33/INDEX(Undirviðmið!$F$6:$F$205,DX$4)*INDEX(Undirviðmið!$E$6:$E$205,DX$4)*KVARDI,2),""))</f>
        <v/>
      </c>
      <c r="DZ33" s="66" t="n"/>
      <c r="EA33" s="78">
        <f>IF(OR(DZ$4=0,DZ33=""),"",IFERROR(ROUND(DZ33/INDEX(Undirviðmið!$F$6:$F$205,DZ$4)*INDEX(Undirviðmið!$E$6:$E$205,DZ$4)*KVARDI,2),""))</f>
        <v/>
      </c>
      <c r="EB33" s="66" t="n"/>
      <c r="EC33" s="78">
        <f>IF(OR(EB$4=0,EB33=""),"",IFERROR(ROUND(EB33/INDEX(Undirviðmið!$F$6:$F$205,EB$4)*INDEX(Undirviðmið!$E$6:$E$205,EB$4)*KVARDI,2),""))</f>
        <v/>
      </c>
      <c r="ED33" s="66" t="n"/>
      <c r="EE33" s="78">
        <f>IF(OR(ED$4=0,ED33=""),"",IFERROR(ROUND(ED33/INDEX(Undirviðmið!$F$6:$F$205,ED$4)*INDEX(Undirviðmið!$E$6:$E$205,ED$4)*KVARDI,2),""))</f>
        <v/>
      </c>
      <c r="EF33" s="66" t="n"/>
      <c r="EG33" s="78">
        <f>IF(OR(EF$4=0,EF33=""),"",IFERROR(ROUND(EF33/INDEX(Undirviðmið!$F$6:$F$205,EF$4)*INDEX(Undirviðmið!$E$6:$E$205,EF$4)*KVARDI,2),""))</f>
        <v/>
      </c>
      <c r="EH33" s="66" t="n"/>
      <c r="EI33" s="78">
        <f>IF(OR(EH$4=0,EH33=""),"",IFERROR(ROUND(EH33/INDEX(Undirviðmið!$F$6:$F$205,EH$4)*INDEX(Undirviðmið!$E$6:$E$205,EH$4)*KVARDI,2),""))</f>
        <v/>
      </c>
      <c r="EJ33" s="66" t="n"/>
      <c r="EK33" s="78">
        <f>IF(OR(EJ$4=0,EJ33=""),"",IFERROR(ROUND(EJ33/INDEX(Undirviðmið!$F$6:$F$205,EJ$4)*INDEX(Undirviðmið!$E$6:$E$205,EJ$4)*KVARDI,2),""))</f>
        <v/>
      </c>
      <c r="EL33" s="66" t="n"/>
      <c r="EM33" s="78">
        <f>IF(OR(EL$4=0,EL33=""),"",IFERROR(ROUND(EL33/INDEX(Undirviðmið!$F$6:$F$205,EL$4)*INDEX(Undirviðmið!$E$6:$E$205,EL$4)*KVARDI,2),""))</f>
        <v/>
      </c>
      <c r="EN33" s="66" t="n"/>
      <c r="EO33" s="78">
        <f>IF(OR(EN$4=0,EN33=""),"",IFERROR(ROUND(EN33/INDEX(Undirviðmið!$F$6:$F$205,EN$4)*INDEX(Undirviðmið!$E$6:$E$205,EN$4)*KVARDI,2),""))</f>
        <v/>
      </c>
      <c r="EP33" s="66" t="n"/>
      <c r="EQ33" s="78">
        <f>IF(OR(EP$4=0,EP33=""),"",IFERROR(ROUND(EP33/INDEX(Undirviðmið!$F$6:$F$205,EP$4)*INDEX(Undirviðmið!$E$6:$E$205,EP$4)*KVARDI,2),""))</f>
        <v/>
      </c>
      <c r="ER33" s="66" t="n"/>
      <c r="ES33" s="78">
        <f>IF(OR(ER$4=0,ER33=""),"",IFERROR(ROUND(ER33/INDEX(Undirviðmið!$F$6:$F$205,ER$4)*INDEX(Undirviðmið!$E$6:$E$205,ER$4)*KVARDI,2),""))</f>
        <v/>
      </c>
      <c r="ET33" s="66" t="n"/>
      <c r="EU33" s="78">
        <f>IF(OR(ET$4=0,ET33=""),"",IFERROR(ROUND(ET33/INDEX(Undirviðmið!$F$6:$F$205,ET$4)*INDEX(Undirviðmið!$E$6:$E$205,ET$4)*KVARDI,2),""))</f>
        <v/>
      </c>
      <c r="EV33" s="66" t="n"/>
      <c r="EW33" s="78">
        <f>IF(OR(EV$4=0,EV33=""),"",IFERROR(ROUND(EV33/INDEX(Undirviðmið!$F$6:$F$205,EV$4)*INDEX(Undirviðmið!$E$6:$E$205,EV$4)*KVARDI,2),""))</f>
        <v/>
      </c>
      <c r="EX33" s="66" t="n"/>
      <c r="EY33" s="78">
        <f>IF(OR(EX$4=0,EX33=""),"",IFERROR(ROUND(EX33/INDEX(Undirviðmið!$F$6:$F$205,EX$4)*INDEX(Undirviðmið!$E$6:$E$205,EX$4)*KVARDI,2),""))</f>
        <v/>
      </c>
      <c r="EZ33" s="66" t="n"/>
      <c r="FA33" s="78">
        <f>IF(OR(EZ$4=0,EZ33=""),"",IFERROR(ROUND(EZ33/INDEX(Undirviðmið!$F$6:$F$205,EZ$4)*INDEX(Undirviðmið!$E$6:$E$205,EZ$4)*KVARDI,2),""))</f>
        <v/>
      </c>
      <c r="FB33" s="66" t="n"/>
      <c r="FC33" s="78">
        <f>IF(OR(FB$4=0,FB33=""),"",IFERROR(ROUND(FB33/INDEX(Undirviðmið!$F$6:$F$205,FB$4)*INDEX(Undirviðmið!$E$6:$E$205,FB$4)*KVARDI,2),""))</f>
        <v/>
      </c>
      <c r="FD33" s="66" t="n"/>
      <c r="FE33" s="78">
        <f>IF(OR(FD$4=0,FD33=""),"",IFERROR(ROUND(FD33/INDEX(Undirviðmið!$F$6:$F$205,FD$4)*INDEX(Undirviðmið!$E$6:$E$205,FD$4)*KVARDI,2),""))</f>
        <v/>
      </c>
      <c r="FF33" s="66" t="n"/>
      <c r="FG33" s="78">
        <f>IF(OR(FF$4=0,FF33=""),"",IFERROR(ROUND(FF33/INDEX(Undirviðmið!$F$6:$F$205,FF$4)*INDEX(Undirviðmið!$E$6:$E$205,FF$4)*KVARDI,2),""))</f>
        <v/>
      </c>
      <c r="FH33" s="66" t="n"/>
      <c r="FI33" s="78">
        <f>IF(OR(FH$4=0,FH33=""),"",IFERROR(ROUND(FH33/INDEX(Undirviðmið!$F$6:$F$205,FH$4)*INDEX(Undirviðmið!$E$6:$E$205,FH$4)*KVARDI,2),""))</f>
        <v/>
      </c>
      <c r="FJ33" s="66" t="n"/>
      <c r="FK33" s="78">
        <f>IF(OR(FJ$4=0,FJ33=""),"",IFERROR(ROUND(FJ33/INDEX(Undirviðmið!$F$6:$F$205,FJ$4)*INDEX(Undirviðmið!$E$6:$E$205,FJ$4)*KVARDI,2),""))</f>
        <v/>
      </c>
      <c r="FL33" s="66" t="n"/>
      <c r="FM33" s="78">
        <f>IF(OR(FL$4=0,FL33=""),"",IFERROR(ROUND(FL33/INDEX(Undirviðmið!$F$6:$F$205,FL$4)*INDEX(Undirviðmið!$E$6:$E$205,FL$4)*KVARDI,2),""))</f>
        <v/>
      </c>
      <c r="FN33" s="66" t="n"/>
      <c r="FO33" s="78">
        <f>IF(OR(FN$4=0,FN33=""),"",IFERROR(ROUND(FN33/INDEX(Undirviðmið!$F$6:$F$205,FN$4)*INDEX(Undirviðmið!$E$6:$E$205,FN$4)*KVARDI,2),""))</f>
        <v/>
      </c>
      <c r="FP33" s="66" t="n"/>
      <c r="FQ33" s="78">
        <f>IF(OR(FP$4=0,FP33=""),"",IFERROR(ROUND(FP33/INDEX(Undirviðmið!$F$6:$F$205,FP$4)*INDEX(Undirviðmið!$E$6:$E$205,FP$4)*KVARDI,2),""))</f>
        <v/>
      </c>
      <c r="FR33" s="66" t="n"/>
      <c r="FS33" s="78">
        <f>IF(OR(FR$4=0,FR33=""),"",IFERROR(ROUND(FR33/INDEX(Undirviðmið!$F$6:$F$205,FR$4)*INDEX(Undirviðmið!$E$6:$E$205,FR$4)*KVARDI,2),""))</f>
        <v/>
      </c>
      <c r="FT33" s="66" t="n"/>
      <c r="FU33" s="78">
        <f>IF(OR(FT$4=0,FT33=""),"",IFERROR(ROUND(FT33/INDEX(Undirviðmið!$F$6:$F$205,FT$4)*INDEX(Undirviðmið!$E$6:$E$205,FT$4)*KVARDI,2),""))</f>
        <v/>
      </c>
      <c r="FV33" s="66" t="n"/>
      <c r="FW33" s="78">
        <f>IF(OR(FV$4=0,FV33=""),"",IFERROR(ROUND(FV33/INDEX(Undirviðmið!$F$6:$F$205,FV$4)*INDEX(Undirviðmið!$E$6:$E$205,FV$4)*KVARDI,2),""))</f>
        <v/>
      </c>
      <c r="FX33" s="66" t="n"/>
      <c r="FY33" s="78">
        <f>IF(OR(FX$4=0,FX33=""),"",IFERROR(ROUND(FX33/INDEX(Undirviðmið!$F$6:$F$205,FX$4)*INDEX(Undirviðmið!$E$6:$E$205,FX$4)*KVARDI,2),""))</f>
        <v/>
      </c>
      <c r="FZ33" s="66" t="n"/>
      <c r="GA33" s="78">
        <f>IF(OR(FZ$4=0,FZ33=""),"",IFERROR(ROUND(FZ33/INDEX(Undirviðmið!$F$6:$F$205,FZ$4)*INDEX(Undirviðmið!$E$6:$E$205,FZ$4)*KVARDI,2),""))</f>
        <v/>
      </c>
      <c r="GB33" s="66" t="n"/>
      <c r="GC33" s="78">
        <f>IF(OR(GB$4=0,GB33=""),"",IFERROR(ROUND(GB33/INDEX(Undirviðmið!$F$6:$F$205,GB$4)*INDEX(Undirviðmið!$E$6:$E$205,GB$4)*KVARDI,2),""))</f>
        <v/>
      </c>
      <c r="GD33" s="66" t="n"/>
      <c r="GE33" s="78">
        <f>IF(OR(GD$4=0,GD33=""),"",IFERROR(ROUND(GD33/INDEX(Undirviðmið!$F$6:$F$205,GD$4)*INDEX(Undirviðmið!$E$6:$E$205,GD$4)*KVARDI,2),""))</f>
        <v/>
      </c>
      <c r="GF33" s="66" t="n"/>
      <c r="GG33" s="78">
        <f>IF(OR(GF$4=0,GF33=""),"",IFERROR(ROUND(GF33/INDEX(Undirviðmið!$F$6:$F$205,GF$4)*INDEX(Undirviðmið!$E$6:$E$205,GF$4)*KVARDI,2),""))</f>
        <v/>
      </c>
      <c r="GH33" s="66" t="n"/>
      <c r="GI33" s="78">
        <f>IF(OR(GH$4=0,GH33=""),"",IFERROR(ROUND(GH33/INDEX(Undirviðmið!$F$6:$F$205,GH$4)*INDEX(Undirviðmið!$E$6:$E$205,GH$4)*KVARDI,2),""))</f>
        <v/>
      </c>
      <c r="GJ33" s="66" t="n"/>
      <c r="GK33" s="78">
        <f>IF(OR(GJ$4=0,GJ33=""),"",IFERROR(ROUND(GJ33/INDEX(Undirviðmið!$F$6:$F$205,GJ$4)*INDEX(Undirviðmið!$E$6:$E$205,GJ$4)*KVARDI,2),""))</f>
        <v/>
      </c>
      <c r="GL33" s="66" t="n"/>
      <c r="GM33" s="78">
        <f>IF(OR(GL$4=0,GL33=""),"",IFERROR(ROUND(GL33/INDEX(Undirviðmið!$F$6:$F$205,GL$4)*INDEX(Undirviðmið!$E$6:$E$205,GL$4)*KVARDI,2),""))</f>
        <v/>
      </c>
      <c r="GN33" s="66" t="n"/>
      <c r="GO33" s="78">
        <f>IF(OR(GN$4=0,GN33=""),"",IFERROR(ROUND(GN33/INDEX(Undirviðmið!$F$6:$F$205,GN$4)*INDEX(Undirviðmið!$E$6:$E$205,GN$4)*KVARDI,2),""))</f>
        <v/>
      </c>
      <c r="GP33" s="66" t="n"/>
      <c r="GQ33" s="78">
        <f>IF(OR(GP$4=0,GP33=""),"",IFERROR(ROUND(GP33/INDEX(Undirviðmið!$F$6:$F$205,GP$4)*INDEX(Undirviðmið!$E$6:$E$205,GP$4)*KVARDI,2),""))</f>
        <v/>
      </c>
      <c r="GR33" s="66" t="n"/>
      <c r="GS33" s="78">
        <f>IF(OR(GR$4=0,GR33=""),"",IFERROR(ROUND(GR33/INDEX(Undirviðmið!$F$6:$F$205,GR$4)*INDEX(Undirviðmið!$E$6:$E$205,GR$4)*KVARDI,2),""))</f>
        <v/>
      </c>
      <c r="GT33" s="66" t="n"/>
      <c r="GU33" s="78">
        <f>IF(OR(GT$4=0,GT33=""),"",IFERROR(ROUND(GT33/INDEX(Undirviðmið!$F$6:$F$205,GT$4)*INDEX(Undirviðmið!$E$6:$E$205,GT$4)*KVARDI,2),""))</f>
        <v/>
      </c>
      <c r="GV33" s="63">
        <f>IFERROR(SUMIF($D$6:GU$6,"Stig",$D33:GU33),0)</f>
        <v/>
      </c>
    </row>
    <row r="34" ht="15" customHeight="1" s="47">
      <c r="A34" s="65">
        <f>ROW()-6</f>
        <v/>
      </c>
      <c r="B34" s="67">
        <f>IF(INDEX(Starfsmenn!$B$6:$B$10005,ROW()-6)="","",INDEX(Starfsmenn!$B$6:$B$10005,ROW()-6))</f>
        <v/>
      </c>
      <c r="C34" s="67">
        <f>IF(INDEX(Starfsmenn!$C$6:$C$10005,ROW()-6)="","",INDEX(Starfsmenn!$C$6:$C$10005,ROW()-6))</f>
        <v/>
      </c>
      <c r="D34" s="66" t="n"/>
      <c r="E34" s="78">
        <f>IF(OR(D$4=0,D34=""),"",IFERROR(ROUND(D34/INDEX(Undirviðmið!$F$6:$F$205,D$4)*INDEX(Undirviðmið!$E$6:$E$205,D$4)*KVARDI,2),""))</f>
        <v/>
      </c>
      <c r="F34" s="66" t="n"/>
      <c r="G34" s="78">
        <f>IF(OR(F$4=0,F34=""),"",IFERROR(ROUND(F34/INDEX(Undirviðmið!$F$6:$F$205,F$4)*INDEX(Undirviðmið!$E$6:$E$205,F$4)*KVARDI,2),""))</f>
        <v/>
      </c>
      <c r="H34" s="66" t="n"/>
      <c r="I34" s="78">
        <f>IF(OR(H$4=0,H34=""),"",IFERROR(ROUND(H34/INDEX(Undirviðmið!$F$6:$F$205,H$4)*INDEX(Undirviðmið!$E$6:$E$205,H$4)*KVARDI,2),""))</f>
        <v/>
      </c>
      <c r="J34" s="66" t="n"/>
      <c r="K34" s="78">
        <f>IF(OR(J$4=0,J34=""),"",IFERROR(ROUND(J34/INDEX(Undirviðmið!$F$6:$F$205,J$4)*INDEX(Undirviðmið!$E$6:$E$205,J$4)*KVARDI,2),""))</f>
        <v/>
      </c>
      <c r="L34" s="66" t="n"/>
      <c r="M34" s="78">
        <f>IF(OR(L$4=0,L34=""),"",IFERROR(ROUND(L34/INDEX(Undirviðmið!$F$6:$F$205,L$4)*INDEX(Undirviðmið!$E$6:$E$205,L$4)*KVARDI,2),""))</f>
        <v/>
      </c>
      <c r="N34" s="66" t="n"/>
      <c r="O34" s="78">
        <f>IF(OR(N$4=0,N34=""),"",IFERROR(ROUND(N34/INDEX(Undirviðmið!$F$6:$F$205,N$4)*INDEX(Undirviðmið!$E$6:$E$205,N$4)*KVARDI,2),""))</f>
        <v/>
      </c>
      <c r="P34" s="66" t="n"/>
      <c r="Q34" s="78">
        <f>IF(OR(P$4=0,P34=""),"",IFERROR(ROUND(P34/INDEX(Undirviðmið!$F$6:$F$205,P$4)*INDEX(Undirviðmið!$E$6:$E$205,P$4)*KVARDI,2),""))</f>
        <v/>
      </c>
      <c r="R34" s="66" t="n"/>
      <c r="S34" s="78">
        <f>IF(OR(R$4=0,R34=""),"",IFERROR(ROUND(R34/INDEX(Undirviðmið!$F$6:$F$205,R$4)*INDEX(Undirviðmið!$E$6:$E$205,R$4)*KVARDI,2),""))</f>
        <v/>
      </c>
      <c r="T34" s="66" t="n"/>
      <c r="U34" s="78">
        <f>IF(OR(T$4=0,T34=""),"",IFERROR(ROUND(T34/INDEX(Undirviðmið!$F$6:$F$205,T$4)*INDEX(Undirviðmið!$E$6:$E$205,T$4)*KVARDI,2),""))</f>
        <v/>
      </c>
      <c r="V34" s="66" t="n"/>
      <c r="W34" s="78">
        <f>IF(OR(V$4=0,V34=""),"",IFERROR(ROUND(V34/INDEX(Undirviðmið!$F$6:$F$205,V$4)*INDEX(Undirviðmið!$E$6:$E$205,V$4)*KVARDI,2),""))</f>
        <v/>
      </c>
      <c r="X34" s="66" t="n"/>
      <c r="Y34" s="78">
        <f>IF(OR(X$4=0,X34=""),"",IFERROR(ROUND(X34/INDEX(Undirviðmið!$F$6:$F$205,X$4)*INDEX(Undirviðmið!$E$6:$E$205,X$4)*KVARDI,2),""))</f>
        <v/>
      </c>
      <c r="Z34" s="66" t="n"/>
      <c r="AA34" s="78">
        <f>IF(OR(Z$4=0,Z34=""),"",IFERROR(ROUND(Z34/INDEX(Undirviðmið!$F$6:$F$205,Z$4)*INDEX(Undirviðmið!$E$6:$E$205,Z$4)*KVARDI,2),""))</f>
        <v/>
      </c>
      <c r="AB34" s="66" t="n"/>
      <c r="AC34" s="78">
        <f>IF(OR(AB$4=0,AB34=""),"",IFERROR(ROUND(AB34/INDEX(Undirviðmið!$F$6:$F$205,AB$4)*INDEX(Undirviðmið!$E$6:$E$205,AB$4)*KVARDI,2),""))</f>
        <v/>
      </c>
      <c r="AD34" s="66" t="n"/>
      <c r="AE34" s="78">
        <f>IF(OR(AD$4=0,AD34=""),"",IFERROR(ROUND(AD34/INDEX(Undirviðmið!$F$6:$F$205,AD$4)*INDEX(Undirviðmið!$E$6:$E$205,AD$4)*KVARDI,2),""))</f>
        <v/>
      </c>
      <c r="AF34" s="66" t="n"/>
      <c r="AG34" s="78">
        <f>IF(OR(AF$4=0,AF34=""),"",IFERROR(ROUND(AF34/INDEX(Undirviðmið!$F$6:$F$205,AF$4)*INDEX(Undirviðmið!$E$6:$E$205,AF$4)*KVARDI,2),""))</f>
        <v/>
      </c>
      <c r="AH34" s="66" t="n"/>
      <c r="AI34" s="78">
        <f>IF(OR(AH$4=0,AH34=""),"",IFERROR(ROUND(AH34/INDEX(Undirviðmið!$F$6:$F$205,AH$4)*INDEX(Undirviðmið!$E$6:$E$205,AH$4)*KVARDI,2),""))</f>
        <v/>
      </c>
      <c r="AJ34" s="66" t="n"/>
      <c r="AK34" s="78">
        <f>IF(OR(AJ$4=0,AJ34=""),"",IFERROR(ROUND(AJ34/INDEX(Undirviðmið!$F$6:$F$205,AJ$4)*INDEX(Undirviðmið!$E$6:$E$205,AJ$4)*KVARDI,2),""))</f>
        <v/>
      </c>
      <c r="AL34" s="66" t="n"/>
      <c r="AM34" s="78">
        <f>IF(OR(AL$4=0,AL34=""),"",IFERROR(ROUND(AL34/INDEX(Undirviðmið!$F$6:$F$205,AL$4)*INDEX(Undirviðmið!$E$6:$E$205,AL$4)*KVARDI,2),""))</f>
        <v/>
      </c>
      <c r="AN34" s="66" t="n"/>
      <c r="AO34" s="78">
        <f>IF(OR(AN$4=0,AN34=""),"",IFERROR(ROUND(AN34/INDEX(Undirviðmið!$F$6:$F$205,AN$4)*INDEX(Undirviðmið!$E$6:$E$205,AN$4)*KVARDI,2),""))</f>
        <v/>
      </c>
      <c r="AP34" s="66" t="n"/>
      <c r="AQ34" s="78">
        <f>IF(OR(AP$4=0,AP34=""),"",IFERROR(ROUND(AP34/INDEX(Undirviðmið!$F$6:$F$205,AP$4)*INDEX(Undirviðmið!$E$6:$E$205,AP$4)*KVARDI,2),""))</f>
        <v/>
      </c>
      <c r="AR34" s="66" t="n"/>
      <c r="AS34" s="78">
        <f>IF(OR(AR$4=0,AR34=""),"",IFERROR(ROUND(AR34/INDEX(Undirviðmið!$F$6:$F$205,AR$4)*INDEX(Undirviðmið!$E$6:$E$205,AR$4)*KVARDI,2),""))</f>
        <v/>
      </c>
      <c r="AT34" s="66" t="n"/>
      <c r="AU34" s="78">
        <f>IF(OR(AT$4=0,AT34=""),"",IFERROR(ROUND(AT34/INDEX(Undirviðmið!$F$6:$F$205,AT$4)*INDEX(Undirviðmið!$E$6:$E$205,AT$4)*KVARDI,2),""))</f>
        <v/>
      </c>
      <c r="AV34" s="66" t="n"/>
      <c r="AW34" s="78">
        <f>IF(OR(AV$4=0,AV34=""),"",IFERROR(ROUND(AV34/INDEX(Undirviðmið!$F$6:$F$205,AV$4)*INDEX(Undirviðmið!$E$6:$E$205,AV$4)*KVARDI,2),""))</f>
        <v/>
      </c>
      <c r="AX34" s="66" t="n"/>
      <c r="AY34" s="78">
        <f>IF(OR(AX$4=0,AX34=""),"",IFERROR(ROUND(AX34/INDEX(Undirviðmið!$F$6:$F$205,AX$4)*INDEX(Undirviðmið!$E$6:$E$205,AX$4)*KVARDI,2),""))</f>
        <v/>
      </c>
      <c r="AZ34" s="66" t="n"/>
      <c r="BA34" s="78">
        <f>IF(OR(AZ$4=0,AZ34=""),"",IFERROR(ROUND(AZ34/INDEX(Undirviðmið!$F$6:$F$205,AZ$4)*INDEX(Undirviðmið!$E$6:$E$205,AZ$4)*KVARDI,2),""))</f>
        <v/>
      </c>
      <c r="BB34" s="66" t="n"/>
      <c r="BC34" s="78">
        <f>IF(OR(BB$4=0,BB34=""),"",IFERROR(ROUND(BB34/INDEX(Undirviðmið!$F$6:$F$205,BB$4)*INDEX(Undirviðmið!$E$6:$E$205,BB$4)*KVARDI,2),""))</f>
        <v/>
      </c>
      <c r="BD34" s="66" t="n"/>
      <c r="BE34" s="78">
        <f>IF(OR(BD$4=0,BD34=""),"",IFERROR(ROUND(BD34/INDEX(Undirviðmið!$F$6:$F$205,BD$4)*INDEX(Undirviðmið!$E$6:$E$205,BD$4)*KVARDI,2),""))</f>
        <v/>
      </c>
      <c r="BF34" s="66" t="n"/>
      <c r="BG34" s="78">
        <f>IF(OR(BF$4=0,BF34=""),"",IFERROR(ROUND(BF34/INDEX(Undirviðmið!$F$6:$F$205,BF$4)*INDEX(Undirviðmið!$E$6:$E$205,BF$4)*KVARDI,2),""))</f>
        <v/>
      </c>
      <c r="BH34" s="66" t="n"/>
      <c r="BI34" s="78">
        <f>IF(OR(BH$4=0,BH34=""),"",IFERROR(ROUND(BH34/INDEX(Undirviðmið!$F$6:$F$205,BH$4)*INDEX(Undirviðmið!$E$6:$E$205,BH$4)*KVARDI,2),""))</f>
        <v/>
      </c>
      <c r="BJ34" s="66" t="n"/>
      <c r="BK34" s="78">
        <f>IF(OR(BJ$4=0,BJ34=""),"",IFERROR(ROUND(BJ34/INDEX(Undirviðmið!$F$6:$F$205,BJ$4)*INDEX(Undirviðmið!$E$6:$E$205,BJ$4)*KVARDI,2),""))</f>
        <v/>
      </c>
      <c r="BL34" s="66" t="n"/>
      <c r="BM34" s="78">
        <f>IF(OR(BL$4=0,BL34=""),"",IFERROR(ROUND(BL34/INDEX(Undirviðmið!$F$6:$F$205,BL$4)*INDEX(Undirviðmið!$E$6:$E$205,BL$4)*KVARDI,2),""))</f>
        <v/>
      </c>
      <c r="BN34" s="66" t="n"/>
      <c r="BO34" s="78">
        <f>IF(OR(BN$4=0,BN34=""),"",IFERROR(ROUND(BN34/INDEX(Undirviðmið!$F$6:$F$205,BN$4)*INDEX(Undirviðmið!$E$6:$E$205,BN$4)*KVARDI,2),""))</f>
        <v/>
      </c>
      <c r="BP34" s="66" t="n"/>
      <c r="BQ34" s="78">
        <f>IF(OR(BP$4=0,BP34=""),"",IFERROR(ROUND(BP34/INDEX(Undirviðmið!$F$6:$F$205,BP$4)*INDEX(Undirviðmið!$E$6:$E$205,BP$4)*KVARDI,2),""))</f>
        <v/>
      </c>
      <c r="BR34" s="66" t="n"/>
      <c r="BS34" s="78">
        <f>IF(OR(BR$4=0,BR34=""),"",IFERROR(ROUND(BR34/INDEX(Undirviðmið!$F$6:$F$205,BR$4)*INDEX(Undirviðmið!$E$6:$E$205,BR$4)*KVARDI,2),""))</f>
        <v/>
      </c>
      <c r="BT34" s="66" t="n"/>
      <c r="BU34" s="78">
        <f>IF(OR(BT$4=0,BT34=""),"",IFERROR(ROUND(BT34/INDEX(Undirviðmið!$F$6:$F$205,BT$4)*INDEX(Undirviðmið!$E$6:$E$205,BT$4)*KVARDI,2),""))</f>
        <v/>
      </c>
      <c r="BV34" s="66" t="n"/>
      <c r="BW34" s="78">
        <f>IF(OR(BV$4=0,BV34=""),"",IFERROR(ROUND(BV34/INDEX(Undirviðmið!$F$6:$F$205,BV$4)*INDEX(Undirviðmið!$E$6:$E$205,BV$4)*KVARDI,2),""))</f>
        <v/>
      </c>
      <c r="BX34" s="66" t="n"/>
      <c r="BY34" s="78">
        <f>IF(OR(BX$4=0,BX34=""),"",IFERROR(ROUND(BX34/INDEX(Undirviðmið!$F$6:$F$205,BX$4)*INDEX(Undirviðmið!$E$6:$E$205,BX$4)*KVARDI,2),""))</f>
        <v/>
      </c>
      <c r="BZ34" s="66" t="n"/>
      <c r="CA34" s="78">
        <f>IF(OR(BZ$4=0,BZ34=""),"",IFERROR(ROUND(BZ34/INDEX(Undirviðmið!$F$6:$F$205,BZ$4)*INDEX(Undirviðmið!$E$6:$E$205,BZ$4)*KVARDI,2),""))</f>
        <v/>
      </c>
      <c r="CB34" s="66" t="n"/>
      <c r="CC34" s="78">
        <f>IF(OR(CB$4=0,CB34=""),"",IFERROR(ROUND(CB34/INDEX(Undirviðmið!$F$6:$F$205,CB$4)*INDEX(Undirviðmið!$E$6:$E$205,CB$4)*KVARDI,2),""))</f>
        <v/>
      </c>
      <c r="CD34" s="66" t="n"/>
      <c r="CE34" s="78">
        <f>IF(OR(CD$4=0,CD34=""),"",IFERROR(ROUND(CD34/INDEX(Undirviðmið!$F$6:$F$205,CD$4)*INDEX(Undirviðmið!$E$6:$E$205,CD$4)*KVARDI,2),""))</f>
        <v/>
      </c>
      <c r="CF34" s="66" t="n"/>
      <c r="CG34" s="78">
        <f>IF(OR(CF$4=0,CF34=""),"",IFERROR(ROUND(CF34/INDEX(Undirviðmið!$F$6:$F$205,CF$4)*INDEX(Undirviðmið!$E$6:$E$205,CF$4)*KVARDI,2),""))</f>
        <v/>
      </c>
      <c r="CH34" s="66" t="n"/>
      <c r="CI34" s="78">
        <f>IF(OR(CH$4=0,CH34=""),"",IFERROR(ROUND(CH34/INDEX(Undirviðmið!$F$6:$F$205,CH$4)*INDEX(Undirviðmið!$E$6:$E$205,CH$4)*KVARDI,2),""))</f>
        <v/>
      </c>
      <c r="CJ34" s="66" t="n"/>
      <c r="CK34" s="78">
        <f>IF(OR(CJ$4=0,CJ34=""),"",IFERROR(ROUND(CJ34/INDEX(Undirviðmið!$F$6:$F$205,CJ$4)*INDEX(Undirviðmið!$E$6:$E$205,CJ$4)*KVARDI,2),""))</f>
        <v/>
      </c>
      <c r="CL34" s="66" t="n"/>
      <c r="CM34" s="78">
        <f>IF(OR(CL$4=0,CL34=""),"",IFERROR(ROUND(CL34/INDEX(Undirviðmið!$F$6:$F$205,CL$4)*INDEX(Undirviðmið!$E$6:$E$205,CL$4)*KVARDI,2),""))</f>
        <v/>
      </c>
      <c r="CN34" s="66" t="n"/>
      <c r="CO34" s="78">
        <f>IF(OR(CN$4=0,CN34=""),"",IFERROR(ROUND(CN34/INDEX(Undirviðmið!$F$6:$F$205,CN$4)*INDEX(Undirviðmið!$E$6:$E$205,CN$4)*KVARDI,2),""))</f>
        <v/>
      </c>
      <c r="CP34" s="66" t="n"/>
      <c r="CQ34" s="78">
        <f>IF(OR(CP$4=0,CP34=""),"",IFERROR(ROUND(CP34/INDEX(Undirviðmið!$F$6:$F$205,CP$4)*INDEX(Undirviðmið!$E$6:$E$205,CP$4)*KVARDI,2),""))</f>
        <v/>
      </c>
      <c r="CR34" s="66" t="n"/>
      <c r="CS34" s="78">
        <f>IF(OR(CR$4=0,CR34=""),"",IFERROR(ROUND(CR34/INDEX(Undirviðmið!$F$6:$F$205,CR$4)*INDEX(Undirviðmið!$E$6:$E$205,CR$4)*KVARDI,2),""))</f>
        <v/>
      </c>
      <c r="CT34" s="66" t="n"/>
      <c r="CU34" s="78">
        <f>IF(OR(CT$4=0,CT34=""),"",IFERROR(ROUND(CT34/INDEX(Undirviðmið!$F$6:$F$205,CT$4)*INDEX(Undirviðmið!$E$6:$E$205,CT$4)*KVARDI,2),""))</f>
        <v/>
      </c>
      <c r="CV34" s="66" t="n"/>
      <c r="CW34" s="78">
        <f>IF(OR(CV$4=0,CV34=""),"",IFERROR(ROUND(CV34/INDEX(Undirviðmið!$F$6:$F$205,CV$4)*INDEX(Undirviðmið!$E$6:$E$205,CV$4)*KVARDI,2),""))</f>
        <v/>
      </c>
      <c r="CX34" s="66" t="n"/>
      <c r="CY34" s="78">
        <f>IF(OR(CX$4=0,CX34=""),"",IFERROR(ROUND(CX34/INDEX(Undirviðmið!$F$6:$F$205,CX$4)*INDEX(Undirviðmið!$E$6:$E$205,CX$4)*KVARDI,2),""))</f>
        <v/>
      </c>
      <c r="CZ34" s="66" t="n"/>
      <c r="DA34" s="78">
        <f>IF(OR(CZ$4=0,CZ34=""),"",IFERROR(ROUND(CZ34/INDEX(Undirviðmið!$F$6:$F$205,CZ$4)*INDEX(Undirviðmið!$E$6:$E$205,CZ$4)*KVARDI,2),""))</f>
        <v/>
      </c>
      <c r="DB34" s="66" t="n"/>
      <c r="DC34" s="78">
        <f>IF(OR(DB$4=0,DB34=""),"",IFERROR(ROUND(DB34/INDEX(Undirviðmið!$F$6:$F$205,DB$4)*INDEX(Undirviðmið!$E$6:$E$205,DB$4)*KVARDI,2),""))</f>
        <v/>
      </c>
      <c r="DD34" s="66" t="n"/>
      <c r="DE34" s="78">
        <f>IF(OR(DD$4=0,DD34=""),"",IFERROR(ROUND(DD34/INDEX(Undirviðmið!$F$6:$F$205,DD$4)*INDEX(Undirviðmið!$E$6:$E$205,DD$4)*KVARDI,2),""))</f>
        <v/>
      </c>
      <c r="DF34" s="66" t="n"/>
      <c r="DG34" s="78">
        <f>IF(OR(DF$4=0,DF34=""),"",IFERROR(ROUND(DF34/INDEX(Undirviðmið!$F$6:$F$205,DF$4)*INDEX(Undirviðmið!$E$6:$E$205,DF$4)*KVARDI,2),""))</f>
        <v/>
      </c>
      <c r="DH34" s="66" t="n"/>
      <c r="DI34" s="78">
        <f>IF(OR(DH$4=0,DH34=""),"",IFERROR(ROUND(DH34/INDEX(Undirviðmið!$F$6:$F$205,DH$4)*INDEX(Undirviðmið!$E$6:$E$205,DH$4)*KVARDI,2),""))</f>
        <v/>
      </c>
      <c r="DJ34" s="66" t="n"/>
      <c r="DK34" s="78">
        <f>IF(OR(DJ$4=0,DJ34=""),"",IFERROR(ROUND(DJ34/INDEX(Undirviðmið!$F$6:$F$205,DJ$4)*INDEX(Undirviðmið!$E$6:$E$205,DJ$4)*KVARDI,2),""))</f>
        <v/>
      </c>
      <c r="DL34" s="66" t="n"/>
      <c r="DM34" s="78">
        <f>IF(OR(DL$4=0,DL34=""),"",IFERROR(ROUND(DL34/INDEX(Undirviðmið!$F$6:$F$205,DL$4)*INDEX(Undirviðmið!$E$6:$E$205,DL$4)*KVARDI,2),""))</f>
        <v/>
      </c>
      <c r="DN34" s="66" t="n"/>
      <c r="DO34" s="78">
        <f>IF(OR(DN$4=0,DN34=""),"",IFERROR(ROUND(DN34/INDEX(Undirviðmið!$F$6:$F$205,DN$4)*INDEX(Undirviðmið!$E$6:$E$205,DN$4)*KVARDI,2),""))</f>
        <v/>
      </c>
      <c r="DP34" s="66" t="n"/>
      <c r="DQ34" s="78">
        <f>IF(OR(DP$4=0,DP34=""),"",IFERROR(ROUND(DP34/INDEX(Undirviðmið!$F$6:$F$205,DP$4)*INDEX(Undirviðmið!$E$6:$E$205,DP$4)*KVARDI,2),""))</f>
        <v/>
      </c>
      <c r="DR34" s="66" t="n"/>
      <c r="DS34" s="78">
        <f>IF(OR(DR$4=0,DR34=""),"",IFERROR(ROUND(DR34/INDEX(Undirviðmið!$F$6:$F$205,DR$4)*INDEX(Undirviðmið!$E$6:$E$205,DR$4)*KVARDI,2),""))</f>
        <v/>
      </c>
      <c r="DT34" s="66" t="n"/>
      <c r="DU34" s="78">
        <f>IF(OR(DT$4=0,DT34=""),"",IFERROR(ROUND(DT34/INDEX(Undirviðmið!$F$6:$F$205,DT$4)*INDEX(Undirviðmið!$E$6:$E$205,DT$4)*KVARDI,2),""))</f>
        <v/>
      </c>
      <c r="DV34" s="66" t="n"/>
      <c r="DW34" s="78">
        <f>IF(OR(DV$4=0,DV34=""),"",IFERROR(ROUND(DV34/INDEX(Undirviðmið!$F$6:$F$205,DV$4)*INDEX(Undirviðmið!$E$6:$E$205,DV$4)*KVARDI,2),""))</f>
        <v/>
      </c>
      <c r="DX34" s="66" t="n"/>
      <c r="DY34" s="78">
        <f>IF(OR(DX$4=0,DX34=""),"",IFERROR(ROUND(DX34/INDEX(Undirviðmið!$F$6:$F$205,DX$4)*INDEX(Undirviðmið!$E$6:$E$205,DX$4)*KVARDI,2),""))</f>
        <v/>
      </c>
      <c r="DZ34" s="66" t="n"/>
      <c r="EA34" s="78">
        <f>IF(OR(DZ$4=0,DZ34=""),"",IFERROR(ROUND(DZ34/INDEX(Undirviðmið!$F$6:$F$205,DZ$4)*INDEX(Undirviðmið!$E$6:$E$205,DZ$4)*KVARDI,2),""))</f>
        <v/>
      </c>
      <c r="EB34" s="66" t="n"/>
      <c r="EC34" s="78">
        <f>IF(OR(EB$4=0,EB34=""),"",IFERROR(ROUND(EB34/INDEX(Undirviðmið!$F$6:$F$205,EB$4)*INDEX(Undirviðmið!$E$6:$E$205,EB$4)*KVARDI,2),""))</f>
        <v/>
      </c>
      <c r="ED34" s="66" t="n"/>
      <c r="EE34" s="78">
        <f>IF(OR(ED$4=0,ED34=""),"",IFERROR(ROUND(ED34/INDEX(Undirviðmið!$F$6:$F$205,ED$4)*INDEX(Undirviðmið!$E$6:$E$205,ED$4)*KVARDI,2),""))</f>
        <v/>
      </c>
      <c r="EF34" s="66" t="n"/>
      <c r="EG34" s="78">
        <f>IF(OR(EF$4=0,EF34=""),"",IFERROR(ROUND(EF34/INDEX(Undirviðmið!$F$6:$F$205,EF$4)*INDEX(Undirviðmið!$E$6:$E$205,EF$4)*KVARDI,2),""))</f>
        <v/>
      </c>
      <c r="EH34" s="66" t="n"/>
      <c r="EI34" s="78">
        <f>IF(OR(EH$4=0,EH34=""),"",IFERROR(ROUND(EH34/INDEX(Undirviðmið!$F$6:$F$205,EH$4)*INDEX(Undirviðmið!$E$6:$E$205,EH$4)*KVARDI,2),""))</f>
        <v/>
      </c>
      <c r="EJ34" s="66" t="n"/>
      <c r="EK34" s="78">
        <f>IF(OR(EJ$4=0,EJ34=""),"",IFERROR(ROUND(EJ34/INDEX(Undirviðmið!$F$6:$F$205,EJ$4)*INDEX(Undirviðmið!$E$6:$E$205,EJ$4)*KVARDI,2),""))</f>
        <v/>
      </c>
      <c r="EL34" s="66" t="n"/>
      <c r="EM34" s="78">
        <f>IF(OR(EL$4=0,EL34=""),"",IFERROR(ROUND(EL34/INDEX(Undirviðmið!$F$6:$F$205,EL$4)*INDEX(Undirviðmið!$E$6:$E$205,EL$4)*KVARDI,2),""))</f>
        <v/>
      </c>
      <c r="EN34" s="66" t="n"/>
      <c r="EO34" s="78">
        <f>IF(OR(EN$4=0,EN34=""),"",IFERROR(ROUND(EN34/INDEX(Undirviðmið!$F$6:$F$205,EN$4)*INDEX(Undirviðmið!$E$6:$E$205,EN$4)*KVARDI,2),""))</f>
        <v/>
      </c>
      <c r="EP34" s="66" t="n"/>
      <c r="EQ34" s="78">
        <f>IF(OR(EP$4=0,EP34=""),"",IFERROR(ROUND(EP34/INDEX(Undirviðmið!$F$6:$F$205,EP$4)*INDEX(Undirviðmið!$E$6:$E$205,EP$4)*KVARDI,2),""))</f>
        <v/>
      </c>
      <c r="ER34" s="66" t="n"/>
      <c r="ES34" s="78">
        <f>IF(OR(ER$4=0,ER34=""),"",IFERROR(ROUND(ER34/INDEX(Undirviðmið!$F$6:$F$205,ER$4)*INDEX(Undirviðmið!$E$6:$E$205,ER$4)*KVARDI,2),""))</f>
        <v/>
      </c>
      <c r="ET34" s="66" t="n"/>
      <c r="EU34" s="78">
        <f>IF(OR(ET$4=0,ET34=""),"",IFERROR(ROUND(ET34/INDEX(Undirviðmið!$F$6:$F$205,ET$4)*INDEX(Undirviðmið!$E$6:$E$205,ET$4)*KVARDI,2),""))</f>
        <v/>
      </c>
      <c r="EV34" s="66" t="n"/>
      <c r="EW34" s="78">
        <f>IF(OR(EV$4=0,EV34=""),"",IFERROR(ROUND(EV34/INDEX(Undirviðmið!$F$6:$F$205,EV$4)*INDEX(Undirviðmið!$E$6:$E$205,EV$4)*KVARDI,2),""))</f>
        <v/>
      </c>
      <c r="EX34" s="66" t="n"/>
      <c r="EY34" s="78">
        <f>IF(OR(EX$4=0,EX34=""),"",IFERROR(ROUND(EX34/INDEX(Undirviðmið!$F$6:$F$205,EX$4)*INDEX(Undirviðmið!$E$6:$E$205,EX$4)*KVARDI,2),""))</f>
        <v/>
      </c>
      <c r="EZ34" s="66" t="n"/>
      <c r="FA34" s="78">
        <f>IF(OR(EZ$4=0,EZ34=""),"",IFERROR(ROUND(EZ34/INDEX(Undirviðmið!$F$6:$F$205,EZ$4)*INDEX(Undirviðmið!$E$6:$E$205,EZ$4)*KVARDI,2),""))</f>
        <v/>
      </c>
      <c r="FB34" s="66" t="n"/>
      <c r="FC34" s="78">
        <f>IF(OR(FB$4=0,FB34=""),"",IFERROR(ROUND(FB34/INDEX(Undirviðmið!$F$6:$F$205,FB$4)*INDEX(Undirviðmið!$E$6:$E$205,FB$4)*KVARDI,2),""))</f>
        <v/>
      </c>
      <c r="FD34" s="66" t="n"/>
      <c r="FE34" s="78">
        <f>IF(OR(FD$4=0,FD34=""),"",IFERROR(ROUND(FD34/INDEX(Undirviðmið!$F$6:$F$205,FD$4)*INDEX(Undirviðmið!$E$6:$E$205,FD$4)*KVARDI,2),""))</f>
        <v/>
      </c>
      <c r="FF34" s="66" t="n"/>
      <c r="FG34" s="78">
        <f>IF(OR(FF$4=0,FF34=""),"",IFERROR(ROUND(FF34/INDEX(Undirviðmið!$F$6:$F$205,FF$4)*INDEX(Undirviðmið!$E$6:$E$205,FF$4)*KVARDI,2),""))</f>
        <v/>
      </c>
      <c r="FH34" s="66" t="n"/>
      <c r="FI34" s="78">
        <f>IF(OR(FH$4=0,FH34=""),"",IFERROR(ROUND(FH34/INDEX(Undirviðmið!$F$6:$F$205,FH$4)*INDEX(Undirviðmið!$E$6:$E$205,FH$4)*KVARDI,2),""))</f>
        <v/>
      </c>
      <c r="FJ34" s="66" t="n"/>
      <c r="FK34" s="78">
        <f>IF(OR(FJ$4=0,FJ34=""),"",IFERROR(ROUND(FJ34/INDEX(Undirviðmið!$F$6:$F$205,FJ$4)*INDEX(Undirviðmið!$E$6:$E$205,FJ$4)*KVARDI,2),""))</f>
        <v/>
      </c>
      <c r="FL34" s="66" t="n"/>
      <c r="FM34" s="78">
        <f>IF(OR(FL$4=0,FL34=""),"",IFERROR(ROUND(FL34/INDEX(Undirviðmið!$F$6:$F$205,FL$4)*INDEX(Undirviðmið!$E$6:$E$205,FL$4)*KVARDI,2),""))</f>
        <v/>
      </c>
      <c r="FN34" s="66" t="n"/>
      <c r="FO34" s="78">
        <f>IF(OR(FN$4=0,FN34=""),"",IFERROR(ROUND(FN34/INDEX(Undirviðmið!$F$6:$F$205,FN$4)*INDEX(Undirviðmið!$E$6:$E$205,FN$4)*KVARDI,2),""))</f>
        <v/>
      </c>
      <c r="FP34" s="66" t="n"/>
      <c r="FQ34" s="78">
        <f>IF(OR(FP$4=0,FP34=""),"",IFERROR(ROUND(FP34/INDEX(Undirviðmið!$F$6:$F$205,FP$4)*INDEX(Undirviðmið!$E$6:$E$205,FP$4)*KVARDI,2),""))</f>
        <v/>
      </c>
      <c r="FR34" s="66" t="n"/>
      <c r="FS34" s="78">
        <f>IF(OR(FR$4=0,FR34=""),"",IFERROR(ROUND(FR34/INDEX(Undirviðmið!$F$6:$F$205,FR$4)*INDEX(Undirviðmið!$E$6:$E$205,FR$4)*KVARDI,2),""))</f>
        <v/>
      </c>
      <c r="FT34" s="66" t="n"/>
      <c r="FU34" s="78">
        <f>IF(OR(FT$4=0,FT34=""),"",IFERROR(ROUND(FT34/INDEX(Undirviðmið!$F$6:$F$205,FT$4)*INDEX(Undirviðmið!$E$6:$E$205,FT$4)*KVARDI,2),""))</f>
        <v/>
      </c>
      <c r="FV34" s="66" t="n"/>
      <c r="FW34" s="78">
        <f>IF(OR(FV$4=0,FV34=""),"",IFERROR(ROUND(FV34/INDEX(Undirviðmið!$F$6:$F$205,FV$4)*INDEX(Undirviðmið!$E$6:$E$205,FV$4)*KVARDI,2),""))</f>
        <v/>
      </c>
      <c r="FX34" s="66" t="n"/>
      <c r="FY34" s="78">
        <f>IF(OR(FX$4=0,FX34=""),"",IFERROR(ROUND(FX34/INDEX(Undirviðmið!$F$6:$F$205,FX$4)*INDEX(Undirviðmið!$E$6:$E$205,FX$4)*KVARDI,2),""))</f>
        <v/>
      </c>
      <c r="FZ34" s="66" t="n"/>
      <c r="GA34" s="78">
        <f>IF(OR(FZ$4=0,FZ34=""),"",IFERROR(ROUND(FZ34/INDEX(Undirviðmið!$F$6:$F$205,FZ$4)*INDEX(Undirviðmið!$E$6:$E$205,FZ$4)*KVARDI,2),""))</f>
        <v/>
      </c>
      <c r="GB34" s="66" t="n"/>
      <c r="GC34" s="78">
        <f>IF(OR(GB$4=0,GB34=""),"",IFERROR(ROUND(GB34/INDEX(Undirviðmið!$F$6:$F$205,GB$4)*INDEX(Undirviðmið!$E$6:$E$205,GB$4)*KVARDI,2),""))</f>
        <v/>
      </c>
      <c r="GD34" s="66" t="n"/>
      <c r="GE34" s="78">
        <f>IF(OR(GD$4=0,GD34=""),"",IFERROR(ROUND(GD34/INDEX(Undirviðmið!$F$6:$F$205,GD$4)*INDEX(Undirviðmið!$E$6:$E$205,GD$4)*KVARDI,2),""))</f>
        <v/>
      </c>
      <c r="GF34" s="66" t="n"/>
      <c r="GG34" s="78">
        <f>IF(OR(GF$4=0,GF34=""),"",IFERROR(ROUND(GF34/INDEX(Undirviðmið!$F$6:$F$205,GF$4)*INDEX(Undirviðmið!$E$6:$E$205,GF$4)*KVARDI,2),""))</f>
        <v/>
      </c>
      <c r="GH34" s="66" t="n"/>
      <c r="GI34" s="78">
        <f>IF(OR(GH$4=0,GH34=""),"",IFERROR(ROUND(GH34/INDEX(Undirviðmið!$F$6:$F$205,GH$4)*INDEX(Undirviðmið!$E$6:$E$205,GH$4)*KVARDI,2),""))</f>
        <v/>
      </c>
      <c r="GJ34" s="66" t="n"/>
      <c r="GK34" s="78">
        <f>IF(OR(GJ$4=0,GJ34=""),"",IFERROR(ROUND(GJ34/INDEX(Undirviðmið!$F$6:$F$205,GJ$4)*INDEX(Undirviðmið!$E$6:$E$205,GJ$4)*KVARDI,2),""))</f>
        <v/>
      </c>
      <c r="GL34" s="66" t="n"/>
      <c r="GM34" s="78">
        <f>IF(OR(GL$4=0,GL34=""),"",IFERROR(ROUND(GL34/INDEX(Undirviðmið!$F$6:$F$205,GL$4)*INDEX(Undirviðmið!$E$6:$E$205,GL$4)*KVARDI,2),""))</f>
        <v/>
      </c>
      <c r="GN34" s="66" t="n"/>
      <c r="GO34" s="78">
        <f>IF(OR(GN$4=0,GN34=""),"",IFERROR(ROUND(GN34/INDEX(Undirviðmið!$F$6:$F$205,GN$4)*INDEX(Undirviðmið!$E$6:$E$205,GN$4)*KVARDI,2),""))</f>
        <v/>
      </c>
      <c r="GP34" s="66" t="n"/>
      <c r="GQ34" s="78">
        <f>IF(OR(GP$4=0,GP34=""),"",IFERROR(ROUND(GP34/INDEX(Undirviðmið!$F$6:$F$205,GP$4)*INDEX(Undirviðmið!$E$6:$E$205,GP$4)*KVARDI,2),""))</f>
        <v/>
      </c>
      <c r="GR34" s="66" t="n"/>
      <c r="GS34" s="78">
        <f>IF(OR(GR$4=0,GR34=""),"",IFERROR(ROUND(GR34/INDEX(Undirviðmið!$F$6:$F$205,GR$4)*INDEX(Undirviðmið!$E$6:$E$205,GR$4)*KVARDI,2),""))</f>
        <v/>
      </c>
      <c r="GT34" s="66" t="n"/>
      <c r="GU34" s="78">
        <f>IF(OR(GT$4=0,GT34=""),"",IFERROR(ROUND(GT34/INDEX(Undirviðmið!$F$6:$F$205,GT$4)*INDEX(Undirviðmið!$E$6:$E$205,GT$4)*KVARDI,2),""))</f>
        <v/>
      </c>
      <c r="GV34" s="63">
        <f>IFERROR(SUMIF($D$6:GU$6,"Stig",$D34:GU34),0)</f>
        <v/>
      </c>
    </row>
    <row r="35" ht="15" customHeight="1" s="47">
      <c r="A35" s="65">
        <f>ROW()-6</f>
        <v/>
      </c>
      <c r="B35" s="67">
        <f>IF(INDEX(Starfsmenn!$B$6:$B$10005,ROW()-6)="","",INDEX(Starfsmenn!$B$6:$B$10005,ROW()-6))</f>
        <v/>
      </c>
      <c r="C35" s="67">
        <f>IF(INDEX(Starfsmenn!$C$6:$C$10005,ROW()-6)="","",INDEX(Starfsmenn!$C$6:$C$10005,ROW()-6))</f>
        <v/>
      </c>
      <c r="D35" s="66" t="n"/>
      <c r="E35" s="78">
        <f>IF(OR(D$4=0,D35=""),"",IFERROR(ROUND(D35/INDEX(Undirviðmið!$F$6:$F$205,D$4)*INDEX(Undirviðmið!$E$6:$E$205,D$4)*KVARDI,2),""))</f>
        <v/>
      </c>
      <c r="F35" s="66" t="n"/>
      <c r="G35" s="78">
        <f>IF(OR(F$4=0,F35=""),"",IFERROR(ROUND(F35/INDEX(Undirviðmið!$F$6:$F$205,F$4)*INDEX(Undirviðmið!$E$6:$E$205,F$4)*KVARDI,2),""))</f>
        <v/>
      </c>
      <c r="H35" s="66" t="n"/>
      <c r="I35" s="78">
        <f>IF(OR(H$4=0,H35=""),"",IFERROR(ROUND(H35/INDEX(Undirviðmið!$F$6:$F$205,H$4)*INDEX(Undirviðmið!$E$6:$E$205,H$4)*KVARDI,2),""))</f>
        <v/>
      </c>
      <c r="J35" s="66" t="n"/>
      <c r="K35" s="78">
        <f>IF(OR(J$4=0,J35=""),"",IFERROR(ROUND(J35/INDEX(Undirviðmið!$F$6:$F$205,J$4)*INDEX(Undirviðmið!$E$6:$E$205,J$4)*KVARDI,2),""))</f>
        <v/>
      </c>
      <c r="L35" s="66" t="n"/>
      <c r="M35" s="78">
        <f>IF(OR(L$4=0,L35=""),"",IFERROR(ROUND(L35/INDEX(Undirviðmið!$F$6:$F$205,L$4)*INDEX(Undirviðmið!$E$6:$E$205,L$4)*KVARDI,2),""))</f>
        <v/>
      </c>
      <c r="N35" s="66" t="n"/>
      <c r="O35" s="78">
        <f>IF(OR(N$4=0,N35=""),"",IFERROR(ROUND(N35/INDEX(Undirviðmið!$F$6:$F$205,N$4)*INDEX(Undirviðmið!$E$6:$E$205,N$4)*KVARDI,2),""))</f>
        <v/>
      </c>
      <c r="P35" s="66" t="n"/>
      <c r="Q35" s="78">
        <f>IF(OR(P$4=0,P35=""),"",IFERROR(ROUND(P35/INDEX(Undirviðmið!$F$6:$F$205,P$4)*INDEX(Undirviðmið!$E$6:$E$205,P$4)*KVARDI,2),""))</f>
        <v/>
      </c>
      <c r="R35" s="66" t="n"/>
      <c r="S35" s="78">
        <f>IF(OR(R$4=0,R35=""),"",IFERROR(ROUND(R35/INDEX(Undirviðmið!$F$6:$F$205,R$4)*INDEX(Undirviðmið!$E$6:$E$205,R$4)*KVARDI,2),""))</f>
        <v/>
      </c>
      <c r="T35" s="66" t="n"/>
      <c r="U35" s="78">
        <f>IF(OR(T$4=0,T35=""),"",IFERROR(ROUND(T35/INDEX(Undirviðmið!$F$6:$F$205,T$4)*INDEX(Undirviðmið!$E$6:$E$205,T$4)*KVARDI,2),""))</f>
        <v/>
      </c>
      <c r="V35" s="66" t="n"/>
      <c r="W35" s="78">
        <f>IF(OR(V$4=0,V35=""),"",IFERROR(ROUND(V35/INDEX(Undirviðmið!$F$6:$F$205,V$4)*INDEX(Undirviðmið!$E$6:$E$205,V$4)*KVARDI,2),""))</f>
        <v/>
      </c>
      <c r="X35" s="66" t="n"/>
      <c r="Y35" s="78">
        <f>IF(OR(X$4=0,X35=""),"",IFERROR(ROUND(X35/INDEX(Undirviðmið!$F$6:$F$205,X$4)*INDEX(Undirviðmið!$E$6:$E$205,X$4)*KVARDI,2),""))</f>
        <v/>
      </c>
      <c r="Z35" s="66" t="n"/>
      <c r="AA35" s="78">
        <f>IF(OR(Z$4=0,Z35=""),"",IFERROR(ROUND(Z35/INDEX(Undirviðmið!$F$6:$F$205,Z$4)*INDEX(Undirviðmið!$E$6:$E$205,Z$4)*KVARDI,2),""))</f>
        <v/>
      </c>
      <c r="AB35" s="66" t="n"/>
      <c r="AC35" s="78">
        <f>IF(OR(AB$4=0,AB35=""),"",IFERROR(ROUND(AB35/INDEX(Undirviðmið!$F$6:$F$205,AB$4)*INDEX(Undirviðmið!$E$6:$E$205,AB$4)*KVARDI,2),""))</f>
        <v/>
      </c>
      <c r="AD35" s="66" t="n"/>
      <c r="AE35" s="78">
        <f>IF(OR(AD$4=0,AD35=""),"",IFERROR(ROUND(AD35/INDEX(Undirviðmið!$F$6:$F$205,AD$4)*INDEX(Undirviðmið!$E$6:$E$205,AD$4)*KVARDI,2),""))</f>
        <v/>
      </c>
      <c r="AF35" s="66" t="n"/>
      <c r="AG35" s="78">
        <f>IF(OR(AF$4=0,AF35=""),"",IFERROR(ROUND(AF35/INDEX(Undirviðmið!$F$6:$F$205,AF$4)*INDEX(Undirviðmið!$E$6:$E$205,AF$4)*KVARDI,2),""))</f>
        <v/>
      </c>
      <c r="AH35" s="66" t="n"/>
      <c r="AI35" s="78">
        <f>IF(OR(AH$4=0,AH35=""),"",IFERROR(ROUND(AH35/INDEX(Undirviðmið!$F$6:$F$205,AH$4)*INDEX(Undirviðmið!$E$6:$E$205,AH$4)*KVARDI,2),""))</f>
        <v/>
      </c>
      <c r="AJ35" s="66" t="n"/>
      <c r="AK35" s="78">
        <f>IF(OR(AJ$4=0,AJ35=""),"",IFERROR(ROUND(AJ35/INDEX(Undirviðmið!$F$6:$F$205,AJ$4)*INDEX(Undirviðmið!$E$6:$E$205,AJ$4)*KVARDI,2),""))</f>
        <v/>
      </c>
      <c r="AL35" s="66" t="n"/>
      <c r="AM35" s="78">
        <f>IF(OR(AL$4=0,AL35=""),"",IFERROR(ROUND(AL35/INDEX(Undirviðmið!$F$6:$F$205,AL$4)*INDEX(Undirviðmið!$E$6:$E$205,AL$4)*KVARDI,2),""))</f>
        <v/>
      </c>
      <c r="AN35" s="66" t="n"/>
      <c r="AO35" s="78">
        <f>IF(OR(AN$4=0,AN35=""),"",IFERROR(ROUND(AN35/INDEX(Undirviðmið!$F$6:$F$205,AN$4)*INDEX(Undirviðmið!$E$6:$E$205,AN$4)*KVARDI,2),""))</f>
        <v/>
      </c>
      <c r="AP35" s="66" t="n"/>
      <c r="AQ35" s="78">
        <f>IF(OR(AP$4=0,AP35=""),"",IFERROR(ROUND(AP35/INDEX(Undirviðmið!$F$6:$F$205,AP$4)*INDEX(Undirviðmið!$E$6:$E$205,AP$4)*KVARDI,2),""))</f>
        <v/>
      </c>
      <c r="AR35" s="66" t="n"/>
      <c r="AS35" s="78">
        <f>IF(OR(AR$4=0,AR35=""),"",IFERROR(ROUND(AR35/INDEX(Undirviðmið!$F$6:$F$205,AR$4)*INDEX(Undirviðmið!$E$6:$E$205,AR$4)*KVARDI,2),""))</f>
        <v/>
      </c>
      <c r="AT35" s="66" t="n"/>
      <c r="AU35" s="78">
        <f>IF(OR(AT$4=0,AT35=""),"",IFERROR(ROUND(AT35/INDEX(Undirviðmið!$F$6:$F$205,AT$4)*INDEX(Undirviðmið!$E$6:$E$205,AT$4)*KVARDI,2),""))</f>
        <v/>
      </c>
      <c r="AV35" s="66" t="n"/>
      <c r="AW35" s="78">
        <f>IF(OR(AV$4=0,AV35=""),"",IFERROR(ROUND(AV35/INDEX(Undirviðmið!$F$6:$F$205,AV$4)*INDEX(Undirviðmið!$E$6:$E$205,AV$4)*KVARDI,2),""))</f>
        <v/>
      </c>
      <c r="AX35" s="66" t="n"/>
      <c r="AY35" s="78">
        <f>IF(OR(AX$4=0,AX35=""),"",IFERROR(ROUND(AX35/INDEX(Undirviðmið!$F$6:$F$205,AX$4)*INDEX(Undirviðmið!$E$6:$E$205,AX$4)*KVARDI,2),""))</f>
        <v/>
      </c>
      <c r="AZ35" s="66" t="n"/>
      <c r="BA35" s="78">
        <f>IF(OR(AZ$4=0,AZ35=""),"",IFERROR(ROUND(AZ35/INDEX(Undirviðmið!$F$6:$F$205,AZ$4)*INDEX(Undirviðmið!$E$6:$E$205,AZ$4)*KVARDI,2),""))</f>
        <v/>
      </c>
      <c r="BB35" s="66" t="n"/>
      <c r="BC35" s="78">
        <f>IF(OR(BB$4=0,BB35=""),"",IFERROR(ROUND(BB35/INDEX(Undirviðmið!$F$6:$F$205,BB$4)*INDEX(Undirviðmið!$E$6:$E$205,BB$4)*KVARDI,2),""))</f>
        <v/>
      </c>
      <c r="BD35" s="66" t="n"/>
      <c r="BE35" s="78">
        <f>IF(OR(BD$4=0,BD35=""),"",IFERROR(ROUND(BD35/INDEX(Undirviðmið!$F$6:$F$205,BD$4)*INDEX(Undirviðmið!$E$6:$E$205,BD$4)*KVARDI,2),""))</f>
        <v/>
      </c>
      <c r="BF35" s="66" t="n"/>
      <c r="BG35" s="78">
        <f>IF(OR(BF$4=0,BF35=""),"",IFERROR(ROUND(BF35/INDEX(Undirviðmið!$F$6:$F$205,BF$4)*INDEX(Undirviðmið!$E$6:$E$205,BF$4)*KVARDI,2),""))</f>
        <v/>
      </c>
      <c r="BH35" s="66" t="n"/>
      <c r="BI35" s="78">
        <f>IF(OR(BH$4=0,BH35=""),"",IFERROR(ROUND(BH35/INDEX(Undirviðmið!$F$6:$F$205,BH$4)*INDEX(Undirviðmið!$E$6:$E$205,BH$4)*KVARDI,2),""))</f>
        <v/>
      </c>
      <c r="BJ35" s="66" t="n"/>
      <c r="BK35" s="78">
        <f>IF(OR(BJ$4=0,BJ35=""),"",IFERROR(ROUND(BJ35/INDEX(Undirviðmið!$F$6:$F$205,BJ$4)*INDEX(Undirviðmið!$E$6:$E$205,BJ$4)*KVARDI,2),""))</f>
        <v/>
      </c>
      <c r="BL35" s="66" t="n"/>
      <c r="BM35" s="78">
        <f>IF(OR(BL$4=0,BL35=""),"",IFERROR(ROUND(BL35/INDEX(Undirviðmið!$F$6:$F$205,BL$4)*INDEX(Undirviðmið!$E$6:$E$205,BL$4)*KVARDI,2),""))</f>
        <v/>
      </c>
      <c r="BN35" s="66" t="n"/>
      <c r="BO35" s="78">
        <f>IF(OR(BN$4=0,BN35=""),"",IFERROR(ROUND(BN35/INDEX(Undirviðmið!$F$6:$F$205,BN$4)*INDEX(Undirviðmið!$E$6:$E$205,BN$4)*KVARDI,2),""))</f>
        <v/>
      </c>
      <c r="BP35" s="66" t="n"/>
      <c r="BQ35" s="78">
        <f>IF(OR(BP$4=0,BP35=""),"",IFERROR(ROUND(BP35/INDEX(Undirviðmið!$F$6:$F$205,BP$4)*INDEX(Undirviðmið!$E$6:$E$205,BP$4)*KVARDI,2),""))</f>
        <v/>
      </c>
      <c r="BR35" s="66" t="n"/>
      <c r="BS35" s="78">
        <f>IF(OR(BR$4=0,BR35=""),"",IFERROR(ROUND(BR35/INDEX(Undirviðmið!$F$6:$F$205,BR$4)*INDEX(Undirviðmið!$E$6:$E$205,BR$4)*KVARDI,2),""))</f>
        <v/>
      </c>
      <c r="BT35" s="66" t="n"/>
      <c r="BU35" s="78">
        <f>IF(OR(BT$4=0,BT35=""),"",IFERROR(ROUND(BT35/INDEX(Undirviðmið!$F$6:$F$205,BT$4)*INDEX(Undirviðmið!$E$6:$E$205,BT$4)*KVARDI,2),""))</f>
        <v/>
      </c>
      <c r="BV35" s="66" t="n"/>
      <c r="BW35" s="78">
        <f>IF(OR(BV$4=0,BV35=""),"",IFERROR(ROUND(BV35/INDEX(Undirviðmið!$F$6:$F$205,BV$4)*INDEX(Undirviðmið!$E$6:$E$205,BV$4)*KVARDI,2),""))</f>
        <v/>
      </c>
      <c r="BX35" s="66" t="n"/>
      <c r="BY35" s="78">
        <f>IF(OR(BX$4=0,BX35=""),"",IFERROR(ROUND(BX35/INDEX(Undirviðmið!$F$6:$F$205,BX$4)*INDEX(Undirviðmið!$E$6:$E$205,BX$4)*KVARDI,2),""))</f>
        <v/>
      </c>
      <c r="BZ35" s="66" t="n"/>
      <c r="CA35" s="78">
        <f>IF(OR(BZ$4=0,BZ35=""),"",IFERROR(ROUND(BZ35/INDEX(Undirviðmið!$F$6:$F$205,BZ$4)*INDEX(Undirviðmið!$E$6:$E$205,BZ$4)*KVARDI,2),""))</f>
        <v/>
      </c>
      <c r="CB35" s="66" t="n"/>
      <c r="CC35" s="78">
        <f>IF(OR(CB$4=0,CB35=""),"",IFERROR(ROUND(CB35/INDEX(Undirviðmið!$F$6:$F$205,CB$4)*INDEX(Undirviðmið!$E$6:$E$205,CB$4)*KVARDI,2),""))</f>
        <v/>
      </c>
      <c r="CD35" s="66" t="n"/>
      <c r="CE35" s="78">
        <f>IF(OR(CD$4=0,CD35=""),"",IFERROR(ROUND(CD35/INDEX(Undirviðmið!$F$6:$F$205,CD$4)*INDEX(Undirviðmið!$E$6:$E$205,CD$4)*KVARDI,2),""))</f>
        <v/>
      </c>
      <c r="CF35" s="66" t="n"/>
      <c r="CG35" s="78">
        <f>IF(OR(CF$4=0,CF35=""),"",IFERROR(ROUND(CF35/INDEX(Undirviðmið!$F$6:$F$205,CF$4)*INDEX(Undirviðmið!$E$6:$E$205,CF$4)*KVARDI,2),""))</f>
        <v/>
      </c>
      <c r="CH35" s="66" t="n"/>
      <c r="CI35" s="78">
        <f>IF(OR(CH$4=0,CH35=""),"",IFERROR(ROUND(CH35/INDEX(Undirviðmið!$F$6:$F$205,CH$4)*INDEX(Undirviðmið!$E$6:$E$205,CH$4)*KVARDI,2),""))</f>
        <v/>
      </c>
      <c r="CJ35" s="66" t="n"/>
      <c r="CK35" s="78">
        <f>IF(OR(CJ$4=0,CJ35=""),"",IFERROR(ROUND(CJ35/INDEX(Undirviðmið!$F$6:$F$205,CJ$4)*INDEX(Undirviðmið!$E$6:$E$205,CJ$4)*KVARDI,2),""))</f>
        <v/>
      </c>
      <c r="CL35" s="66" t="n"/>
      <c r="CM35" s="78">
        <f>IF(OR(CL$4=0,CL35=""),"",IFERROR(ROUND(CL35/INDEX(Undirviðmið!$F$6:$F$205,CL$4)*INDEX(Undirviðmið!$E$6:$E$205,CL$4)*KVARDI,2),""))</f>
        <v/>
      </c>
      <c r="CN35" s="66" t="n"/>
      <c r="CO35" s="78">
        <f>IF(OR(CN$4=0,CN35=""),"",IFERROR(ROUND(CN35/INDEX(Undirviðmið!$F$6:$F$205,CN$4)*INDEX(Undirviðmið!$E$6:$E$205,CN$4)*KVARDI,2),""))</f>
        <v/>
      </c>
      <c r="CP35" s="66" t="n"/>
      <c r="CQ35" s="78">
        <f>IF(OR(CP$4=0,CP35=""),"",IFERROR(ROUND(CP35/INDEX(Undirviðmið!$F$6:$F$205,CP$4)*INDEX(Undirviðmið!$E$6:$E$205,CP$4)*KVARDI,2),""))</f>
        <v/>
      </c>
      <c r="CR35" s="66" t="n"/>
      <c r="CS35" s="78">
        <f>IF(OR(CR$4=0,CR35=""),"",IFERROR(ROUND(CR35/INDEX(Undirviðmið!$F$6:$F$205,CR$4)*INDEX(Undirviðmið!$E$6:$E$205,CR$4)*KVARDI,2),""))</f>
        <v/>
      </c>
      <c r="CT35" s="66" t="n"/>
      <c r="CU35" s="78">
        <f>IF(OR(CT$4=0,CT35=""),"",IFERROR(ROUND(CT35/INDEX(Undirviðmið!$F$6:$F$205,CT$4)*INDEX(Undirviðmið!$E$6:$E$205,CT$4)*KVARDI,2),""))</f>
        <v/>
      </c>
      <c r="CV35" s="66" t="n"/>
      <c r="CW35" s="78">
        <f>IF(OR(CV$4=0,CV35=""),"",IFERROR(ROUND(CV35/INDEX(Undirviðmið!$F$6:$F$205,CV$4)*INDEX(Undirviðmið!$E$6:$E$205,CV$4)*KVARDI,2),""))</f>
        <v/>
      </c>
      <c r="CX35" s="66" t="n"/>
      <c r="CY35" s="78">
        <f>IF(OR(CX$4=0,CX35=""),"",IFERROR(ROUND(CX35/INDEX(Undirviðmið!$F$6:$F$205,CX$4)*INDEX(Undirviðmið!$E$6:$E$205,CX$4)*KVARDI,2),""))</f>
        <v/>
      </c>
      <c r="CZ35" s="66" t="n"/>
      <c r="DA35" s="78">
        <f>IF(OR(CZ$4=0,CZ35=""),"",IFERROR(ROUND(CZ35/INDEX(Undirviðmið!$F$6:$F$205,CZ$4)*INDEX(Undirviðmið!$E$6:$E$205,CZ$4)*KVARDI,2),""))</f>
        <v/>
      </c>
      <c r="DB35" s="66" t="n"/>
      <c r="DC35" s="78">
        <f>IF(OR(DB$4=0,DB35=""),"",IFERROR(ROUND(DB35/INDEX(Undirviðmið!$F$6:$F$205,DB$4)*INDEX(Undirviðmið!$E$6:$E$205,DB$4)*KVARDI,2),""))</f>
        <v/>
      </c>
      <c r="DD35" s="66" t="n"/>
      <c r="DE35" s="78">
        <f>IF(OR(DD$4=0,DD35=""),"",IFERROR(ROUND(DD35/INDEX(Undirviðmið!$F$6:$F$205,DD$4)*INDEX(Undirviðmið!$E$6:$E$205,DD$4)*KVARDI,2),""))</f>
        <v/>
      </c>
      <c r="DF35" s="66" t="n"/>
      <c r="DG35" s="78">
        <f>IF(OR(DF$4=0,DF35=""),"",IFERROR(ROUND(DF35/INDEX(Undirviðmið!$F$6:$F$205,DF$4)*INDEX(Undirviðmið!$E$6:$E$205,DF$4)*KVARDI,2),""))</f>
        <v/>
      </c>
      <c r="DH35" s="66" t="n"/>
      <c r="DI35" s="78">
        <f>IF(OR(DH$4=0,DH35=""),"",IFERROR(ROUND(DH35/INDEX(Undirviðmið!$F$6:$F$205,DH$4)*INDEX(Undirviðmið!$E$6:$E$205,DH$4)*KVARDI,2),""))</f>
        <v/>
      </c>
      <c r="DJ35" s="66" t="n"/>
      <c r="DK35" s="78">
        <f>IF(OR(DJ$4=0,DJ35=""),"",IFERROR(ROUND(DJ35/INDEX(Undirviðmið!$F$6:$F$205,DJ$4)*INDEX(Undirviðmið!$E$6:$E$205,DJ$4)*KVARDI,2),""))</f>
        <v/>
      </c>
      <c r="DL35" s="66" t="n"/>
      <c r="DM35" s="78">
        <f>IF(OR(DL$4=0,DL35=""),"",IFERROR(ROUND(DL35/INDEX(Undirviðmið!$F$6:$F$205,DL$4)*INDEX(Undirviðmið!$E$6:$E$205,DL$4)*KVARDI,2),""))</f>
        <v/>
      </c>
      <c r="DN35" s="66" t="n"/>
      <c r="DO35" s="78">
        <f>IF(OR(DN$4=0,DN35=""),"",IFERROR(ROUND(DN35/INDEX(Undirviðmið!$F$6:$F$205,DN$4)*INDEX(Undirviðmið!$E$6:$E$205,DN$4)*KVARDI,2),""))</f>
        <v/>
      </c>
      <c r="DP35" s="66" t="n"/>
      <c r="DQ35" s="78">
        <f>IF(OR(DP$4=0,DP35=""),"",IFERROR(ROUND(DP35/INDEX(Undirviðmið!$F$6:$F$205,DP$4)*INDEX(Undirviðmið!$E$6:$E$205,DP$4)*KVARDI,2),""))</f>
        <v/>
      </c>
      <c r="DR35" s="66" t="n"/>
      <c r="DS35" s="78">
        <f>IF(OR(DR$4=0,DR35=""),"",IFERROR(ROUND(DR35/INDEX(Undirviðmið!$F$6:$F$205,DR$4)*INDEX(Undirviðmið!$E$6:$E$205,DR$4)*KVARDI,2),""))</f>
        <v/>
      </c>
      <c r="DT35" s="66" t="n"/>
      <c r="DU35" s="78">
        <f>IF(OR(DT$4=0,DT35=""),"",IFERROR(ROUND(DT35/INDEX(Undirviðmið!$F$6:$F$205,DT$4)*INDEX(Undirviðmið!$E$6:$E$205,DT$4)*KVARDI,2),""))</f>
        <v/>
      </c>
      <c r="DV35" s="66" t="n"/>
      <c r="DW35" s="78">
        <f>IF(OR(DV$4=0,DV35=""),"",IFERROR(ROUND(DV35/INDEX(Undirviðmið!$F$6:$F$205,DV$4)*INDEX(Undirviðmið!$E$6:$E$205,DV$4)*KVARDI,2),""))</f>
        <v/>
      </c>
      <c r="DX35" s="66" t="n"/>
      <c r="DY35" s="78">
        <f>IF(OR(DX$4=0,DX35=""),"",IFERROR(ROUND(DX35/INDEX(Undirviðmið!$F$6:$F$205,DX$4)*INDEX(Undirviðmið!$E$6:$E$205,DX$4)*KVARDI,2),""))</f>
        <v/>
      </c>
      <c r="DZ35" s="66" t="n"/>
      <c r="EA35" s="78">
        <f>IF(OR(DZ$4=0,DZ35=""),"",IFERROR(ROUND(DZ35/INDEX(Undirviðmið!$F$6:$F$205,DZ$4)*INDEX(Undirviðmið!$E$6:$E$205,DZ$4)*KVARDI,2),""))</f>
        <v/>
      </c>
      <c r="EB35" s="66" t="n"/>
      <c r="EC35" s="78">
        <f>IF(OR(EB$4=0,EB35=""),"",IFERROR(ROUND(EB35/INDEX(Undirviðmið!$F$6:$F$205,EB$4)*INDEX(Undirviðmið!$E$6:$E$205,EB$4)*KVARDI,2),""))</f>
        <v/>
      </c>
      <c r="ED35" s="66" t="n"/>
      <c r="EE35" s="78">
        <f>IF(OR(ED$4=0,ED35=""),"",IFERROR(ROUND(ED35/INDEX(Undirviðmið!$F$6:$F$205,ED$4)*INDEX(Undirviðmið!$E$6:$E$205,ED$4)*KVARDI,2),""))</f>
        <v/>
      </c>
      <c r="EF35" s="66" t="n"/>
      <c r="EG35" s="78">
        <f>IF(OR(EF$4=0,EF35=""),"",IFERROR(ROUND(EF35/INDEX(Undirviðmið!$F$6:$F$205,EF$4)*INDEX(Undirviðmið!$E$6:$E$205,EF$4)*KVARDI,2),""))</f>
        <v/>
      </c>
      <c r="EH35" s="66" t="n"/>
      <c r="EI35" s="78">
        <f>IF(OR(EH$4=0,EH35=""),"",IFERROR(ROUND(EH35/INDEX(Undirviðmið!$F$6:$F$205,EH$4)*INDEX(Undirviðmið!$E$6:$E$205,EH$4)*KVARDI,2),""))</f>
        <v/>
      </c>
      <c r="EJ35" s="66" t="n"/>
      <c r="EK35" s="78">
        <f>IF(OR(EJ$4=0,EJ35=""),"",IFERROR(ROUND(EJ35/INDEX(Undirviðmið!$F$6:$F$205,EJ$4)*INDEX(Undirviðmið!$E$6:$E$205,EJ$4)*KVARDI,2),""))</f>
        <v/>
      </c>
      <c r="EL35" s="66" t="n"/>
      <c r="EM35" s="78">
        <f>IF(OR(EL$4=0,EL35=""),"",IFERROR(ROUND(EL35/INDEX(Undirviðmið!$F$6:$F$205,EL$4)*INDEX(Undirviðmið!$E$6:$E$205,EL$4)*KVARDI,2),""))</f>
        <v/>
      </c>
      <c r="EN35" s="66" t="n"/>
      <c r="EO35" s="78">
        <f>IF(OR(EN$4=0,EN35=""),"",IFERROR(ROUND(EN35/INDEX(Undirviðmið!$F$6:$F$205,EN$4)*INDEX(Undirviðmið!$E$6:$E$205,EN$4)*KVARDI,2),""))</f>
        <v/>
      </c>
      <c r="EP35" s="66" t="n"/>
      <c r="EQ35" s="78">
        <f>IF(OR(EP$4=0,EP35=""),"",IFERROR(ROUND(EP35/INDEX(Undirviðmið!$F$6:$F$205,EP$4)*INDEX(Undirviðmið!$E$6:$E$205,EP$4)*KVARDI,2),""))</f>
        <v/>
      </c>
      <c r="ER35" s="66" t="n"/>
      <c r="ES35" s="78">
        <f>IF(OR(ER$4=0,ER35=""),"",IFERROR(ROUND(ER35/INDEX(Undirviðmið!$F$6:$F$205,ER$4)*INDEX(Undirviðmið!$E$6:$E$205,ER$4)*KVARDI,2),""))</f>
        <v/>
      </c>
      <c r="ET35" s="66" t="n"/>
      <c r="EU35" s="78">
        <f>IF(OR(ET$4=0,ET35=""),"",IFERROR(ROUND(ET35/INDEX(Undirviðmið!$F$6:$F$205,ET$4)*INDEX(Undirviðmið!$E$6:$E$205,ET$4)*KVARDI,2),""))</f>
        <v/>
      </c>
      <c r="EV35" s="66" t="n"/>
      <c r="EW35" s="78">
        <f>IF(OR(EV$4=0,EV35=""),"",IFERROR(ROUND(EV35/INDEX(Undirviðmið!$F$6:$F$205,EV$4)*INDEX(Undirviðmið!$E$6:$E$205,EV$4)*KVARDI,2),""))</f>
        <v/>
      </c>
      <c r="EX35" s="66" t="n"/>
      <c r="EY35" s="78">
        <f>IF(OR(EX$4=0,EX35=""),"",IFERROR(ROUND(EX35/INDEX(Undirviðmið!$F$6:$F$205,EX$4)*INDEX(Undirviðmið!$E$6:$E$205,EX$4)*KVARDI,2),""))</f>
        <v/>
      </c>
      <c r="EZ35" s="66" t="n"/>
      <c r="FA35" s="78">
        <f>IF(OR(EZ$4=0,EZ35=""),"",IFERROR(ROUND(EZ35/INDEX(Undirviðmið!$F$6:$F$205,EZ$4)*INDEX(Undirviðmið!$E$6:$E$205,EZ$4)*KVARDI,2),""))</f>
        <v/>
      </c>
      <c r="FB35" s="66" t="n"/>
      <c r="FC35" s="78">
        <f>IF(OR(FB$4=0,FB35=""),"",IFERROR(ROUND(FB35/INDEX(Undirviðmið!$F$6:$F$205,FB$4)*INDEX(Undirviðmið!$E$6:$E$205,FB$4)*KVARDI,2),""))</f>
        <v/>
      </c>
      <c r="FD35" s="66" t="n"/>
      <c r="FE35" s="78">
        <f>IF(OR(FD$4=0,FD35=""),"",IFERROR(ROUND(FD35/INDEX(Undirviðmið!$F$6:$F$205,FD$4)*INDEX(Undirviðmið!$E$6:$E$205,FD$4)*KVARDI,2),""))</f>
        <v/>
      </c>
      <c r="FF35" s="66" t="n"/>
      <c r="FG35" s="78">
        <f>IF(OR(FF$4=0,FF35=""),"",IFERROR(ROUND(FF35/INDEX(Undirviðmið!$F$6:$F$205,FF$4)*INDEX(Undirviðmið!$E$6:$E$205,FF$4)*KVARDI,2),""))</f>
        <v/>
      </c>
      <c r="FH35" s="66" t="n"/>
      <c r="FI35" s="78">
        <f>IF(OR(FH$4=0,FH35=""),"",IFERROR(ROUND(FH35/INDEX(Undirviðmið!$F$6:$F$205,FH$4)*INDEX(Undirviðmið!$E$6:$E$205,FH$4)*KVARDI,2),""))</f>
        <v/>
      </c>
      <c r="FJ35" s="66" t="n"/>
      <c r="FK35" s="78">
        <f>IF(OR(FJ$4=0,FJ35=""),"",IFERROR(ROUND(FJ35/INDEX(Undirviðmið!$F$6:$F$205,FJ$4)*INDEX(Undirviðmið!$E$6:$E$205,FJ$4)*KVARDI,2),""))</f>
        <v/>
      </c>
      <c r="FL35" s="66" t="n"/>
      <c r="FM35" s="78">
        <f>IF(OR(FL$4=0,FL35=""),"",IFERROR(ROUND(FL35/INDEX(Undirviðmið!$F$6:$F$205,FL$4)*INDEX(Undirviðmið!$E$6:$E$205,FL$4)*KVARDI,2),""))</f>
        <v/>
      </c>
      <c r="FN35" s="66" t="n"/>
      <c r="FO35" s="78">
        <f>IF(OR(FN$4=0,FN35=""),"",IFERROR(ROUND(FN35/INDEX(Undirviðmið!$F$6:$F$205,FN$4)*INDEX(Undirviðmið!$E$6:$E$205,FN$4)*KVARDI,2),""))</f>
        <v/>
      </c>
      <c r="FP35" s="66" t="n"/>
      <c r="FQ35" s="78">
        <f>IF(OR(FP$4=0,FP35=""),"",IFERROR(ROUND(FP35/INDEX(Undirviðmið!$F$6:$F$205,FP$4)*INDEX(Undirviðmið!$E$6:$E$205,FP$4)*KVARDI,2),""))</f>
        <v/>
      </c>
      <c r="FR35" s="66" t="n"/>
      <c r="FS35" s="78">
        <f>IF(OR(FR$4=0,FR35=""),"",IFERROR(ROUND(FR35/INDEX(Undirviðmið!$F$6:$F$205,FR$4)*INDEX(Undirviðmið!$E$6:$E$205,FR$4)*KVARDI,2),""))</f>
        <v/>
      </c>
      <c r="FT35" s="66" t="n"/>
      <c r="FU35" s="78">
        <f>IF(OR(FT$4=0,FT35=""),"",IFERROR(ROUND(FT35/INDEX(Undirviðmið!$F$6:$F$205,FT$4)*INDEX(Undirviðmið!$E$6:$E$205,FT$4)*KVARDI,2),""))</f>
        <v/>
      </c>
      <c r="FV35" s="66" t="n"/>
      <c r="FW35" s="78">
        <f>IF(OR(FV$4=0,FV35=""),"",IFERROR(ROUND(FV35/INDEX(Undirviðmið!$F$6:$F$205,FV$4)*INDEX(Undirviðmið!$E$6:$E$205,FV$4)*KVARDI,2),""))</f>
        <v/>
      </c>
      <c r="FX35" s="66" t="n"/>
      <c r="FY35" s="78">
        <f>IF(OR(FX$4=0,FX35=""),"",IFERROR(ROUND(FX35/INDEX(Undirviðmið!$F$6:$F$205,FX$4)*INDEX(Undirviðmið!$E$6:$E$205,FX$4)*KVARDI,2),""))</f>
        <v/>
      </c>
      <c r="FZ35" s="66" t="n"/>
      <c r="GA35" s="78">
        <f>IF(OR(FZ$4=0,FZ35=""),"",IFERROR(ROUND(FZ35/INDEX(Undirviðmið!$F$6:$F$205,FZ$4)*INDEX(Undirviðmið!$E$6:$E$205,FZ$4)*KVARDI,2),""))</f>
        <v/>
      </c>
      <c r="GB35" s="66" t="n"/>
      <c r="GC35" s="78">
        <f>IF(OR(GB$4=0,GB35=""),"",IFERROR(ROUND(GB35/INDEX(Undirviðmið!$F$6:$F$205,GB$4)*INDEX(Undirviðmið!$E$6:$E$205,GB$4)*KVARDI,2),""))</f>
        <v/>
      </c>
      <c r="GD35" s="66" t="n"/>
      <c r="GE35" s="78">
        <f>IF(OR(GD$4=0,GD35=""),"",IFERROR(ROUND(GD35/INDEX(Undirviðmið!$F$6:$F$205,GD$4)*INDEX(Undirviðmið!$E$6:$E$205,GD$4)*KVARDI,2),""))</f>
        <v/>
      </c>
      <c r="GF35" s="66" t="n"/>
      <c r="GG35" s="78">
        <f>IF(OR(GF$4=0,GF35=""),"",IFERROR(ROUND(GF35/INDEX(Undirviðmið!$F$6:$F$205,GF$4)*INDEX(Undirviðmið!$E$6:$E$205,GF$4)*KVARDI,2),""))</f>
        <v/>
      </c>
      <c r="GH35" s="66" t="n"/>
      <c r="GI35" s="78">
        <f>IF(OR(GH$4=0,GH35=""),"",IFERROR(ROUND(GH35/INDEX(Undirviðmið!$F$6:$F$205,GH$4)*INDEX(Undirviðmið!$E$6:$E$205,GH$4)*KVARDI,2),""))</f>
        <v/>
      </c>
      <c r="GJ35" s="66" t="n"/>
      <c r="GK35" s="78">
        <f>IF(OR(GJ$4=0,GJ35=""),"",IFERROR(ROUND(GJ35/INDEX(Undirviðmið!$F$6:$F$205,GJ$4)*INDEX(Undirviðmið!$E$6:$E$205,GJ$4)*KVARDI,2),""))</f>
        <v/>
      </c>
      <c r="GL35" s="66" t="n"/>
      <c r="GM35" s="78">
        <f>IF(OR(GL$4=0,GL35=""),"",IFERROR(ROUND(GL35/INDEX(Undirviðmið!$F$6:$F$205,GL$4)*INDEX(Undirviðmið!$E$6:$E$205,GL$4)*KVARDI,2),""))</f>
        <v/>
      </c>
      <c r="GN35" s="66" t="n"/>
      <c r="GO35" s="78">
        <f>IF(OR(GN$4=0,GN35=""),"",IFERROR(ROUND(GN35/INDEX(Undirviðmið!$F$6:$F$205,GN$4)*INDEX(Undirviðmið!$E$6:$E$205,GN$4)*KVARDI,2),""))</f>
        <v/>
      </c>
      <c r="GP35" s="66" t="n"/>
      <c r="GQ35" s="78">
        <f>IF(OR(GP$4=0,GP35=""),"",IFERROR(ROUND(GP35/INDEX(Undirviðmið!$F$6:$F$205,GP$4)*INDEX(Undirviðmið!$E$6:$E$205,GP$4)*KVARDI,2),""))</f>
        <v/>
      </c>
      <c r="GR35" s="66" t="n"/>
      <c r="GS35" s="78">
        <f>IF(OR(GR$4=0,GR35=""),"",IFERROR(ROUND(GR35/INDEX(Undirviðmið!$F$6:$F$205,GR$4)*INDEX(Undirviðmið!$E$6:$E$205,GR$4)*KVARDI,2),""))</f>
        <v/>
      </c>
      <c r="GT35" s="66" t="n"/>
      <c r="GU35" s="78">
        <f>IF(OR(GT$4=0,GT35=""),"",IFERROR(ROUND(GT35/INDEX(Undirviðmið!$F$6:$F$205,GT$4)*INDEX(Undirviðmið!$E$6:$E$205,GT$4)*KVARDI,2),""))</f>
        <v/>
      </c>
      <c r="GV35" s="63">
        <f>IFERROR(SUMIF($D$6:GU$6,"Stig",$D35:GU35),0)</f>
        <v/>
      </c>
    </row>
    <row r="36" ht="15" customHeight="1" s="47">
      <c r="A36" s="65">
        <f>ROW()-6</f>
        <v/>
      </c>
      <c r="B36" s="67">
        <f>IF(INDEX(Starfsmenn!$B$6:$B$10005,ROW()-6)="","",INDEX(Starfsmenn!$B$6:$B$10005,ROW()-6))</f>
        <v/>
      </c>
      <c r="C36" s="67">
        <f>IF(INDEX(Starfsmenn!$C$6:$C$10005,ROW()-6)="","",INDEX(Starfsmenn!$C$6:$C$10005,ROW()-6))</f>
        <v/>
      </c>
      <c r="D36" s="66" t="n"/>
      <c r="E36" s="78">
        <f>IF(OR(D$4=0,D36=""),"",IFERROR(ROUND(D36/INDEX(Undirviðmið!$F$6:$F$205,D$4)*INDEX(Undirviðmið!$E$6:$E$205,D$4)*KVARDI,2),""))</f>
        <v/>
      </c>
      <c r="F36" s="66" t="n"/>
      <c r="G36" s="78">
        <f>IF(OR(F$4=0,F36=""),"",IFERROR(ROUND(F36/INDEX(Undirviðmið!$F$6:$F$205,F$4)*INDEX(Undirviðmið!$E$6:$E$205,F$4)*KVARDI,2),""))</f>
        <v/>
      </c>
      <c r="H36" s="66" t="n"/>
      <c r="I36" s="78">
        <f>IF(OR(H$4=0,H36=""),"",IFERROR(ROUND(H36/INDEX(Undirviðmið!$F$6:$F$205,H$4)*INDEX(Undirviðmið!$E$6:$E$205,H$4)*KVARDI,2),""))</f>
        <v/>
      </c>
      <c r="J36" s="66" t="n"/>
      <c r="K36" s="78">
        <f>IF(OR(J$4=0,J36=""),"",IFERROR(ROUND(J36/INDEX(Undirviðmið!$F$6:$F$205,J$4)*INDEX(Undirviðmið!$E$6:$E$205,J$4)*KVARDI,2),""))</f>
        <v/>
      </c>
      <c r="L36" s="66" t="n"/>
      <c r="M36" s="78">
        <f>IF(OR(L$4=0,L36=""),"",IFERROR(ROUND(L36/INDEX(Undirviðmið!$F$6:$F$205,L$4)*INDEX(Undirviðmið!$E$6:$E$205,L$4)*KVARDI,2),""))</f>
        <v/>
      </c>
      <c r="N36" s="66" t="n"/>
      <c r="O36" s="78">
        <f>IF(OR(N$4=0,N36=""),"",IFERROR(ROUND(N36/INDEX(Undirviðmið!$F$6:$F$205,N$4)*INDEX(Undirviðmið!$E$6:$E$205,N$4)*KVARDI,2),""))</f>
        <v/>
      </c>
      <c r="P36" s="66" t="n"/>
      <c r="Q36" s="78">
        <f>IF(OR(P$4=0,P36=""),"",IFERROR(ROUND(P36/INDEX(Undirviðmið!$F$6:$F$205,P$4)*INDEX(Undirviðmið!$E$6:$E$205,P$4)*KVARDI,2),""))</f>
        <v/>
      </c>
      <c r="R36" s="66" t="n"/>
      <c r="S36" s="78">
        <f>IF(OR(R$4=0,R36=""),"",IFERROR(ROUND(R36/INDEX(Undirviðmið!$F$6:$F$205,R$4)*INDEX(Undirviðmið!$E$6:$E$205,R$4)*KVARDI,2),""))</f>
        <v/>
      </c>
      <c r="T36" s="66" t="n"/>
      <c r="U36" s="78">
        <f>IF(OR(T$4=0,T36=""),"",IFERROR(ROUND(T36/INDEX(Undirviðmið!$F$6:$F$205,T$4)*INDEX(Undirviðmið!$E$6:$E$205,T$4)*KVARDI,2),""))</f>
        <v/>
      </c>
      <c r="V36" s="66" t="n"/>
      <c r="W36" s="78">
        <f>IF(OR(V$4=0,V36=""),"",IFERROR(ROUND(V36/INDEX(Undirviðmið!$F$6:$F$205,V$4)*INDEX(Undirviðmið!$E$6:$E$205,V$4)*KVARDI,2),""))</f>
        <v/>
      </c>
      <c r="X36" s="66" t="n"/>
      <c r="Y36" s="78">
        <f>IF(OR(X$4=0,X36=""),"",IFERROR(ROUND(X36/INDEX(Undirviðmið!$F$6:$F$205,X$4)*INDEX(Undirviðmið!$E$6:$E$205,X$4)*KVARDI,2),""))</f>
        <v/>
      </c>
      <c r="Z36" s="66" t="n"/>
      <c r="AA36" s="78">
        <f>IF(OR(Z$4=0,Z36=""),"",IFERROR(ROUND(Z36/INDEX(Undirviðmið!$F$6:$F$205,Z$4)*INDEX(Undirviðmið!$E$6:$E$205,Z$4)*KVARDI,2),""))</f>
        <v/>
      </c>
      <c r="AB36" s="66" t="n"/>
      <c r="AC36" s="78">
        <f>IF(OR(AB$4=0,AB36=""),"",IFERROR(ROUND(AB36/INDEX(Undirviðmið!$F$6:$F$205,AB$4)*INDEX(Undirviðmið!$E$6:$E$205,AB$4)*KVARDI,2),""))</f>
        <v/>
      </c>
      <c r="AD36" s="66" t="n"/>
      <c r="AE36" s="78">
        <f>IF(OR(AD$4=0,AD36=""),"",IFERROR(ROUND(AD36/INDEX(Undirviðmið!$F$6:$F$205,AD$4)*INDEX(Undirviðmið!$E$6:$E$205,AD$4)*KVARDI,2),""))</f>
        <v/>
      </c>
      <c r="AF36" s="66" t="n"/>
      <c r="AG36" s="78">
        <f>IF(OR(AF$4=0,AF36=""),"",IFERROR(ROUND(AF36/INDEX(Undirviðmið!$F$6:$F$205,AF$4)*INDEX(Undirviðmið!$E$6:$E$205,AF$4)*KVARDI,2),""))</f>
        <v/>
      </c>
      <c r="AH36" s="66" t="n"/>
      <c r="AI36" s="78">
        <f>IF(OR(AH$4=0,AH36=""),"",IFERROR(ROUND(AH36/INDEX(Undirviðmið!$F$6:$F$205,AH$4)*INDEX(Undirviðmið!$E$6:$E$205,AH$4)*KVARDI,2),""))</f>
        <v/>
      </c>
      <c r="AJ36" s="66" t="n"/>
      <c r="AK36" s="78">
        <f>IF(OR(AJ$4=0,AJ36=""),"",IFERROR(ROUND(AJ36/INDEX(Undirviðmið!$F$6:$F$205,AJ$4)*INDEX(Undirviðmið!$E$6:$E$205,AJ$4)*KVARDI,2),""))</f>
        <v/>
      </c>
      <c r="AL36" s="66" t="n"/>
      <c r="AM36" s="78">
        <f>IF(OR(AL$4=0,AL36=""),"",IFERROR(ROUND(AL36/INDEX(Undirviðmið!$F$6:$F$205,AL$4)*INDEX(Undirviðmið!$E$6:$E$205,AL$4)*KVARDI,2),""))</f>
        <v/>
      </c>
      <c r="AN36" s="66" t="n"/>
      <c r="AO36" s="78">
        <f>IF(OR(AN$4=0,AN36=""),"",IFERROR(ROUND(AN36/INDEX(Undirviðmið!$F$6:$F$205,AN$4)*INDEX(Undirviðmið!$E$6:$E$205,AN$4)*KVARDI,2),""))</f>
        <v/>
      </c>
      <c r="AP36" s="66" t="n"/>
      <c r="AQ36" s="78">
        <f>IF(OR(AP$4=0,AP36=""),"",IFERROR(ROUND(AP36/INDEX(Undirviðmið!$F$6:$F$205,AP$4)*INDEX(Undirviðmið!$E$6:$E$205,AP$4)*KVARDI,2),""))</f>
        <v/>
      </c>
      <c r="AR36" s="66" t="n"/>
      <c r="AS36" s="78">
        <f>IF(OR(AR$4=0,AR36=""),"",IFERROR(ROUND(AR36/INDEX(Undirviðmið!$F$6:$F$205,AR$4)*INDEX(Undirviðmið!$E$6:$E$205,AR$4)*KVARDI,2),""))</f>
        <v/>
      </c>
      <c r="AT36" s="66" t="n"/>
      <c r="AU36" s="78">
        <f>IF(OR(AT$4=0,AT36=""),"",IFERROR(ROUND(AT36/INDEX(Undirviðmið!$F$6:$F$205,AT$4)*INDEX(Undirviðmið!$E$6:$E$205,AT$4)*KVARDI,2),""))</f>
        <v/>
      </c>
      <c r="AV36" s="66" t="n"/>
      <c r="AW36" s="78">
        <f>IF(OR(AV$4=0,AV36=""),"",IFERROR(ROUND(AV36/INDEX(Undirviðmið!$F$6:$F$205,AV$4)*INDEX(Undirviðmið!$E$6:$E$205,AV$4)*KVARDI,2),""))</f>
        <v/>
      </c>
      <c r="AX36" s="66" t="n"/>
      <c r="AY36" s="78">
        <f>IF(OR(AX$4=0,AX36=""),"",IFERROR(ROUND(AX36/INDEX(Undirviðmið!$F$6:$F$205,AX$4)*INDEX(Undirviðmið!$E$6:$E$205,AX$4)*KVARDI,2),""))</f>
        <v/>
      </c>
      <c r="AZ36" s="66" t="n"/>
      <c r="BA36" s="78">
        <f>IF(OR(AZ$4=0,AZ36=""),"",IFERROR(ROUND(AZ36/INDEX(Undirviðmið!$F$6:$F$205,AZ$4)*INDEX(Undirviðmið!$E$6:$E$205,AZ$4)*KVARDI,2),""))</f>
        <v/>
      </c>
      <c r="BB36" s="66" t="n"/>
      <c r="BC36" s="78">
        <f>IF(OR(BB$4=0,BB36=""),"",IFERROR(ROUND(BB36/INDEX(Undirviðmið!$F$6:$F$205,BB$4)*INDEX(Undirviðmið!$E$6:$E$205,BB$4)*KVARDI,2),""))</f>
        <v/>
      </c>
      <c r="BD36" s="66" t="n"/>
      <c r="BE36" s="78">
        <f>IF(OR(BD$4=0,BD36=""),"",IFERROR(ROUND(BD36/INDEX(Undirviðmið!$F$6:$F$205,BD$4)*INDEX(Undirviðmið!$E$6:$E$205,BD$4)*KVARDI,2),""))</f>
        <v/>
      </c>
      <c r="BF36" s="66" t="n"/>
      <c r="BG36" s="78">
        <f>IF(OR(BF$4=0,BF36=""),"",IFERROR(ROUND(BF36/INDEX(Undirviðmið!$F$6:$F$205,BF$4)*INDEX(Undirviðmið!$E$6:$E$205,BF$4)*KVARDI,2),""))</f>
        <v/>
      </c>
      <c r="BH36" s="66" t="n"/>
      <c r="BI36" s="78">
        <f>IF(OR(BH$4=0,BH36=""),"",IFERROR(ROUND(BH36/INDEX(Undirviðmið!$F$6:$F$205,BH$4)*INDEX(Undirviðmið!$E$6:$E$205,BH$4)*KVARDI,2),""))</f>
        <v/>
      </c>
      <c r="BJ36" s="66" t="n"/>
      <c r="BK36" s="78">
        <f>IF(OR(BJ$4=0,BJ36=""),"",IFERROR(ROUND(BJ36/INDEX(Undirviðmið!$F$6:$F$205,BJ$4)*INDEX(Undirviðmið!$E$6:$E$205,BJ$4)*KVARDI,2),""))</f>
        <v/>
      </c>
      <c r="BL36" s="66" t="n"/>
      <c r="BM36" s="78">
        <f>IF(OR(BL$4=0,BL36=""),"",IFERROR(ROUND(BL36/INDEX(Undirviðmið!$F$6:$F$205,BL$4)*INDEX(Undirviðmið!$E$6:$E$205,BL$4)*KVARDI,2),""))</f>
        <v/>
      </c>
      <c r="BN36" s="66" t="n"/>
      <c r="BO36" s="78">
        <f>IF(OR(BN$4=0,BN36=""),"",IFERROR(ROUND(BN36/INDEX(Undirviðmið!$F$6:$F$205,BN$4)*INDEX(Undirviðmið!$E$6:$E$205,BN$4)*KVARDI,2),""))</f>
        <v/>
      </c>
      <c r="BP36" s="66" t="n"/>
      <c r="BQ36" s="78">
        <f>IF(OR(BP$4=0,BP36=""),"",IFERROR(ROUND(BP36/INDEX(Undirviðmið!$F$6:$F$205,BP$4)*INDEX(Undirviðmið!$E$6:$E$205,BP$4)*KVARDI,2),""))</f>
        <v/>
      </c>
      <c r="BR36" s="66" t="n"/>
      <c r="BS36" s="78">
        <f>IF(OR(BR$4=0,BR36=""),"",IFERROR(ROUND(BR36/INDEX(Undirviðmið!$F$6:$F$205,BR$4)*INDEX(Undirviðmið!$E$6:$E$205,BR$4)*KVARDI,2),""))</f>
        <v/>
      </c>
      <c r="BT36" s="66" t="n"/>
      <c r="BU36" s="78">
        <f>IF(OR(BT$4=0,BT36=""),"",IFERROR(ROUND(BT36/INDEX(Undirviðmið!$F$6:$F$205,BT$4)*INDEX(Undirviðmið!$E$6:$E$205,BT$4)*KVARDI,2),""))</f>
        <v/>
      </c>
      <c r="BV36" s="66" t="n"/>
      <c r="BW36" s="78">
        <f>IF(OR(BV$4=0,BV36=""),"",IFERROR(ROUND(BV36/INDEX(Undirviðmið!$F$6:$F$205,BV$4)*INDEX(Undirviðmið!$E$6:$E$205,BV$4)*KVARDI,2),""))</f>
        <v/>
      </c>
      <c r="BX36" s="66" t="n"/>
      <c r="BY36" s="78">
        <f>IF(OR(BX$4=0,BX36=""),"",IFERROR(ROUND(BX36/INDEX(Undirviðmið!$F$6:$F$205,BX$4)*INDEX(Undirviðmið!$E$6:$E$205,BX$4)*KVARDI,2),""))</f>
        <v/>
      </c>
      <c r="BZ36" s="66" t="n"/>
      <c r="CA36" s="78">
        <f>IF(OR(BZ$4=0,BZ36=""),"",IFERROR(ROUND(BZ36/INDEX(Undirviðmið!$F$6:$F$205,BZ$4)*INDEX(Undirviðmið!$E$6:$E$205,BZ$4)*KVARDI,2),""))</f>
        <v/>
      </c>
      <c r="CB36" s="66" t="n"/>
      <c r="CC36" s="78">
        <f>IF(OR(CB$4=0,CB36=""),"",IFERROR(ROUND(CB36/INDEX(Undirviðmið!$F$6:$F$205,CB$4)*INDEX(Undirviðmið!$E$6:$E$205,CB$4)*KVARDI,2),""))</f>
        <v/>
      </c>
      <c r="CD36" s="66" t="n"/>
      <c r="CE36" s="78">
        <f>IF(OR(CD$4=0,CD36=""),"",IFERROR(ROUND(CD36/INDEX(Undirviðmið!$F$6:$F$205,CD$4)*INDEX(Undirviðmið!$E$6:$E$205,CD$4)*KVARDI,2),""))</f>
        <v/>
      </c>
      <c r="CF36" s="66" t="n"/>
      <c r="CG36" s="78">
        <f>IF(OR(CF$4=0,CF36=""),"",IFERROR(ROUND(CF36/INDEX(Undirviðmið!$F$6:$F$205,CF$4)*INDEX(Undirviðmið!$E$6:$E$205,CF$4)*KVARDI,2),""))</f>
        <v/>
      </c>
      <c r="CH36" s="66" t="n"/>
      <c r="CI36" s="78">
        <f>IF(OR(CH$4=0,CH36=""),"",IFERROR(ROUND(CH36/INDEX(Undirviðmið!$F$6:$F$205,CH$4)*INDEX(Undirviðmið!$E$6:$E$205,CH$4)*KVARDI,2),""))</f>
        <v/>
      </c>
      <c r="CJ36" s="66" t="n"/>
      <c r="CK36" s="78">
        <f>IF(OR(CJ$4=0,CJ36=""),"",IFERROR(ROUND(CJ36/INDEX(Undirviðmið!$F$6:$F$205,CJ$4)*INDEX(Undirviðmið!$E$6:$E$205,CJ$4)*KVARDI,2),""))</f>
        <v/>
      </c>
      <c r="CL36" s="66" t="n"/>
      <c r="CM36" s="78">
        <f>IF(OR(CL$4=0,CL36=""),"",IFERROR(ROUND(CL36/INDEX(Undirviðmið!$F$6:$F$205,CL$4)*INDEX(Undirviðmið!$E$6:$E$205,CL$4)*KVARDI,2),""))</f>
        <v/>
      </c>
      <c r="CN36" s="66" t="n"/>
      <c r="CO36" s="78">
        <f>IF(OR(CN$4=0,CN36=""),"",IFERROR(ROUND(CN36/INDEX(Undirviðmið!$F$6:$F$205,CN$4)*INDEX(Undirviðmið!$E$6:$E$205,CN$4)*KVARDI,2),""))</f>
        <v/>
      </c>
      <c r="CP36" s="66" t="n"/>
      <c r="CQ36" s="78">
        <f>IF(OR(CP$4=0,CP36=""),"",IFERROR(ROUND(CP36/INDEX(Undirviðmið!$F$6:$F$205,CP$4)*INDEX(Undirviðmið!$E$6:$E$205,CP$4)*KVARDI,2),""))</f>
        <v/>
      </c>
      <c r="CR36" s="66" t="n"/>
      <c r="CS36" s="78">
        <f>IF(OR(CR$4=0,CR36=""),"",IFERROR(ROUND(CR36/INDEX(Undirviðmið!$F$6:$F$205,CR$4)*INDEX(Undirviðmið!$E$6:$E$205,CR$4)*KVARDI,2),""))</f>
        <v/>
      </c>
      <c r="CT36" s="66" t="n"/>
      <c r="CU36" s="78">
        <f>IF(OR(CT$4=0,CT36=""),"",IFERROR(ROUND(CT36/INDEX(Undirviðmið!$F$6:$F$205,CT$4)*INDEX(Undirviðmið!$E$6:$E$205,CT$4)*KVARDI,2),""))</f>
        <v/>
      </c>
      <c r="CV36" s="66" t="n"/>
      <c r="CW36" s="78">
        <f>IF(OR(CV$4=0,CV36=""),"",IFERROR(ROUND(CV36/INDEX(Undirviðmið!$F$6:$F$205,CV$4)*INDEX(Undirviðmið!$E$6:$E$205,CV$4)*KVARDI,2),""))</f>
        <v/>
      </c>
      <c r="CX36" s="66" t="n"/>
      <c r="CY36" s="78">
        <f>IF(OR(CX$4=0,CX36=""),"",IFERROR(ROUND(CX36/INDEX(Undirviðmið!$F$6:$F$205,CX$4)*INDEX(Undirviðmið!$E$6:$E$205,CX$4)*KVARDI,2),""))</f>
        <v/>
      </c>
      <c r="CZ36" s="66" t="n"/>
      <c r="DA36" s="78">
        <f>IF(OR(CZ$4=0,CZ36=""),"",IFERROR(ROUND(CZ36/INDEX(Undirviðmið!$F$6:$F$205,CZ$4)*INDEX(Undirviðmið!$E$6:$E$205,CZ$4)*KVARDI,2),""))</f>
        <v/>
      </c>
      <c r="DB36" s="66" t="n"/>
      <c r="DC36" s="78">
        <f>IF(OR(DB$4=0,DB36=""),"",IFERROR(ROUND(DB36/INDEX(Undirviðmið!$F$6:$F$205,DB$4)*INDEX(Undirviðmið!$E$6:$E$205,DB$4)*KVARDI,2),""))</f>
        <v/>
      </c>
      <c r="DD36" s="66" t="n"/>
      <c r="DE36" s="78">
        <f>IF(OR(DD$4=0,DD36=""),"",IFERROR(ROUND(DD36/INDEX(Undirviðmið!$F$6:$F$205,DD$4)*INDEX(Undirviðmið!$E$6:$E$205,DD$4)*KVARDI,2),""))</f>
        <v/>
      </c>
      <c r="DF36" s="66" t="n"/>
      <c r="DG36" s="78">
        <f>IF(OR(DF$4=0,DF36=""),"",IFERROR(ROUND(DF36/INDEX(Undirviðmið!$F$6:$F$205,DF$4)*INDEX(Undirviðmið!$E$6:$E$205,DF$4)*KVARDI,2),""))</f>
        <v/>
      </c>
      <c r="DH36" s="66" t="n"/>
      <c r="DI36" s="78">
        <f>IF(OR(DH$4=0,DH36=""),"",IFERROR(ROUND(DH36/INDEX(Undirviðmið!$F$6:$F$205,DH$4)*INDEX(Undirviðmið!$E$6:$E$205,DH$4)*KVARDI,2),""))</f>
        <v/>
      </c>
      <c r="DJ36" s="66" t="n"/>
      <c r="DK36" s="78">
        <f>IF(OR(DJ$4=0,DJ36=""),"",IFERROR(ROUND(DJ36/INDEX(Undirviðmið!$F$6:$F$205,DJ$4)*INDEX(Undirviðmið!$E$6:$E$205,DJ$4)*KVARDI,2),""))</f>
        <v/>
      </c>
      <c r="DL36" s="66" t="n"/>
      <c r="DM36" s="78">
        <f>IF(OR(DL$4=0,DL36=""),"",IFERROR(ROUND(DL36/INDEX(Undirviðmið!$F$6:$F$205,DL$4)*INDEX(Undirviðmið!$E$6:$E$205,DL$4)*KVARDI,2),""))</f>
        <v/>
      </c>
      <c r="DN36" s="66" t="n"/>
      <c r="DO36" s="78">
        <f>IF(OR(DN$4=0,DN36=""),"",IFERROR(ROUND(DN36/INDEX(Undirviðmið!$F$6:$F$205,DN$4)*INDEX(Undirviðmið!$E$6:$E$205,DN$4)*KVARDI,2),""))</f>
        <v/>
      </c>
      <c r="DP36" s="66" t="n"/>
      <c r="DQ36" s="78">
        <f>IF(OR(DP$4=0,DP36=""),"",IFERROR(ROUND(DP36/INDEX(Undirviðmið!$F$6:$F$205,DP$4)*INDEX(Undirviðmið!$E$6:$E$205,DP$4)*KVARDI,2),""))</f>
        <v/>
      </c>
      <c r="DR36" s="66" t="n"/>
      <c r="DS36" s="78">
        <f>IF(OR(DR$4=0,DR36=""),"",IFERROR(ROUND(DR36/INDEX(Undirviðmið!$F$6:$F$205,DR$4)*INDEX(Undirviðmið!$E$6:$E$205,DR$4)*KVARDI,2),""))</f>
        <v/>
      </c>
      <c r="DT36" s="66" t="n"/>
      <c r="DU36" s="78">
        <f>IF(OR(DT$4=0,DT36=""),"",IFERROR(ROUND(DT36/INDEX(Undirviðmið!$F$6:$F$205,DT$4)*INDEX(Undirviðmið!$E$6:$E$205,DT$4)*KVARDI,2),""))</f>
        <v/>
      </c>
      <c r="DV36" s="66" t="n"/>
      <c r="DW36" s="78">
        <f>IF(OR(DV$4=0,DV36=""),"",IFERROR(ROUND(DV36/INDEX(Undirviðmið!$F$6:$F$205,DV$4)*INDEX(Undirviðmið!$E$6:$E$205,DV$4)*KVARDI,2),""))</f>
        <v/>
      </c>
      <c r="DX36" s="66" t="n"/>
      <c r="DY36" s="78">
        <f>IF(OR(DX$4=0,DX36=""),"",IFERROR(ROUND(DX36/INDEX(Undirviðmið!$F$6:$F$205,DX$4)*INDEX(Undirviðmið!$E$6:$E$205,DX$4)*KVARDI,2),""))</f>
        <v/>
      </c>
      <c r="DZ36" s="66" t="n"/>
      <c r="EA36" s="78">
        <f>IF(OR(DZ$4=0,DZ36=""),"",IFERROR(ROUND(DZ36/INDEX(Undirviðmið!$F$6:$F$205,DZ$4)*INDEX(Undirviðmið!$E$6:$E$205,DZ$4)*KVARDI,2),""))</f>
        <v/>
      </c>
      <c r="EB36" s="66" t="n"/>
      <c r="EC36" s="78">
        <f>IF(OR(EB$4=0,EB36=""),"",IFERROR(ROUND(EB36/INDEX(Undirviðmið!$F$6:$F$205,EB$4)*INDEX(Undirviðmið!$E$6:$E$205,EB$4)*KVARDI,2),""))</f>
        <v/>
      </c>
      <c r="ED36" s="66" t="n"/>
      <c r="EE36" s="78">
        <f>IF(OR(ED$4=0,ED36=""),"",IFERROR(ROUND(ED36/INDEX(Undirviðmið!$F$6:$F$205,ED$4)*INDEX(Undirviðmið!$E$6:$E$205,ED$4)*KVARDI,2),""))</f>
        <v/>
      </c>
      <c r="EF36" s="66" t="n"/>
      <c r="EG36" s="78">
        <f>IF(OR(EF$4=0,EF36=""),"",IFERROR(ROUND(EF36/INDEX(Undirviðmið!$F$6:$F$205,EF$4)*INDEX(Undirviðmið!$E$6:$E$205,EF$4)*KVARDI,2),""))</f>
        <v/>
      </c>
      <c r="EH36" s="66" t="n"/>
      <c r="EI36" s="78">
        <f>IF(OR(EH$4=0,EH36=""),"",IFERROR(ROUND(EH36/INDEX(Undirviðmið!$F$6:$F$205,EH$4)*INDEX(Undirviðmið!$E$6:$E$205,EH$4)*KVARDI,2),""))</f>
        <v/>
      </c>
      <c r="EJ36" s="66" t="n"/>
      <c r="EK36" s="78">
        <f>IF(OR(EJ$4=0,EJ36=""),"",IFERROR(ROUND(EJ36/INDEX(Undirviðmið!$F$6:$F$205,EJ$4)*INDEX(Undirviðmið!$E$6:$E$205,EJ$4)*KVARDI,2),""))</f>
        <v/>
      </c>
      <c r="EL36" s="66" t="n"/>
      <c r="EM36" s="78">
        <f>IF(OR(EL$4=0,EL36=""),"",IFERROR(ROUND(EL36/INDEX(Undirviðmið!$F$6:$F$205,EL$4)*INDEX(Undirviðmið!$E$6:$E$205,EL$4)*KVARDI,2),""))</f>
        <v/>
      </c>
      <c r="EN36" s="66" t="n"/>
      <c r="EO36" s="78">
        <f>IF(OR(EN$4=0,EN36=""),"",IFERROR(ROUND(EN36/INDEX(Undirviðmið!$F$6:$F$205,EN$4)*INDEX(Undirviðmið!$E$6:$E$205,EN$4)*KVARDI,2),""))</f>
        <v/>
      </c>
      <c r="EP36" s="66" t="n"/>
      <c r="EQ36" s="78">
        <f>IF(OR(EP$4=0,EP36=""),"",IFERROR(ROUND(EP36/INDEX(Undirviðmið!$F$6:$F$205,EP$4)*INDEX(Undirviðmið!$E$6:$E$205,EP$4)*KVARDI,2),""))</f>
        <v/>
      </c>
      <c r="ER36" s="66" t="n"/>
      <c r="ES36" s="78">
        <f>IF(OR(ER$4=0,ER36=""),"",IFERROR(ROUND(ER36/INDEX(Undirviðmið!$F$6:$F$205,ER$4)*INDEX(Undirviðmið!$E$6:$E$205,ER$4)*KVARDI,2),""))</f>
        <v/>
      </c>
      <c r="ET36" s="66" t="n"/>
      <c r="EU36" s="78">
        <f>IF(OR(ET$4=0,ET36=""),"",IFERROR(ROUND(ET36/INDEX(Undirviðmið!$F$6:$F$205,ET$4)*INDEX(Undirviðmið!$E$6:$E$205,ET$4)*KVARDI,2),""))</f>
        <v/>
      </c>
      <c r="EV36" s="66" t="n"/>
      <c r="EW36" s="78">
        <f>IF(OR(EV$4=0,EV36=""),"",IFERROR(ROUND(EV36/INDEX(Undirviðmið!$F$6:$F$205,EV$4)*INDEX(Undirviðmið!$E$6:$E$205,EV$4)*KVARDI,2),""))</f>
        <v/>
      </c>
      <c r="EX36" s="66" t="n"/>
      <c r="EY36" s="78">
        <f>IF(OR(EX$4=0,EX36=""),"",IFERROR(ROUND(EX36/INDEX(Undirviðmið!$F$6:$F$205,EX$4)*INDEX(Undirviðmið!$E$6:$E$205,EX$4)*KVARDI,2),""))</f>
        <v/>
      </c>
      <c r="EZ36" s="66" t="n"/>
      <c r="FA36" s="78">
        <f>IF(OR(EZ$4=0,EZ36=""),"",IFERROR(ROUND(EZ36/INDEX(Undirviðmið!$F$6:$F$205,EZ$4)*INDEX(Undirviðmið!$E$6:$E$205,EZ$4)*KVARDI,2),""))</f>
        <v/>
      </c>
      <c r="FB36" s="66" t="n"/>
      <c r="FC36" s="78">
        <f>IF(OR(FB$4=0,FB36=""),"",IFERROR(ROUND(FB36/INDEX(Undirviðmið!$F$6:$F$205,FB$4)*INDEX(Undirviðmið!$E$6:$E$205,FB$4)*KVARDI,2),""))</f>
        <v/>
      </c>
      <c r="FD36" s="66" t="n"/>
      <c r="FE36" s="78">
        <f>IF(OR(FD$4=0,FD36=""),"",IFERROR(ROUND(FD36/INDEX(Undirviðmið!$F$6:$F$205,FD$4)*INDEX(Undirviðmið!$E$6:$E$205,FD$4)*KVARDI,2),""))</f>
        <v/>
      </c>
      <c r="FF36" s="66" t="n"/>
      <c r="FG36" s="78">
        <f>IF(OR(FF$4=0,FF36=""),"",IFERROR(ROUND(FF36/INDEX(Undirviðmið!$F$6:$F$205,FF$4)*INDEX(Undirviðmið!$E$6:$E$205,FF$4)*KVARDI,2),""))</f>
        <v/>
      </c>
      <c r="FH36" s="66" t="n"/>
      <c r="FI36" s="78">
        <f>IF(OR(FH$4=0,FH36=""),"",IFERROR(ROUND(FH36/INDEX(Undirviðmið!$F$6:$F$205,FH$4)*INDEX(Undirviðmið!$E$6:$E$205,FH$4)*KVARDI,2),""))</f>
        <v/>
      </c>
      <c r="FJ36" s="66" t="n"/>
      <c r="FK36" s="78">
        <f>IF(OR(FJ$4=0,FJ36=""),"",IFERROR(ROUND(FJ36/INDEX(Undirviðmið!$F$6:$F$205,FJ$4)*INDEX(Undirviðmið!$E$6:$E$205,FJ$4)*KVARDI,2),""))</f>
        <v/>
      </c>
      <c r="FL36" s="66" t="n"/>
      <c r="FM36" s="78">
        <f>IF(OR(FL$4=0,FL36=""),"",IFERROR(ROUND(FL36/INDEX(Undirviðmið!$F$6:$F$205,FL$4)*INDEX(Undirviðmið!$E$6:$E$205,FL$4)*KVARDI,2),""))</f>
        <v/>
      </c>
      <c r="FN36" s="66" t="n"/>
      <c r="FO36" s="78">
        <f>IF(OR(FN$4=0,FN36=""),"",IFERROR(ROUND(FN36/INDEX(Undirviðmið!$F$6:$F$205,FN$4)*INDEX(Undirviðmið!$E$6:$E$205,FN$4)*KVARDI,2),""))</f>
        <v/>
      </c>
      <c r="FP36" s="66" t="n"/>
      <c r="FQ36" s="78">
        <f>IF(OR(FP$4=0,FP36=""),"",IFERROR(ROUND(FP36/INDEX(Undirviðmið!$F$6:$F$205,FP$4)*INDEX(Undirviðmið!$E$6:$E$205,FP$4)*KVARDI,2),""))</f>
        <v/>
      </c>
      <c r="FR36" s="66" t="n"/>
      <c r="FS36" s="78">
        <f>IF(OR(FR$4=0,FR36=""),"",IFERROR(ROUND(FR36/INDEX(Undirviðmið!$F$6:$F$205,FR$4)*INDEX(Undirviðmið!$E$6:$E$205,FR$4)*KVARDI,2),""))</f>
        <v/>
      </c>
      <c r="FT36" s="66" t="n"/>
      <c r="FU36" s="78">
        <f>IF(OR(FT$4=0,FT36=""),"",IFERROR(ROUND(FT36/INDEX(Undirviðmið!$F$6:$F$205,FT$4)*INDEX(Undirviðmið!$E$6:$E$205,FT$4)*KVARDI,2),""))</f>
        <v/>
      </c>
      <c r="FV36" s="66" t="n"/>
      <c r="FW36" s="78">
        <f>IF(OR(FV$4=0,FV36=""),"",IFERROR(ROUND(FV36/INDEX(Undirviðmið!$F$6:$F$205,FV$4)*INDEX(Undirviðmið!$E$6:$E$205,FV$4)*KVARDI,2),""))</f>
        <v/>
      </c>
      <c r="FX36" s="66" t="n"/>
      <c r="FY36" s="78">
        <f>IF(OR(FX$4=0,FX36=""),"",IFERROR(ROUND(FX36/INDEX(Undirviðmið!$F$6:$F$205,FX$4)*INDEX(Undirviðmið!$E$6:$E$205,FX$4)*KVARDI,2),""))</f>
        <v/>
      </c>
      <c r="FZ36" s="66" t="n"/>
      <c r="GA36" s="78">
        <f>IF(OR(FZ$4=0,FZ36=""),"",IFERROR(ROUND(FZ36/INDEX(Undirviðmið!$F$6:$F$205,FZ$4)*INDEX(Undirviðmið!$E$6:$E$205,FZ$4)*KVARDI,2),""))</f>
        <v/>
      </c>
      <c r="GB36" s="66" t="n"/>
      <c r="GC36" s="78">
        <f>IF(OR(GB$4=0,GB36=""),"",IFERROR(ROUND(GB36/INDEX(Undirviðmið!$F$6:$F$205,GB$4)*INDEX(Undirviðmið!$E$6:$E$205,GB$4)*KVARDI,2),""))</f>
        <v/>
      </c>
      <c r="GD36" s="66" t="n"/>
      <c r="GE36" s="78">
        <f>IF(OR(GD$4=0,GD36=""),"",IFERROR(ROUND(GD36/INDEX(Undirviðmið!$F$6:$F$205,GD$4)*INDEX(Undirviðmið!$E$6:$E$205,GD$4)*KVARDI,2),""))</f>
        <v/>
      </c>
      <c r="GF36" s="66" t="n"/>
      <c r="GG36" s="78">
        <f>IF(OR(GF$4=0,GF36=""),"",IFERROR(ROUND(GF36/INDEX(Undirviðmið!$F$6:$F$205,GF$4)*INDEX(Undirviðmið!$E$6:$E$205,GF$4)*KVARDI,2),""))</f>
        <v/>
      </c>
      <c r="GH36" s="66" t="n"/>
      <c r="GI36" s="78">
        <f>IF(OR(GH$4=0,GH36=""),"",IFERROR(ROUND(GH36/INDEX(Undirviðmið!$F$6:$F$205,GH$4)*INDEX(Undirviðmið!$E$6:$E$205,GH$4)*KVARDI,2),""))</f>
        <v/>
      </c>
      <c r="GJ36" s="66" t="n"/>
      <c r="GK36" s="78">
        <f>IF(OR(GJ$4=0,GJ36=""),"",IFERROR(ROUND(GJ36/INDEX(Undirviðmið!$F$6:$F$205,GJ$4)*INDEX(Undirviðmið!$E$6:$E$205,GJ$4)*KVARDI,2),""))</f>
        <v/>
      </c>
      <c r="GL36" s="66" t="n"/>
      <c r="GM36" s="78">
        <f>IF(OR(GL$4=0,GL36=""),"",IFERROR(ROUND(GL36/INDEX(Undirviðmið!$F$6:$F$205,GL$4)*INDEX(Undirviðmið!$E$6:$E$205,GL$4)*KVARDI,2),""))</f>
        <v/>
      </c>
      <c r="GN36" s="66" t="n"/>
      <c r="GO36" s="78">
        <f>IF(OR(GN$4=0,GN36=""),"",IFERROR(ROUND(GN36/INDEX(Undirviðmið!$F$6:$F$205,GN$4)*INDEX(Undirviðmið!$E$6:$E$205,GN$4)*KVARDI,2),""))</f>
        <v/>
      </c>
      <c r="GP36" s="66" t="n"/>
      <c r="GQ36" s="78">
        <f>IF(OR(GP$4=0,GP36=""),"",IFERROR(ROUND(GP36/INDEX(Undirviðmið!$F$6:$F$205,GP$4)*INDEX(Undirviðmið!$E$6:$E$205,GP$4)*KVARDI,2),""))</f>
        <v/>
      </c>
      <c r="GR36" s="66" t="n"/>
      <c r="GS36" s="78">
        <f>IF(OR(GR$4=0,GR36=""),"",IFERROR(ROUND(GR36/INDEX(Undirviðmið!$F$6:$F$205,GR$4)*INDEX(Undirviðmið!$E$6:$E$205,GR$4)*KVARDI,2),""))</f>
        <v/>
      </c>
      <c r="GT36" s="66" t="n"/>
      <c r="GU36" s="78">
        <f>IF(OR(GT$4=0,GT36=""),"",IFERROR(ROUND(GT36/INDEX(Undirviðmið!$F$6:$F$205,GT$4)*INDEX(Undirviðmið!$E$6:$E$205,GT$4)*KVARDI,2),""))</f>
        <v/>
      </c>
      <c r="GV36" s="63">
        <f>IFERROR(SUMIF($D$6:GU$6,"Stig",$D36:GU36),0)</f>
        <v/>
      </c>
    </row>
    <row r="37" ht="15" customHeight="1" s="47">
      <c r="A37" s="65">
        <f>ROW()-6</f>
        <v/>
      </c>
      <c r="B37" s="67">
        <f>IF(INDEX(Starfsmenn!$B$6:$B$10005,ROW()-6)="","",INDEX(Starfsmenn!$B$6:$B$10005,ROW()-6))</f>
        <v/>
      </c>
      <c r="C37" s="67">
        <f>IF(INDEX(Starfsmenn!$C$6:$C$10005,ROW()-6)="","",INDEX(Starfsmenn!$C$6:$C$10005,ROW()-6))</f>
        <v/>
      </c>
      <c r="D37" s="66" t="n"/>
      <c r="E37" s="78">
        <f>IF(OR(D$4=0,D37=""),"",IFERROR(ROUND(D37/INDEX(Undirviðmið!$F$6:$F$205,D$4)*INDEX(Undirviðmið!$E$6:$E$205,D$4)*KVARDI,2),""))</f>
        <v/>
      </c>
      <c r="F37" s="66" t="n"/>
      <c r="G37" s="78">
        <f>IF(OR(F$4=0,F37=""),"",IFERROR(ROUND(F37/INDEX(Undirviðmið!$F$6:$F$205,F$4)*INDEX(Undirviðmið!$E$6:$E$205,F$4)*KVARDI,2),""))</f>
        <v/>
      </c>
      <c r="H37" s="66" t="n"/>
      <c r="I37" s="78">
        <f>IF(OR(H$4=0,H37=""),"",IFERROR(ROUND(H37/INDEX(Undirviðmið!$F$6:$F$205,H$4)*INDEX(Undirviðmið!$E$6:$E$205,H$4)*KVARDI,2),""))</f>
        <v/>
      </c>
      <c r="J37" s="66" t="n"/>
      <c r="K37" s="78">
        <f>IF(OR(J$4=0,J37=""),"",IFERROR(ROUND(J37/INDEX(Undirviðmið!$F$6:$F$205,J$4)*INDEX(Undirviðmið!$E$6:$E$205,J$4)*KVARDI,2),""))</f>
        <v/>
      </c>
      <c r="L37" s="66" t="n"/>
      <c r="M37" s="78">
        <f>IF(OR(L$4=0,L37=""),"",IFERROR(ROUND(L37/INDEX(Undirviðmið!$F$6:$F$205,L$4)*INDEX(Undirviðmið!$E$6:$E$205,L$4)*KVARDI,2),""))</f>
        <v/>
      </c>
      <c r="N37" s="66" t="n"/>
      <c r="O37" s="78">
        <f>IF(OR(N$4=0,N37=""),"",IFERROR(ROUND(N37/INDEX(Undirviðmið!$F$6:$F$205,N$4)*INDEX(Undirviðmið!$E$6:$E$205,N$4)*KVARDI,2),""))</f>
        <v/>
      </c>
      <c r="P37" s="66" t="n"/>
      <c r="Q37" s="78">
        <f>IF(OR(P$4=0,P37=""),"",IFERROR(ROUND(P37/INDEX(Undirviðmið!$F$6:$F$205,P$4)*INDEX(Undirviðmið!$E$6:$E$205,P$4)*KVARDI,2),""))</f>
        <v/>
      </c>
      <c r="R37" s="66" t="n"/>
      <c r="S37" s="78">
        <f>IF(OR(R$4=0,R37=""),"",IFERROR(ROUND(R37/INDEX(Undirviðmið!$F$6:$F$205,R$4)*INDEX(Undirviðmið!$E$6:$E$205,R$4)*KVARDI,2),""))</f>
        <v/>
      </c>
      <c r="T37" s="66" t="n"/>
      <c r="U37" s="78">
        <f>IF(OR(T$4=0,T37=""),"",IFERROR(ROUND(T37/INDEX(Undirviðmið!$F$6:$F$205,T$4)*INDEX(Undirviðmið!$E$6:$E$205,T$4)*KVARDI,2),""))</f>
        <v/>
      </c>
      <c r="V37" s="66" t="n"/>
      <c r="W37" s="78">
        <f>IF(OR(V$4=0,V37=""),"",IFERROR(ROUND(V37/INDEX(Undirviðmið!$F$6:$F$205,V$4)*INDEX(Undirviðmið!$E$6:$E$205,V$4)*KVARDI,2),""))</f>
        <v/>
      </c>
      <c r="X37" s="66" t="n"/>
      <c r="Y37" s="78">
        <f>IF(OR(X$4=0,X37=""),"",IFERROR(ROUND(X37/INDEX(Undirviðmið!$F$6:$F$205,X$4)*INDEX(Undirviðmið!$E$6:$E$205,X$4)*KVARDI,2),""))</f>
        <v/>
      </c>
      <c r="Z37" s="66" t="n"/>
      <c r="AA37" s="78">
        <f>IF(OR(Z$4=0,Z37=""),"",IFERROR(ROUND(Z37/INDEX(Undirviðmið!$F$6:$F$205,Z$4)*INDEX(Undirviðmið!$E$6:$E$205,Z$4)*KVARDI,2),""))</f>
        <v/>
      </c>
      <c r="AB37" s="66" t="n"/>
      <c r="AC37" s="78">
        <f>IF(OR(AB$4=0,AB37=""),"",IFERROR(ROUND(AB37/INDEX(Undirviðmið!$F$6:$F$205,AB$4)*INDEX(Undirviðmið!$E$6:$E$205,AB$4)*KVARDI,2),""))</f>
        <v/>
      </c>
      <c r="AD37" s="66" t="n"/>
      <c r="AE37" s="78">
        <f>IF(OR(AD$4=0,AD37=""),"",IFERROR(ROUND(AD37/INDEX(Undirviðmið!$F$6:$F$205,AD$4)*INDEX(Undirviðmið!$E$6:$E$205,AD$4)*KVARDI,2),""))</f>
        <v/>
      </c>
      <c r="AF37" s="66" t="n"/>
      <c r="AG37" s="78">
        <f>IF(OR(AF$4=0,AF37=""),"",IFERROR(ROUND(AF37/INDEX(Undirviðmið!$F$6:$F$205,AF$4)*INDEX(Undirviðmið!$E$6:$E$205,AF$4)*KVARDI,2),""))</f>
        <v/>
      </c>
      <c r="AH37" s="66" t="n"/>
      <c r="AI37" s="78">
        <f>IF(OR(AH$4=0,AH37=""),"",IFERROR(ROUND(AH37/INDEX(Undirviðmið!$F$6:$F$205,AH$4)*INDEX(Undirviðmið!$E$6:$E$205,AH$4)*KVARDI,2),""))</f>
        <v/>
      </c>
      <c r="AJ37" s="66" t="n"/>
      <c r="AK37" s="78">
        <f>IF(OR(AJ$4=0,AJ37=""),"",IFERROR(ROUND(AJ37/INDEX(Undirviðmið!$F$6:$F$205,AJ$4)*INDEX(Undirviðmið!$E$6:$E$205,AJ$4)*KVARDI,2),""))</f>
        <v/>
      </c>
      <c r="AL37" s="66" t="n"/>
      <c r="AM37" s="78">
        <f>IF(OR(AL$4=0,AL37=""),"",IFERROR(ROUND(AL37/INDEX(Undirviðmið!$F$6:$F$205,AL$4)*INDEX(Undirviðmið!$E$6:$E$205,AL$4)*KVARDI,2),""))</f>
        <v/>
      </c>
      <c r="AN37" s="66" t="n"/>
      <c r="AO37" s="78">
        <f>IF(OR(AN$4=0,AN37=""),"",IFERROR(ROUND(AN37/INDEX(Undirviðmið!$F$6:$F$205,AN$4)*INDEX(Undirviðmið!$E$6:$E$205,AN$4)*KVARDI,2),""))</f>
        <v/>
      </c>
      <c r="AP37" s="66" t="n"/>
      <c r="AQ37" s="78">
        <f>IF(OR(AP$4=0,AP37=""),"",IFERROR(ROUND(AP37/INDEX(Undirviðmið!$F$6:$F$205,AP$4)*INDEX(Undirviðmið!$E$6:$E$205,AP$4)*KVARDI,2),""))</f>
        <v/>
      </c>
      <c r="AR37" s="66" t="n"/>
      <c r="AS37" s="78">
        <f>IF(OR(AR$4=0,AR37=""),"",IFERROR(ROUND(AR37/INDEX(Undirviðmið!$F$6:$F$205,AR$4)*INDEX(Undirviðmið!$E$6:$E$205,AR$4)*KVARDI,2),""))</f>
        <v/>
      </c>
      <c r="AT37" s="66" t="n"/>
      <c r="AU37" s="78">
        <f>IF(OR(AT$4=0,AT37=""),"",IFERROR(ROUND(AT37/INDEX(Undirviðmið!$F$6:$F$205,AT$4)*INDEX(Undirviðmið!$E$6:$E$205,AT$4)*KVARDI,2),""))</f>
        <v/>
      </c>
      <c r="AV37" s="66" t="n"/>
      <c r="AW37" s="78">
        <f>IF(OR(AV$4=0,AV37=""),"",IFERROR(ROUND(AV37/INDEX(Undirviðmið!$F$6:$F$205,AV$4)*INDEX(Undirviðmið!$E$6:$E$205,AV$4)*KVARDI,2),""))</f>
        <v/>
      </c>
      <c r="AX37" s="66" t="n"/>
      <c r="AY37" s="78">
        <f>IF(OR(AX$4=0,AX37=""),"",IFERROR(ROUND(AX37/INDEX(Undirviðmið!$F$6:$F$205,AX$4)*INDEX(Undirviðmið!$E$6:$E$205,AX$4)*KVARDI,2),""))</f>
        <v/>
      </c>
      <c r="AZ37" s="66" t="n"/>
      <c r="BA37" s="78">
        <f>IF(OR(AZ$4=0,AZ37=""),"",IFERROR(ROUND(AZ37/INDEX(Undirviðmið!$F$6:$F$205,AZ$4)*INDEX(Undirviðmið!$E$6:$E$205,AZ$4)*KVARDI,2),""))</f>
        <v/>
      </c>
      <c r="BB37" s="66" t="n"/>
      <c r="BC37" s="78">
        <f>IF(OR(BB$4=0,BB37=""),"",IFERROR(ROUND(BB37/INDEX(Undirviðmið!$F$6:$F$205,BB$4)*INDEX(Undirviðmið!$E$6:$E$205,BB$4)*KVARDI,2),""))</f>
        <v/>
      </c>
      <c r="BD37" s="66" t="n"/>
      <c r="BE37" s="78">
        <f>IF(OR(BD$4=0,BD37=""),"",IFERROR(ROUND(BD37/INDEX(Undirviðmið!$F$6:$F$205,BD$4)*INDEX(Undirviðmið!$E$6:$E$205,BD$4)*KVARDI,2),""))</f>
        <v/>
      </c>
      <c r="BF37" s="66" t="n"/>
      <c r="BG37" s="78">
        <f>IF(OR(BF$4=0,BF37=""),"",IFERROR(ROUND(BF37/INDEX(Undirviðmið!$F$6:$F$205,BF$4)*INDEX(Undirviðmið!$E$6:$E$205,BF$4)*KVARDI,2),""))</f>
        <v/>
      </c>
      <c r="BH37" s="66" t="n"/>
      <c r="BI37" s="78">
        <f>IF(OR(BH$4=0,BH37=""),"",IFERROR(ROUND(BH37/INDEX(Undirviðmið!$F$6:$F$205,BH$4)*INDEX(Undirviðmið!$E$6:$E$205,BH$4)*KVARDI,2),""))</f>
        <v/>
      </c>
      <c r="BJ37" s="66" t="n"/>
      <c r="BK37" s="78">
        <f>IF(OR(BJ$4=0,BJ37=""),"",IFERROR(ROUND(BJ37/INDEX(Undirviðmið!$F$6:$F$205,BJ$4)*INDEX(Undirviðmið!$E$6:$E$205,BJ$4)*KVARDI,2),""))</f>
        <v/>
      </c>
      <c r="BL37" s="66" t="n"/>
      <c r="BM37" s="78">
        <f>IF(OR(BL$4=0,BL37=""),"",IFERROR(ROUND(BL37/INDEX(Undirviðmið!$F$6:$F$205,BL$4)*INDEX(Undirviðmið!$E$6:$E$205,BL$4)*KVARDI,2),""))</f>
        <v/>
      </c>
      <c r="BN37" s="66" t="n"/>
      <c r="BO37" s="78">
        <f>IF(OR(BN$4=0,BN37=""),"",IFERROR(ROUND(BN37/INDEX(Undirviðmið!$F$6:$F$205,BN$4)*INDEX(Undirviðmið!$E$6:$E$205,BN$4)*KVARDI,2),""))</f>
        <v/>
      </c>
      <c r="BP37" s="66" t="n"/>
      <c r="BQ37" s="78">
        <f>IF(OR(BP$4=0,BP37=""),"",IFERROR(ROUND(BP37/INDEX(Undirviðmið!$F$6:$F$205,BP$4)*INDEX(Undirviðmið!$E$6:$E$205,BP$4)*KVARDI,2),""))</f>
        <v/>
      </c>
      <c r="BR37" s="66" t="n"/>
      <c r="BS37" s="78">
        <f>IF(OR(BR$4=0,BR37=""),"",IFERROR(ROUND(BR37/INDEX(Undirviðmið!$F$6:$F$205,BR$4)*INDEX(Undirviðmið!$E$6:$E$205,BR$4)*KVARDI,2),""))</f>
        <v/>
      </c>
      <c r="BT37" s="66" t="n"/>
      <c r="BU37" s="78">
        <f>IF(OR(BT$4=0,BT37=""),"",IFERROR(ROUND(BT37/INDEX(Undirviðmið!$F$6:$F$205,BT$4)*INDEX(Undirviðmið!$E$6:$E$205,BT$4)*KVARDI,2),""))</f>
        <v/>
      </c>
      <c r="BV37" s="66" t="n"/>
      <c r="BW37" s="78">
        <f>IF(OR(BV$4=0,BV37=""),"",IFERROR(ROUND(BV37/INDEX(Undirviðmið!$F$6:$F$205,BV$4)*INDEX(Undirviðmið!$E$6:$E$205,BV$4)*KVARDI,2),""))</f>
        <v/>
      </c>
      <c r="BX37" s="66" t="n"/>
      <c r="BY37" s="78">
        <f>IF(OR(BX$4=0,BX37=""),"",IFERROR(ROUND(BX37/INDEX(Undirviðmið!$F$6:$F$205,BX$4)*INDEX(Undirviðmið!$E$6:$E$205,BX$4)*KVARDI,2),""))</f>
        <v/>
      </c>
      <c r="BZ37" s="66" t="n"/>
      <c r="CA37" s="78">
        <f>IF(OR(BZ$4=0,BZ37=""),"",IFERROR(ROUND(BZ37/INDEX(Undirviðmið!$F$6:$F$205,BZ$4)*INDEX(Undirviðmið!$E$6:$E$205,BZ$4)*KVARDI,2),""))</f>
        <v/>
      </c>
      <c r="CB37" s="66" t="n"/>
      <c r="CC37" s="78">
        <f>IF(OR(CB$4=0,CB37=""),"",IFERROR(ROUND(CB37/INDEX(Undirviðmið!$F$6:$F$205,CB$4)*INDEX(Undirviðmið!$E$6:$E$205,CB$4)*KVARDI,2),""))</f>
        <v/>
      </c>
      <c r="CD37" s="66" t="n"/>
      <c r="CE37" s="78">
        <f>IF(OR(CD$4=0,CD37=""),"",IFERROR(ROUND(CD37/INDEX(Undirviðmið!$F$6:$F$205,CD$4)*INDEX(Undirviðmið!$E$6:$E$205,CD$4)*KVARDI,2),""))</f>
        <v/>
      </c>
      <c r="CF37" s="66" t="n"/>
      <c r="CG37" s="78">
        <f>IF(OR(CF$4=0,CF37=""),"",IFERROR(ROUND(CF37/INDEX(Undirviðmið!$F$6:$F$205,CF$4)*INDEX(Undirviðmið!$E$6:$E$205,CF$4)*KVARDI,2),""))</f>
        <v/>
      </c>
      <c r="CH37" s="66" t="n"/>
      <c r="CI37" s="78">
        <f>IF(OR(CH$4=0,CH37=""),"",IFERROR(ROUND(CH37/INDEX(Undirviðmið!$F$6:$F$205,CH$4)*INDEX(Undirviðmið!$E$6:$E$205,CH$4)*KVARDI,2),""))</f>
        <v/>
      </c>
      <c r="CJ37" s="66" t="n"/>
      <c r="CK37" s="78">
        <f>IF(OR(CJ$4=0,CJ37=""),"",IFERROR(ROUND(CJ37/INDEX(Undirviðmið!$F$6:$F$205,CJ$4)*INDEX(Undirviðmið!$E$6:$E$205,CJ$4)*KVARDI,2),""))</f>
        <v/>
      </c>
      <c r="CL37" s="66" t="n"/>
      <c r="CM37" s="78">
        <f>IF(OR(CL$4=0,CL37=""),"",IFERROR(ROUND(CL37/INDEX(Undirviðmið!$F$6:$F$205,CL$4)*INDEX(Undirviðmið!$E$6:$E$205,CL$4)*KVARDI,2),""))</f>
        <v/>
      </c>
      <c r="CN37" s="66" t="n"/>
      <c r="CO37" s="78">
        <f>IF(OR(CN$4=0,CN37=""),"",IFERROR(ROUND(CN37/INDEX(Undirviðmið!$F$6:$F$205,CN$4)*INDEX(Undirviðmið!$E$6:$E$205,CN$4)*KVARDI,2),""))</f>
        <v/>
      </c>
      <c r="CP37" s="66" t="n"/>
      <c r="CQ37" s="78">
        <f>IF(OR(CP$4=0,CP37=""),"",IFERROR(ROUND(CP37/INDEX(Undirviðmið!$F$6:$F$205,CP$4)*INDEX(Undirviðmið!$E$6:$E$205,CP$4)*KVARDI,2),""))</f>
        <v/>
      </c>
      <c r="CR37" s="66" t="n"/>
      <c r="CS37" s="78">
        <f>IF(OR(CR$4=0,CR37=""),"",IFERROR(ROUND(CR37/INDEX(Undirviðmið!$F$6:$F$205,CR$4)*INDEX(Undirviðmið!$E$6:$E$205,CR$4)*KVARDI,2),""))</f>
        <v/>
      </c>
      <c r="CT37" s="66" t="n"/>
      <c r="CU37" s="78">
        <f>IF(OR(CT$4=0,CT37=""),"",IFERROR(ROUND(CT37/INDEX(Undirviðmið!$F$6:$F$205,CT$4)*INDEX(Undirviðmið!$E$6:$E$205,CT$4)*KVARDI,2),""))</f>
        <v/>
      </c>
      <c r="CV37" s="66" t="n"/>
      <c r="CW37" s="78">
        <f>IF(OR(CV$4=0,CV37=""),"",IFERROR(ROUND(CV37/INDEX(Undirviðmið!$F$6:$F$205,CV$4)*INDEX(Undirviðmið!$E$6:$E$205,CV$4)*KVARDI,2),""))</f>
        <v/>
      </c>
      <c r="CX37" s="66" t="n"/>
      <c r="CY37" s="78">
        <f>IF(OR(CX$4=0,CX37=""),"",IFERROR(ROUND(CX37/INDEX(Undirviðmið!$F$6:$F$205,CX$4)*INDEX(Undirviðmið!$E$6:$E$205,CX$4)*KVARDI,2),""))</f>
        <v/>
      </c>
      <c r="CZ37" s="66" t="n"/>
      <c r="DA37" s="78">
        <f>IF(OR(CZ$4=0,CZ37=""),"",IFERROR(ROUND(CZ37/INDEX(Undirviðmið!$F$6:$F$205,CZ$4)*INDEX(Undirviðmið!$E$6:$E$205,CZ$4)*KVARDI,2),""))</f>
        <v/>
      </c>
      <c r="DB37" s="66" t="n"/>
      <c r="DC37" s="78">
        <f>IF(OR(DB$4=0,DB37=""),"",IFERROR(ROUND(DB37/INDEX(Undirviðmið!$F$6:$F$205,DB$4)*INDEX(Undirviðmið!$E$6:$E$205,DB$4)*KVARDI,2),""))</f>
        <v/>
      </c>
      <c r="DD37" s="66" t="n"/>
      <c r="DE37" s="78">
        <f>IF(OR(DD$4=0,DD37=""),"",IFERROR(ROUND(DD37/INDEX(Undirviðmið!$F$6:$F$205,DD$4)*INDEX(Undirviðmið!$E$6:$E$205,DD$4)*KVARDI,2),""))</f>
        <v/>
      </c>
      <c r="DF37" s="66" t="n"/>
      <c r="DG37" s="78">
        <f>IF(OR(DF$4=0,DF37=""),"",IFERROR(ROUND(DF37/INDEX(Undirviðmið!$F$6:$F$205,DF$4)*INDEX(Undirviðmið!$E$6:$E$205,DF$4)*KVARDI,2),""))</f>
        <v/>
      </c>
      <c r="DH37" s="66" t="n"/>
      <c r="DI37" s="78">
        <f>IF(OR(DH$4=0,DH37=""),"",IFERROR(ROUND(DH37/INDEX(Undirviðmið!$F$6:$F$205,DH$4)*INDEX(Undirviðmið!$E$6:$E$205,DH$4)*KVARDI,2),""))</f>
        <v/>
      </c>
      <c r="DJ37" s="66" t="n"/>
      <c r="DK37" s="78">
        <f>IF(OR(DJ$4=0,DJ37=""),"",IFERROR(ROUND(DJ37/INDEX(Undirviðmið!$F$6:$F$205,DJ$4)*INDEX(Undirviðmið!$E$6:$E$205,DJ$4)*KVARDI,2),""))</f>
        <v/>
      </c>
      <c r="DL37" s="66" t="n"/>
      <c r="DM37" s="78">
        <f>IF(OR(DL$4=0,DL37=""),"",IFERROR(ROUND(DL37/INDEX(Undirviðmið!$F$6:$F$205,DL$4)*INDEX(Undirviðmið!$E$6:$E$205,DL$4)*KVARDI,2),""))</f>
        <v/>
      </c>
      <c r="DN37" s="66" t="n"/>
      <c r="DO37" s="78">
        <f>IF(OR(DN$4=0,DN37=""),"",IFERROR(ROUND(DN37/INDEX(Undirviðmið!$F$6:$F$205,DN$4)*INDEX(Undirviðmið!$E$6:$E$205,DN$4)*KVARDI,2),""))</f>
        <v/>
      </c>
      <c r="DP37" s="66" t="n"/>
      <c r="DQ37" s="78">
        <f>IF(OR(DP$4=0,DP37=""),"",IFERROR(ROUND(DP37/INDEX(Undirviðmið!$F$6:$F$205,DP$4)*INDEX(Undirviðmið!$E$6:$E$205,DP$4)*KVARDI,2),""))</f>
        <v/>
      </c>
      <c r="DR37" s="66" t="n"/>
      <c r="DS37" s="78">
        <f>IF(OR(DR$4=0,DR37=""),"",IFERROR(ROUND(DR37/INDEX(Undirviðmið!$F$6:$F$205,DR$4)*INDEX(Undirviðmið!$E$6:$E$205,DR$4)*KVARDI,2),""))</f>
        <v/>
      </c>
      <c r="DT37" s="66" t="n"/>
      <c r="DU37" s="78">
        <f>IF(OR(DT$4=0,DT37=""),"",IFERROR(ROUND(DT37/INDEX(Undirviðmið!$F$6:$F$205,DT$4)*INDEX(Undirviðmið!$E$6:$E$205,DT$4)*KVARDI,2),""))</f>
        <v/>
      </c>
      <c r="DV37" s="66" t="n"/>
      <c r="DW37" s="78">
        <f>IF(OR(DV$4=0,DV37=""),"",IFERROR(ROUND(DV37/INDEX(Undirviðmið!$F$6:$F$205,DV$4)*INDEX(Undirviðmið!$E$6:$E$205,DV$4)*KVARDI,2),""))</f>
        <v/>
      </c>
      <c r="DX37" s="66" t="n"/>
      <c r="DY37" s="78">
        <f>IF(OR(DX$4=0,DX37=""),"",IFERROR(ROUND(DX37/INDEX(Undirviðmið!$F$6:$F$205,DX$4)*INDEX(Undirviðmið!$E$6:$E$205,DX$4)*KVARDI,2),""))</f>
        <v/>
      </c>
      <c r="DZ37" s="66" t="n"/>
      <c r="EA37" s="78">
        <f>IF(OR(DZ$4=0,DZ37=""),"",IFERROR(ROUND(DZ37/INDEX(Undirviðmið!$F$6:$F$205,DZ$4)*INDEX(Undirviðmið!$E$6:$E$205,DZ$4)*KVARDI,2),""))</f>
        <v/>
      </c>
      <c r="EB37" s="66" t="n"/>
      <c r="EC37" s="78">
        <f>IF(OR(EB$4=0,EB37=""),"",IFERROR(ROUND(EB37/INDEX(Undirviðmið!$F$6:$F$205,EB$4)*INDEX(Undirviðmið!$E$6:$E$205,EB$4)*KVARDI,2),""))</f>
        <v/>
      </c>
      <c r="ED37" s="66" t="n"/>
      <c r="EE37" s="78">
        <f>IF(OR(ED$4=0,ED37=""),"",IFERROR(ROUND(ED37/INDEX(Undirviðmið!$F$6:$F$205,ED$4)*INDEX(Undirviðmið!$E$6:$E$205,ED$4)*KVARDI,2),""))</f>
        <v/>
      </c>
      <c r="EF37" s="66" t="n"/>
      <c r="EG37" s="78">
        <f>IF(OR(EF$4=0,EF37=""),"",IFERROR(ROUND(EF37/INDEX(Undirviðmið!$F$6:$F$205,EF$4)*INDEX(Undirviðmið!$E$6:$E$205,EF$4)*KVARDI,2),""))</f>
        <v/>
      </c>
      <c r="EH37" s="66" t="n"/>
      <c r="EI37" s="78">
        <f>IF(OR(EH$4=0,EH37=""),"",IFERROR(ROUND(EH37/INDEX(Undirviðmið!$F$6:$F$205,EH$4)*INDEX(Undirviðmið!$E$6:$E$205,EH$4)*KVARDI,2),""))</f>
        <v/>
      </c>
      <c r="EJ37" s="66" t="n"/>
      <c r="EK37" s="78">
        <f>IF(OR(EJ$4=0,EJ37=""),"",IFERROR(ROUND(EJ37/INDEX(Undirviðmið!$F$6:$F$205,EJ$4)*INDEX(Undirviðmið!$E$6:$E$205,EJ$4)*KVARDI,2),""))</f>
        <v/>
      </c>
      <c r="EL37" s="66" t="n"/>
      <c r="EM37" s="78">
        <f>IF(OR(EL$4=0,EL37=""),"",IFERROR(ROUND(EL37/INDEX(Undirviðmið!$F$6:$F$205,EL$4)*INDEX(Undirviðmið!$E$6:$E$205,EL$4)*KVARDI,2),""))</f>
        <v/>
      </c>
      <c r="EN37" s="66" t="n"/>
      <c r="EO37" s="78">
        <f>IF(OR(EN$4=0,EN37=""),"",IFERROR(ROUND(EN37/INDEX(Undirviðmið!$F$6:$F$205,EN$4)*INDEX(Undirviðmið!$E$6:$E$205,EN$4)*KVARDI,2),""))</f>
        <v/>
      </c>
      <c r="EP37" s="66" t="n"/>
      <c r="EQ37" s="78">
        <f>IF(OR(EP$4=0,EP37=""),"",IFERROR(ROUND(EP37/INDEX(Undirviðmið!$F$6:$F$205,EP$4)*INDEX(Undirviðmið!$E$6:$E$205,EP$4)*KVARDI,2),""))</f>
        <v/>
      </c>
      <c r="ER37" s="66" t="n"/>
      <c r="ES37" s="78">
        <f>IF(OR(ER$4=0,ER37=""),"",IFERROR(ROUND(ER37/INDEX(Undirviðmið!$F$6:$F$205,ER$4)*INDEX(Undirviðmið!$E$6:$E$205,ER$4)*KVARDI,2),""))</f>
        <v/>
      </c>
      <c r="ET37" s="66" t="n"/>
      <c r="EU37" s="78">
        <f>IF(OR(ET$4=0,ET37=""),"",IFERROR(ROUND(ET37/INDEX(Undirviðmið!$F$6:$F$205,ET$4)*INDEX(Undirviðmið!$E$6:$E$205,ET$4)*KVARDI,2),""))</f>
        <v/>
      </c>
      <c r="EV37" s="66" t="n"/>
      <c r="EW37" s="78">
        <f>IF(OR(EV$4=0,EV37=""),"",IFERROR(ROUND(EV37/INDEX(Undirviðmið!$F$6:$F$205,EV$4)*INDEX(Undirviðmið!$E$6:$E$205,EV$4)*KVARDI,2),""))</f>
        <v/>
      </c>
      <c r="EX37" s="66" t="n"/>
      <c r="EY37" s="78">
        <f>IF(OR(EX$4=0,EX37=""),"",IFERROR(ROUND(EX37/INDEX(Undirviðmið!$F$6:$F$205,EX$4)*INDEX(Undirviðmið!$E$6:$E$205,EX$4)*KVARDI,2),""))</f>
        <v/>
      </c>
      <c r="EZ37" s="66" t="n"/>
      <c r="FA37" s="78">
        <f>IF(OR(EZ$4=0,EZ37=""),"",IFERROR(ROUND(EZ37/INDEX(Undirviðmið!$F$6:$F$205,EZ$4)*INDEX(Undirviðmið!$E$6:$E$205,EZ$4)*KVARDI,2),""))</f>
        <v/>
      </c>
      <c r="FB37" s="66" t="n"/>
      <c r="FC37" s="78">
        <f>IF(OR(FB$4=0,FB37=""),"",IFERROR(ROUND(FB37/INDEX(Undirviðmið!$F$6:$F$205,FB$4)*INDEX(Undirviðmið!$E$6:$E$205,FB$4)*KVARDI,2),""))</f>
        <v/>
      </c>
      <c r="FD37" s="66" t="n"/>
      <c r="FE37" s="78">
        <f>IF(OR(FD$4=0,FD37=""),"",IFERROR(ROUND(FD37/INDEX(Undirviðmið!$F$6:$F$205,FD$4)*INDEX(Undirviðmið!$E$6:$E$205,FD$4)*KVARDI,2),""))</f>
        <v/>
      </c>
      <c r="FF37" s="66" t="n"/>
      <c r="FG37" s="78">
        <f>IF(OR(FF$4=0,FF37=""),"",IFERROR(ROUND(FF37/INDEX(Undirviðmið!$F$6:$F$205,FF$4)*INDEX(Undirviðmið!$E$6:$E$205,FF$4)*KVARDI,2),""))</f>
        <v/>
      </c>
      <c r="FH37" s="66" t="n"/>
      <c r="FI37" s="78">
        <f>IF(OR(FH$4=0,FH37=""),"",IFERROR(ROUND(FH37/INDEX(Undirviðmið!$F$6:$F$205,FH$4)*INDEX(Undirviðmið!$E$6:$E$205,FH$4)*KVARDI,2),""))</f>
        <v/>
      </c>
      <c r="FJ37" s="66" t="n"/>
      <c r="FK37" s="78">
        <f>IF(OR(FJ$4=0,FJ37=""),"",IFERROR(ROUND(FJ37/INDEX(Undirviðmið!$F$6:$F$205,FJ$4)*INDEX(Undirviðmið!$E$6:$E$205,FJ$4)*KVARDI,2),""))</f>
        <v/>
      </c>
      <c r="FL37" s="66" t="n"/>
      <c r="FM37" s="78">
        <f>IF(OR(FL$4=0,FL37=""),"",IFERROR(ROUND(FL37/INDEX(Undirviðmið!$F$6:$F$205,FL$4)*INDEX(Undirviðmið!$E$6:$E$205,FL$4)*KVARDI,2),""))</f>
        <v/>
      </c>
      <c r="FN37" s="66" t="n"/>
      <c r="FO37" s="78">
        <f>IF(OR(FN$4=0,FN37=""),"",IFERROR(ROUND(FN37/INDEX(Undirviðmið!$F$6:$F$205,FN$4)*INDEX(Undirviðmið!$E$6:$E$205,FN$4)*KVARDI,2),""))</f>
        <v/>
      </c>
      <c r="FP37" s="66" t="n"/>
      <c r="FQ37" s="78">
        <f>IF(OR(FP$4=0,FP37=""),"",IFERROR(ROUND(FP37/INDEX(Undirviðmið!$F$6:$F$205,FP$4)*INDEX(Undirviðmið!$E$6:$E$205,FP$4)*KVARDI,2),""))</f>
        <v/>
      </c>
      <c r="FR37" s="66" t="n"/>
      <c r="FS37" s="78">
        <f>IF(OR(FR$4=0,FR37=""),"",IFERROR(ROUND(FR37/INDEX(Undirviðmið!$F$6:$F$205,FR$4)*INDEX(Undirviðmið!$E$6:$E$205,FR$4)*KVARDI,2),""))</f>
        <v/>
      </c>
      <c r="FT37" s="66" t="n"/>
      <c r="FU37" s="78">
        <f>IF(OR(FT$4=0,FT37=""),"",IFERROR(ROUND(FT37/INDEX(Undirviðmið!$F$6:$F$205,FT$4)*INDEX(Undirviðmið!$E$6:$E$205,FT$4)*KVARDI,2),""))</f>
        <v/>
      </c>
      <c r="FV37" s="66" t="n"/>
      <c r="FW37" s="78">
        <f>IF(OR(FV$4=0,FV37=""),"",IFERROR(ROUND(FV37/INDEX(Undirviðmið!$F$6:$F$205,FV$4)*INDEX(Undirviðmið!$E$6:$E$205,FV$4)*KVARDI,2),""))</f>
        <v/>
      </c>
      <c r="FX37" s="66" t="n"/>
      <c r="FY37" s="78">
        <f>IF(OR(FX$4=0,FX37=""),"",IFERROR(ROUND(FX37/INDEX(Undirviðmið!$F$6:$F$205,FX$4)*INDEX(Undirviðmið!$E$6:$E$205,FX$4)*KVARDI,2),""))</f>
        <v/>
      </c>
      <c r="FZ37" s="66" t="n"/>
      <c r="GA37" s="78">
        <f>IF(OR(FZ$4=0,FZ37=""),"",IFERROR(ROUND(FZ37/INDEX(Undirviðmið!$F$6:$F$205,FZ$4)*INDEX(Undirviðmið!$E$6:$E$205,FZ$4)*KVARDI,2),""))</f>
        <v/>
      </c>
      <c r="GB37" s="66" t="n"/>
      <c r="GC37" s="78">
        <f>IF(OR(GB$4=0,GB37=""),"",IFERROR(ROUND(GB37/INDEX(Undirviðmið!$F$6:$F$205,GB$4)*INDEX(Undirviðmið!$E$6:$E$205,GB$4)*KVARDI,2),""))</f>
        <v/>
      </c>
      <c r="GD37" s="66" t="n"/>
      <c r="GE37" s="78">
        <f>IF(OR(GD$4=0,GD37=""),"",IFERROR(ROUND(GD37/INDEX(Undirviðmið!$F$6:$F$205,GD$4)*INDEX(Undirviðmið!$E$6:$E$205,GD$4)*KVARDI,2),""))</f>
        <v/>
      </c>
      <c r="GF37" s="66" t="n"/>
      <c r="GG37" s="78">
        <f>IF(OR(GF$4=0,GF37=""),"",IFERROR(ROUND(GF37/INDEX(Undirviðmið!$F$6:$F$205,GF$4)*INDEX(Undirviðmið!$E$6:$E$205,GF$4)*KVARDI,2),""))</f>
        <v/>
      </c>
      <c r="GH37" s="66" t="n"/>
      <c r="GI37" s="78">
        <f>IF(OR(GH$4=0,GH37=""),"",IFERROR(ROUND(GH37/INDEX(Undirviðmið!$F$6:$F$205,GH$4)*INDEX(Undirviðmið!$E$6:$E$205,GH$4)*KVARDI,2),""))</f>
        <v/>
      </c>
      <c r="GJ37" s="66" t="n"/>
      <c r="GK37" s="78">
        <f>IF(OR(GJ$4=0,GJ37=""),"",IFERROR(ROUND(GJ37/INDEX(Undirviðmið!$F$6:$F$205,GJ$4)*INDEX(Undirviðmið!$E$6:$E$205,GJ$4)*KVARDI,2),""))</f>
        <v/>
      </c>
      <c r="GL37" s="66" t="n"/>
      <c r="GM37" s="78">
        <f>IF(OR(GL$4=0,GL37=""),"",IFERROR(ROUND(GL37/INDEX(Undirviðmið!$F$6:$F$205,GL$4)*INDEX(Undirviðmið!$E$6:$E$205,GL$4)*KVARDI,2),""))</f>
        <v/>
      </c>
      <c r="GN37" s="66" t="n"/>
      <c r="GO37" s="78">
        <f>IF(OR(GN$4=0,GN37=""),"",IFERROR(ROUND(GN37/INDEX(Undirviðmið!$F$6:$F$205,GN$4)*INDEX(Undirviðmið!$E$6:$E$205,GN$4)*KVARDI,2),""))</f>
        <v/>
      </c>
      <c r="GP37" s="66" t="n"/>
      <c r="GQ37" s="78">
        <f>IF(OR(GP$4=0,GP37=""),"",IFERROR(ROUND(GP37/INDEX(Undirviðmið!$F$6:$F$205,GP$4)*INDEX(Undirviðmið!$E$6:$E$205,GP$4)*KVARDI,2),""))</f>
        <v/>
      </c>
      <c r="GR37" s="66" t="n"/>
      <c r="GS37" s="78">
        <f>IF(OR(GR$4=0,GR37=""),"",IFERROR(ROUND(GR37/INDEX(Undirviðmið!$F$6:$F$205,GR$4)*INDEX(Undirviðmið!$E$6:$E$205,GR$4)*KVARDI,2),""))</f>
        <v/>
      </c>
      <c r="GT37" s="66" t="n"/>
      <c r="GU37" s="78">
        <f>IF(OR(GT$4=0,GT37=""),"",IFERROR(ROUND(GT37/INDEX(Undirviðmið!$F$6:$F$205,GT$4)*INDEX(Undirviðmið!$E$6:$E$205,GT$4)*KVARDI,2),""))</f>
        <v/>
      </c>
      <c r="GV37" s="63">
        <f>IFERROR(SUMIF($D$6:GU$6,"Stig",$D37:GU37),0)</f>
        <v/>
      </c>
    </row>
    <row r="38" ht="15" customHeight="1" s="47">
      <c r="A38" s="65">
        <f>ROW()-6</f>
        <v/>
      </c>
      <c r="B38" s="67">
        <f>IF(INDEX(Starfsmenn!$B$6:$B$10005,ROW()-6)="","",INDEX(Starfsmenn!$B$6:$B$10005,ROW()-6))</f>
        <v/>
      </c>
      <c r="C38" s="67">
        <f>IF(INDEX(Starfsmenn!$C$6:$C$10005,ROW()-6)="","",INDEX(Starfsmenn!$C$6:$C$10005,ROW()-6))</f>
        <v/>
      </c>
      <c r="D38" s="66" t="n"/>
      <c r="E38" s="78">
        <f>IF(OR(D$4=0,D38=""),"",IFERROR(ROUND(D38/INDEX(Undirviðmið!$F$6:$F$205,D$4)*INDEX(Undirviðmið!$E$6:$E$205,D$4)*KVARDI,2),""))</f>
        <v/>
      </c>
      <c r="F38" s="66" t="n"/>
      <c r="G38" s="78">
        <f>IF(OR(F$4=0,F38=""),"",IFERROR(ROUND(F38/INDEX(Undirviðmið!$F$6:$F$205,F$4)*INDEX(Undirviðmið!$E$6:$E$205,F$4)*KVARDI,2),""))</f>
        <v/>
      </c>
      <c r="H38" s="66" t="n"/>
      <c r="I38" s="78">
        <f>IF(OR(H$4=0,H38=""),"",IFERROR(ROUND(H38/INDEX(Undirviðmið!$F$6:$F$205,H$4)*INDEX(Undirviðmið!$E$6:$E$205,H$4)*KVARDI,2),""))</f>
        <v/>
      </c>
      <c r="J38" s="66" t="n"/>
      <c r="K38" s="78">
        <f>IF(OR(J$4=0,J38=""),"",IFERROR(ROUND(J38/INDEX(Undirviðmið!$F$6:$F$205,J$4)*INDEX(Undirviðmið!$E$6:$E$205,J$4)*KVARDI,2),""))</f>
        <v/>
      </c>
      <c r="L38" s="66" t="n"/>
      <c r="M38" s="78">
        <f>IF(OR(L$4=0,L38=""),"",IFERROR(ROUND(L38/INDEX(Undirviðmið!$F$6:$F$205,L$4)*INDEX(Undirviðmið!$E$6:$E$205,L$4)*KVARDI,2),""))</f>
        <v/>
      </c>
      <c r="N38" s="66" t="n"/>
      <c r="O38" s="78">
        <f>IF(OR(N$4=0,N38=""),"",IFERROR(ROUND(N38/INDEX(Undirviðmið!$F$6:$F$205,N$4)*INDEX(Undirviðmið!$E$6:$E$205,N$4)*KVARDI,2),""))</f>
        <v/>
      </c>
      <c r="P38" s="66" t="n"/>
      <c r="Q38" s="78">
        <f>IF(OR(P$4=0,P38=""),"",IFERROR(ROUND(P38/INDEX(Undirviðmið!$F$6:$F$205,P$4)*INDEX(Undirviðmið!$E$6:$E$205,P$4)*KVARDI,2),""))</f>
        <v/>
      </c>
      <c r="R38" s="66" t="n"/>
      <c r="S38" s="78">
        <f>IF(OR(R$4=0,R38=""),"",IFERROR(ROUND(R38/INDEX(Undirviðmið!$F$6:$F$205,R$4)*INDEX(Undirviðmið!$E$6:$E$205,R$4)*KVARDI,2),""))</f>
        <v/>
      </c>
      <c r="T38" s="66" t="n"/>
      <c r="U38" s="78">
        <f>IF(OR(T$4=0,T38=""),"",IFERROR(ROUND(T38/INDEX(Undirviðmið!$F$6:$F$205,T$4)*INDEX(Undirviðmið!$E$6:$E$205,T$4)*KVARDI,2),""))</f>
        <v/>
      </c>
      <c r="V38" s="66" t="n"/>
      <c r="W38" s="78">
        <f>IF(OR(V$4=0,V38=""),"",IFERROR(ROUND(V38/INDEX(Undirviðmið!$F$6:$F$205,V$4)*INDEX(Undirviðmið!$E$6:$E$205,V$4)*KVARDI,2),""))</f>
        <v/>
      </c>
      <c r="X38" s="66" t="n"/>
      <c r="Y38" s="78">
        <f>IF(OR(X$4=0,X38=""),"",IFERROR(ROUND(X38/INDEX(Undirviðmið!$F$6:$F$205,X$4)*INDEX(Undirviðmið!$E$6:$E$205,X$4)*KVARDI,2),""))</f>
        <v/>
      </c>
      <c r="Z38" s="66" t="n"/>
      <c r="AA38" s="78">
        <f>IF(OR(Z$4=0,Z38=""),"",IFERROR(ROUND(Z38/INDEX(Undirviðmið!$F$6:$F$205,Z$4)*INDEX(Undirviðmið!$E$6:$E$205,Z$4)*KVARDI,2),""))</f>
        <v/>
      </c>
      <c r="AB38" s="66" t="n"/>
      <c r="AC38" s="78">
        <f>IF(OR(AB$4=0,AB38=""),"",IFERROR(ROUND(AB38/INDEX(Undirviðmið!$F$6:$F$205,AB$4)*INDEX(Undirviðmið!$E$6:$E$205,AB$4)*KVARDI,2),""))</f>
        <v/>
      </c>
      <c r="AD38" s="66" t="n"/>
      <c r="AE38" s="78">
        <f>IF(OR(AD$4=0,AD38=""),"",IFERROR(ROUND(AD38/INDEX(Undirviðmið!$F$6:$F$205,AD$4)*INDEX(Undirviðmið!$E$6:$E$205,AD$4)*KVARDI,2),""))</f>
        <v/>
      </c>
      <c r="AF38" s="66" t="n"/>
      <c r="AG38" s="78">
        <f>IF(OR(AF$4=0,AF38=""),"",IFERROR(ROUND(AF38/INDEX(Undirviðmið!$F$6:$F$205,AF$4)*INDEX(Undirviðmið!$E$6:$E$205,AF$4)*KVARDI,2),""))</f>
        <v/>
      </c>
      <c r="AH38" s="66" t="n"/>
      <c r="AI38" s="78">
        <f>IF(OR(AH$4=0,AH38=""),"",IFERROR(ROUND(AH38/INDEX(Undirviðmið!$F$6:$F$205,AH$4)*INDEX(Undirviðmið!$E$6:$E$205,AH$4)*KVARDI,2),""))</f>
        <v/>
      </c>
      <c r="AJ38" s="66" t="n"/>
      <c r="AK38" s="78">
        <f>IF(OR(AJ$4=0,AJ38=""),"",IFERROR(ROUND(AJ38/INDEX(Undirviðmið!$F$6:$F$205,AJ$4)*INDEX(Undirviðmið!$E$6:$E$205,AJ$4)*KVARDI,2),""))</f>
        <v/>
      </c>
      <c r="AL38" s="66" t="n"/>
      <c r="AM38" s="78">
        <f>IF(OR(AL$4=0,AL38=""),"",IFERROR(ROUND(AL38/INDEX(Undirviðmið!$F$6:$F$205,AL$4)*INDEX(Undirviðmið!$E$6:$E$205,AL$4)*KVARDI,2),""))</f>
        <v/>
      </c>
      <c r="AN38" s="66" t="n"/>
      <c r="AO38" s="78">
        <f>IF(OR(AN$4=0,AN38=""),"",IFERROR(ROUND(AN38/INDEX(Undirviðmið!$F$6:$F$205,AN$4)*INDEX(Undirviðmið!$E$6:$E$205,AN$4)*KVARDI,2),""))</f>
        <v/>
      </c>
      <c r="AP38" s="66" t="n"/>
      <c r="AQ38" s="78">
        <f>IF(OR(AP$4=0,AP38=""),"",IFERROR(ROUND(AP38/INDEX(Undirviðmið!$F$6:$F$205,AP$4)*INDEX(Undirviðmið!$E$6:$E$205,AP$4)*KVARDI,2),""))</f>
        <v/>
      </c>
      <c r="AR38" s="66" t="n"/>
      <c r="AS38" s="78">
        <f>IF(OR(AR$4=0,AR38=""),"",IFERROR(ROUND(AR38/INDEX(Undirviðmið!$F$6:$F$205,AR$4)*INDEX(Undirviðmið!$E$6:$E$205,AR$4)*KVARDI,2),""))</f>
        <v/>
      </c>
      <c r="AT38" s="66" t="n"/>
      <c r="AU38" s="78">
        <f>IF(OR(AT$4=0,AT38=""),"",IFERROR(ROUND(AT38/INDEX(Undirviðmið!$F$6:$F$205,AT$4)*INDEX(Undirviðmið!$E$6:$E$205,AT$4)*KVARDI,2),""))</f>
        <v/>
      </c>
      <c r="AV38" s="66" t="n"/>
      <c r="AW38" s="78">
        <f>IF(OR(AV$4=0,AV38=""),"",IFERROR(ROUND(AV38/INDEX(Undirviðmið!$F$6:$F$205,AV$4)*INDEX(Undirviðmið!$E$6:$E$205,AV$4)*KVARDI,2),""))</f>
        <v/>
      </c>
      <c r="AX38" s="66" t="n"/>
      <c r="AY38" s="78">
        <f>IF(OR(AX$4=0,AX38=""),"",IFERROR(ROUND(AX38/INDEX(Undirviðmið!$F$6:$F$205,AX$4)*INDEX(Undirviðmið!$E$6:$E$205,AX$4)*KVARDI,2),""))</f>
        <v/>
      </c>
      <c r="AZ38" s="66" t="n"/>
      <c r="BA38" s="78">
        <f>IF(OR(AZ$4=0,AZ38=""),"",IFERROR(ROUND(AZ38/INDEX(Undirviðmið!$F$6:$F$205,AZ$4)*INDEX(Undirviðmið!$E$6:$E$205,AZ$4)*KVARDI,2),""))</f>
        <v/>
      </c>
      <c r="BB38" s="66" t="n"/>
      <c r="BC38" s="78">
        <f>IF(OR(BB$4=0,BB38=""),"",IFERROR(ROUND(BB38/INDEX(Undirviðmið!$F$6:$F$205,BB$4)*INDEX(Undirviðmið!$E$6:$E$205,BB$4)*KVARDI,2),""))</f>
        <v/>
      </c>
      <c r="BD38" s="66" t="n"/>
      <c r="BE38" s="78">
        <f>IF(OR(BD$4=0,BD38=""),"",IFERROR(ROUND(BD38/INDEX(Undirviðmið!$F$6:$F$205,BD$4)*INDEX(Undirviðmið!$E$6:$E$205,BD$4)*KVARDI,2),""))</f>
        <v/>
      </c>
      <c r="BF38" s="66" t="n"/>
      <c r="BG38" s="78">
        <f>IF(OR(BF$4=0,BF38=""),"",IFERROR(ROUND(BF38/INDEX(Undirviðmið!$F$6:$F$205,BF$4)*INDEX(Undirviðmið!$E$6:$E$205,BF$4)*KVARDI,2),""))</f>
        <v/>
      </c>
      <c r="BH38" s="66" t="n"/>
      <c r="BI38" s="78">
        <f>IF(OR(BH$4=0,BH38=""),"",IFERROR(ROUND(BH38/INDEX(Undirviðmið!$F$6:$F$205,BH$4)*INDEX(Undirviðmið!$E$6:$E$205,BH$4)*KVARDI,2),""))</f>
        <v/>
      </c>
      <c r="BJ38" s="66" t="n"/>
      <c r="BK38" s="78">
        <f>IF(OR(BJ$4=0,BJ38=""),"",IFERROR(ROUND(BJ38/INDEX(Undirviðmið!$F$6:$F$205,BJ$4)*INDEX(Undirviðmið!$E$6:$E$205,BJ$4)*KVARDI,2),""))</f>
        <v/>
      </c>
      <c r="BL38" s="66" t="n"/>
      <c r="BM38" s="78">
        <f>IF(OR(BL$4=0,BL38=""),"",IFERROR(ROUND(BL38/INDEX(Undirviðmið!$F$6:$F$205,BL$4)*INDEX(Undirviðmið!$E$6:$E$205,BL$4)*KVARDI,2),""))</f>
        <v/>
      </c>
      <c r="BN38" s="66" t="n"/>
      <c r="BO38" s="78">
        <f>IF(OR(BN$4=0,BN38=""),"",IFERROR(ROUND(BN38/INDEX(Undirviðmið!$F$6:$F$205,BN$4)*INDEX(Undirviðmið!$E$6:$E$205,BN$4)*KVARDI,2),""))</f>
        <v/>
      </c>
      <c r="BP38" s="66" t="n"/>
      <c r="BQ38" s="78">
        <f>IF(OR(BP$4=0,BP38=""),"",IFERROR(ROUND(BP38/INDEX(Undirviðmið!$F$6:$F$205,BP$4)*INDEX(Undirviðmið!$E$6:$E$205,BP$4)*KVARDI,2),""))</f>
        <v/>
      </c>
      <c r="BR38" s="66" t="n"/>
      <c r="BS38" s="78">
        <f>IF(OR(BR$4=0,BR38=""),"",IFERROR(ROUND(BR38/INDEX(Undirviðmið!$F$6:$F$205,BR$4)*INDEX(Undirviðmið!$E$6:$E$205,BR$4)*KVARDI,2),""))</f>
        <v/>
      </c>
      <c r="BT38" s="66" t="n"/>
      <c r="BU38" s="78">
        <f>IF(OR(BT$4=0,BT38=""),"",IFERROR(ROUND(BT38/INDEX(Undirviðmið!$F$6:$F$205,BT$4)*INDEX(Undirviðmið!$E$6:$E$205,BT$4)*KVARDI,2),""))</f>
        <v/>
      </c>
      <c r="BV38" s="66" t="n"/>
      <c r="BW38" s="78">
        <f>IF(OR(BV$4=0,BV38=""),"",IFERROR(ROUND(BV38/INDEX(Undirviðmið!$F$6:$F$205,BV$4)*INDEX(Undirviðmið!$E$6:$E$205,BV$4)*KVARDI,2),""))</f>
        <v/>
      </c>
      <c r="BX38" s="66" t="n"/>
      <c r="BY38" s="78">
        <f>IF(OR(BX$4=0,BX38=""),"",IFERROR(ROUND(BX38/INDEX(Undirviðmið!$F$6:$F$205,BX$4)*INDEX(Undirviðmið!$E$6:$E$205,BX$4)*KVARDI,2),""))</f>
        <v/>
      </c>
      <c r="BZ38" s="66" t="n"/>
      <c r="CA38" s="78">
        <f>IF(OR(BZ$4=0,BZ38=""),"",IFERROR(ROUND(BZ38/INDEX(Undirviðmið!$F$6:$F$205,BZ$4)*INDEX(Undirviðmið!$E$6:$E$205,BZ$4)*KVARDI,2),""))</f>
        <v/>
      </c>
      <c r="CB38" s="66" t="n"/>
      <c r="CC38" s="78">
        <f>IF(OR(CB$4=0,CB38=""),"",IFERROR(ROUND(CB38/INDEX(Undirviðmið!$F$6:$F$205,CB$4)*INDEX(Undirviðmið!$E$6:$E$205,CB$4)*KVARDI,2),""))</f>
        <v/>
      </c>
      <c r="CD38" s="66" t="n"/>
      <c r="CE38" s="78">
        <f>IF(OR(CD$4=0,CD38=""),"",IFERROR(ROUND(CD38/INDEX(Undirviðmið!$F$6:$F$205,CD$4)*INDEX(Undirviðmið!$E$6:$E$205,CD$4)*KVARDI,2),""))</f>
        <v/>
      </c>
      <c r="CF38" s="66" t="n"/>
      <c r="CG38" s="78">
        <f>IF(OR(CF$4=0,CF38=""),"",IFERROR(ROUND(CF38/INDEX(Undirviðmið!$F$6:$F$205,CF$4)*INDEX(Undirviðmið!$E$6:$E$205,CF$4)*KVARDI,2),""))</f>
        <v/>
      </c>
      <c r="CH38" s="66" t="n"/>
      <c r="CI38" s="78">
        <f>IF(OR(CH$4=0,CH38=""),"",IFERROR(ROUND(CH38/INDEX(Undirviðmið!$F$6:$F$205,CH$4)*INDEX(Undirviðmið!$E$6:$E$205,CH$4)*KVARDI,2),""))</f>
        <v/>
      </c>
      <c r="CJ38" s="66" t="n"/>
      <c r="CK38" s="78">
        <f>IF(OR(CJ$4=0,CJ38=""),"",IFERROR(ROUND(CJ38/INDEX(Undirviðmið!$F$6:$F$205,CJ$4)*INDEX(Undirviðmið!$E$6:$E$205,CJ$4)*KVARDI,2),""))</f>
        <v/>
      </c>
      <c r="CL38" s="66" t="n"/>
      <c r="CM38" s="78">
        <f>IF(OR(CL$4=0,CL38=""),"",IFERROR(ROUND(CL38/INDEX(Undirviðmið!$F$6:$F$205,CL$4)*INDEX(Undirviðmið!$E$6:$E$205,CL$4)*KVARDI,2),""))</f>
        <v/>
      </c>
      <c r="CN38" s="66" t="n"/>
      <c r="CO38" s="78">
        <f>IF(OR(CN$4=0,CN38=""),"",IFERROR(ROUND(CN38/INDEX(Undirviðmið!$F$6:$F$205,CN$4)*INDEX(Undirviðmið!$E$6:$E$205,CN$4)*KVARDI,2),""))</f>
        <v/>
      </c>
      <c r="CP38" s="66" t="n"/>
      <c r="CQ38" s="78">
        <f>IF(OR(CP$4=0,CP38=""),"",IFERROR(ROUND(CP38/INDEX(Undirviðmið!$F$6:$F$205,CP$4)*INDEX(Undirviðmið!$E$6:$E$205,CP$4)*KVARDI,2),""))</f>
        <v/>
      </c>
      <c r="CR38" s="66" t="n"/>
      <c r="CS38" s="78">
        <f>IF(OR(CR$4=0,CR38=""),"",IFERROR(ROUND(CR38/INDEX(Undirviðmið!$F$6:$F$205,CR$4)*INDEX(Undirviðmið!$E$6:$E$205,CR$4)*KVARDI,2),""))</f>
        <v/>
      </c>
      <c r="CT38" s="66" t="n"/>
      <c r="CU38" s="78">
        <f>IF(OR(CT$4=0,CT38=""),"",IFERROR(ROUND(CT38/INDEX(Undirviðmið!$F$6:$F$205,CT$4)*INDEX(Undirviðmið!$E$6:$E$205,CT$4)*KVARDI,2),""))</f>
        <v/>
      </c>
      <c r="CV38" s="66" t="n"/>
      <c r="CW38" s="78">
        <f>IF(OR(CV$4=0,CV38=""),"",IFERROR(ROUND(CV38/INDEX(Undirviðmið!$F$6:$F$205,CV$4)*INDEX(Undirviðmið!$E$6:$E$205,CV$4)*KVARDI,2),""))</f>
        <v/>
      </c>
      <c r="CX38" s="66" t="n"/>
      <c r="CY38" s="78">
        <f>IF(OR(CX$4=0,CX38=""),"",IFERROR(ROUND(CX38/INDEX(Undirviðmið!$F$6:$F$205,CX$4)*INDEX(Undirviðmið!$E$6:$E$205,CX$4)*KVARDI,2),""))</f>
        <v/>
      </c>
      <c r="CZ38" s="66" t="n"/>
      <c r="DA38" s="78">
        <f>IF(OR(CZ$4=0,CZ38=""),"",IFERROR(ROUND(CZ38/INDEX(Undirviðmið!$F$6:$F$205,CZ$4)*INDEX(Undirviðmið!$E$6:$E$205,CZ$4)*KVARDI,2),""))</f>
        <v/>
      </c>
      <c r="DB38" s="66" t="n"/>
      <c r="DC38" s="78">
        <f>IF(OR(DB$4=0,DB38=""),"",IFERROR(ROUND(DB38/INDEX(Undirviðmið!$F$6:$F$205,DB$4)*INDEX(Undirviðmið!$E$6:$E$205,DB$4)*KVARDI,2),""))</f>
        <v/>
      </c>
      <c r="DD38" s="66" t="n"/>
      <c r="DE38" s="78">
        <f>IF(OR(DD$4=0,DD38=""),"",IFERROR(ROUND(DD38/INDEX(Undirviðmið!$F$6:$F$205,DD$4)*INDEX(Undirviðmið!$E$6:$E$205,DD$4)*KVARDI,2),""))</f>
        <v/>
      </c>
      <c r="DF38" s="66" t="n"/>
      <c r="DG38" s="78">
        <f>IF(OR(DF$4=0,DF38=""),"",IFERROR(ROUND(DF38/INDEX(Undirviðmið!$F$6:$F$205,DF$4)*INDEX(Undirviðmið!$E$6:$E$205,DF$4)*KVARDI,2),""))</f>
        <v/>
      </c>
      <c r="DH38" s="66" t="n"/>
      <c r="DI38" s="78">
        <f>IF(OR(DH$4=0,DH38=""),"",IFERROR(ROUND(DH38/INDEX(Undirviðmið!$F$6:$F$205,DH$4)*INDEX(Undirviðmið!$E$6:$E$205,DH$4)*KVARDI,2),""))</f>
        <v/>
      </c>
      <c r="DJ38" s="66" t="n"/>
      <c r="DK38" s="78">
        <f>IF(OR(DJ$4=0,DJ38=""),"",IFERROR(ROUND(DJ38/INDEX(Undirviðmið!$F$6:$F$205,DJ$4)*INDEX(Undirviðmið!$E$6:$E$205,DJ$4)*KVARDI,2),""))</f>
        <v/>
      </c>
      <c r="DL38" s="66" t="n"/>
      <c r="DM38" s="78">
        <f>IF(OR(DL$4=0,DL38=""),"",IFERROR(ROUND(DL38/INDEX(Undirviðmið!$F$6:$F$205,DL$4)*INDEX(Undirviðmið!$E$6:$E$205,DL$4)*KVARDI,2),""))</f>
        <v/>
      </c>
      <c r="DN38" s="66" t="n"/>
      <c r="DO38" s="78">
        <f>IF(OR(DN$4=0,DN38=""),"",IFERROR(ROUND(DN38/INDEX(Undirviðmið!$F$6:$F$205,DN$4)*INDEX(Undirviðmið!$E$6:$E$205,DN$4)*KVARDI,2),""))</f>
        <v/>
      </c>
      <c r="DP38" s="66" t="n"/>
      <c r="DQ38" s="78">
        <f>IF(OR(DP$4=0,DP38=""),"",IFERROR(ROUND(DP38/INDEX(Undirviðmið!$F$6:$F$205,DP$4)*INDEX(Undirviðmið!$E$6:$E$205,DP$4)*KVARDI,2),""))</f>
        <v/>
      </c>
      <c r="DR38" s="66" t="n"/>
      <c r="DS38" s="78">
        <f>IF(OR(DR$4=0,DR38=""),"",IFERROR(ROUND(DR38/INDEX(Undirviðmið!$F$6:$F$205,DR$4)*INDEX(Undirviðmið!$E$6:$E$205,DR$4)*KVARDI,2),""))</f>
        <v/>
      </c>
      <c r="DT38" s="66" t="n"/>
      <c r="DU38" s="78">
        <f>IF(OR(DT$4=0,DT38=""),"",IFERROR(ROUND(DT38/INDEX(Undirviðmið!$F$6:$F$205,DT$4)*INDEX(Undirviðmið!$E$6:$E$205,DT$4)*KVARDI,2),""))</f>
        <v/>
      </c>
      <c r="DV38" s="66" t="n"/>
      <c r="DW38" s="78">
        <f>IF(OR(DV$4=0,DV38=""),"",IFERROR(ROUND(DV38/INDEX(Undirviðmið!$F$6:$F$205,DV$4)*INDEX(Undirviðmið!$E$6:$E$205,DV$4)*KVARDI,2),""))</f>
        <v/>
      </c>
      <c r="DX38" s="66" t="n"/>
      <c r="DY38" s="78">
        <f>IF(OR(DX$4=0,DX38=""),"",IFERROR(ROUND(DX38/INDEX(Undirviðmið!$F$6:$F$205,DX$4)*INDEX(Undirviðmið!$E$6:$E$205,DX$4)*KVARDI,2),""))</f>
        <v/>
      </c>
      <c r="DZ38" s="66" t="n"/>
      <c r="EA38" s="78">
        <f>IF(OR(DZ$4=0,DZ38=""),"",IFERROR(ROUND(DZ38/INDEX(Undirviðmið!$F$6:$F$205,DZ$4)*INDEX(Undirviðmið!$E$6:$E$205,DZ$4)*KVARDI,2),""))</f>
        <v/>
      </c>
      <c r="EB38" s="66" t="n"/>
      <c r="EC38" s="78">
        <f>IF(OR(EB$4=0,EB38=""),"",IFERROR(ROUND(EB38/INDEX(Undirviðmið!$F$6:$F$205,EB$4)*INDEX(Undirviðmið!$E$6:$E$205,EB$4)*KVARDI,2),""))</f>
        <v/>
      </c>
      <c r="ED38" s="66" t="n"/>
      <c r="EE38" s="78">
        <f>IF(OR(ED$4=0,ED38=""),"",IFERROR(ROUND(ED38/INDEX(Undirviðmið!$F$6:$F$205,ED$4)*INDEX(Undirviðmið!$E$6:$E$205,ED$4)*KVARDI,2),""))</f>
        <v/>
      </c>
      <c r="EF38" s="66" t="n"/>
      <c r="EG38" s="78">
        <f>IF(OR(EF$4=0,EF38=""),"",IFERROR(ROUND(EF38/INDEX(Undirviðmið!$F$6:$F$205,EF$4)*INDEX(Undirviðmið!$E$6:$E$205,EF$4)*KVARDI,2),""))</f>
        <v/>
      </c>
      <c r="EH38" s="66" t="n"/>
      <c r="EI38" s="78">
        <f>IF(OR(EH$4=0,EH38=""),"",IFERROR(ROUND(EH38/INDEX(Undirviðmið!$F$6:$F$205,EH$4)*INDEX(Undirviðmið!$E$6:$E$205,EH$4)*KVARDI,2),""))</f>
        <v/>
      </c>
      <c r="EJ38" s="66" t="n"/>
      <c r="EK38" s="78">
        <f>IF(OR(EJ$4=0,EJ38=""),"",IFERROR(ROUND(EJ38/INDEX(Undirviðmið!$F$6:$F$205,EJ$4)*INDEX(Undirviðmið!$E$6:$E$205,EJ$4)*KVARDI,2),""))</f>
        <v/>
      </c>
      <c r="EL38" s="66" t="n"/>
      <c r="EM38" s="78">
        <f>IF(OR(EL$4=0,EL38=""),"",IFERROR(ROUND(EL38/INDEX(Undirviðmið!$F$6:$F$205,EL$4)*INDEX(Undirviðmið!$E$6:$E$205,EL$4)*KVARDI,2),""))</f>
        <v/>
      </c>
      <c r="EN38" s="66" t="n"/>
      <c r="EO38" s="78">
        <f>IF(OR(EN$4=0,EN38=""),"",IFERROR(ROUND(EN38/INDEX(Undirviðmið!$F$6:$F$205,EN$4)*INDEX(Undirviðmið!$E$6:$E$205,EN$4)*KVARDI,2),""))</f>
        <v/>
      </c>
      <c r="EP38" s="66" t="n"/>
      <c r="EQ38" s="78">
        <f>IF(OR(EP$4=0,EP38=""),"",IFERROR(ROUND(EP38/INDEX(Undirviðmið!$F$6:$F$205,EP$4)*INDEX(Undirviðmið!$E$6:$E$205,EP$4)*KVARDI,2),""))</f>
        <v/>
      </c>
      <c r="ER38" s="66" t="n"/>
      <c r="ES38" s="78">
        <f>IF(OR(ER$4=0,ER38=""),"",IFERROR(ROUND(ER38/INDEX(Undirviðmið!$F$6:$F$205,ER$4)*INDEX(Undirviðmið!$E$6:$E$205,ER$4)*KVARDI,2),""))</f>
        <v/>
      </c>
      <c r="ET38" s="66" t="n"/>
      <c r="EU38" s="78">
        <f>IF(OR(ET$4=0,ET38=""),"",IFERROR(ROUND(ET38/INDEX(Undirviðmið!$F$6:$F$205,ET$4)*INDEX(Undirviðmið!$E$6:$E$205,ET$4)*KVARDI,2),""))</f>
        <v/>
      </c>
      <c r="EV38" s="66" t="n"/>
      <c r="EW38" s="78">
        <f>IF(OR(EV$4=0,EV38=""),"",IFERROR(ROUND(EV38/INDEX(Undirviðmið!$F$6:$F$205,EV$4)*INDEX(Undirviðmið!$E$6:$E$205,EV$4)*KVARDI,2),""))</f>
        <v/>
      </c>
      <c r="EX38" s="66" t="n"/>
      <c r="EY38" s="78">
        <f>IF(OR(EX$4=0,EX38=""),"",IFERROR(ROUND(EX38/INDEX(Undirviðmið!$F$6:$F$205,EX$4)*INDEX(Undirviðmið!$E$6:$E$205,EX$4)*KVARDI,2),""))</f>
        <v/>
      </c>
      <c r="EZ38" s="66" t="n"/>
      <c r="FA38" s="78">
        <f>IF(OR(EZ$4=0,EZ38=""),"",IFERROR(ROUND(EZ38/INDEX(Undirviðmið!$F$6:$F$205,EZ$4)*INDEX(Undirviðmið!$E$6:$E$205,EZ$4)*KVARDI,2),""))</f>
        <v/>
      </c>
      <c r="FB38" s="66" t="n"/>
      <c r="FC38" s="78">
        <f>IF(OR(FB$4=0,FB38=""),"",IFERROR(ROUND(FB38/INDEX(Undirviðmið!$F$6:$F$205,FB$4)*INDEX(Undirviðmið!$E$6:$E$205,FB$4)*KVARDI,2),""))</f>
        <v/>
      </c>
      <c r="FD38" s="66" t="n"/>
      <c r="FE38" s="78">
        <f>IF(OR(FD$4=0,FD38=""),"",IFERROR(ROUND(FD38/INDEX(Undirviðmið!$F$6:$F$205,FD$4)*INDEX(Undirviðmið!$E$6:$E$205,FD$4)*KVARDI,2),""))</f>
        <v/>
      </c>
      <c r="FF38" s="66" t="n"/>
      <c r="FG38" s="78">
        <f>IF(OR(FF$4=0,FF38=""),"",IFERROR(ROUND(FF38/INDEX(Undirviðmið!$F$6:$F$205,FF$4)*INDEX(Undirviðmið!$E$6:$E$205,FF$4)*KVARDI,2),""))</f>
        <v/>
      </c>
      <c r="FH38" s="66" t="n"/>
      <c r="FI38" s="78">
        <f>IF(OR(FH$4=0,FH38=""),"",IFERROR(ROUND(FH38/INDEX(Undirviðmið!$F$6:$F$205,FH$4)*INDEX(Undirviðmið!$E$6:$E$205,FH$4)*KVARDI,2),""))</f>
        <v/>
      </c>
      <c r="FJ38" s="66" t="n"/>
      <c r="FK38" s="78">
        <f>IF(OR(FJ$4=0,FJ38=""),"",IFERROR(ROUND(FJ38/INDEX(Undirviðmið!$F$6:$F$205,FJ$4)*INDEX(Undirviðmið!$E$6:$E$205,FJ$4)*KVARDI,2),""))</f>
        <v/>
      </c>
      <c r="FL38" s="66" t="n"/>
      <c r="FM38" s="78">
        <f>IF(OR(FL$4=0,FL38=""),"",IFERROR(ROUND(FL38/INDEX(Undirviðmið!$F$6:$F$205,FL$4)*INDEX(Undirviðmið!$E$6:$E$205,FL$4)*KVARDI,2),""))</f>
        <v/>
      </c>
      <c r="FN38" s="66" t="n"/>
      <c r="FO38" s="78">
        <f>IF(OR(FN$4=0,FN38=""),"",IFERROR(ROUND(FN38/INDEX(Undirviðmið!$F$6:$F$205,FN$4)*INDEX(Undirviðmið!$E$6:$E$205,FN$4)*KVARDI,2),""))</f>
        <v/>
      </c>
      <c r="FP38" s="66" t="n"/>
      <c r="FQ38" s="78">
        <f>IF(OR(FP$4=0,FP38=""),"",IFERROR(ROUND(FP38/INDEX(Undirviðmið!$F$6:$F$205,FP$4)*INDEX(Undirviðmið!$E$6:$E$205,FP$4)*KVARDI,2),""))</f>
        <v/>
      </c>
      <c r="FR38" s="66" t="n"/>
      <c r="FS38" s="78">
        <f>IF(OR(FR$4=0,FR38=""),"",IFERROR(ROUND(FR38/INDEX(Undirviðmið!$F$6:$F$205,FR$4)*INDEX(Undirviðmið!$E$6:$E$205,FR$4)*KVARDI,2),""))</f>
        <v/>
      </c>
      <c r="FT38" s="66" t="n"/>
      <c r="FU38" s="78">
        <f>IF(OR(FT$4=0,FT38=""),"",IFERROR(ROUND(FT38/INDEX(Undirviðmið!$F$6:$F$205,FT$4)*INDEX(Undirviðmið!$E$6:$E$205,FT$4)*KVARDI,2),""))</f>
        <v/>
      </c>
      <c r="FV38" s="66" t="n"/>
      <c r="FW38" s="78">
        <f>IF(OR(FV$4=0,FV38=""),"",IFERROR(ROUND(FV38/INDEX(Undirviðmið!$F$6:$F$205,FV$4)*INDEX(Undirviðmið!$E$6:$E$205,FV$4)*KVARDI,2),""))</f>
        <v/>
      </c>
      <c r="FX38" s="66" t="n"/>
      <c r="FY38" s="78">
        <f>IF(OR(FX$4=0,FX38=""),"",IFERROR(ROUND(FX38/INDEX(Undirviðmið!$F$6:$F$205,FX$4)*INDEX(Undirviðmið!$E$6:$E$205,FX$4)*KVARDI,2),""))</f>
        <v/>
      </c>
      <c r="FZ38" s="66" t="n"/>
      <c r="GA38" s="78">
        <f>IF(OR(FZ$4=0,FZ38=""),"",IFERROR(ROUND(FZ38/INDEX(Undirviðmið!$F$6:$F$205,FZ$4)*INDEX(Undirviðmið!$E$6:$E$205,FZ$4)*KVARDI,2),""))</f>
        <v/>
      </c>
      <c r="GB38" s="66" t="n"/>
      <c r="GC38" s="78">
        <f>IF(OR(GB$4=0,GB38=""),"",IFERROR(ROUND(GB38/INDEX(Undirviðmið!$F$6:$F$205,GB$4)*INDEX(Undirviðmið!$E$6:$E$205,GB$4)*KVARDI,2),""))</f>
        <v/>
      </c>
      <c r="GD38" s="66" t="n"/>
      <c r="GE38" s="78">
        <f>IF(OR(GD$4=0,GD38=""),"",IFERROR(ROUND(GD38/INDEX(Undirviðmið!$F$6:$F$205,GD$4)*INDEX(Undirviðmið!$E$6:$E$205,GD$4)*KVARDI,2),""))</f>
        <v/>
      </c>
      <c r="GF38" s="66" t="n"/>
      <c r="GG38" s="78">
        <f>IF(OR(GF$4=0,GF38=""),"",IFERROR(ROUND(GF38/INDEX(Undirviðmið!$F$6:$F$205,GF$4)*INDEX(Undirviðmið!$E$6:$E$205,GF$4)*KVARDI,2),""))</f>
        <v/>
      </c>
      <c r="GH38" s="66" t="n"/>
      <c r="GI38" s="78">
        <f>IF(OR(GH$4=0,GH38=""),"",IFERROR(ROUND(GH38/INDEX(Undirviðmið!$F$6:$F$205,GH$4)*INDEX(Undirviðmið!$E$6:$E$205,GH$4)*KVARDI,2),""))</f>
        <v/>
      </c>
      <c r="GJ38" s="66" t="n"/>
      <c r="GK38" s="78">
        <f>IF(OR(GJ$4=0,GJ38=""),"",IFERROR(ROUND(GJ38/INDEX(Undirviðmið!$F$6:$F$205,GJ$4)*INDEX(Undirviðmið!$E$6:$E$205,GJ$4)*KVARDI,2),""))</f>
        <v/>
      </c>
      <c r="GL38" s="66" t="n"/>
      <c r="GM38" s="78">
        <f>IF(OR(GL$4=0,GL38=""),"",IFERROR(ROUND(GL38/INDEX(Undirviðmið!$F$6:$F$205,GL$4)*INDEX(Undirviðmið!$E$6:$E$205,GL$4)*KVARDI,2),""))</f>
        <v/>
      </c>
      <c r="GN38" s="66" t="n"/>
      <c r="GO38" s="78">
        <f>IF(OR(GN$4=0,GN38=""),"",IFERROR(ROUND(GN38/INDEX(Undirviðmið!$F$6:$F$205,GN$4)*INDEX(Undirviðmið!$E$6:$E$205,GN$4)*KVARDI,2),""))</f>
        <v/>
      </c>
      <c r="GP38" s="66" t="n"/>
      <c r="GQ38" s="78">
        <f>IF(OR(GP$4=0,GP38=""),"",IFERROR(ROUND(GP38/INDEX(Undirviðmið!$F$6:$F$205,GP$4)*INDEX(Undirviðmið!$E$6:$E$205,GP$4)*KVARDI,2),""))</f>
        <v/>
      </c>
      <c r="GR38" s="66" t="n"/>
      <c r="GS38" s="78">
        <f>IF(OR(GR$4=0,GR38=""),"",IFERROR(ROUND(GR38/INDEX(Undirviðmið!$F$6:$F$205,GR$4)*INDEX(Undirviðmið!$E$6:$E$205,GR$4)*KVARDI,2),""))</f>
        <v/>
      </c>
      <c r="GT38" s="66" t="n"/>
      <c r="GU38" s="78">
        <f>IF(OR(GT$4=0,GT38=""),"",IFERROR(ROUND(GT38/INDEX(Undirviðmið!$F$6:$F$205,GT$4)*INDEX(Undirviðmið!$E$6:$E$205,GT$4)*KVARDI,2),""))</f>
        <v/>
      </c>
      <c r="GV38" s="63">
        <f>IFERROR(SUMIF($D$6:GU$6,"Stig",$D38:GU38),0)</f>
        <v/>
      </c>
    </row>
    <row r="39" ht="15" customHeight="1" s="47">
      <c r="A39" s="65">
        <f>ROW()-6</f>
        <v/>
      </c>
      <c r="B39" s="67">
        <f>IF(INDEX(Starfsmenn!$B$6:$B$10005,ROW()-6)="","",INDEX(Starfsmenn!$B$6:$B$10005,ROW()-6))</f>
        <v/>
      </c>
      <c r="C39" s="67">
        <f>IF(INDEX(Starfsmenn!$C$6:$C$10005,ROW()-6)="","",INDEX(Starfsmenn!$C$6:$C$10005,ROW()-6))</f>
        <v/>
      </c>
      <c r="D39" s="66" t="n"/>
      <c r="E39" s="78">
        <f>IF(OR(D$4=0,D39=""),"",IFERROR(ROUND(D39/INDEX(Undirviðmið!$F$6:$F$205,D$4)*INDEX(Undirviðmið!$E$6:$E$205,D$4)*KVARDI,2),""))</f>
        <v/>
      </c>
      <c r="F39" s="66" t="n"/>
      <c r="G39" s="78">
        <f>IF(OR(F$4=0,F39=""),"",IFERROR(ROUND(F39/INDEX(Undirviðmið!$F$6:$F$205,F$4)*INDEX(Undirviðmið!$E$6:$E$205,F$4)*KVARDI,2),""))</f>
        <v/>
      </c>
      <c r="H39" s="66" t="n"/>
      <c r="I39" s="78">
        <f>IF(OR(H$4=0,H39=""),"",IFERROR(ROUND(H39/INDEX(Undirviðmið!$F$6:$F$205,H$4)*INDEX(Undirviðmið!$E$6:$E$205,H$4)*KVARDI,2),""))</f>
        <v/>
      </c>
      <c r="J39" s="66" t="n"/>
      <c r="K39" s="78">
        <f>IF(OR(J$4=0,J39=""),"",IFERROR(ROUND(J39/INDEX(Undirviðmið!$F$6:$F$205,J$4)*INDEX(Undirviðmið!$E$6:$E$205,J$4)*KVARDI,2),""))</f>
        <v/>
      </c>
      <c r="L39" s="66" t="n"/>
      <c r="M39" s="78">
        <f>IF(OR(L$4=0,L39=""),"",IFERROR(ROUND(L39/INDEX(Undirviðmið!$F$6:$F$205,L$4)*INDEX(Undirviðmið!$E$6:$E$205,L$4)*KVARDI,2),""))</f>
        <v/>
      </c>
      <c r="N39" s="66" t="n"/>
      <c r="O39" s="78">
        <f>IF(OR(N$4=0,N39=""),"",IFERROR(ROUND(N39/INDEX(Undirviðmið!$F$6:$F$205,N$4)*INDEX(Undirviðmið!$E$6:$E$205,N$4)*KVARDI,2),""))</f>
        <v/>
      </c>
      <c r="P39" s="66" t="n"/>
      <c r="Q39" s="78">
        <f>IF(OR(P$4=0,P39=""),"",IFERROR(ROUND(P39/INDEX(Undirviðmið!$F$6:$F$205,P$4)*INDEX(Undirviðmið!$E$6:$E$205,P$4)*KVARDI,2),""))</f>
        <v/>
      </c>
      <c r="R39" s="66" t="n"/>
      <c r="S39" s="78">
        <f>IF(OR(R$4=0,R39=""),"",IFERROR(ROUND(R39/INDEX(Undirviðmið!$F$6:$F$205,R$4)*INDEX(Undirviðmið!$E$6:$E$205,R$4)*KVARDI,2),""))</f>
        <v/>
      </c>
      <c r="T39" s="66" t="n"/>
      <c r="U39" s="78">
        <f>IF(OR(T$4=0,T39=""),"",IFERROR(ROUND(T39/INDEX(Undirviðmið!$F$6:$F$205,T$4)*INDEX(Undirviðmið!$E$6:$E$205,T$4)*KVARDI,2),""))</f>
        <v/>
      </c>
      <c r="V39" s="66" t="n"/>
      <c r="W39" s="78">
        <f>IF(OR(V$4=0,V39=""),"",IFERROR(ROUND(V39/INDEX(Undirviðmið!$F$6:$F$205,V$4)*INDEX(Undirviðmið!$E$6:$E$205,V$4)*KVARDI,2),""))</f>
        <v/>
      </c>
      <c r="X39" s="66" t="n"/>
      <c r="Y39" s="78">
        <f>IF(OR(X$4=0,X39=""),"",IFERROR(ROUND(X39/INDEX(Undirviðmið!$F$6:$F$205,X$4)*INDEX(Undirviðmið!$E$6:$E$205,X$4)*KVARDI,2),""))</f>
        <v/>
      </c>
      <c r="Z39" s="66" t="n"/>
      <c r="AA39" s="78">
        <f>IF(OR(Z$4=0,Z39=""),"",IFERROR(ROUND(Z39/INDEX(Undirviðmið!$F$6:$F$205,Z$4)*INDEX(Undirviðmið!$E$6:$E$205,Z$4)*KVARDI,2),""))</f>
        <v/>
      </c>
      <c r="AB39" s="66" t="n"/>
      <c r="AC39" s="78">
        <f>IF(OR(AB$4=0,AB39=""),"",IFERROR(ROUND(AB39/INDEX(Undirviðmið!$F$6:$F$205,AB$4)*INDEX(Undirviðmið!$E$6:$E$205,AB$4)*KVARDI,2),""))</f>
        <v/>
      </c>
      <c r="AD39" s="66" t="n"/>
      <c r="AE39" s="78">
        <f>IF(OR(AD$4=0,AD39=""),"",IFERROR(ROUND(AD39/INDEX(Undirviðmið!$F$6:$F$205,AD$4)*INDEX(Undirviðmið!$E$6:$E$205,AD$4)*KVARDI,2),""))</f>
        <v/>
      </c>
      <c r="AF39" s="66" t="n"/>
      <c r="AG39" s="78">
        <f>IF(OR(AF$4=0,AF39=""),"",IFERROR(ROUND(AF39/INDEX(Undirviðmið!$F$6:$F$205,AF$4)*INDEX(Undirviðmið!$E$6:$E$205,AF$4)*KVARDI,2),""))</f>
        <v/>
      </c>
      <c r="AH39" s="66" t="n"/>
      <c r="AI39" s="78">
        <f>IF(OR(AH$4=0,AH39=""),"",IFERROR(ROUND(AH39/INDEX(Undirviðmið!$F$6:$F$205,AH$4)*INDEX(Undirviðmið!$E$6:$E$205,AH$4)*KVARDI,2),""))</f>
        <v/>
      </c>
      <c r="AJ39" s="66" t="n"/>
      <c r="AK39" s="78">
        <f>IF(OR(AJ$4=0,AJ39=""),"",IFERROR(ROUND(AJ39/INDEX(Undirviðmið!$F$6:$F$205,AJ$4)*INDEX(Undirviðmið!$E$6:$E$205,AJ$4)*KVARDI,2),""))</f>
        <v/>
      </c>
      <c r="AL39" s="66" t="n"/>
      <c r="AM39" s="78">
        <f>IF(OR(AL$4=0,AL39=""),"",IFERROR(ROUND(AL39/INDEX(Undirviðmið!$F$6:$F$205,AL$4)*INDEX(Undirviðmið!$E$6:$E$205,AL$4)*KVARDI,2),""))</f>
        <v/>
      </c>
      <c r="AN39" s="66" t="n"/>
      <c r="AO39" s="78">
        <f>IF(OR(AN$4=0,AN39=""),"",IFERROR(ROUND(AN39/INDEX(Undirviðmið!$F$6:$F$205,AN$4)*INDEX(Undirviðmið!$E$6:$E$205,AN$4)*KVARDI,2),""))</f>
        <v/>
      </c>
      <c r="AP39" s="66" t="n"/>
      <c r="AQ39" s="78">
        <f>IF(OR(AP$4=0,AP39=""),"",IFERROR(ROUND(AP39/INDEX(Undirviðmið!$F$6:$F$205,AP$4)*INDEX(Undirviðmið!$E$6:$E$205,AP$4)*KVARDI,2),""))</f>
        <v/>
      </c>
      <c r="AR39" s="66" t="n"/>
      <c r="AS39" s="78">
        <f>IF(OR(AR$4=0,AR39=""),"",IFERROR(ROUND(AR39/INDEX(Undirviðmið!$F$6:$F$205,AR$4)*INDEX(Undirviðmið!$E$6:$E$205,AR$4)*KVARDI,2),""))</f>
        <v/>
      </c>
      <c r="AT39" s="66" t="n"/>
      <c r="AU39" s="78">
        <f>IF(OR(AT$4=0,AT39=""),"",IFERROR(ROUND(AT39/INDEX(Undirviðmið!$F$6:$F$205,AT$4)*INDEX(Undirviðmið!$E$6:$E$205,AT$4)*KVARDI,2),""))</f>
        <v/>
      </c>
      <c r="AV39" s="66" t="n"/>
      <c r="AW39" s="78">
        <f>IF(OR(AV$4=0,AV39=""),"",IFERROR(ROUND(AV39/INDEX(Undirviðmið!$F$6:$F$205,AV$4)*INDEX(Undirviðmið!$E$6:$E$205,AV$4)*KVARDI,2),""))</f>
        <v/>
      </c>
      <c r="AX39" s="66" t="n"/>
      <c r="AY39" s="78">
        <f>IF(OR(AX$4=0,AX39=""),"",IFERROR(ROUND(AX39/INDEX(Undirviðmið!$F$6:$F$205,AX$4)*INDEX(Undirviðmið!$E$6:$E$205,AX$4)*KVARDI,2),""))</f>
        <v/>
      </c>
      <c r="AZ39" s="66" t="n"/>
      <c r="BA39" s="78">
        <f>IF(OR(AZ$4=0,AZ39=""),"",IFERROR(ROUND(AZ39/INDEX(Undirviðmið!$F$6:$F$205,AZ$4)*INDEX(Undirviðmið!$E$6:$E$205,AZ$4)*KVARDI,2),""))</f>
        <v/>
      </c>
      <c r="BB39" s="66" t="n"/>
      <c r="BC39" s="78">
        <f>IF(OR(BB$4=0,BB39=""),"",IFERROR(ROUND(BB39/INDEX(Undirviðmið!$F$6:$F$205,BB$4)*INDEX(Undirviðmið!$E$6:$E$205,BB$4)*KVARDI,2),""))</f>
        <v/>
      </c>
      <c r="BD39" s="66" t="n"/>
      <c r="BE39" s="78">
        <f>IF(OR(BD$4=0,BD39=""),"",IFERROR(ROUND(BD39/INDEX(Undirviðmið!$F$6:$F$205,BD$4)*INDEX(Undirviðmið!$E$6:$E$205,BD$4)*KVARDI,2),""))</f>
        <v/>
      </c>
      <c r="BF39" s="66" t="n"/>
      <c r="BG39" s="78">
        <f>IF(OR(BF$4=0,BF39=""),"",IFERROR(ROUND(BF39/INDEX(Undirviðmið!$F$6:$F$205,BF$4)*INDEX(Undirviðmið!$E$6:$E$205,BF$4)*KVARDI,2),""))</f>
        <v/>
      </c>
      <c r="BH39" s="66" t="n"/>
      <c r="BI39" s="78">
        <f>IF(OR(BH$4=0,BH39=""),"",IFERROR(ROUND(BH39/INDEX(Undirviðmið!$F$6:$F$205,BH$4)*INDEX(Undirviðmið!$E$6:$E$205,BH$4)*KVARDI,2),""))</f>
        <v/>
      </c>
      <c r="BJ39" s="66" t="n"/>
      <c r="BK39" s="78">
        <f>IF(OR(BJ$4=0,BJ39=""),"",IFERROR(ROUND(BJ39/INDEX(Undirviðmið!$F$6:$F$205,BJ$4)*INDEX(Undirviðmið!$E$6:$E$205,BJ$4)*KVARDI,2),""))</f>
        <v/>
      </c>
      <c r="BL39" s="66" t="n"/>
      <c r="BM39" s="78">
        <f>IF(OR(BL$4=0,BL39=""),"",IFERROR(ROUND(BL39/INDEX(Undirviðmið!$F$6:$F$205,BL$4)*INDEX(Undirviðmið!$E$6:$E$205,BL$4)*KVARDI,2),""))</f>
        <v/>
      </c>
      <c r="BN39" s="66" t="n"/>
      <c r="BO39" s="78">
        <f>IF(OR(BN$4=0,BN39=""),"",IFERROR(ROUND(BN39/INDEX(Undirviðmið!$F$6:$F$205,BN$4)*INDEX(Undirviðmið!$E$6:$E$205,BN$4)*KVARDI,2),""))</f>
        <v/>
      </c>
      <c r="BP39" s="66" t="n"/>
      <c r="BQ39" s="78">
        <f>IF(OR(BP$4=0,BP39=""),"",IFERROR(ROUND(BP39/INDEX(Undirviðmið!$F$6:$F$205,BP$4)*INDEX(Undirviðmið!$E$6:$E$205,BP$4)*KVARDI,2),""))</f>
        <v/>
      </c>
      <c r="BR39" s="66" t="n"/>
      <c r="BS39" s="78">
        <f>IF(OR(BR$4=0,BR39=""),"",IFERROR(ROUND(BR39/INDEX(Undirviðmið!$F$6:$F$205,BR$4)*INDEX(Undirviðmið!$E$6:$E$205,BR$4)*KVARDI,2),""))</f>
        <v/>
      </c>
      <c r="BT39" s="66" t="n"/>
      <c r="BU39" s="78">
        <f>IF(OR(BT$4=0,BT39=""),"",IFERROR(ROUND(BT39/INDEX(Undirviðmið!$F$6:$F$205,BT$4)*INDEX(Undirviðmið!$E$6:$E$205,BT$4)*KVARDI,2),""))</f>
        <v/>
      </c>
      <c r="BV39" s="66" t="n"/>
      <c r="BW39" s="78">
        <f>IF(OR(BV$4=0,BV39=""),"",IFERROR(ROUND(BV39/INDEX(Undirviðmið!$F$6:$F$205,BV$4)*INDEX(Undirviðmið!$E$6:$E$205,BV$4)*KVARDI,2),""))</f>
        <v/>
      </c>
      <c r="BX39" s="66" t="n"/>
      <c r="BY39" s="78">
        <f>IF(OR(BX$4=0,BX39=""),"",IFERROR(ROUND(BX39/INDEX(Undirviðmið!$F$6:$F$205,BX$4)*INDEX(Undirviðmið!$E$6:$E$205,BX$4)*KVARDI,2),""))</f>
        <v/>
      </c>
      <c r="BZ39" s="66" t="n"/>
      <c r="CA39" s="78">
        <f>IF(OR(BZ$4=0,BZ39=""),"",IFERROR(ROUND(BZ39/INDEX(Undirviðmið!$F$6:$F$205,BZ$4)*INDEX(Undirviðmið!$E$6:$E$205,BZ$4)*KVARDI,2),""))</f>
        <v/>
      </c>
      <c r="CB39" s="66" t="n"/>
      <c r="CC39" s="78">
        <f>IF(OR(CB$4=0,CB39=""),"",IFERROR(ROUND(CB39/INDEX(Undirviðmið!$F$6:$F$205,CB$4)*INDEX(Undirviðmið!$E$6:$E$205,CB$4)*KVARDI,2),""))</f>
        <v/>
      </c>
      <c r="CD39" s="66" t="n"/>
      <c r="CE39" s="78">
        <f>IF(OR(CD$4=0,CD39=""),"",IFERROR(ROUND(CD39/INDEX(Undirviðmið!$F$6:$F$205,CD$4)*INDEX(Undirviðmið!$E$6:$E$205,CD$4)*KVARDI,2),""))</f>
        <v/>
      </c>
      <c r="CF39" s="66" t="n"/>
      <c r="CG39" s="78">
        <f>IF(OR(CF$4=0,CF39=""),"",IFERROR(ROUND(CF39/INDEX(Undirviðmið!$F$6:$F$205,CF$4)*INDEX(Undirviðmið!$E$6:$E$205,CF$4)*KVARDI,2),""))</f>
        <v/>
      </c>
      <c r="CH39" s="66" t="n"/>
      <c r="CI39" s="78">
        <f>IF(OR(CH$4=0,CH39=""),"",IFERROR(ROUND(CH39/INDEX(Undirviðmið!$F$6:$F$205,CH$4)*INDEX(Undirviðmið!$E$6:$E$205,CH$4)*KVARDI,2),""))</f>
        <v/>
      </c>
      <c r="CJ39" s="66" t="n"/>
      <c r="CK39" s="78">
        <f>IF(OR(CJ$4=0,CJ39=""),"",IFERROR(ROUND(CJ39/INDEX(Undirviðmið!$F$6:$F$205,CJ$4)*INDEX(Undirviðmið!$E$6:$E$205,CJ$4)*KVARDI,2),""))</f>
        <v/>
      </c>
      <c r="CL39" s="66" t="n"/>
      <c r="CM39" s="78">
        <f>IF(OR(CL$4=0,CL39=""),"",IFERROR(ROUND(CL39/INDEX(Undirviðmið!$F$6:$F$205,CL$4)*INDEX(Undirviðmið!$E$6:$E$205,CL$4)*KVARDI,2),""))</f>
        <v/>
      </c>
      <c r="CN39" s="66" t="n"/>
      <c r="CO39" s="78">
        <f>IF(OR(CN$4=0,CN39=""),"",IFERROR(ROUND(CN39/INDEX(Undirviðmið!$F$6:$F$205,CN$4)*INDEX(Undirviðmið!$E$6:$E$205,CN$4)*KVARDI,2),""))</f>
        <v/>
      </c>
      <c r="CP39" s="66" t="n"/>
      <c r="CQ39" s="78">
        <f>IF(OR(CP$4=0,CP39=""),"",IFERROR(ROUND(CP39/INDEX(Undirviðmið!$F$6:$F$205,CP$4)*INDEX(Undirviðmið!$E$6:$E$205,CP$4)*KVARDI,2),""))</f>
        <v/>
      </c>
      <c r="CR39" s="66" t="n"/>
      <c r="CS39" s="78">
        <f>IF(OR(CR$4=0,CR39=""),"",IFERROR(ROUND(CR39/INDEX(Undirviðmið!$F$6:$F$205,CR$4)*INDEX(Undirviðmið!$E$6:$E$205,CR$4)*KVARDI,2),""))</f>
        <v/>
      </c>
      <c r="CT39" s="66" t="n"/>
      <c r="CU39" s="78">
        <f>IF(OR(CT$4=0,CT39=""),"",IFERROR(ROUND(CT39/INDEX(Undirviðmið!$F$6:$F$205,CT$4)*INDEX(Undirviðmið!$E$6:$E$205,CT$4)*KVARDI,2),""))</f>
        <v/>
      </c>
      <c r="CV39" s="66" t="n"/>
      <c r="CW39" s="78">
        <f>IF(OR(CV$4=0,CV39=""),"",IFERROR(ROUND(CV39/INDEX(Undirviðmið!$F$6:$F$205,CV$4)*INDEX(Undirviðmið!$E$6:$E$205,CV$4)*KVARDI,2),""))</f>
        <v/>
      </c>
      <c r="CX39" s="66" t="n"/>
      <c r="CY39" s="78">
        <f>IF(OR(CX$4=0,CX39=""),"",IFERROR(ROUND(CX39/INDEX(Undirviðmið!$F$6:$F$205,CX$4)*INDEX(Undirviðmið!$E$6:$E$205,CX$4)*KVARDI,2),""))</f>
        <v/>
      </c>
      <c r="CZ39" s="66" t="n"/>
      <c r="DA39" s="78">
        <f>IF(OR(CZ$4=0,CZ39=""),"",IFERROR(ROUND(CZ39/INDEX(Undirviðmið!$F$6:$F$205,CZ$4)*INDEX(Undirviðmið!$E$6:$E$205,CZ$4)*KVARDI,2),""))</f>
        <v/>
      </c>
      <c r="DB39" s="66" t="n"/>
      <c r="DC39" s="78">
        <f>IF(OR(DB$4=0,DB39=""),"",IFERROR(ROUND(DB39/INDEX(Undirviðmið!$F$6:$F$205,DB$4)*INDEX(Undirviðmið!$E$6:$E$205,DB$4)*KVARDI,2),""))</f>
        <v/>
      </c>
      <c r="DD39" s="66" t="n"/>
      <c r="DE39" s="78">
        <f>IF(OR(DD$4=0,DD39=""),"",IFERROR(ROUND(DD39/INDEX(Undirviðmið!$F$6:$F$205,DD$4)*INDEX(Undirviðmið!$E$6:$E$205,DD$4)*KVARDI,2),""))</f>
        <v/>
      </c>
      <c r="DF39" s="66" t="n"/>
      <c r="DG39" s="78">
        <f>IF(OR(DF$4=0,DF39=""),"",IFERROR(ROUND(DF39/INDEX(Undirviðmið!$F$6:$F$205,DF$4)*INDEX(Undirviðmið!$E$6:$E$205,DF$4)*KVARDI,2),""))</f>
        <v/>
      </c>
      <c r="DH39" s="66" t="n"/>
      <c r="DI39" s="78">
        <f>IF(OR(DH$4=0,DH39=""),"",IFERROR(ROUND(DH39/INDEX(Undirviðmið!$F$6:$F$205,DH$4)*INDEX(Undirviðmið!$E$6:$E$205,DH$4)*KVARDI,2),""))</f>
        <v/>
      </c>
      <c r="DJ39" s="66" t="n"/>
      <c r="DK39" s="78">
        <f>IF(OR(DJ$4=0,DJ39=""),"",IFERROR(ROUND(DJ39/INDEX(Undirviðmið!$F$6:$F$205,DJ$4)*INDEX(Undirviðmið!$E$6:$E$205,DJ$4)*KVARDI,2),""))</f>
        <v/>
      </c>
      <c r="DL39" s="66" t="n"/>
      <c r="DM39" s="78">
        <f>IF(OR(DL$4=0,DL39=""),"",IFERROR(ROUND(DL39/INDEX(Undirviðmið!$F$6:$F$205,DL$4)*INDEX(Undirviðmið!$E$6:$E$205,DL$4)*KVARDI,2),""))</f>
        <v/>
      </c>
      <c r="DN39" s="66" t="n"/>
      <c r="DO39" s="78">
        <f>IF(OR(DN$4=0,DN39=""),"",IFERROR(ROUND(DN39/INDEX(Undirviðmið!$F$6:$F$205,DN$4)*INDEX(Undirviðmið!$E$6:$E$205,DN$4)*KVARDI,2),""))</f>
        <v/>
      </c>
      <c r="DP39" s="66" t="n"/>
      <c r="DQ39" s="78">
        <f>IF(OR(DP$4=0,DP39=""),"",IFERROR(ROUND(DP39/INDEX(Undirviðmið!$F$6:$F$205,DP$4)*INDEX(Undirviðmið!$E$6:$E$205,DP$4)*KVARDI,2),""))</f>
        <v/>
      </c>
      <c r="DR39" s="66" t="n"/>
      <c r="DS39" s="78">
        <f>IF(OR(DR$4=0,DR39=""),"",IFERROR(ROUND(DR39/INDEX(Undirviðmið!$F$6:$F$205,DR$4)*INDEX(Undirviðmið!$E$6:$E$205,DR$4)*KVARDI,2),""))</f>
        <v/>
      </c>
      <c r="DT39" s="66" t="n"/>
      <c r="DU39" s="78">
        <f>IF(OR(DT$4=0,DT39=""),"",IFERROR(ROUND(DT39/INDEX(Undirviðmið!$F$6:$F$205,DT$4)*INDEX(Undirviðmið!$E$6:$E$205,DT$4)*KVARDI,2),""))</f>
        <v/>
      </c>
      <c r="DV39" s="66" t="n"/>
      <c r="DW39" s="78">
        <f>IF(OR(DV$4=0,DV39=""),"",IFERROR(ROUND(DV39/INDEX(Undirviðmið!$F$6:$F$205,DV$4)*INDEX(Undirviðmið!$E$6:$E$205,DV$4)*KVARDI,2),""))</f>
        <v/>
      </c>
      <c r="DX39" s="66" t="n"/>
      <c r="DY39" s="78">
        <f>IF(OR(DX$4=0,DX39=""),"",IFERROR(ROUND(DX39/INDEX(Undirviðmið!$F$6:$F$205,DX$4)*INDEX(Undirviðmið!$E$6:$E$205,DX$4)*KVARDI,2),""))</f>
        <v/>
      </c>
      <c r="DZ39" s="66" t="n"/>
      <c r="EA39" s="78">
        <f>IF(OR(DZ$4=0,DZ39=""),"",IFERROR(ROUND(DZ39/INDEX(Undirviðmið!$F$6:$F$205,DZ$4)*INDEX(Undirviðmið!$E$6:$E$205,DZ$4)*KVARDI,2),""))</f>
        <v/>
      </c>
      <c r="EB39" s="66" t="n"/>
      <c r="EC39" s="78">
        <f>IF(OR(EB$4=0,EB39=""),"",IFERROR(ROUND(EB39/INDEX(Undirviðmið!$F$6:$F$205,EB$4)*INDEX(Undirviðmið!$E$6:$E$205,EB$4)*KVARDI,2),""))</f>
        <v/>
      </c>
      <c r="ED39" s="66" t="n"/>
      <c r="EE39" s="78">
        <f>IF(OR(ED$4=0,ED39=""),"",IFERROR(ROUND(ED39/INDEX(Undirviðmið!$F$6:$F$205,ED$4)*INDEX(Undirviðmið!$E$6:$E$205,ED$4)*KVARDI,2),""))</f>
        <v/>
      </c>
      <c r="EF39" s="66" t="n"/>
      <c r="EG39" s="78">
        <f>IF(OR(EF$4=0,EF39=""),"",IFERROR(ROUND(EF39/INDEX(Undirviðmið!$F$6:$F$205,EF$4)*INDEX(Undirviðmið!$E$6:$E$205,EF$4)*KVARDI,2),""))</f>
        <v/>
      </c>
      <c r="EH39" s="66" t="n"/>
      <c r="EI39" s="78">
        <f>IF(OR(EH$4=0,EH39=""),"",IFERROR(ROUND(EH39/INDEX(Undirviðmið!$F$6:$F$205,EH$4)*INDEX(Undirviðmið!$E$6:$E$205,EH$4)*KVARDI,2),""))</f>
        <v/>
      </c>
      <c r="EJ39" s="66" t="n"/>
      <c r="EK39" s="78">
        <f>IF(OR(EJ$4=0,EJ39=""),"",IFERROR(ROUND(EJ39/INDEX(Undirviðmið!$F$6:$F$205,EJ$4)*INDEX(Undirviðmið!$E$6:$E$205,EJ$4)*KVARDI,2),""))</f>
        <v/>
      </c>
      <c r="EL39" s="66" t="n"/>
      <c r="EM39" s="78">
        <f>IF(OR(EL$4=0,EL39=""),"",IFERROR(ROUND(EL39/INDEX(Undirviðmið!$F$6:$F$205,EL$4)*INDEX(Undirviðmið!$E$6:$E$205,EL$4)*KVARDI,2),""))</f>
        <v/>
      </c>
      <c r="EN39" s="66" t="n"/>
      <c r="EO39" s="78">
        <f>IF(OR(EN$4=0,EN39=""),"",IFERROR(ROUND(EN39/INDEX(Undirviðmið!$F$6:$F$205,EN$4)*INDEX(Undirviðmið!$E$6:$E$205,EN$4)*KVARDI,2),""))</f>
        <v/>
      </c>
      <c r="EP39" s="66" t="n"/>
      <c r="EQ39" s="78">
        <f>IF(OR(EP$4=0,EP39=""),"",IFERROR(ROUND(EP39/INDEX(Undirviðmið!$F$6:$F$205,EP$4)*INDEX(Undirviðmið!$E$6:$E$205,EP$4)*KVARDI,2),""))</f>
        <v/>
      </c>
      <c r="ER39" s="66" t="n"/>
      <c r="ES39" s="78">
        <f>IF(OR(ER$4=0,ER39=""),"",IFERROR(ROUND(ER39/INDEX(Undirviðmið!$F$6:$F$205,ER$4)*INDEX(Undirviðmið!$E$6:$E$205,ER$4)*KVARDI,2),""))</f>
        <v/>
      </c>
      <c r="ET39" s="66" t="n"/>
      <c r="EU39" s="78">
        <f>IF(OR(ET$4=0,ET39=""),"",IFERROR(ROUND(ET39/INDEX(Undirviðmið!$F$6:$F$205,ET$4)*INDEX(Undirviðmið!$E$6:$E$205,ET$4)*KVARDI,2),""))</f>
        <v/>
      </c>
      <c r="EV39" s="66" t="n"/>
      <c r="EW39" s="78">
        <f>IF(OR(EV$4=0,EV39=""),"",IFERROR(ROUND(EV39/INDEX(Undirviðmið!$F$6:$F$205,EV$4)*INDEX(Undirviðmið!$E$6:$E$205,EV$4)*KVARDI,2),""))</f>
        <v/>
      </c>
      <c r="EX39" s="66" t="n"/>
      <c r="EY39" s="78">
        <f>IF(OR(EX$4=0,EX39=""),"",IFERROR(ROUND(EX39/INDEX(Undirviðmið!$F$6:$F$205,EX$4)*INDEX(Undirviðmið!$E$6:$E$205,EX$4)*KVARDI,2),""))</f>
        <v/>
      </c>
      <c r="EZ39" s="66" t="n"/>
      <c r="FA39" s="78">
        <f>IF(OR(EZ$4=0,EZ39=""),"",IFERROR(ROUND(EZ39/INDEX(Undirviðmið!$F$6:$F$205,EZ$4)*INDEX(Undirviðmið!$E$6:$E$205,EZ$4)*KVARDI,2),""))</f>
        <v/>
      </c>
      <c r="FB39" s="66" t="n"/>
      <c r="FC39" s="78">
        <f>IF(OR(FB$4=0,FB39=""),"",IFERROR(ROUND(FB39/INDEX(Undirviðmið!$F$6:$F$205,FB$4)*INDEX(Undirviðmið!$E$6:$E$205,FB$4)*KVARDI,2),""))</f>
        <v/>
      </c>
      <c r="FD39" s="66" t="n"/>
      <c r="FE39" s="78">
        <f>IF(OR(FD$4=0,FD39=""),"",IFERROR(ROUND(FD39/INDEX(Undirviðmið!$F$6:$F$205,FD$4)*INDEX(Undirviðmið!$E$6:$E$205,FD$4)*KVARDI,2),""))</f>
        <v/>
      </c>
      <c r="FF39" s="66" t="n"/>
      <c r="FG39" s="78">
        <f>IF(OR(FF$4=0,FF39=""),"",IFERROR(ROUND(FF39/INDEX(Undirviðmið!$F$6:$F$205,FF$4)*INDEX(Undirviðmið!$E$6:$E$205,FF$4)*KVARDI,2),""))</f>
        <v/>
      </c>
      <c r="FH39" s="66" t="n"/>
      <c r="FI39" s="78">
        <f>IF(OR(FH$4=0,FH39=""),"",IFERROR(ROUND(FH39/INDEX(Undirviðmið!$F$6:$F$205,FH$4)*INDEX(Undirviðmið!$E$6:$E$205,FH$4)*KVARDI,2),""))</f>
        <v/>
      </c>
      <c r="FJ39" s="66" t="n"/>
      <c r="FK39" s="78">
        <f>IF(OR(FJ$4=0,FJ39=""),"",IFERROR(ROUND(FJ39/INDEX(Undirviðmið!$F$6:$F$205,FJ$4)*INDEX(Undirviðmið!$E$6:$E$205,FJ$4)*KVARDI,2),""))</f>
        <v/>
      </c>
      <c r="FL39" s="66" t="n"/>
      <c r="FM39" s="78">
        <f>IF(OR(FL$4=0,FL39=""),"",IFERROR(ROUND(FL39/INDEX(Undirviðmið!$F$6:$F$205,FL$4)*INDEX(Undirviðmið!$E$6:$E$205,FL$4)*KVARDI,2),""))</f>
        <v/>
      </c>
      <c r="FN39" s="66" t="n"/>
      <c r="FO39" s="78">
        <f>IF(OR(FN$4=0,FN39=""),"",IFERROR(ROUND(FN39/INDEX(Undirviðmið!$F$6:$F$205,FN$4)*INDEX(Undirviðmið!$E$6:$E$205,FN$4)*KVARDI,2),""))</f>
        <v/>
      </c>
      <c r="FP39" s="66" t="n"/>
      <c r="FQ39" s="78">
        <f>IF(OR(FP$4=0,FP39=""),"",IFERROR(ROUND(FP39/INDEX(Undirviðmið!$F$6:$F$205,FP$4)*INDEX(Undirviðmið!$E$6:$E$205,FP$4)*KVARDI,2),""))</f>
        <v/>
      </c>
      <c r="FR39" s="66" t="n"/>
      <c r="FS39" s="78">
        <f>IF(OR(FR$4=0,FR39=""),"",IFERROR(ROUND(FR39/INDEX(Undirviðmið!$F$6:$F$205,FR$4)*INDEX(Undirviðmið!$E$6:$E$205,FR$4)*KVARDI,2),""))</f>
        <v/>
      </c>
      <c r="FT39" s="66" t="n"/>
      <c r="FU39" s="78">
        <f>IF(OR(FT$4=0,FT39=""),"",IFERROR(ROUND(FT39/INDEX(Undirviðmið!$F$6:$F$205,FT$4)*INDEX(Undirviðmið!$E$6:$E$205,FT$4)*KVARDI,2),""))</f>
        <v/>
      </c>
      <c r="FV39" s="66" t="n"/>
      <c r="FW39" s="78">
        <f>IF(OR(FV$4=0,FV39=""),"",IFERROR(ROUND(FV39/INDEX(Undirviðmið!$F$6:$F$205,FV$4)*INDEX(Undirviðmið!$E$6:$E$205,FV$4)*KVARDI,2),""))</f>
        <v/>
      </c>
      <c r="FX39" s="66" t="n"/>
      <c r="FY39" s="78">
        <f>IF(OR(FX$4=0,FX39=""),"",IFERROR(ROUND(FX39/INDEX(Undirviðmið!$F$6:$F$205,FX$4)*INDEX(Undirviðmið!$E$6:$E$205,FX$4)*KVARDI,2),""))</f>
        <v/>
      </c>
      <c r="FZ39" s="66" t="n"/>
      <c r="GA39" s="78">
        <f>IF(OR(FZ$4=0,FZ39=""),"",IFERROR(ROUND(FZ39/INDEX(Undirviðmið!$F$6:$F$205,FZ$4)*INDEX(Undirviðmið!$E$6:$E$205,FZ$4)*KVARDI,2),""))</f>
        <v/>
      </c>
      <c r="GB39" s="66" t="n"/>
      <c r="GC39" s="78">
        <f>IF(OR(GB$4=0,GB39=""),"",IFERROR(ROUND(GB39/INDEX(Undirviðmið!$F$6:$F$205,GB$4)*INDEX(Undirviðmið!$E$6:$E$205,GB$4)*KVARDI,2),""))</f>
        <v/>
      </c>
      <c r="GD39" s="66" t="n"/>
      <c r="GE39" s="78">
        <f>IF(OR(GD$4=0,GD39=""),"",IFERROR(ROUND(GD39/INDEX(Undirviðmið!$F$6:$F$205,GD$4)*INDEX(Undirviðmið!$E$6:$E$205,GD$4)*KVARDI,2),""))</f>
        <v/>
      </c>
      <c r="GF39" s="66" t="n"/>
      <c r="GG39" s="78">
        <f>IF(OR(GF$4=0,GF39=""),"",IFERROR(ROUND(GF39/INDEX(Undirviðmið!$F$6:$F$205,GF$4)*INDEX(Undirviðmið!$E$6:$E$205,GF$4)*KVARDI,2),""))</f>
        <v/>
      </c>
      <c r="GH39" s="66" t="n"/>
      <c r="GI39" s="78">
        <f>IF(OR(GH$4=0,GH39=""),"",IFERROR(ROUND(GH39/INDEX(Undirviðmið!$F$6:$F$205,GH$4)*INDEX(Undirviðmið!$E$6:$E$205,GH$4)*KVARDI,2),""))</f>
        <v/>
      </c>
      <c r="GJ39" s="66" t="n"/>
      <c r="GK39" s="78">
        <f>IF(OR(GJ$4=0,GJ39=""),"",IFERROR(ROUND(GJ39/INDEX(Undirviðmið!$F$6:$F$205,GJ$4)*INDEX(Undirviðmið!$E$6:$E$205,GJ$4)*KVARDI,2),""))</f>
        <v/>
      </c>
      <c r="GL39" s="66" t="n"/>
      <c r="GM39" s="78">
        <f>IF(OR(GL$4=0,GL39=""),"",IFERROR(ROUND(GL39/INDEX(Undirviðmið!$F$6:$F$205,GL$4)*INDEX(Undirviðmið!$E$6:$E$205,GL$4)*KVARDI,2),""))</f>
        <v/>
      </c>
      <c r="GN39" s="66" t="n"/>
      <c r="GO39" s="78">
        <f>IF(OR(GN$4=0,GN39=""),"",IFERROR(ROUND(GN39/INDEX(Undirviðmið!$F$6:$F$205,GN$4)*INDEX(Undirviðmið!$E$6:$E$205,GN$4)*KVARDI,2),""))</f>
        <v/>
      </c>
      <c r="GP39" s="66" t="n"/>
      <c r="GQ39" s="78">
        <f>IF(OR(GP$4=0,GP39=""),"",IFERROR(ROUND(GP39/INDEX(Undirviðmið!$F$6:$F$205,GP$4)*INDEX(Undirviðmið!$E$6:$E$205,GP$4)*KVARDI,2),""))</f>
        <v/>
      </c>
      <c r="GR39" s="66" t="n"/>
      <c r="GS39" s="78">
        <f>IF(OR(GR$4=0,GR39=""),"",IFERROR(ROUND(GR39/INDEX(Undirviðmið!$F$6:$F$205,GR$4)*INDEX(Undirviðmið!$E$6:$E$205,GR$4)*KVARDI,2),""))</f>
        <v/>
      </c>
      <c r="GT39" s="66" t="n"/>
      <c r="GU39" s="78">
        <f>IF(OR(GT$4=0,GT39=""),"",IFERROR(ROUND(GT39/INDEX(Undirviðmið!$F$6:$F$205,GT$4)*INDEX(Undirviðmið!$E$6:$E$205,GT$4)*KVARDI,2),""))</f>
        <v/>
      </c>
      <c r="GV39" s="63">
        <f>IFERROR(SUMIF($D$6:GU$6,"Stig",$D39:GU39),0)</f>
        <v/>
      </c>
    </row>
    <row r="40" ht="15" customHeight="1" s="47">
      <c r="A40" s="65">
        <f>ROW()-6</f>
        <v/>
      </c>
      <c r="B40" s="67">
        <f>IF(INDEX(Starfsmenn!$B$6:$B$10005,ROW()-6)="","",INDEX(Starfsmenn!$B$6:$B$10005,ROW()-6))</f>
        <v/>
      </c>
      <c r="C40" s="67">
        <f>IF(INDEX(Starfsmenn!$C$6:$C$10005,ROW()-6)="","",INDEX(Starfsmenn!$C$6:$C$10005,ROW()-6))</f>
        <v/>
      </c>
      <c r="D40" s="66" t="n"/>
      <c r="E40" s="78">
        <f>IF(OR(D$4=0,D40=""),"",IFERROR(ROUND(D40/INDEX(Undirviðmið!$F$6:$F$205,D$4)*INDEX(Undirviðmið!$E$6:$E$205,D$4)*KVARDI,2),""))</f>
        <v/>
      </c>
      <c r="F40" s="66" t="n"/>
      <c r="G40" s="78">
        <f>IF(OR(F$4=0,F40=""),"",IFERROR(ROUND(F40/INDEX(Undirviðmið!$F$6:$F$205,F$4)*INDEX(Undirviðmið!$E$6:$E$205,F$4)*KVARDI,2),""))</f>
        <v/>
      </c>
      <c r="H40" s="66" t="n"/>
      <c r="I40" s="78">
        <f>IF(OR(H$4=0,H40=""),"",IFERROR(ROUND(H40/INDEX(Undirviðmið!$F$6:$F$205,H$4)*INDEX(Undirviðmið!$E$6:$E$205,H$4)*KVARDI,2),""))</f>
        <v/>
      </c>
      <c r="J40" s="66" t="n"/>
      <c r="K40" s="78">
        <f>IF(OR(J$4=0,J40=""),"",IFERROR(ROUND(J40/INDEX(Undirviðmið!$F$6:$F$205,J$4)*INDEX(Undirviðmið!$E$6:$E$205,J$4)*KVARDI,2),""))</f>
        <v/>
      </c>
      <c r="L40" s="66" t="n"/>
      <c r="M40" s="78">
        <f>IF(OR(L$4=0,L40=""),"",IFERROR(ROUND(L40/INDEX(Undirviðmið!$F$6:$F$205,L$4)*INDEX(Undirviðmið!$E$6:$E$205,L$4)*KVARDI,2),""))</f>
        <v/>
      </c>
      <c r="N40" s="66" t="n"/>
      <c r="O40" s="78">
        <f>IF(OR(N$4=0,N40=""),"",IFERROR(ROUND(N40/INDEX(Undirviðmið!$F$6:$F$205,N$4)*INDEX(Undirviðmið!$E$6:$E$205,N$4)*KVARDI,2),""))</f>
        <v/>
      </c>
      <c r="P40" s="66" t="n"/>
      <c r="Q40" s="78">
        <f>IF(OR(P$4=0,P40=""),"",IFERROR(ROUND(P40/INDEX(Undirviðmið!$F$6:$F$205,P$4)*INDEX(Undirviðmið!$E$6:$E$205,P$4)*KVARDI,2),""))</f>
        <v/>
      </c>
      <c r="R40" s="66" t="n"/>
      <c r="S40" s="78">
        <f>IF(OR(R$4=0,R40=""),"",IFERROR(ROUND(R40/INDEX(Undirviðmið!$F$6:$F$205,R$4)*INDEX(Undirviðmið!$E$6:$E$205,R$4)*KVARDI,2),""))</f>
        <v/>
      </c>
      <c r="T40" s="66" t="n"/>
      <c r="U40" s="78">
        <f>IF(OR(T$4=0,T40=""),"",IFERROR(ROUND(T40/INDEX(Undirviðmið!$F$6:$F$205,T$4)*INDEX(Undirviðmið!$E$6:$E$205,T$4)*KVARDI,2),""))</f>
        <v/>
      </c>
      <c r="V40" s="66" t="n"/>
      <c r="W40" s="78">
        <f>IF(OR(V$4=0,V40=""),"",IFERROR(ROUND(V40/INDEX(Undirviðmið!$F$6:$F$205,V$4)*INDEX(Undirviðmið!$E$6:$E$205,V$4)*KVARDI,2),""))</f>
        <v/>
      </c>
      <c r="X40" s="66" t="n"/>
      <c r="Y40" s="78">
        <f>IF(OR(X$4=0,X40=""),"",IFERROR(ROUND(X40/INDEX(Undirviðmið!$F$6:$F$205,X$4)*INDEX(Undirviðmið!$E$6:$E$205,X$4)*KVARDI,2),""))</f>
        <v/>
      </c>
      <c r="Z40" s="66" t="n"/>
      <c r="AA40" s="78">
        <f>IF(OR(Z$4=0,Z40=""),"",IFERROR(ROUND(Z40/INDEX(Undirviðmið!$F$6:$F$205,Z$4)*INDEX(Undirviðmið!$E$6:$E$205,Z$4)*KVARDI,2),""))</f>
        <v/>
      </c>
      <c r="AB40" s="66" t="n"/>
      <c r="AC40" s="78">
        <f>IF(OR(AB$4=0,AB40=""),"",IFERROR(ROUND(AB40/INDEX(Undirviðmið!$F$6:$F$205,AB$4)*INDEX(Undirviðmið!$E$6:$E$205,AB$4)*KVARDI,2),""))</f>
        <v/>
      </c>
      <c r="AD40" s="66" t="n"/>
      <c r="AE40" s="78">
        <f>IF(OR(AD$4=0,AD40=""),"",IFERROR(ROUND(AD40/INDEX(Undirviðmið!$F$6:$F$205,AD$4)*INDEX(Undirviðmið!$E$6:$E$205,AD$4)*KVARDI,2),""))</f>
        <v/>
      </c>
      <c r="AF40" s="66" t="n"/>
      <c r="AG40" s="78">
        <f>IF(OR(AF$4=0,AF40=""),"",IFERROR(ROUND(AF40/INDEX(Undirviðmið!$F$6:$F$205,AF$4)*INDEX(Undirviðmið!$E$6:$E$205,AF$4)*KVARDI,2),""))</f>
        <v/>
      </c>
      <c r="AH40" s="66" t="n"/>
      <c r="AI40" s="78">
        <f>IF(OR(AH$4=0,AH40=""),"",IFERROR(ROUND(AH40/INDEX(Undirviðmið!$F$6:$F$205,AH$4)*INDEX(Undirviðmið!$E$6:$E$205,AH$4)*KVARDI,2),""))</f>
        <v/>
      </c>
      <c r="AJ40" s="66" t="n"/>
      <c r="AK40" s="78">
        <f>IF(OR(AJ$4=0,AJ40=""),"",IFERROR(ROUND(AJ40/INDEX(Undirviðmið!$F$6:$F$205,AJ$4)*INDEX(Undirviðmið!$E$6:$E$205,AJ$4)*KVARDI,2),""))</f>
        <v/>
      </c>
      <c r="AL40" s="66" t="n"/>
      <c r="AM40" s="78">
        <f>IF(OR(AL$4=0,AL40=""),"",IFERROR(ROUND(AL40/INDEX(Undirviðmið!$F$6:$F$205,AL$4)*INDEX(Undirviðmið!$E$6:$E$205,AL$4)*KVARDI,2),""))</f>
        <v/>
      </c>
      <c r="AN40" s="66" t="n"/>
      <c r="AO40" s="78">
        <f>IF(OR(AN$4=0,AN40=""),"",IFERROR(ROUND(AN40/INDEX(Undirviðmið!$F$6:$F$205,AN$4)*INDEX(Undirviðmið!$E$6:$E$205,AN$4)*KVARDI,2),""))</f>
        <v/>
      </c>
      <c r="AP40" s="66" t="n"/>
      <c r="AQ40" s="78">
        <f>IF(OR(AP$4=0,AP40=""),"",IFERROR(ROUND(AP40/INDEX(Undirviðmið!$F$6:$F$205,AP$4)*INDEX(Undirviðmið!$E$6:$E$205,AP$4)*KVARDI,2),""))</f>
        <v/>
      </c>
      <c r="AR40" s="66" t="n"/>
      <c r="AS40" s="78">
        <f>IF(OR(AR$4=0,AR40=""),"",IFERROR(ROUND(AR40/INDEX(Undirviðmið!$F$6:$F$205,AR$4)*INDEX(Undirviðmið!$E$6:$E$205,AR$4)*KVARDI,2),""))</f>
        <v/>
      </c>
      <c r="AT40" s="66" t="n"/>
      <c r="AU40" s="78">
        <f>IF(OR(AT$4=0,AT40=""),"",IFERROR(ROUND(AT40/INDEX(Undirviðmið!$F$6:$F$205,AT$4)*INDEX(Undirviðmið!$E$6:$E$205,AT$4)*KVARDI,2),""))</f>
        <v/>
      </c>
      <c r="AV40" s="66" t="n"/>
      <c r="AW40" s="78">
        <f>IF(OR(AV$4=0,AV40=""),"",IFERROR(ROUND(AV40/INDEX(Undirviðmið!$F$6:$F$205,AV$4)*INDEX(Undirviðmið!$E$6:$E$205,AV$4)*KVARDI,2),""))</f>
        <v/>
      </c>
      <c r="AX40" s="66" t="n"/>
      <c r="AY40" s="78">
        <f>IF(OR(AX$4=0,AX40=""),"",IFERROR(ROUND(AX40/INDEX(Undirviðmið!$F$6:$F$205,AX$4)*INDEX(Undirviðmið!$E$6:$E$205,AX$4)*KVARDI,2),""))</f>
        <v/>
      </c>
      <c r="AZ40" s="66" t="n"/>
      <c r="BA40" s="78">
        <f>IF(OR(AZ$4=0,AZ40=""),"",IFERROR(ROUND(AZ40/INDEX(Undirviðmið!$F$6:$F$205,AZ$4)*INDEX(Undirviðmið!$E$6:$E$205,AZ$4)*KVARDI,2),""))</f>
        <v/>
      </c>
      <c r="BB40" s="66" t="n"/>
      <c r="BC40" s="78">
        <f>IF(OR(BB$4=0,BB40=""),"",IFERROR(ROUND(BB40/INDEX(Undirviðmið!$F$6:$F$205,BB$4)*INDEX(Undirviðmið!$E$6:$E$205,BB$4)*KVARDI,2),""))</f>
        <v/>
      </c>
      <c r="BD40" s="66" t="n"/>
      <c r="BE40" s="78">
        <f>IF(OR(BD$4=0,BD40=""),"",IFERROR(ROUND(BD40/INDEX(Undirviðmið!$F$6:$F$205,BD$4)*INDEX(Undirviðmið!$E$6:$E$205,BD$4)*KVARDI,2),""))</f>
        <v/>
      </c>
      <c r="BF40" s="66" t="n"/>
      <c r="BG40" s="78">
        <f>IF(OR(BF$4=0,BF40=""),"",IFERROR(ROUND(BF40/INDEX(Undirviðmið!$F$6:$F$205,BF$4)*INDEX(Undirviðmið!$E$6:$E$205,BF$4)*KVARDI,2),""))</f>
        <v/>
      </c>
      <c r="BH40" s="66" t="n"/>
      <c r="BI40" s="78">
        <f>IF(OR(BH$4=0,BH40=""),"",IFERROR(ROUND(BH40/INDEX(Undirviðmið!$F$6:$F$205,BH$4)*INDEX(Undirviðmið!$E$6:$E$205,BH$4)*KVARDI,2),""))</f>
        <v/>
      </c>
      <c r="BJ40" s="66" t="n"/>
      <c r="BK40" s="78">
        <f>IF(OR(BJ$4=0,BJ40=""),"",IFERROR(ROUND(BJ40/INDEX(Undirviðmið!$F$6:$F$205,BJ$4)*INDEX(Undirviðmið!$E$6:$E$205,BJ$4)*KVARDI,2),""))</f>
        <v/>
      </c>
      <c r="BL40" s="66" t="n"/>
      <c r="BM40" s="78">
        <f>IF(OR(BL$4=0,BL40=""),"",IFERROR(ROUND(BL40/INDEX(Undirviðmið!$F$6:$F$205,BL$4)*INDEX(Undirviðmið!$E$6:$E$205,BL$4)*KVARDI,2),""))</f>
        <v/>
      </c>
      <c r="BN40" s="66" t="n"/>
      <c r="BO40" s="78">
        <f>IF(OR(BN$4=0,BN40=""),"",IFERROR(ROUND(BN40/INDEX(Undirviðmið!$F$6:$F$205,BN$4)*INDEX(Undirviðmið!$E$6:$E$205,BN$4)*KVARDI,2),""))</f>
        <v/>
      </c>
      <c r="BP40" s="66" t="n"/>
      <c r="BQ40" s="78">
        <f>IF(OR(BP$4=0,BP40=""),"",IFERROR(ROUND(BP40/INDEX(Undirviðmið!$F$6:$F$205,BP$4)*INDEX(Undirviðmið!$E$6:$E$205,BP$4)*KVARDI,2),""))</f>
        <v/>
      </c>
      <c r="BR40" s="66" t="n"/>
      <c r="BS40" s="78">
        <f>IF(OR(BR$4=0,BR40=""),"",IFERROR(ROUND(BR40/INDEX(Undirviðmið!$F$6:$F$205,BR$4)*INDEX(Undirviðmið!$E$6:$E$205,BR$4)*KVARDI,2),""))</f>
        <v/>
      </c>
      <c r="BT40" s="66" t="n"/>
      <c r="BU40" s="78">
        <f>IF(OR(BT$4=0,BT40=""),"",IFERROR(ROUND(BT40/INDEX(Undirviðmið!$F$6:$F$205,BT$4)*INDEX(Undirviðmið!$E$6:$E$205,BT$4)*KVARDI,2),""))</f>
        <v/>
      </c>
      <c r="BV40" s="66" t="n"/>
      <c r="BW40" s="78">
        <f>IF(OR(BV$4=0,BV40=""),"",IFERROR(ROUND(BV40/INDEX(Undirviðmið!$F$6:$F$205,BV$4)*INDEX(Undirviðmið!$E$6:$E$205,BV$4)*KVARDI,2),""))</f>
        <v/>
      </c>
      <c r="BX40" s="66" t="n"/>
      <c r="BY40" s="78">
        <f>IF(OR(BX$4=0,BX40=""),"",IFERROR(ROUND(BX40/INDEX(Undirviðmið!$F$6:$F$205,BX$4)*INDEX(Undirviðmið!$E$6:$E$205,BX$4)*KVARDI,2),""))</f>
        <v/>
      </c>
      <c r="BZ40" s="66" t="n"/>
      <c r="CA40" s="78">
        <f>IF(OR(BZ$4=0,BZ40=""),"",IFERROR(ROUND(BZ40/INDEX(Undirviðmið!$F$6:$F$205,BZ$4)*INDEX(Undirviðmið!$E$6:$E$205,BZ$4)*KVARDI,2),""))</f>
        <v/>
      </c>
      <c r="CB40" s="66" t="n"/>
      <c r="CC40" s="78">
        <f>IF(OR(CB$4=0,CB40=""),"",IFERROR(ROUND(CB40/INDEX(Undirviðmið!$F$6:$F$205,CB$4)*INDEX(Undirviðmið!$E$6:$E$205,CB$4)*KVARDI,2),""))</f>
        <v/>
      </c>
      <c r="CD40" s="66" t="n"/>
      <c r="CE40" s="78">
        <f>IF(OR(CD$4=0,CD40=""),"",IFERROR(ROUND(CD40/INDEX(Undirviðmið!$F$6:$F$205,CD$4)*INDEX(Undirviðmið!$E$6:$E$205,CD$4)*KVARDI,2),""))</f>
        <v/>
      </c>
      <c r="CF40" s="66" t="n"/>
      <c r="CG40" s="78">
        <f>IF(OR(CF$4=0,CF40=""),"",IFERROR(ROUND(CF40/INDEX(Undirviðmið!$F$6:$F$205,CF$4)*INDEX(Undirviðmið!$E$6:$E$205,CF$4)*KVARDI,2),""))</f>
        <v/>
      </c>
      <c r="CH40" s="66" t="n"/>
      <c r="CI40" s="78">
        <f>IF(OR(CH$4=0,CH40=""),"",IFERROR(ROUND(CH40/INDEX(Undirviðmið!$F$6:$F$205,CH$4)*INDEX(Undirviðmið!$E$6:$E$205,CH$4)*KVARDI,2),""))</f>
        <v/>
      </c>
      <c r="CJ40" s="66" t="n"/>
      <c r="CK40" s="78">
        <f>IF(OR(CJ$4=0,CJ40=""),"",IFERROR(ROUND(CJ40/INDEX(Undirviðmið!$F$6:$F$205,CJ$4)*INDEX(Undirviðmið!$E$6:$E$205,CJ$4)*KVARDI,2),""))</f>
        <v/>
      </c>
      <c r="CL40" s="66" t="n"/>
      <c r="CM40" s="78">
        <f>IF(OR(CL$4=0,CL40=""),"",IFERROR(ROUND(CL40/INDEX(Undirviðmið!$F$6:$F$205,CL$4)*INDEX(Undirviðmið!$E$6:$E$205,CL$4)*KVARDI,2),""))</f>
        <v/>
      </c>
      <c r="CN40" s="66" t="n"/>
      <c r="CO40" s="78">
        <f>IF(OR(CN$4=0,CN40=""),"",IFERROR(ROUND(CN40/INDEX(Undirviðmið!$F$6:$F$205,CN$4)*INDEX(Undirviðmið!$E$6:$E$205,CN$4)*KVARDI,2),""))</f>
        <v/>
      </c>
      <c r="CP40" s="66" t="n"/>
      <c r="CQ40" s="78">
        <f>IF(OR(CP$4=0,CP40=""),"",IFERROR(ROUND(CP40/INDEX(Undirviðmið!$F$6:$F$205,CP$4)*INDEX(Undirviðmið!$E$6:$E$205,CP$4)*KVARDI,2),""))</f>
        <v/>
      </c>
      <c r="CR40" s="66" t="n"/>
      <c r="CS40" s="78">
        <f>IF(OR(CR$4=0,CR40=""),"",IFERROR(ROUND(CR40/INDEX(Undirviðmið!$F$6:$F$205,CR$4)*INDEX(Undirviðmið!$E$6:$E$205,CR$4)*KVARDI,2),""))</f>
        <v/>
      </c>
      <c r="CT40" s="66" t="n"/>
      <c r="CU40" s="78">
        <f>IF(OR(CT$4=0,CT40=""),"",IFERROR(ROUND(CT40/INDEX(Undirviðmið!$F$6:$F$205,CT$4)*INDEX(Undirviðmið!$E$6:$E$205,CT$4)*KVARDI,2),""))</f>
        <v/>
      </c>
      <c r="CV40" s="66" t="n"/>
      <c r="CW40" s="78">
        <f>IF(OR(CV$4=0,CV40=""),"",IFERROR(ROUND(CV40/INDEX(Undirviðmið!$F$6:$F$205,CV$4)*INDEX(Undirviðmið!$E$6:$E$205,CV$4)*KVARDI,2),""))</f>
        <v/>
      </c>
      <c r="CX40" s="66" t="n"/>
      <c r="CY40" s="78">
        <f>IF(OR(CX$4=0,CX40=""),"",IFERROR(ROUND(CX40/INDEX(Undirviðmið!$F$6:$F$205,CX$4)*INDEX(Undirviðmið!$E$6:$E$205,CX$4)*KVARDI,2),""))</f>
        <v/>
      </c>
      <c r="CZ40" s="66" t="n"/>
      <c r="DA40" s="78">
        <f>IF(OR(CZ$4=0,CZ40=""),"",IFERROR(ROUND(CZ40/INDEX(Undirviðmið!$F$6:$F$205,CZ$4)*INDEX(Undirviðmið!$E$6:$E$205,CZ$4)*KVARDI,2),""))</f>
        <v/>
      </c>
      <c r="DB40" s="66" t="n"/>
      <c r="DC40" s="78">
        <f>IF(OR(DB$4=0,DB40=""),"",IFERROR(ROUND(DB40/INDEX(Undirviðmið!$F$6:$F$205,DB$4)*INDEX(Undirviðmið!$E$6:$E$205,DB$4)*KVARDI,2),""))</f>
        <v/>
      </c>
      <c r="DD40" s="66" t="n"/>
      <c r="DE40" s="78">
        <f>IF(OR(DD$4=0,DD40=""),"",IFERROR(ROUND(DD40/INDEX(Undirviðmið!$F$6:$F$205,DD$4)*INDEX(Undirviðmið!$E$6:$E$205,DD$4)*KVARDI,2),""))</f>
        <v/>
      </c>
      <c r="DF40" s="66" t="n"/>
      <c r="DG40" s="78">
        <f>IF(OR(DF$4=0,DF40=""),"",IFERROR(ROUND(DF40/INDEX(Undirviðmið!$F$6:$F$205,DF$4)*INDEX(Undirviðmið!$E$6:$E$205,DF$4)*KVARDI,2),""))</f>
        <v/>
      </c>
      <c r="DH40" s="66" t="n"/>
      <c r="DI40" s="78">
        <f>IF(OR(DH$4=0,DH40=""),"",IFERROR(ROUND(DH40/INDEX(Undirviðmið!$F$6:$F$205,DH$4)*INDEX(Undirviðmið!$E$6:$E$205,DH$4)*KVARDI,2),""))</f>
        <v/>
      </c>
      <c r="DJ40" s="66" t="n"/>
      <c r="DK40" s="78">
        <f>IF(OR(DJ$4=0,DJ40=""),"",IFERROR(ROUND(DJ40/INDEX(Undirviðmið!$F$6:$F$205,DJ$4)*INDEX(Undirviðmið!$E$6:$E$205,DJ$4)*KVARDI,2),""))</f>
        <v/>
      </c>
      <c r="DL40" s="66" t="n"/>
      <c r="DM40" s="78">
        <f>IF(OR(DL$4=0,DL40=""),"",IFERROR(ROUND(DL40/INDEX(Undirviðmið!$F$6:$F$205,DL$4)*INDEX(Undirviðmið!$E$6:$E$205,DL$4)*KVARDI,2),""))</f>
        <v/>
      </c>
      <c r="DN40" s="66" t="n"/>
      <c r="DO40" s="78">
        <f>IF(OR(DN$4=0,DN40=""),"",IFERROR(ROUND(DN40/INDEX(Undirviðmið!$F$6:$F$205,DN$4)*INDEX(Undirviðmið!$E$6:$E$205,DN$4)*KVARDI,2),""))</f>
        <v/>
      </c>
      <c r="DP40" s="66" t="n"/>
      <c r="DQ40" s="78">
        <f>IF(OR(DP$4=0,DP40=""),"",IFERROR(ROUND(DP40/INDEX(Undirviðmið!$F$6:$F$205,DP$4)*INDEX(Undirviðmið!$E$6:$E$205,DP$4)*KVARDI,2),""))</f>
        <v/>
      </c>
      <c r="DR40" s="66" t="n"/>
      <c r="DS40" s="78">
        <f>IF(OR(DR$4=0,DR40=""),"",IFERROR(ROUND(DR40/INDEX(Undirviðmið!$F$6:$F$205,DR$4)*INDEX(Undirviðmið!$E$6:$E$205,DR$4)*KVARDI,2),""))</f>
        <v/>
      </c>
      <c r="DT40" s="66" t="n"/>
      <c r="DU40" s="78">
        <f>IF(OR(DT$4=0,DT40=""),"",IFERROR(ROUND(DT40/INDEX(Undirviðmið!$F$6:$F$205,DT$4)*INDEX(Undirviðmið!$E$6:$E$205,DT$4)*KVARDI,2),""))</f>
        <v/>
      </c>
      <c r="DV40" s="66" t="n"/>
      <c r="DW40" s="78">
        <f>IF(OR(DV$4=0,DV40=""),"",IFERROR(ROUND(DV40/INDEX(Undirviðmið!$F$6:$F$205,DV$4)*INDEX(Undirviðmið!$E$6:$E$205,DV$4)*KVARDI,2),""))</f>
        <v/>
      </c>
      <c r="DX40" s="66" t="n"/>
      <c r="DY40" s="78">
        <f>IF(OR(DX$4=0,DX40=""),"",IFERROR(ROUND(DX40/INDEX(Undirviðmið!$F$6:$F$205,DX$4)*INDEX(Undirviðmið!$E$6:$E$205,DX$4)*KVARDI,2),""))</f>
        <v/>
      </c>
      <c r="DZ40" s="66" t="n"/>
      <c r="EA40" s="78">
        <f>IF(OR(DZ$4=0,DZ40=""),"",IFERROR(ROUND(DZ40/INDEX(Undirviðmið!$F$6:$F$205,DZ$4)*INDEX(Undirviðmið!$E$6:$E$205,DZ$4)*KVARDI,2),""))</f>
        <v/>
      </c>
      <c r="EB40" s="66" t="n"/>
      <c r="EC40" s="78">
        <f>IF(OR(EB$4=0,EB40=""),"",IFERROR(ROUND(EB40/INDEX(Undirviðmið!$F$6:$F$205,EB$4)*INDEX(Undirviðmið!$E$6:$E$205,EB$4)*KVARDI,2),""))</f>
        <v/>
      </c>
      <c r="ED40" s="66" t="n"/>
      <c r="EE40" s="78">
        <f>IF(OR(ED$4=0,ED40=""),"",IFERROR(ROUND(ED40/INDEX(Undirviðmið!$F$6:$F$205,ED$4)*INDEX(Undirviðmið!$E$6:$E$205,ED$4)*KVARDI,2),""))</f>
        <v/>
      </c>
      <c r="EF40" s="66" t="n"/>
      <c r="EG40" s="78">
        <f>IF(OR(EF$4=0,EF40=""),"",IFERROR(ROUND(EF40/INDEX(Undirviðmið!$F$6:$F$205,EF$4)*INDEX(Undirviðmið!$E$6:$E$205,EF$4)*KVARDI,2),""))</f>
        <v/>
      </c>
      <c r="EH40" s="66" t="n"/>
      <c r="EI40" s="78">
        <f>IF(OR(EH$4=0,EH40=""),"",IFERROR(ROUND(EH40/INDEX(Undirviðmið!$F$6:$F$205,EH$4)*INDEX(Undirviðmið!$E$6:$E$205,EH$4)*KVARDI,2),""))</f>
        <v/>
      </c>
      <c r="EJ40" s="66" t="n"/>
      <c r="EK40" s="78">
        <f>IF(OR(EJ$4=0,EJ40=""),"",IFERROR(ROUND(EJ40/INDEX(Undirviðmið!$F$6:$F$205,EJ$4)*INDEX(Undirviðmið!$E$6:$E$205,EJ$4)*KVARDI,2),""))</f>
        <v/>
      </c>
      <c r="EL40" s="66" t="n"/>
      <c r="EM40" s="78">
        <f>IF(OR(EL$4=0,EL40=""),"",IFERROR(ROUND(EL40/INDEX(Undirviðmið!$F$6:$F$205,EL$4)*INDEX(Undirviðmið!$E$6:$E$205,EL$4)*KVARDI,2),""))</f>
        <v/>
      </c>
      <c r="EN40" s="66" t="n"/>
      <c r="EO40" s="78">
        <f>IF(OR(EN$4=0,EN40=""),"",IFERROR(ROUND(EN40/INDEX(Undirviðmið!$F$6:$F$205,EN$4)*INDEX(Undirviðmið!$E$6:$E$205,EN$4)*KVARDI,2),""))</f>
        <v/>
      </c>
      <c r="EP40" s="66" t="n"/>
      <c r="EQ40" s="78">
        <f>IF(OR(EP$4=0,EP40=""),"",IFERROR(ROUND(EP40/INDEX(Undirviðmið!$F$6:$F$205,EP$4)*INDEX(Undirviðmið!$E$6:$E$205,EP$4)*KVARDI,2),""))</f>
        <v/>
      </c>
      <c r="ER40" s="66" t="n"/>
      <c r="ES40" s="78">
        <f>IF(OR(ER$4=0,ER40=""),"",IFERROR(ROUND(ER40/INDEX(Undirviðmið!$F$6:$F$205,ER$4)*INDEX(Undirviðmið!$E$6:$E$205,ER$4)*KVARDI,2),""))</f>
        <v/>
      </c>
      <c r="ET40" s="66" t="n"/>
      <c r="EU40" s="78">
        <f>IF(OR(ET$4=0,ET40=""),"",IFERROR(ROUND(ET40/INDEX(Undirviðmið!$F$6:$F$205,ET$4)*INDEX(Undirviðmið!$E$6:$E$205,ET$4)*KVARDI,2),""))</f>
        <v/>
      </c>
      <c r="EV40" s="66" t="n"/>
      <c r="EW40" s="78">
        <f>IF(OR(EV$4=0,EV40=""),"",IFERROR(ROUND(EV40/INDEX(Undirviðmið!$F$6:$F$205,EV$4)*INDEX(Undirviðmið!$E$6:$E$205,EV$4)*KVARDI,2),""))</f>
        <v/>
      </c>
      <c r="EX40" s="66" t="n"/>
      <c r="EY40" s="78">
        <f>IF(OR(EX$4=0,EX40=""),"",IFERROR(ROUND(EX40/INDEX(Undirviðmið!$F$6:$F$205,EX$4)*INDEX(Undirviðmið!$E$6:$E$205,EX$4)*KVARDI,2),""))</f>
        <v/>
      </c>
      <c r="EZ40" s="66" t="n"/>
      <c r="FA40" s="78">
        <f>IF(OR(EZ$4=0,EZ40=""),"",IFERROR(ROUND(EZ40/INDEX(Undirviðmið!$F$6:$F$205,EZ$4)*INDEX(Undirviðmið!$E$6:$E$205,EZ$4)*KVARDI,2),""))</f>
        <v/>
      </c>
      <c r="FB40" s="66" t="n"/>
      <c r="FC40" s="78">
        <f>IF(OR(FB$4=0,FB40=""),"",IFERROR(ROUND(FB40/INDEX(Undirviðmið!$F$6:$F$205,FB$4)*INDEX(Undirviðmið!$E$6:$E$205,FB$4)*KVARDI,2),""))</f>
        <v/>
      </c>
      <c r="FD40" s="66" t="n"/>
      <c r="FE40" s="78">
        <f>IF(OR(FD$4=0,FD40=""),"",IFERROR(ROUND(FD40/INDEX(Undirviðmið!$F$6:$F$205,FD$4)*INDEX(Undirviðmið!$E$6:$E$205,FD$4)*KVARDI,2),""))</f>
        <v/>
      </c>
      <c r="FF40" s="66" t="n"/>
      <c r="FG40" s="78">
        <f>IF(OR(FF$4=0,FF40=""),"",IFERROR(ROUND(FF40/INDEX(Undirviðmið!$F$6:$F$205,FF$4)*INDEX(Undirviðmið!$E$6:$E$205,FF$4)*KVARDI,2),""))</f>
        <v/>
      </c>
      <c r="FH40" s="66" t="n"/>
      <c r="FI40" s="78">
        <f>IF(OR(FH$4=0,FH40=""),"",IFERROR(ROUND(FH40/INDEX(Undirviðmið!$F$6:$F$205,FH$4)*INDEX(Undirviðmið!$E$6:$E$205,FH$4)*KVARDI,2),""))</f>
        <v/>
      </c>
      <c r="FJ40" s="66" t="n"/>
      <c r="FK40" s="78">
        <f>IF(OR(FJ$4=0,FJ40=""),"",IFERROR(ROUND(FJ40/INDEX(Undirviðmið!$F$6:$F$205,FJ$4)*INDEX(Undirviðmið!$E$6:$E$205,FJ$4)*KVARDI,2),""))</f>
        <v/>
      </c>
      <c r="FL40" s="66" t="n"/>
      <c r="FM40" s="78">
        <f>IF(OR(FL$4=0,FL40=""),"",IFERROR(ROUND(FL40/INDEX(Undirviðmið!$F$6:$F$205,FL$4)*INDEX(Undirviðmið!$E$6:$E$205,FL$4)*KVARDI,2),""))</f>
        <v/>
      </c>
      <c r="FN40" s="66" t="n"/>
      <c r="FO40" s="78">
        <f>IF(OR(FN$4=0,FN40=""),"",IFERROR(ROUND(FN40/INDEX(Undirviðmið!$F$6:$F$205,FN$4)*INDEX(Undirviðmið!$E$6:$E$205,FN$4)*KVARDI,2),""))</f>
        <v/>
      </c>
      <c r="FP40" s="66" t="n"/>
      <c r="FQ40" s="78">
        <f>IF(OR(FP$4=0,FP40=""),"",IFERROR(ROUND(FP40/INDEX(Undirviðmið!$F$6:$F$205,FP$4)*INDEX(Undirviðmið!$E$6:$E$205,FP$4)*KVARDI,2),""))</f>
        <v/>
      </c>
      <c r="FR40" s="66" t="n"/>
      <c r="FS40" s="78">
        <f>IF(OR(FR$4=0,FR40=""),"",IFERROR(ROUND(FR40/INDEX(Undirviðmið!$F$6:$F$205,FR$4)*INDEX(Undirviðmið!$E$6:$E$205,FR$4)*KVARDI,2),""))</f>
        <v/>
      </c>
      <c r="FT40" s="66" t="n"/>
      <c r="FU40" s="78">
        <f>IF(OR(FT$4=0,FT40=""),"",IFERROR(ROUND(FT40/INDEX(Undirviðmið!$F$6:$F$205,FT$4)*INDEX(Undirviðmið!$E$6:$E$205,FT$4)*KVARDI,2),""))</f>
        <v/>
      </c>
      <c r="FV40" s="66" t="n"/>
      <c r="FW40" s="78">
        <f>IF(OR(FV$4=0,FV40=""),"",IFERROR(ROUND(FV40/INDEX(Undirviðmið!$F$6:$F$205,FV$4)*INDEX(Undirviðmið!$E$6:$E$205,FV$4)*KVARDI,2),""))</f>
        <v/>
      </c>
      <c r="FX40" s="66" t="n"/>
      <c r="FY40" s="78">
        <f>IF(OR(FX$4=0,FX40=""),"",IFERROR(ROUND(FX40/INDEX(Undirviðmið!$F$6:$F$205,FX$4)*INDEX(Undirviðmið!$E$6:$E$205,FX$4)*KVARDI,2),""))</f>
        <v/>
      </c>
      <c r="FZ40" s="66" t="n"/>
      <c r="GA40" s="78">
        <f>IF(OR(FZ$4=0,FZ40=""),"",IFERROR(ROUND(FZ40/INDEX(Undirviðmið!$F$6:$F$205,FZ$4)*INDEX(Undirviðmið!$E$6:$E$205,FZ$4)*KVARDI,2),""))</f>
        <v/>
      </c>
      <c r="GB40" s="66" t="n"/>
      <c r="GC40" s="78">
        <f>IF(OR(GB$4=0,GB40=""),"",IFERROR(ROUND(GB40/INDEX(Undirviðmið!$F$6:$F$205,GB$4)*INDEX(Undirviðmið!$E$6:$E$205,GB$4)*KVARDI,2),""))</f>
        <v/>
      </c>
      <c r="GD40" s="66" t="n"/>
      <c r="GE40" s="78">
        <f>IF(OR(GD$4=0,GD40=""),"",IFERROR(ROUND(GD40/INDEX(Undirviðmið!$F$6:$F$205,GD$4)*INDEX(Undirviðmið!$E$6:$E$205,GD$4)*KVARDI,2),""))</f>
        <v/>
      </c>
      <c r="GF40" s="66" t="n"/>
      <c r="GG40" s="78">
        <f>IF(OR(GF$4=0,GF40=""),"",IFERROR(ROUND(GF40/INDEX(Undirviðmið!$F$6:$F$205,GF$4)*INDEX(Undirviðmið!$E$6:$E$205,GF$4)*KVARDI,2),""))</f>
        <v/>
      </c>
      <c r="GH40" s="66" t="n"/>
      <c r="GI40" s="78">
        <f>IF(OR(GH$4=0,GH40=""),"",IFERROR(ROUND(GH40/INDEX(Undirviðmið!$F$6:$F$205,GH$4)*INDEX(Undirviðmið!$E$6:$E$205,GH$4)*KVARDI,2),""))</f>
        <v/>
      </c>
      <c r="GJ40" s="66" t="n"/>
      <c r="GK40" s="78">
        <f>IF(OR(GJ$4=0,GJ40=""),"",IFERROR(ROUND(GJ40/INDEX(Undirviðmið!$F$6:$F$205,GJ$4)*INDEX(Undirviðmið!$E$6:$E$205,GJ$4)*KVARDI,2),""))</f>
        <v/>
      </c>
      <c r="GL40" s="66" t="n"/>
      <c r="GM40" s="78">
        <f>IF(OR(GL$4=0,GL40=""),"",IFERROR(ROUND(GL40/INDEX(Undirviðmið!$F$6:$F$205,GL$4)*INDEX(Undirviðmið!$E$6:$E$205,GL$4)*KVARDI,2),""))</f>
        <v/>
      </c>
      <c r="GN40" s="66" t="n"/>
      <c r="GO40" s="78">
        <f>IF(OR(GN$4=0,GN40=""),"",IFERROR(ROUND(GN40/INDEX(Undirviðmið!$F$6:$F$205,GN$4)*INDEX(Undirviðmið!$E$6:$E$205,GN$4)*KVARDI,2),""))</f>
        <v/>
      </c>
      <c r="GP40" s="66" t="n"/>
      <c r="GQ40" s="78">
        <f>IF(OR(GP$4=0,GP40=""),"",IFERROR(ROUND(GP40/INDEX(Undirviðmið!$F$6:$F$205,GP$4)*INDEX(Undirviðmið!$E$6:$E$205,GP$4)*KVARDI,2),""))</f>
        <v/>
      </c>
      <c r="GR40" s="66" t="n"/>
      <c r="GS40" s="78">
        <f>IF(OR(GR$4=0,GR40=""),"",IFERROR(ROUND(GR40/INDEX(Undirviðmið!$F$6:$F$205,GR$4)*INDEX(Undirviðmið!$E$6:$E$205,GR$4)*KVARDI,2),""))</f>
        <v/>
      </c>
      <c r="GT40" s="66" t="n"/>
      <c r="GU40" s="78">
        <f>IF(OR(GT$4=0,GT40=""),"",IFERROR(ROUND(GT40/INDEX(Undirviðmið!$F$6:$F$205,GT$4)*INDEX(Undirviðmið!$E$6:$E$205,GT$4)*KVARDI,2),""))</f>
        <v/>
      </c>
      <c r="GV40" s="63">
        <f>IFERROR(SUMIF($D$6:GU$6,"Stig",$D40:GU40),0)</f>
        <v/>
      </c>
    </row>
    <row r="41" ht="15" customHeight="1" s="47">
      <c r="A41" s="65">
        <f>ROW()-6</f>
        <v/>
      </c>
      <c r="B41" s="67">
        <f>IF(INDEX(Starfsmenn!$B$6:$B$10005,ROW()-6)="","",INDEX(Starfsmenn!$B$6:$B$10005,ROW()-6))</f>
        <v/>
      </c>
      <c r="C41" s="67">
        <f>IF(INDEX(Starfsmenn!$C$6:$C$10005,ROW()-6)="","",INDEX(Starfsmenn!$C$6:$C$10005,ROW()-6))</f>
        <v/>
      </c>
      <c r="D41" s="66" t="n"/>
      <c r="E41" s="78">
        <f>IF(OR(D$4=0,D41=""),"",IFERROR(ROUND(D41/INDEX(Undirviðmið!$F$6:$F$205,D$4)*INDEX(Undirviðmið!$E$6:$E$205,D$4)*KVARDI,2),""))</f>
        <v/>
      </c>
      <c r="F41" s="66" t="n"/>
      <c r="G41" s="78">
        <f>IF(OR(F$4=0,F41=""),"",IFERROR(ROUND(F41/INDEX(Undirviðmið!$F$6:$F$205,F$4)*INDEX(Undirviðmið!$E$6:$E$205,F$4)*KVARDI,2),""))</f>
        <v/>
      </c>
      <c r="H41" s="66" t="n"/>
      <c r="I41" s="78">
        <f>IF(OR(H$4=0,H41=""),"",IFERROR(ROUND(H41/INDEX(Undirviðmið!$F$6:$F$205,H$4)*INDEX(Undirviðmið!$E$6:$E$205,H$4)*KVARDI,2),""))</f>
        <v/>
      </c>
      <c r="J41" s="66" t="n"/>
      <c r="K41" s="78">
        <f>IF(OR(J$4=0,J41=""),"",IFERROR(ROUND(J41/INDEX(Undirviðmið!$F$6:$F$205,J$4)*INDEX(Undirviðmið!$E$6:$E$205,J$4)*KVARDI,2),""))</f>
        <v/>
      </c>
      <c r="L41" s="66" t="n"/>
      <c r="M41" s="78">
        <f>IF(OR(L$4=0,L41=""),"",IFERROR(ROUND(L41/INDEX(Undirviðmið!$F$6:$F$205,L$4)*INDEX(Undirviðmið!$E$6:$E$205,L$4)*KVARDI,2),""))</f>
        <v/>
      </c>
      <c r="N41" s="66" t="n"/>
      <c r="O41" s="78">
        <f>IF(OR(N$4=0,N41=""),"",IFERROR(ROUND(N41/INDEX(Undirviðmið!$F$6:$F$205,N$4)*INDEX(Undirviðmið!$E$6:$E$205,N$4)*KVARDI,2),""))</f>
        <v/>
      </c>
      <c r="P41" s="66" t="n"/>
      <c r="Q41" s="78">
        <f>IF(OR(P$4=0,P41=""),"",IFERROR(ROUND(P41/INDEX(Undirviðmið!$F$6:$F$205,P$4)*INDEX(Undirviðmið!$E$6:$E$205,P$4)*KVARDI,2),""))</f>
        <v/>
      </c>
      <c r="R41" s="66" t="n"/>
      <c r="S41" s="78">
        <f>IF(OR(R$4=0,R41=""),"",IFERROR(ROUND(R41/INDEX(Undirviðmið!$F$6:$F$205,R$4)*INDEX(Undirviðmið!$E$6:$E$205,R$4)*KVARDI,2),""))</f>
        <v/>
      </c>
      <c r="T41" s="66" t="n"/>
      <c r="U41" s="78">
        <f>IF(OR(T$4=0,T41=""),"",IFERROR(ROUND(T41/INDEX(Undirviðmið!$F$6:$F$205,T$4)*INDEX(Undirviðmið!$E$6:$E$205,T$4)*KVARDI,2),""))</f>
        <v/>
      </c>
      <c r="V41" s="66" t="n"/>
      <c r="W41" s="78">
        <f>IF(OR(V$4=0,V41=""),"",IFERROR(ROUND(V41/INDEX(Undirviðmið!$F$6:$F$205,V$4)*INDEX(Undirviðmið!$E$6:$E$205,V$4)*KVARDI,2),""))</f>
        <v/>
      </c>
      <c r="X41" s="66" t="n"/>
      <c r="Y41" s="78">
        <f>IF(OR(X$4=0,X41=""),"",IFERROR(ROUND(X41/INDEX(Undirviðmið!$F$6:$F$205,X$4)*INDEX(Undirviðmið!$E$6:$E$205,X$4)*KVARDI,2),""))</f>
        <v/>
      </c>
      <c r="Z41" s="66" t="n"/>
      <c r="AA41" s="78">
        <f>IF(OR(Z$4=0,Z41=""),"",IFERROR(ROUND(Z41/INDEX(Undirviðmið!$F$6:$F$205,Z$4)*INDEX(Undirviðmið!$E$6:$E$205,Z$4)*KVARDI,2),""))</f>
        <v/>
      </c>
      <c r="AB41" s="66" t="n"/>
      <c r="AC41" s="78">
        <f>IF(OR(AB$4=0,AB41=""),"",IFERROR(ROUND(AB41/INDEX(Undirviðmið!$F$6:$F$205,AB$4)*INDEX(Undirviðmið!$E$6:$E$205,AB$4)*KVARDI,2),""))</f>
        <v/>
      </c>
      <c r="AD41" s="66" t="n"/>
      <c r="AE41" s="78">
        <f>IF(OR(AD$4=0,AD41=""),"",IFERROR(ROUND(AD41/INDEX(Undirviðmið!$F$6:$F$205,AD$4)*INDEX(Undirviðmið!$E$6:$E$205,AD$4)*KVARDI,2),""))</f>
        <v/>
      </c>
      <c r="AF41" s="66" t="n"/>
      <c r="AG41" s="78">
        <f>IF(OR(AF$4=0,AF41=""),"",IFERROR(ROUND(AF41/INDEX(Undirviðmið!$F$6:$F$205,AF$4)*INDEX(Undirviðmið!$E$6:$E$205,AF$4)*KVARDI,2),""))</f>
        <v/>
      </c>
      <c r="AH41" s="66" t="n"/>
      <c r="AI41" s="78">
        <f>IF(OR(AH$4=0,AH41=""),"",IFERROR(ROUND(AH41/INDEX(Undirviðmið!$F$6:$F$205,AH$4)*INDEX(Undirviðmið!$E$6:$E$205,AH$4)*KVARDI,2),""))</f>
        <v/>
      </c>
      <c r="AJ41" s="66" t="n"/>
      <c r="AK41" s="78">
        <f>IF(OR(AJ$4=0,AJ41=""),"",IFERROR(ROUND(AJ41/INDEX(Undirviðmið!$F$6:$F$205,AJ$4)*INDEX(Undirviðmið!$E$6:$E$205,AJ$4)*KVARDI,2),""))</f>
        <v/>
      </c>
      <c r="AL41" s="66" t="n"/>
      <c r="AM41" s="78">
        <f>IF(OR(AL$4=0,AL41=""),"",IFERROR(ROUND(AL41/INDEX(Undirviðmið!$F$6:$F$205,AL$4)*INDEX(Undirviðmið!$E$6:$E$205,AL$4)*KVARDI,2),""))</f>
        <v/>
      </c>
      <c r="AN41" s="66" t="n"/>
      <c r="AO41" s="78">
        <f>IF(OR(AN$4=0,AN41=""),"",IFERROR(ROUND(AN41/INDEX(Undirviðmið!$F$6:$F$205,AN$4)*INDEX(Undirviðmið!$E$6:$E$205,AN$4)*KVARDI,2),""))</f>
        <v/>
      </c>
      <c r="AP41" s="66" t="n"/>
      <c r="AQ41" s="78">
        <f>IF(OR(AP$4=0,AP41=""),"",IFERROR(ROUND(AP41/INDEX(Undirviðmið!$F$6:$F$205,AP$4)*INDEX(Undirviðmið!$E$6:$E$205,AP$4)*KVARDI,2),""))</f>
        <v/>
      </c>
      <c r="AR41" s="66" t="n"/>
      <c r="AS41" s="78">
        <f>IF(OR(AR$4=0,AR41=""),"",IFERROR(ROUND(AR41/INDEX(Undirviðmið!$F$6:$F$205,AR$4)*INDEX(Undirviðmið!$E$6:$E$205,AR$4)*KVARDI,2),""))</f>
        <v/>
      </c>
      <c r="AT41" s="66" t="n"/>
      <c r="AU41" s="78">
        <f>IF(OR(AT$4=0,AT41=""),"",IFERROR(ROUND(AT41/INDEX(Undirviðmið!$F$6:$F$205,AT$4)*INDEX(Undirviðmið!$E$6:$E$205,AT$4)*KVARDI,2),""))</f>
        <v/>
      </c>
      <c r="AV41" s="66" t="n"/>
      <c r="AW41" s="78">
        <f>IF(OR(AV$4=0,AV41=""),"",IFERROR(ROUND(AV41/INDEX(Undirviðmið!$F$6:$F$205,AV$4)*INDEX(Undirviðmið!$E$6:$E$205,AV$4)*KVARDI,2),""))</f>
        <v/>
      </c>
      <c r="AX41" s="66" t="n"/>
      <c r="AY41" s="78">
        <f>IF(OR(AX$4=0,AX41=""),"",IFERROR(ROUND(AX41/INDEX(Undirviðmið!$F$6:$F$205,AX$4)*INDEX(Undirviðmið!$E$6:$E$205,AX$4)*KVARDI,2),""))</f>
        <v/>
      </c>
      <c r="AZ41" s="66" t="n"/>
      <c r="BA41" s="78">
        <f>IF(OR(AZ$4=0,AZ41=""),"",IFERROR(ROUND(AZ41/INDEX(Undirviðmið!$F$6:$F$205,AZ$4)*INDEX(Undirviðmið!$E$6:$E$205,AZ$4)*KVARDI,2),""))</f>
        <v/>
      </c>
      <c r="BB41" s="66" t="n"/>
      <c r="BC41" s="78">
        <f>IF(OR(BB$4=0,BB41=""),"",IFERROR(ROUND(BB41/INDEX(Undirviðmið!$F$6:$F$205,BB$4)*INDEX(Undirviðmið!$E$6:$E$205,BB$4)*KVARDI,2),""))</f>
        <v/>
      </c>
      <c r="BD41" s="66" t="n"/>
      <c r="BE41" s="78">
        <f>IF(OR(BD$4=0,BD41=""),"",IFERROR(ROUND(BD41/INDEX(Undirviðmið!$F$6:$F$205,BD$4)*INDEX(Undirviðmið!$E$6:$E$205,BD$4)*KVARDI,2),""))</f>
        <v/>
      </c>
      <c r="BF41" s="66" t="n"/>
      <c r="BG41" s="78">
        <f>IF(OR(BF$4=0,BF41=""),"",IFERROR(ROUND(BF41/INDEX(Undirviðmið!$F$6:$F$205,BF$4)*INDEX(Undirviðmið!$E$6:$E$205,BF$4)*KVARDI,2),""))</f>
        <v/>
      </c>
      <c r="BH41" s="66" t="n"/>
      <c r="BI41" s="78">
        <f>IF(OR(BH$4=0,BH41=""),"",IFERROR(ROUND(BH41/INDEX(Undirviðmið!$F$6:$F$205,BH$4)*INDEX(Undirviðmið!$E$6:$E$205,BH$4)*KVARDI,2),""))</f>
        <v/>
      </c>
      <c r="BJ41" s="66" t="n"/>
      <c r="BK41" s="78">
        <f>IF(OR(BJ$4=0,BJ41=""),"",IFERROR(ROUND(BJ41/INDEX(Undirviðmið!$F$6:$F$205,BJ$4)*INDEX(Undirviðmið!$E$6:$E$205,BJ$4)*KVARDI,2),""))</f>
        <v/>
      </c>
      <c r="BL41" s="66" t="n"/>
      <c r="BM41" s="78">
        <f>IF(OR(BL$4=0,BL41=""),"",IFERROR(ROUND(BL41/INDEX(Undirviðmið!$F$6:$F$205,BL$4)*INDEX(Undirviðmið!$E$6:$E$205,BL$4)*KVARDI,2),""))</f>
        <v/>
      </c>
      <c r="BN41" s="66" t="n"/>
      <c r="BO41" s="78">
        <f>IF(OR(BN$4=0,BN41=""),"",IFERROR(ROUND(BN41/INDEX(Undirviðmið!$F$6:$F$205,BN$4)*INDEX(Undirviðmið!$E$6:$E$205,BN$4)*KVARDI,2),""))</f>
        <v/>
      </c>
      <c r="BP41" s="66" t="n"/>
      <c r="BQ41" s="78">
        <f>IF(OR(BP$4=0,BP41=""),"",IFERROR(ROUND(BP41/INDEX(Undirviðmið!$F$6:$F$205,BP$4)*INDEX(Undirviðmið!$E$6:$E$205,BP$4)*KVARDI,2),""))</f>
        <v/>
      </c>
      <c r="BR41" s="66" t="n"/>
      <c r="BS41" s="78">
        <f>IF(OR(BR$4=0,BR41=""),"",IFERROR(ROUND(BR41/INDEX(Undirviðmið!$F$6:$F$205,BR$4)*INDEX(Undirviðmið!$E$6:$E$205,BR$4)*KVARDI,2),""))</f>
        <v/>
      </c>
      <c r="BT41" s="66" t="n"/>
      <c r="BU41" s="78">
        <f>IF(OR(BT$4=0,BT41=""),"",IFERROR(ROUND(BT41/INDEX(Undirviðmið!$F$6:$F$205,BT$4)*INDEX(Undirviðmið!$E$6:$E$205,BT$4)*KVARDI,2),""))</f>
        <v/>
      </c>
      <c r="BV41" s="66" t="n"/>
      <c r="BW41" s="78">
        <f>IF(OR(BV$4=0,BV41=""),"",IFERROR(ROUND(BV41/INDEX(Undirviðmið!$F$6:$F$205,BV$4)*INDEX(Undirviðmið!$E$6:$E$205,BV$4)*KVARDI,2),""))</f>
        <v/>
      </c>
      <c r="BX41" s="66" t="n"/>
      <c r="BY41" s="78">
        <f>IF(OR(BX$4=0,BX41=""),"",IFERROR(ROUND(BX41/INDEX(Undirviðmið!$F$6:$F$205,BX$4)*INDEX(Undirviðmið!$E$6:$E$205,BX$4)*KVARDI,2),""))</f>
        <v/>
      </c>
      <c r="BZ41" s="66" t="n"/>
      <c r="CA41" s="78">
        <f>IF(OR(BZ$4=0,BZ41=""),"",IFERROR(ROUND(BZ41/INDEX(Undirviðmið!$F$6:$F$205,BZ$4)*INDEX(Undirviðmið!$E$6:$E$205,BZ$4)*KVARDI,2),""))</f>
        <v/>
      </c>
      <c r="CB41" s="66" t="n"/>
      <c r="CC41" s="78">
        <f>IF(OR(CB$4=0,CB41=""),"",IFERROR(ROUND(CB41/INDEX(Undirviðmið!$F$6:$F$205,CB$4)*INDEX(Undirviðmið!$E$6:$E$205,CB$4)*KVARDI,2),""))</f>
        <v/>
      </c>
      <c r="CD41" s="66" t="n"/>
      <c r="CE41" s="78">
        <f>IF(OR(CD$4=0,CD41=""),"",IFERROR(ROUND(CD41/INDEX(Undirviðmið!$F$6:$F$205,CD$4)*INDEX(Undirviðmið!$E$6:$E$205,CD$4)*KVARDI,2),""))</f>
        <v/>
      </c>
      <c r="CF41" s="66" t="n"/>
      <c r="CG41" s="78">
        <f>IF(OR(CF$4=0,CF41=""),"",IFERROR(ROUND(CF41/INDEX(Undirviðmið!$F$6:$F$205,CF$4)*INDEX(Undirviðmið!$E$6:$E$205,CF$4)*KVARDI,2),""))</f>
        <v/>
      </c>
      <c r="CH41" s="66" t="n"/>
      <c r="CI41" s="78">
        <f>IF(OR(CH$4=0,CH41=""),"",IFERROR(ROUND(CH41/INDEX(Undirviðmið!$F$6:$F$205,CH$4)*INDEX(Undirviðmið!$E$6:$E$205,CH$4)*KVARDI,2),""))</f>
        <v/>
      </c>
      <c r="CJ41" s="66" t="n"/>
      <c r="CK41" s="78">
        <f>IF(OR(CJ$4=0,CJ41=""),"",IFERROR(ROUND(CJ41/INDEX(Undirviðmið!$F$6:$F$205,CJ$4)*INDEX(Undirviðmið!$E$6:$E$205,CJ$4)*KVARDI,2),""))</f>
        <v/>
      </c>
      <c r="CL41" s="66" t="n"/>
      <c r="CM41" s="78">
        <f>IF(OR(CL$4=0,CL41=""),"",IFERROR(ROUND(CL41/INDEX(Undirviðmið!$F$6:$F$205,CL$4)*INDEX(Undirviðmið!$E$6:$E$205,CL$4)*KVARDI,2),""))</f>
        <v/>
      </c>
      <c r="CN41" s="66" t="n"/>
      <c r="CO41" s="78">
        <f>IF(OR(CN$4=0,CN41=""),"",IFERROR(ROUND(CN41/INDEX(Undirviðmið!$F$6:$F$205,CN$4)*INDEX(Undirviðmið!$E$6:$E$205,CN$4)*KVARDI,2),""))</f>
        <v/>
      </c>
      <c r="CP41" s="66" t="n"/>
      <c r="CQ41" s="78">
        <f>IF(OR(CP$4=0,CP41=""),"",IFERROR(ROUND(CP41/INDEX(Undirviðmið!$F$6:$F$205,CP$4)*INDEX(Undirviðmið!$E$6:$E$205,CP$4)*KVARDI,2),""))</f>
        <v/>
      </c>
      <c r="CR41" s="66" t="n"/>
      <c r="CS41" s="78">
        <f>IF(OR(CR$4=0,CR41=""),"",IFERROR(ROUND(CR41/INDEX(Undirviðmið!$F$6:$F$205,CR$4)*INDEX(Undirviðmið!$E$6:$E$205,CR$4)*KVARDI,2),""))</f>
        <v/>
      </c>
      <c r="CT41" s="66" t="n"/>
      <c r="CU41" s="78">
        <f>IF(OR(CT$4=0,CT41=""),"",IFERROR(ROUND(CT41/INDEX(Undirviðmið!$F$6:$F$205,CT$4)*INDEX(Undirviðmið!$E$6:$E$205,CT$4)*KVARDI,2),""))</f>
        <v/>
      </c>
      <c r="CV41" s="66" t="n"/>
      <c r="CW41" s="78">
        <f>IF(OR(CV$4=0,CV41=""),"",IFERROR(ROUND(CV41/INDEX(Undirviðmið!$F$6:$F$205,CV$4)*INDEX(Undirviðmið!$E$6:$E$205,CV$4)*KVARDI,2),""))</f>
        <v/>
      </c>
      <c r="CX41" s="66" t="n"/>
      <c r="CY41" s="78">
        <f>IF(OR(CX$4=0,CX41=""),"",IFERROR(ROUND(CX41/INDEX(Undirviðmið!$F$6:$F$205,CX$4)*INDEX(Undirviðmið!$E$6:$E$205,CX$4)*KVARDI,2),""))</f>
        <v/>
      </c>
      <c r="CZ41" s="66" t="n"/>
      <c r="DA41" s="78">
        <f>IF(OR(CZ$4=0,CZ41=""),"",IFERROR(ROUND(CZ41/INDEX(Undirviðmið!$F$6:$F$205,CZ$4)*INDEX(Undirviðmið!$E$6:$E$205,CZ$4)*KVARDI,2),""))</f>
        <v/>
      </c>
      <c r="DB41" s="66" t="n"/>
      <c r="DC41" s="78">
        <f>IF(OR(DB$4=0,DB41=""),"",IFERROR(ROUND(DB41/INDEX(Undirviðmið!$F$6:$F$205,DB$4)*INDEX(Undirviðmið!$E$6:$E$205,DB$4)*KVARDI,2),""))</f>
        <v/>
      </c>
      <c r="DD41" s="66" t="n"/>
      <c r="DE41" s="78">
        <f>IF(OR(DD$4=0,DD41=""),"",IFERROR(ROUND(DD41/INDEX(Undirviðmið!$F$6:$F$205,DD$4)*INDEX(Undirviðmið!$E$6:$E$205,DD$4)*KVARDI,2),""))</f>
        <v/>
      </c>
      <c r="DF41" s="66" t="n"/>
      <c r="DG41" s="78">
        <f>IF(OR(DF$4=0,DF41=""),"",IFERROR(ROUND(DF41/INDEX(Undirviðmið!$F$6:$F$205,DF$4)*INDEX(Undirviðmið!$E$6:$E$205,DF$4)*KVARDI,2),""))</f>
        <v/>
      </c>
      <c r="DH41" s="66" t="n"/>
      <c r="DI41" s="78">
        <f>IF(OR(DH$4=0,DH41=""),"",IFERROR(ROUND(DH41/INDEX(Undirviðmið!$F$6:$F$205,DH$4)*INDEX(Undirviðmið!$E$6:$E$205,DH$4)*KVARDI,2),""))</f>
        <v/>
      </c>
      <c r="DJ41" s="66" t="n"/>
      <c r="DK41" s="78">
        <f>IF(OR(DJ$4=0,DJ41=""),"",IFERROR(ROUND(DJ41/INDEX(Undirviðmið!$F$6:$F$205,DJ$4)*INDEX(Undirviðmið!$E$6:$E$205,DJ$4)*KVARDI,2),""))</f>
        <v/>
      </c>
      <c r="DL41" s="66" t="n"/>
      <c r="DM41" s="78">
        <f>IF(OR(DL$4=0,DL41=""),"",IFERROR(ROUND(DL41/INDEX(Undirviðmið!$F$6:$F$205,DL$4)*INDEX(Undirviðmið!$E$6:$E$205,DL$4)*KVARDI,2),""))</f>
        <v/>
      </c>
      <c r="DN41" s="66" t="n"/>
      <c r="DO41" s="78">
        <f>IF(OR(DN$4=0,DN41=""),"",IFERROR(ROUND(DN41/INDEX(Undirviðmið!$F$6:$F$205,DN$4)*INDEX(Undirviðmið!$E$6:$E$205,DN$4)*KVARDI,2),""))</f>
        <v/>
      </c>
      <c r="DP41" s="66" t="n"/>
      <c r="DQ41" s="78">
        <f>IF(OR(DP$4=0,DP41=""),"",IFERROR(ROUND(DP41/INDEX(Undirviðmið!$F$6:$F$205,DP$4)*INDEX(Undirviðmið!$E$6:$E$205,DP$4)*KVARDI,2),""))</f>
        <v/>
      </c>
      <c r="DR41" s="66" t="n"/>
      <c r="DS41" s="78">
        <f>IF(OR(DR$4=0,DR41=""),"",IFERROR(ROUND(DR41/INDEX(Undirviðmið!$F$6:$F$205,DR$4)*INDEX(Undirviðmið!$E$6:$E$205,DR$4)*KVARDI,2),""))</f>
        <v/>
      </c>
      <c r="DT41" s="66" t="n"/>
      <c r="DU41" s="78">
        <f>IF(OR(DT$4=0,DT41=""),"",IFERROR(ROUND(DT41/INDEX(Undirviðmið!$F$6:$F$205,DT$4)*INDEX(Undirviðmið!$E$6:$E$205,DT$4)*KVARDI,2),""))</f>
        <v/>
      </c>
      <c r="DV41" s="66" t="n"/>
      <c r="DW41" s="78">
        <f>IF(OR(DV$4=0,DV41=""),"",IFERROR(ROUND(DV41/INDEX(Undirviðmið!$F$6:$F$205,DV$4)*INDEX(Undirviðmið!$E$6:$E$205,DV$4)*KVARDI,2),""))</f>
        <v/>
      </c>
      <c r="DX41" s="66" t="n"/>
      <c r="DY41" s="78">
        <f>IF(OR(DX$4=0,DX41=""),"",IFERROR(ROUND(DX41/INDEX(Undirviðmið!$F$6:$F$205,DX$4)*INDEX(Undirviðmið!$E$6:$E$205,DX$4)*KVARDI,2),""))</f>
        <v/>
      </c>
      <c r="DZ41" s="66" t="n"/>
      <c r="EA41" s="78">
        <f>IF(OR(DZ$4=0,DZ41=""),"",IFERROR(ROUND(DZ41/INDEX(Undirviðmið!$F$6:$F$205,DZ$4)*INDEX(Undirviðmið!$E$6:$E$205,DZ$4)*KVARDI,2),""))</f>
        <v/>
      </c>
      <c r="EB41" s="66" t="n"/>
      <c r="EC41" s="78">
        <f>IF(OR(EB$4=0,EB41=""),"",IFERROR(ROUND(EB41/INDEX(Undirviðmið!$F$6:$F$205,EB$4)*INDEX(Undirviðmið!$E$6:$E$205,EB$4)*KVARDI,2),""))</f>
        <v/>
      </c>
      <c r="ED41" s="66" t="n"/>
      <c r="EE41" s="78">
        <f>IF(OR(ED$4=0,ED41=""),"",IFERROR(ROUND(ED41/INDEX(Undirviðmið!$F$6:$F$205,ED$4)*INDEX(Undirviðmið!$E$6:$E$205,ED$4)*KVARDI,2),""))</f>
        <v/>
      </c>
      <c r="EF41" s="66" t="n"/>
      <c r="EG41" s="78">
        <f>IF(OR(EF$4=0,EF41=""),"",IFERROR(ROUND(EF41/INDEX(Undirviðmið!$F$6:$F$205,EF$4)*INDEX(Undirviðmið!$E$6:$E$205,EF$4)*KVARDI,2),""))</f>
        <v/>
      </c>
      <c r="EH41" s="66" t="n"/>
      <c r="EI41" s="78">
        <f>IF(OR(EH$4=0,EH41=""),"",IFERROR(ROUND(EH41/INDEX(Undirviðmið!$F$6:$F$205,EH$4)*INDEX(Undirviðmið!$E$6:$E$205,EH$4)*KVARDI,2),""))</f>
        <v/>
      </c>
      <c r="EJ41" s="66" t="n"/>
      <c r="EK41" s="78">
        <f>IF(OR(EJ$4=0,EJ41=""),"",IFERROR(ROUND(EJ41/INDEX(Undirviðmið!$F$6:$F$205,EJ$4)*INDEX(Undirviðmið!$E$6:$E$205,EJ$4)*KVARDI,2),""))</f>
        <v/>
      </c>
      <c r="EL41" s="66" t="n"/>
      <c r="EM41" s="78">
        <f>IF(OR(EL$4=0,EL41=""),"",IFERROR(ROUND(EL41/INDEX(Undirviðmið!$F$6:$F$205,EL$4)*INDEX(Undirviðmið!$E$6:$E$205,EL$4)*KVARDI,2),""))</f>
        <v/>
      </c>
      <c r="EN41" s="66" t="n"/>
      <c r="EO41" s="78">
        <f>IF(OR(EN$4=0,EN41=""),"",IFERROR(ROUND(EN41/INDEX(Undirviðmið!$F$6:$F$205,EN$4)*INDEX(Undirviðmið!$E$6:$E$205,EN$4)*KVARDI,2),""))</f>
        <v/>
      </c>
      <c r="EP41" s="66" t="n"/>
      <c r="EQ41" s="78">
        <f>IF(OR(EP$4=0,EP41=""),"",IFERROR(ROUND(EP41/INDEX(Undirviðmið!$F$6:$F$205,EP$4)*INDEX(Undirviðmið!$E$6:$E$205,EP$4)*KVARDI,2),""))</f>
        <v/>
      </c>
      <c r="ER41" s="66" t="n"/>
      <c r="ES41" s="78">
        <f>IF(OR(ER$4=0,ER41=""),"",IFERROR(ROUND(ER41/INDEX(Undirviðmið!$F$6:$F$205,ER$4)*INDEX(Undirviðmið!$E$6:$E$205,ER$4)*KVARDI,2),""))</f>
        <v/>
      </c>
      <c r="ET41" s="66" t="n"/>
      <c r="EU41" s="78">
        <f>IF(OR(ET$4=0,ET41=""),"",IFERROR(ROUND(ET41/INDEX(Undirviðmið!$F$6:$F$205,ET$4)*INDEX(Undirviðmið!$E$6:$E$205,ET$4)*KVARDI,2),""))</f>
        <v/>
      </c>
      <c r="EV41" s="66" t="n"/>
      <c r="EW41" s="78">
        <f>IF(OR(EV$4=0,EV41=""),"",IFERROR(ROUND(EV41/INDEX(Undirviðmið!$F$6:$F$205,EV$4)*INDEX(Undirviðmið!$E$6:$E$205,EV$4)*KVARDI,2),""))</f>
        <v/>
      </c>
      <c r="EX41" s="66" t="n"/>
      <c r="EY41" s="78">
        <f>IF(OR(EX$4=0,EX41=""),"",IFERROR(ROUND(EX41/INDEX(Undirviðmið!$F$6:$F$205,EX$4)*INDEX(Undirviðmið!$E$6:$E$205,EX$4)*KVARDI,2),""))</f>
        <v/>
      </c>
      <c r="EZ41" s="66" t="n"/>
      <c r="FA41" s="78">
        <f>IF(OR(EZ$4=0,EZ41=""),"",IFERROR(ROUND(EZ41/INDEX(Undirviðmið!$F$6:$F$205,EZ$4)*INDEX(Undirviðmið!$E$6:$E$205,EZ$4)*KVARDI,2),""))</f>
        <v/>
      </c>
      <c r="FB41" s="66" t="n"/>
      <c r="FC41" s="78">
        <f>IF(OR(FB$4=0,FB41=""),"",IFERROR(ROUND(FB41/INDEX(Undirviðmið!$F$6:$F$205,FB$4)*INDEX(Undirviðmið!$E$6:$E$205,FB$4)*KVARDI,2),""))</f>
        <v/>
      </c>
      <c r="FD41" s="66" t="n"/>
      <c r="FE41" s="78">
        <f>IF(OR(FD$4=0,FD41=""),"",IFERROR(ROUND(FD41/INDEX(Undirviðmið!$F$6:$F$205,FD$4)*INDEX(Undirviðmið!$E$6:$E$205,FD$4)*KVARDI,2),""))</f>
        <v/>
      </c>
      <c r="FF41" s="66" t="n"/>
      <c r="FG41" s="78">
        <f>IF(OR(FF$4=0,FF41=""),"",IFERROR(ROUND(FF41/INDEX(Undirviðmið!$F$6:$F$205,FF$4)*INDEX(Undirviðmið!$E$6:$E$205,FF$4)*KVARDI,2),""))</f>
        <v/>
      </c>
      <c r="FH41" s="66" t="n"/>
      <c r="FI41" s="78">
        <f>IF(OR(FH$4=0,FH41=""),"",IFERROR(ROUND(FH41/INDEX(Undirviðmið!$F$6:$F$205,FH$4)*INDEX(Undirviðmið!$E$6:$E$205,FH$4)*KVARDI,2),""))</f>
        <v/>
      </c>
      <c r="FJ41" s="66" t="n"/>
      <c r="FK41" s="78">
        <f>IF(OR(FJ$4=0,FJ41=""),"",IFERROR(ROUND(FJ41/INDEX(Undirviðmið!$F$6:$F$205,FJ$4)*INDEX(Undirviðmið!$E$6:$E$205,FJ$4)*KVARDI,2),""))</f>
        <v/>
      </c>
      <c r="FL41" s="66" t="n"/>
      <c r="FM41" s="78">
        <f>IF(OR(FL$4=0,FL41=""),"",IFERROR(ROUND(FL41/INDEX(Undirviðmið!$F$6:$F$205,FL$4)*INDEX(Undirviðmið!$E$6:$E$205,FL$4)*KVARDI,2),""))</f>
        <v/>
      </c>
      <c r="FN41" s="66" t="n"/>
      <c r="FO41" s="78">
        <f>IF(OR(FN$4=0,FN41=""),"",IFERROR(ROUND(FN41/INDEX(Undirviðmið!$F$6:$F$205,FN$4)*INDEX(Undirviðmið!$E$6:$E$205,FN$4)*KVARDI,2),""))</f>
        <v/>
      </c>
      <c r="FP41" s="66" t="n"/>
      <c r="FQ41" s="78">
        <f>IF(OR(FP$4=0,FP41=""),"",IFERROR(ROUND(FP41/INDEX(Undirviðmið!$F$6:$F$205,FP$4)*INDEX(Undirviðmið!$E$6:$E$205,FP$4)*KVARDI,2),""))</f>
        <v/>
      </c>
      <c r="FR41" s="66" t="n"/>
      <c r="FS41" s="78">
        <f>IF(OR(FR$4=0,FR41=""),"",IFERROR(ROUND(FR41/INDEX(Undirviðmið!$F$6:$F$205,FR$4)*INDEX(Undirviðmið!$E$6:$E$205,FR$4)*KVARDI,2),""))</f>
        <v/>
      </c>
      <c r="FT41" s="66" t="n"/>
      <c r="FU41" s="78">
        <f>IF(OR(FT$4=0,FT41=""),"",IFERROR(ROUND(FT41/INDEX(Undirviðmið!$F$6:$F$205,FT$4)*INDEX(Undirviðmið!$E$6:$E$205,FT$4)*KVARDI,2),""))</f>
        <v/>
      </c>
      <c r="FV41" s="66" t="n"/>
      <c r="FW41" s="78">
        <f>IF(OR(FV$4=0,FV41=""),"",IFERROR(ROUND(FV41/INDEX(Undirviðmið!$F$6:$F$205,FV$4)*INDEX(Undirviðmið!$E$6:$E$205,FV$4)*KVARDI,2),""))</f>
        <v/>
      </c>
      <c r="FX41" s="66" t="n"/>
      <c r="FY41" s="78">
        <f>IF(OR(FX$4=0,FX41=""),"",IFERROR(ROUND(FX41/INDEX(Undirviðmið!$F$6:$F$205,FX$4)*INDEX(Undirviðmið!$E$6:$E$205,FX$4)*KVARDI,2),""))</f>
        <v/>
      </c>
      <c r="FZ41" s="66" t="n"/>
      <c r="GA41" s="78">
        <f>IF(OR(FZ$4=0,FZ41=""),"",IFERROR(ROUND(FZ41/INDEX(Undirviðmið!$F$6:$F$205,FZ$4)*INDEX(Undirviðmið!$E$6:$E$205,FZ$4)*KVARDI,2),""))</f>
        <v/>
      </c>
      <c r="GB41" s="66" t="n"/>
      <c r="GC41" s="78">
        <f>IF(OR(GB$4=0,GB41=""),"",IFERROR(ROUND(GB41/INDEX(Undirviðmið!$F$6:$F$205,GB$4)*INDEX(Undirviðmið!$E$6:$E$205,GB$4)*KVARDI,2),""))</f>
        <v/>
      </c>
      <c r="GD41" s="66" t="n"/>
      <c r="GE41" s="78">
        <f>IF(OR(GD$4=0,GD41=""),"",IFERROR(ROUND(GD41/INDEX(Undirviðmið!$F$6:$F$205,GD$4)*INDEX(Undirviðmið!$E$6:$E$205,GD$4)*KVARDI,2),""))</f>
        <v/>
      </c>
      <c r="GF41" s="66" t="n"/>
      <c r="GG41" s="78">
        <f>IF(OR(GF$4=0,GF41=""),"",IFERROR(ROUND(GF41/INDEX(Undirviðmið!$F$6:$F$205,GF$4)*INDEX(Undirviðmið!$E$6:$E$205,GF$4)*KVARDI,2),""))</f>
        <v/>
      </c>
      <c r="GH41" s="66" t="n"/>
      <c r="GI41" s="78">
        <f>IF(OR(GH$4=0,GH41=""),"",IFERROR(ROUND(GH41/INDEX(Undirviðmið!$F$6:$F$205,GH$4)*INDEX(Undirviðmið!$E$6:$E$205,GH$4)*KVARDI,2),""))</f>
        <v/>
      </c>
      <c r="GJ41" s="66" t="n"/>
      <c r="GK41" s="78">
        <f>IF(OR(GJ$4=0,GJ41=""),"",IFERROR(ROUND(GJ41/INDEX(Undirviðmið!$F$6:$F$205,GJ$4)*INDEX(Undirviðmið!$E$6:$E$205,GJ$4)*KVARDI,2),""))</f>
        <v/>
      </c>
      <c r="GL41" s="66" t="n"/>
      <c r="GM41" s="78">
        <f>IF(OR(GL$4=0,GL41=""),"",IFERROR(ROUND(GL41/INDEX(Undirviðmið!$F$6:$F$205,GL$4)*INDEX(Undirviðmið!$E$6:$E$205,GL$4)*KVARDI,2),""))</f>
        <v/>
      </c>
      <c r="GN41" s="66" t="n"/>
      <c r="GO41" s="78">
        <f>IF(OR(GN$4=0,GN41=""),"",IFERROR(ROUND(GN41/INDEX(Undirviðmið!$F$6:$F$205,GN$4)*INDEX(Undirviðmið!$E$6:$E$205,GN$4)*KVARDI,2),""))</f>
        <v/>
      </c>
      <c r="GP41" s="66" t="n"/>
      <c r="GQ41" s="78">
        <f>IF(OR(GP$4=0,GP41=""),"",IFERROR(ROUND(GP41/INDEX(Undirviðmið!$F$6:$F$205,GP$4)*INDEX(Undirviðmið!$E$6:$E$205,GP$4)*KVARDI,2),""))</f>
        <v/>
      </c>
      <c r="GR41" s="66" t="n"/>
      <c r="GS41" s="78">
        <f>IF(OR(GR$4=0,GR41=""),"",IFERROR(ROUND(GR41/INDEX(Undirviðmið!$F$6:$F$205,GR$4)*INDEX(Undirviðmið!$E$6:$E$205,GR$4)*KVARDI,2),""))</f>
        <v/>
      </c>
      <c r="GT41" s="66" t="n"/>
      <c r="GU41" s="78">
        <f>IF(OR(GT$4=0,GT41=""),"",IFERROR(ROUND(GT41/INDEX(Undirviðmið!$F$6:$F$205,GT$4)*INDEX(Undirviðmið!$E$6:$E$205,GT$4)*KVARDI,2),""))</f>
        <v/>
      </c>
      <c r="GV41" s="63">
        <f>IFERROR(SUMIF($D$6:GU$6,"Stig",$D41:GU41),0)</f>
        <v/>
      </c>
    </row>
    <row r="42" ht="15" customHeight="1" s="47">
      <c r="A42" s="65">
        <f>ROW()-6</f>
        <v/>
      </c>
      <c r="B42" s="67">
        <f>IF(INDEX(Starfsmenn!$B$6:$B$10005,ROW()-6)="","",INDEX(Starfsmenn!$B$6:$B$10005,ROW()-6))</f>
        <v/>
      </c>
      <c r="C42" s="67">
        <f>IF(INDEX(Starfsmenn!$C$6:$C$10005,ROW()-6)="","",INDEX(Starfsmenn!$C$6:$C$10005,ROW()-6))</f>
        <v/>
      </c>
      <c r="D42" s="66" t="n"/>
      <c r="E42" s="78">
        <f>IF(OR(D$4=0,D42=""),"",IFERROR(ROUND(D42/INDEX(Undirviðmið!$F$6:$F$205,D$4)*INDEX(Undirviðmið!$E$6:$E$205,D$4)*KVARDI,2),""))</f>
        <v/>
      </c>
      <c r="F42" s="66" t="n"/>
      <c r="G42" s="78">
        <f>IF(OR(F$4=0,F42=""),"",IFERROR(ROUND(F42/INDEX(Undirviðmið!$F$6:$F$205,F$4)*INDEX(Undirviðmið!$E$6:$E$205,F$4)*KVARDI,2),""))</f>
        <v/>
      </c>
      <c r="H42" s="66" t="n"/>
      <c r="I42" s="78">
        <f>IF(OR(H$4=0,H42=""),"",IFERROR(ROUND(H42/INDEX(Undirviðmið!$F$6:$F$205,H$4)*INDEX(Undirviðmið!$E$6:$E$205,H$4)*KVARDI,2),""))</f>
        <v/>
      </c>
      <c r="J42" s="66" t="n"/>
      <c r="K42" s="78">
        <f>IF(OR(J$4=0,J42=""),"",IFERROR(ROUND(J42/INDEX(Undirviðmið!$F$6:$F$205,J$4)*INDEX(Undirviðmið!$E$6:$E$205,J$4)*KVARDI,2),""))</f>
        <v/>
      </c>
      <c r="L42" s="66" t="n"/>
      <c r="M42" s="78">
        <f>IF(OR(L$4=0,L42=""),"",IFERROR(ROUND(L42/INDEX(Undirviðmið!$F$6:$F$205,L$4)*INDEX(Undirviðmið!$E$6:$E$205,L$4)*KVARDI,2),""))</f>
        <v/>
      </c>
      <c r="N42" s="66" t="n"/>
      <c r="O42" s="78">
        <f>IF(OR(N$4=0,N42=""),"",IFERROR(ROUND(N42/INDEX(Undirviðmið!$F$6:$F$205,N$4)*INDEX(Undirviðmið!$E$6:$E$205,N$4)*KVARDI,2),""))</f>
        <v/>
      </c>
      <c r="P42" s="66" t="n"/>
      <c r="Q42" s="78">
        <f>IF(OR(P$4=0,P42=""),"",IFERROR(ROUND(P42/INDEX(Undirviðmið!$F$6:$F$205,P$4)*INDEX(Undirviðmið!$E$6:$E$205,P$4)*KVARDI,2),""))</f>
        <v/>
      </c>
      <c r="R42" s="66" t="n"/>
      <c r="S42" s="78">
        <f>IF(OR(R$4=0,R42=""),"",IFERROR(ROUND(R42/INDEX(Undirviðmið!$F$6:$F$205,R$4)*INDEX(Undirviðmið!$E$6:$E$205,R$4)*KVARDI,2),""))</f>
        <v/>
      </c>
      <c r="T42" s="66" t="n"/>
      <c r="U42" s="78">
        <f>IF(OR(T$4=0,T42=""),"",IFERROR(ROUND(T42/INDEX(Undirviðmið!$F$6:$F$205,T$4)*INDEX(Undirviðmið!$E$6:$E$205,T$4)*KVARDI,2),""))</f>
        <v/>
      </c>
      <c r="V42" s="66" t="n"/>
      <c r="W42" s="78">
        <f>IF(OR(V$4=0,V42=""),"",IFERROR(ROUND(V42/INDEX(Undirviðmið!$F$6:$F$205,V$4)*INDEX(Undirviðmið!$E$6:$E$205,V$4)*KVARDI,2),""))</f>
        <v/>
      </c>
      <c r="X42" s="66" t="n"/>
      <c r="Y42" s="78">
        <f>IF(OR(X$4=0,X42=""),"",IFERROR(ROUND(X42/INDEX(Undirviðmið!$F$6:$F$205,X$4)*INDEX(Undirviðmið!$E$6:$E$205,X$4)*KVARDI,2),""))</f>
        <v/>
      </c>
      <c r="Z42" s="66" t="n"/>
      <c r="AA42" s="78">
        <f>IF(OR(Z$4=0,Z42=""),"",IFERROR(ROUND(Z42/INDEX(Undirviðmið!$F$6:$F$205,Z$4)*INDEX(Undirviðmið!$E$6:$E$205,Z$4)*KVARDI,2),""))</f>
        <v/>
      </c>
      <c r="AB42" s="66" t="n"/>
      <c r="AC42" s="78">
        <f>IF(OR(AB$4=0,AB42=""),"",IFERROR(ROUND(AB42/INDEX(Undirviðmið!$F$6:$F$205,AB$4)*INDEX(Undirviðmið!$E$6:$E$205,AB$4)*KVARDI,2),""))</f>
        <v/>
      </c>
      <c r="AD42" s="66" t="n"/>
      <c r="AE42" s="78">
        <f>IF(OR(AD$4=0,AD42=""),"",IFERROR(ROUND(AD42/INDEX(Undirviðmið!$F$6:$F$205,AD$4)*INDEX(Undirviðmið!$E$6:$E$205,AD$4)*KVARDI,2),""))</f>
        <v/>
      </c>
      <c r="AF42" s="66" t="n"/>
      <c r="AG42" s="78">
        <f>IF(OR(AF$4=0,AF42=""),"",IFERROR(ROUND(AF42/INDEX(Undirviðmið!$F$6:$F$205,AF$4)*INDEX(Undirviðmið!$E$6:$E$205,AF$4)*KVARDI,2),""))</f>
        <v/>
      </c>
      <c r="AH42" s="66" t="n"/>
      <c r="AI42" s="78">
        <f>IF(OR(AH$4=0,AH42=""),"",IFERROR(ROUND(AH42/INDEX(Undirviðmið!$F$6:$F$205,AH$4)*INDEX(Undirviðmið!$E$6:$E$205,AH$4)*KVARDI,2),""))</f>
        <v/>
      </c>
      <c r="AJ42" s="66" t="n"/>
      <c r="AK42" s="78">
        <f>IF(OR(AJ$4=0,AJ42=""),"",IFERROR(ROUND(AJ42/INDEX(Undirviðmið!$F$6:$F$205,AJ$4)*INDEX(Undirviðmið!$E$6:$E$205,AJ$4)*KVARDI,2),""))</f>
        <v/>
      </c>
      <c r="AL42" s="66" t="n"/>
      <c r="AM42" s="78">
        <f>IF(OR(AL$4=0,AL42=""),"",IFERROR(ROUND(AL42/INDEX(Undirviðmið!$F$6:$F$205,AL$4)*INDEX(Undirviðmið!$E$6:$E$205,AL$4)*KVARDI,2),""))</f>
        <v/>
      </c>
      <c r="AN42" s="66" t="n"/>
      <c r="AO42" s="78">
        <f>IF(OR(AN$4=0,AN42=""),"",IFERROR(ROUND(AN42/INDEX(Undirviðmið!$F$6:$F$205,AN$4)*INDEX(Undirviðmið!$E$6:$E$205,AN$4)*KVARDI,2),""))</f>
        <v/>
      </c>
      <c r="AP42" s="66" t="n"/>
      <c r="AQ42" s="78">
        <f>IF(OR(AP$4=0,AP42=""),"",IFERROR(ROUND(AP42/INDEX(Undirviðmið!$F$6:$F$205,AP$4)*INDEX(Undirviðmið!$E$6:$E$205,AP$4)*KVARDI,2),""))</f>
        <v/>
      </c>
      <c r="AR42" s="66" t="n"/>
      <c r="AS42" s="78">
        <f>IF(OR(AR$4=0,AR42=""),"",IFERROR(ROUND(AR42/INDEX(Undirviðmið!$F$6:$F$205,AR$4)*INDEX(Undirviðmið!$E$6:$E$205,AR$4)*KVARDI,2),""))</f>
        <v/>
      </c>
      <c r="AT42" s="66" t="n"/>
      <c r="AU42" s="78">
        <f>IF(OR(AT$4=0,AT42=""),"",IFERROR(ROUND(AT42/INDEX(Undirviðmið!$F$6:$F$205,AT$4)*INDEX(Undirviðmið!$E$6:$E$205,AT$4)*KVARDI,2),""))</f>
        <v/>
      </c>
      <c r="AV42" s="66" t="n"/>
      <c r="AW42" s="78">
        <f>IF(OR(AV$4=0,AV42=""),"",IFERROR(ROUND(AV42/INDEX(Undirviðmið!$F$6:$F$205,AV$4)*INDEX(Undirviðmið!$E$6:$E$205,AV$4)*KVARDI,2),""))</f>
        <v/>
      </c>
      <c r="AX42" s="66" t="n"/>
      <c r="AY42" s="78">
        <f>IF(OR(AX$4=0,AX42=""),"",IFERROR(ROUND(AX42/INDEX(Undirviðmið!$F$6:$F$205,AX$4)*INDEX(Undirviðmið!$E$6:$E$205,AX$4)*KVARDI,2),""))</f>
        <v/>
      </c>
      <c r="AZ42" s="66" t="n"/>
      <c r="BA42" s="78">
        <f>IF(OR(AZ$4=0,AZ42=""),"",IFERROR(ROUND(AZ42/INDEX(Undirviðmið!$F$6:$F$205,AZ$4)*INDEX(Undirviðmið!$E$6:$E$205,AZ$4)*KVARDI,2),""))</f>
        <v/>
      </c>
      <c r="BB42" s="66" t="n"/>
      <c r="BC42" s="78">
        <f>IF(OR(BB$4=0,BB42=""),"",IFERROR(ROUND(BB42/INDEX(Undirviðmið!$F$6:$F$205,BB$4)*INDEX(Undirviðmið!$E$6:$E$205,BB$4)*KVARDI,2),""))</f>
        <v/>
      </c>
      <c r="BD42" s="66" t="n"/>
      <c r="BE42" s="78">
        <f>IF(OR(BD$4=0,BD42=""),"",IFERROR(ROUND(BD42/INDEX(Undirviðmið!$F$6:$F$205,BD$4)*INDEX(Undirviðmið!$E$6:$E$205,BD$4)*KVARDI,2),""))</f>
        <v/>
      </c>
      <c r="BF42" s="66" t="n"/>
      <c r="BG42" s="78">
        <f>IF(OR(BF$4=0,BF42=""),"",IFERROR(ROUND(BF42/INDEX(Undirviðmið!$F$6:$F$205,BF$4)*INDEX(Undirviðmið!$E$6:$E$205,BF$4)*KVARDI,2),""))</f>
        <v/>
      </c>
      <c r="BH42" s="66" t="n"/>
      <c r="BI42" s="78">
        <f>IF(OR(BH$4=0,BH42=""),"",IFERROR(ROUND(BH42/INDEX(Undirviðmið!$F$6:$F$205,BH$4)*INDEX(Undirviðmið!$E$6:$E$205,BH$4)*KVARDI,2),""))</f>
        <v/>
      </c>
      <c r="BJ42" s="66" t="n"/>
      <c r="BK42" s="78">
        <f>IF(OR(BJ$4=0,BJ42=""),"",IFERROR(ROUND(BJ42/INDEX(Undirviðmið!$F$6:$F$205,BJ$4)*INDEX(Undirviðmið!$E$6:$E$205,BJ$4)*KVARDI,2),""))</f>
        <v/>
      </c>
      <c r="BL42" s="66" t="n"/>
      <c r="BM42" s="78">
        <f>IF(OR(BL$4=0,BL42=""),"",IFERROR(ROUND(BL42/INDEX(Undirviðmið!$F$6:$F$205,BL$4)*INDEX(Undirviðmið!$E$6:$E$205,BL$4)*KVARDI,2),""))</f>
        <v/>
      </c>
      <c r="BN42" s="66" t="n"/>
      <c r="BO42" s="78">
        <f>IF(OR(BN$4=0,BN42=""),"",IFERROR(ROUND(BN42/INDEX(Undirviðmið!$F$6:$F$205,BN$4)*INDEX(Undirviðmið!$E$6:$E$205,BN$4)*KVARDI,2),""))</f>
        <v/>
      </c>
      <c r="BP42" s="66" t="n"/>
      <c r="BQ42" s="78">
        <f>IF(OR(BP$4=0,BP42=""),"",IFERROR(ROUND(BP42/INDEX(Undirviðmið!$F$6:$F$205,BP$4)*INDEX(Undirviðmið!$E$6:$E$205,BP$4)*KVARDI,2),""))</f>
        <v/>
      </c>
      <c r="BR42" s="66" t="n"/>
      <c r="BS42" s="78">
        <f>IF(OR(BR$4=0,BR42=""),"",IFERROR(ROUND(BR42/INDEX(Undirviðmið!$F$6:$F$205,BR$4)*INDEX(Undirviðmið!$E$6:$E$205,BR$4)*KVARDI,2),""))</f>
        <v/>
      </c>
      <c r="BT42" s="66" t="n"/>
      <c r="BU42" s="78">
        <f>IF(OR(BT$4=0,BT42=""),"",IFERROR(ROUND(BT42/INDEX(Undirviðmið!$F$6:$F$205,BT$4)*INDEX(Undirviðmið!$E$6:$E$205,BT$4)*KVARDI,2),""))</f>
        <v/>
      </c>
      <c r="BV42" s="66" t="n"/>
      <c r="BW42" s="78">
        <f>IF(OR(BV$4=0,BV42=""),"",IFERROR(ROUND(BV42/INDEX(Undirviðmið!$F$6:$F$205,BV$4)*INDEX(Undirviðmið!$E$6:$E$205,BV$4)*KVARDI,2),""))</f>
        <v/>
      </c>
      <c r="BX42" s="66" t="n"/>
      <c r="BY42" s="78">
        <f>IF(OR(BX$4=0,BX42=""),"",IFERROR(ROUND(BX42/INDEX(Undirviðmið!$F$6:$F$205,BX$4)*INDEX(Undirviðmið!$E$6:$E$205,BX$4)*KVARDI,2),""))</f>
        <v/>
      </c>
      <c r="BZ42" s="66" t="n"/>
      <c r="CA42" s="78">
        <f>IF(OR(BZ$4=0,BZ42=""),"",IFERROR(ROUND(BZ42/INDEX(Undirviðmið!$F$6:$F$205,BZ$4)*INDEX(Undirviðmið!$E$6:$E$205,BZ$4)*KVARDI,2),""))</f>
        <v/>
      </c>
      <c r="CB42" s="66" t="n"/>
      <c r="CC42" s="78">
        <f>IF(OR(CB$4=0,CB42=""),"",IFERROR(ROUND(CB42/INDEX(Undirviðmið!$F$6:$F$205,CB$4)*INDEX(Undirviðmið!$E$6:$E$205,CB$4)*KVARDI,2),""))</f>
        <v/>
      </c>
      <c r="CD42" s="66" t="n"/>
      <c r="CE42" s="78">
        <f>IF(OR(CD$4=0,CD42=""),"",IFERROR(ROUND(CD42/INDEX(Undirviðmið!$F$6:$F$205,CD$4)*INDEX(Undirviðmið!$E$6:$E$205,CD$4)*KVARDI,2),""))</f>
        <v/>
      </c>
      <c r="CF42" s="66" t="n"/>
      <c r="CG42" s="78">
        <f>IF(OR(CF$4=0,CF42=""),"",IFERROR(ROUND(CF42/INDEX(Undirviðmið!$F$6:$F$205,CF$4)*INDEX(Undirviðmið!$E$6:$E$205,CF$4)*KVARDI,2),""))</f>
        <v/>
      </c>
      <c r="CH42" s="66" t="n"/>
      <c r="CI42" s="78">
        <f>IF(OR(CH$4=0,CH42=""),"",IFERROR(ROUND(CH42/INDEX(Undirviðmið!$F$6:$F$205,CH$4)*INDEX(Undirviðmið!$E$6:$E$205,CH$4)*KVARDI,2),""))</f>
        <v/>
      </c>
      <c r="CJ42" s="66" t="n"/>
      <c r="CK42" s="78">
        <f>IF(OR(CJ$4=0,CJ42=""),"",IFERROR(ROUND(CJ42/INDEX(Undirviðmið!$F$6:$F$205,CJ$4)*INDEX(Undirviðmið!$E$6:$E$205,CJ$4)*KVARDI,2),""))</f>
        <v/>
      </c>
      <c r="CL42" s="66" t="n"/>
      <c r="CM42" s="78">
        <f>IF(OR(CL$4=0,CL42=""),"",IFERROR(ROUND(CL42/INDEX(Undirviðmið!$F$6:$F$205,CL$4)*INDEX(Undirviðmið!$E$6:$E$205,CL$4)*KVARDI,2),""))</f>
        <v/>
      </c>
      <c r="CN42" s="66" t="n"/>
      <c r="CO42" s="78">
        <f>IF(OR(CN$4=0,CN42=""),"",IFERROR(ROUND(CN42/INDEX(Undirviðmið!$F$6:$F$205,CN$4)*INDEX(Undirviðmið!$E$6:$E$205,CN$4)*KVARDI,2),""))</f>
        <v/>
      </c>
      <c r="CP42" s="66" t="n"/>
      <c r="CQ42" s="78">
        <f>IF(OR(CP$4=0,CP42=""),"",IFERROR(ROUND(CP42/INDEX(Undirviðmið!$F$6:$F$205,CP$4)*INDEX(Undirviðmið!$E$6:$E$205,CP$4)*KVARDI,2),""))</f>
        <v/>
      </c>
      <c r="CR42" s="66" t="n"/>
      <c r="CS42" s="78">
        <f>IF(OR(CR$4=0,CR42=""),"",IFERROR(ROUND(CR42/INDEX(Undirviðmið!$F$6:$F$205,CR$4)*INDEX(Undirviðmið!$E$6:$E$205,CR$4)*KVARDI,2),""))</f>
        <v/>
      </c>
      <c r="CT42" s="66" t="n"/>
      <c r="CU42" s="78">
        <f>IF(OR(CT$4=0,CT42=""),"",IFERROR(ROUND(CT42/INDEX(Undirviðmið!$F$6:$F$205,CT$4)*INDEX(Undirviðmið!$E$6:$E$205,CT$4)*KVARDI,2),""))</f>
        <v/>
      </c>
      <c r="CV42" s="66" t="n"/>
      <c r="CW42" s="78">
        <f>IF(OR(CV$4=0,CV42=""),"",IFERROR(ROUND(CV42/INDEX(Undirviðmið!$F$6:$F$205,CV$4)*INDEX(Undirviðmið!$E$6:$E$205,CV$4)*KVARDI,2),""))</f>
        <v/>
      </c>
      <c r="CX42" s="66" t="n"/>
      <c r="CY42" s="78">
        <f>IF(OR(CX$4=0,CX42=""),"",IFERROR(ROUND(CX42/INDEX(Undirviðmið!$F$6:$F$205,CX$4)*INDEX(Undirviðmið!$E$6:$E$205,CX$4)*KVARDI,2),""))</f>
        <v/>
      </c>
      <c r="CZ42" s="66" t="n"/>
      <c r="DA42" s="78">
        <f>IF(OR(CZ$4=0,CZ42=""),"",IFERROR(ROUND(CZ42/INDEX(Undirviðmið!$F$6:$F$205,CZ$4)*INDEX(Undirviðmið!$E$6:$E$205,CZ$4)*KVARDI,2),""))</f>
        <v/>
      </c>
      <c r="DB42" s="66" t="n"/>
      <c r="DC42" s="78">
        <f>IF(OR(DB$4=0,DB42=""),"",IFERROR(ROUND(DB42/INDEX(Undirviðmið!$F$6:$F$205,DB$4)*INDEX(Undirviðmið!$E$6:$E$205,DB$4)*KVARDI,2),""))</f>
        <v/>
      </c>
      <c r="DD42" s="66" t="n"/>
      <c r="DE42" s="78">
        <f>IF(OR(DD$4=0,DD42=""),"",IFERROR(ROUND(DD42/INDEX(Undirviðmið!$F$6:$F$205,DD$4)*INDEX(Undirviðmið!$E$6:$E$205,DD$4)*KVARDI,2),""))</f>
        <v/>
      </c>
      <c r="DF42" s="66" t="n"/>
      <c r="DG42" s="78">
        <f>IF(OR(DF$4=0,DF42=""),"",IFERROR(ROUND(DF42/INDEX(Undirviðmið!$F$6:$F$205,DF$4)*INDEX(Undirviðmið!$E$6:$E$205,DF$4)*KVARDI,2),""))</f>
        <v/>
      </c>
      <c r="DH42" s="66" t="n"/>
      <c r="DI42" s="78">
        <f>IF(OR(DH$4=0,DH42=""),"",IFERROR(ROUND(DH42/INDEX(Undirviðmið!$F$6:$F$205,DH$4)*INDEX(Undirviðmið!$E$6:$E$205,DH$4)*KVARDI,2),""))</f>
        <v/>
      </c>
      <c r="DJ42" s="66" t="n"/>
      <c r="DK42" s="78">
        <f>IF(OR(DJ$4=0,DJ42=""),"",IFERROR(ROUND(DJ42/INDEX(Undirviðmið!$F$6:$F$205,DJ$4)*INDEX(Undirviðmið!$E$6:$E$205,DJ$4)*KVARDI,2),""))</f>
        <v/>
      </c>
      <c r="DL42" s="66" t="n"/>
      <c r="DM42" s="78">
        <f>IF(OR(DL$4=0,DL42=""),"",IFERROR(ROUND(DL42/INDEX(Undirviðmið!$F$6:$F$205,DL$4)*INDEX(Undirviðmið!$E$6:$E$205,DL$4)*KVARDI,2),""))</f>
        <v/>
      </c>
      <c r="DN42" s="66" t="n"/>
      <c r="DO42" s="78">
        <f>IF(OR(DN$4=0,DN42=""),"",IFERROR(ROUND(DN42/INDEX(Undirviðmið!$F$6:$F$205,DN$4)*INDEX(Undirviðmið!$E$6:$E$205,DN$4)*KVARDI,2),""))</f>
        <v/>
      </c>
      <c r="DP42" s="66" t="n"/>
      <c r="DQ42" s="78">
        <f>IF(OR(DP$4=0,DP42=""),"",IFERROR(ROUND(DP42/INDEX(Undirviðmið!$F$6:$F$205,DP$4)*INDEX(Undirviðmið!$E$6:$E$205,DP$4)*KVARDI,2),""))</f>
        <v/>
      </c>
      <c r="DR42" s="66" t="n"/>
      <c r="DS42" s="78">
        <f>IF(OR(DR$4=0,DR42=""),"",IFERROR(ROUND(DR42/INDEX(Undirviðmið!$F$6:$F$205,DR$4)*INDEX(Undirviðmið!$E$6:$E$205,DR$4)*KVARDI,2),""))</f>
        <v/>
      </c>
      <c r="DT42" s="66" t="n"/>
      <c r="DU42" s="78">
        <f>IF(OR(DT$4=0,DT42=""),"",IFERROR(ROUND(DT42/INDEX(Undirviðmið!$F$6:$F$205,DT$4)*INDEX(Undirviðmið!$E$6:$E$205,DT$4)*KVARDI,2),""))</f>
        <v/>
      </c>
      <c r="DV42" s="66" t="n"/>
      <c r="DW42" s="78">
        <f>IF(OR(DV$4=0,DV42=""),"",IFERROR(ROUND(DV42/INDEX(Undirviðmið!$F$6:$F$205,DV$4)*INDEX(Undirviðmið!$E$6:$E$205,DV$4)*KVARDI,2),""))</f>
        <v/>
      </c>
      <c r="DX42" s="66" t="n"/>
      <c r="DY42" s="78">
        <f>IF(OR(DX$4=0,DX42=""),"",IFERROR(ROUND(DX42/INDEX(Undirviðmið!$F$6:$F$205,DX$4)*INDEX(Undirviðmið!$E$6:$E$205,DX$4)*KVARDI,2),""))</f>
        <v/>
      </c>
      <c r="DZ42" s="66" t="n"/>
      <c r="EA42" s="78">
        <f>IF(OR(DZ$4=0,DZ42=""),"",IFERROR(ROUND(DZ42/INDEX(Undirviðmið!$F$6:$F$205,DZ$4)*INDEX(Undirviðmið!$E$6:$E$205,DZ$4)*KVARDI,2),""))</f>
        <v/>
      </c>
      <c r="EB42" s="66" t="n"/>
      <c r="EC42" s="78">
        <f>IF(OR(EB$4=0,EB42=""),"",IFERROR(ROUND(EB42/INDEX(Undirviðmið!$F$6:$F$205,EB$4)*INDEX(Undirviðmið!$E$6:$E$205,EB$4)*KVARDI,2),""))</f>
        <v/>
      </c>
      <c r="ED42" s="66" t="n"/>
      <c r="EE42" s="78">
        <f>IF(OR(ED$4=0,ED42=""),"",IFERROR(ROUND(ED42/INDEX(Undirviðmið!$F$6:$F$205,ED$4)*INDEX(Undirviðmið!$E$6:$E$205,ED$4)*KVARDI,2),""))</f>
        <v/>
      </c>
      <c r="EF42" s="66" t="n"/>
      <c r="EG42" s="78">
        <f>IF(OR(EF$4=0,EF42=""),"",IFERROR(ROUND(EF42/INDEX(Undirviðmið!$F$6:$F$205,EF$4)*INDEX(Undirviðmið!$E$6:$E$205,EF$4)*KVARDI,2),""))</f>
        <v/>
      </c>
      <c r="EH42" s="66" t="n"/>
      <c r="EI42" s="78">
        <f>IF(OR(EH$4=0,EH42=""),"",IFERROR(ROUND(EH42/INDEX(Undirviðmið!$F$6:$F$205,EH$4)*INDEX(Undirviðmið!$E$6:$E$205,EH$4)*KVARDI,2),""))</f>
        <v/>
      </c>
      <c r="EJ42" s="66" t="n"/>
      <c r="EK42" s="78">
        <f>IF(OR(EJ$4=0,EJ42=""),"",IFERROR(ROUND(EJ42/INDEX(Undirviðmið!$F$6:$F$205,EJ$4)*INDEX(Undirviðmið!$E$6:$E$205,EJ$4)*KVARDI,2),""))</f>
        <v/>
      </c>
      <c r="EL42" s="66" t="n"/>
      <c r="EM42" s="78">
        <f>IF(OR(EL$4=0,EL42=""),"",IFERROR(ROUND(EL42/INDEX(Undirviðmið!$F$6:$F$205,EL$4)*INDEX(Undirviðmið!$E$6:$E$205,EL$4)*KVARDI,2),""))</f>
        <v/>
      </c>
      <c r="EN42" s="66" t="n"/>
      <c r="EO42" s="78">
        <f>IF(OR(EN$4=0,EN42=""),"",IFERROR(ROUND(EN42/INDEX(Undirviðmið!$F$6:$F$205,EN$4)*INDEX(Undirviðmið!$E$6:$E$205,EN$4)*KVARDI,2),""))</f>
        <v/>
      </c>
      <c r="EP42" s="66" t="n"/>
      <c r="EQ42" s="78">
        <f>IF(OR(EP$4=0,EP42=""),"",IFERROR(ROUND(EP42/INDEX(Undirviðmið!$F$6:$F$205,EP$4)*INDEX(Undirviðmið!$E$6:$E$205,EP$4)*KVARDI,2),""))</f>
        <v/>
      </c>
      <c r="ER42" s="66" t="n"/>
      <c r="ES42" s="78">
        <f>IF(OR(ER$4=0,ER42=""),"",IFERROR(ROUND(ER42/INDEX(Undirviðmið!$F$6:$F$205,ER$4)*INDEX(Undirviðmið!$E$6:$E$205,ER$4)*KVARDI,2),""))</f>
        <v/>
      </c>
      <c r="ET42" s="66" t="n"/>
      <c r="EU42" s="78">
        <f>IF(OR(ET$4=0,ET42=""),"",IFERROR(ROUND(ET42/INDEX(Undirviðmið!$F$6:$F$205,ET$4)*INDEX(Undirviðmið!$E$6:$E$205,ET$4)*KVARDI,2),""))</f>
        <v/>
      </c>
      <c r="EV42" s="66" t="n"/>
      <c r="EW42" s="78">
        <f>IF(OR(EV$4=0,EV42=""),"",IFERROR(ROUND(EV42/INDEX(Undirviðmið!$F$6:$F$205,EV$4)*INDEX(Undirviðmið!$E$6:$E$205,EV$4)*KVARDI,2),""))</f>
        <v/>
      </c>
      <c r="EX42" s="66" t="n"/>
      <c r="EY42" s="78">
        <f>IF(OR(EX$4=0,EX42=""),"",IFERROR(ROUND(EX42/INDEX(Undirviðmið!$F$6:$F$205,EX$4)*INDEX(Undirviðmið!$E$6:$E$205,EX$4)*KVARDI,2),""))</f>
        <v/>
      </c>
      <c r="EZ42" s="66" t="n"/>
      <c r="FA42" s="78">
        <f>IF(OR(EZ$4=0,EZ42=""),"",IFERROR(ROUND(EZ42/INDEX(Undirviðmið!$F$6:$F$205,EZ$4)*INDEX(Undirviðmið!$E$6:$E$205,EZ$4)*KVARDI,2),""))</f>
        <v/>
      </c>
      <c r="FB42" s="66" t="n"/>
      <c r="FC42" s="78">
        <f>IF(OR(FB$4=0,FB42=""),"",IFERROR(ROUND(FB42/INDEX(Undirviðmið!$F$6:$F$205,FB$4)*INDEX(Undirviðmið!$E$6:$E$205,FB$4)*KVARDI,2),""))</f>
        <v/>
      </c>
      <c r="FD42" s="66" t="n"/>
      <c r="FE42" s="78">
        <f>IF(OR(FD$4=0,FD42=""),"",IFERROR(ROUND(FD42/INDEX(Undirviðmið!$F$6:$F$205,FD$4)*INDEX(Undirviðmið!$E$6:$E$205,FD$4)*KVARDI,2),""))</f>
        <v/>
      </c>
      <c r="FF42" s="66" t="n"/>
      <c r="FG42" s="78">
        <f>IF(OR(FF$4=0,FF42=""),"",IFERROR(ROUND(FF42/INDEX(Undirviðmið!$F$6:$F$205,FF$4)*INDEX(Undirviðmið!$E$6:$E$205,FF$4)*KVARDI,2),""))</f>
        <v/>
      </c>
      <c r="FH42" s="66" t="n"/>
      <c r="FI42" s="78">
        <f>IF(OR(FH$4=0,FH42=""),"",IFERROR(ROUND(FH42/INDEX(Undirviðmið!$F$6:$F$205,FH$4)*INDEX(Undirviðmið!$E$6:$E$205,FH$4)*KVARDI,2),""))</f>
        <v/>
      </c>
      <c r="FJ42" s="66" t="n"/>
      <c r="FK42" s="78">
        <f>IF(OR(FJ$4=0,FJ42=""),"",IFERROR(ROUND(FJ42/INDEX(Undirviðmið!$F$6:$F$205,FJ$4)*INDEX(Undirviðmið!$E$6:$E$205,FJ$4)*KVARDI,2),""))</f>
        <v/>
      </c>
      <c r="FL42" s="66" t="n"/>
      <c r="FM42" s="78">
        <f>IF(OR(FL$4=0,FL42=""),"",IFERROR(ROUND(FL42/INDEX(Undirviðmið!$F$6:$F$205,FL$4)*INDEX(Undirviðmið!$E$6:$E$205,FL$4)*KVARDI,2),""))</f>
        <v/>
      </c>
      <c r="FN42" s="66" t="n"/>
      <c r="FO42" s="78">
        <f>IF(OR(FN$4=0,FN42=""),"",IFERROR(ROUND(FN42/INDEX(Undirviðmið!$F$6:$F$205,FN$4)*INDEX(Undirviðmið!$E$6:$E$205,FN$4)*KVARDI,2),""))</f>
        <v/>
      </c>
      <c r="FP42" s="66" t="n"/>
      <c r="FQ42" s="78">
        <f>IF(OR(FP$4=0,FP42=""),"",IFERROR(ROUND(FP42/INDEX(Undirviðmið!$F$6:$F$205,FP$4)*INDEX(Undirviðmið!$E$6:$E$205,FP$4)*KVARDI,2),""))</f>
        <v/>
      </c>
      <c r="FR42" s="66" t="n"/>
      <c r="FS42" s="78">
        <f>IF(OR(FR$4=0,FR42=""),"",IFERROR(ROUND(FR42/INDEX(Undirviðmið!$F$6:$F$205,FR$4)*INDEX(Undirviðmið!$E$6:$E$205,FR$4)*KVARDI,2),""))</f>
        <v/>
      </c>
      <c r="FT42" s="66" t="n"/>
      <c r="FU42" s="78">
        <f>IF(OR(FT$4=0,FT42=""),"",IFERROR(ROUND(FT42/INDEX(Undirviðmið!$F$6:$F$205,FT$4)*INDEX(Undirviðmið!$E$6:$E$205,FT$4)*KVARDI,2),""))</f>
        <v/>
      </c>
      <c r="FV42" s="66" t="n"/>
      <c r="FW42" s="78">
        <f>IF(OR(FV$4=0,FV42=""),"",IFERROR(ROUND(FV42/INDEX(Undirviðmið!$F$6:$F$205,FV$4)*INDEX(Undirviðmið!$E$6:$E$205,FV$4)*KVARDI,2),""))</f>
        <v/>
      </c>
      <c r="FX42" s="66" t="n"/>
      <c r="FY42" s="78">
        <f>IF(OR(FX$4=0,FX42=""),"",IFERROR(ROUND(FX42/INDEX(Undirviðmið!$F$6:$F$205,FX$4)*INDEX(Undirviðmið!$E$6:$E$205,FX$4)*KVARDI,2),""))</f>
        <v/>
      </c>
      <c r="FZ42" s="66" t="n"/>
      <c r="GA42" s="78">
        <f>IF(OR(FZ$4=0,FZ42=""),"",IFERROR(ROUND(FZ42/INDEX(Undirviðmið!$F$6:$F$205,FZ$4)*INDEX(Undirviðmið!$E$6:$E$205,FZ$4)*KVARDI,2),""))</f>
        <v/>
      </c>
      <c r="GB42" s="66" t="n"/>
      <c r="GC42" s="78">
        <f>IF(OR(GB$4=0,GB42=""),"",IFERROR(ROUND(GB42/INDEX(Undirviðmið!$F$6:$F$205,GB$4)*INDEX(Undirviðmið!$E$6:$E$205,GB$4)*KVARDI,2),""))</f>
        <v/>
      </c>
      <c r="GD42" s="66" t="n"/>
      <c r="GE42" s="78">
        <f>IF(OR(GD$4=0,GD42=""),"",IFERROR(ROUND(GD42/INDEX(Undirviðmið!$F$6:$F$205,GD$4)*INDEX(Undirviðmið!$E$6:$E$205,GD$4)*KVARDI,2),""))</f>
        <v/>
      </c>
      <c r="GF42" s="66" t="n"/>
      <c r="GG42" s="78">
        <f>IF(OR(GF$4=0,GF42=""),"",IFERROR(ROUND(GF42/INDEX(Undirviðmið!$F$6:$F$205,GF$4)*INDEX(Undirviðmið!$E$6:$E$205,GF$4)*KVARDI,2),""))</f>
        <v/>
      </c>
      <c r="GH42" s="66" t="n"/>
      <c r="GI42" s="78">
        <f>IF(OR(GH$4=0,GH42=""),"",IFERROR(ROUND(GH42/INDEX(Undirviðmið!$F$6:$F$205,GH$4)*INDEX(Undirviðmið!$E$6:$E$205,GH$4)*KVARDI,2),""))</f>
        <v/>
      </c>
      <c r="GJ42" s="66" t="n"/>
      <c r="GK42" s="78">
        <f>IF(OR(GJ$4=0,GJ42=""),"",IFERROR(ROUND(GJ42/INDEX(Undirviðmið!$F$6:$F$205,GJ$4)*INDEX(Undirviðmið!$E$6:$E$205,GJ$4)*KVARDI,2),""))</f>
        <v/>
      </c>
      <c r="GL42" s="66" t="n"/>
      <c r="GM42" s="78">
        <f>IF(OR(GL$4=0,GL42=""),"",IFERROR(ROUND(GL42/INDEX(Undirviðmið!$F$6:$F$205,GL$4)*INDEX(Undirviðmið!$E$6:$E$205,GL$4)*KVARDI,2),""))</f>
        <v/>
      </c>
      <c r="GN42" s="66" t="n"/>
      <c r="GO42" s="78">
        <f>IF(OR(GN$4=0,GN42=""),"",IFERROR(ROUND(GN42/INDEX(Undirviðmið!$F$6:$F$205,GN$4)*INDEX(Undirviðmið!$E$6:$E$205,GN$4)*KVARDI,2),""))</f>
        <v/>
      </c>
      <c r="GP42" s="66" t="n"/>
      <c r="GQ42" s="78">
        <f>IF(OR(GP$4=0,GP42=""),"",IFERROR(ROUND(GP42/INDEX(Undirviðmið!$F$6:$F$205,GP$4)*INDEX(Undirviðmið!$E$6:$E$205,GP$4)*KVARDI,2),""))</f>
        <v/>
      </c>
      <c r="GR42" s="66" t="n"/>
      <c r="GS42" s="78">
        <f>IF(OR(GR$4=0,GR42=""),"",IFERROR(ROUND(GR42/INDEX(Undirviðmið!$F$6:$F$205,GR$4)*INDEX(Undirviðmið!$E$6:$E$205,GR$4)*KVARDI,2),""))</f>
        <v/>
      </c>
      <c r="GT42" s="66" t="n"/>
      <c r="GU42" s="78">
        <f>IF(OR(GT$4=0,GT42=""),"",IFERROR(ROUND(GT42/INDEX(Undirviðmið!$F$6:$F$205,GT$4)*INDEX(Undirviðmið!$E$6:$E$205,GT$4)*KVARDI,2),""))</f>
        <v/>
      </c>
      <c r="GV42" s="63">
        <f>IFERROR(SUMIF($D$6:GU$6,"Stig",$D42:GU42),0)</f>
        <v/>
      </c>
    </row>
    <row r="43" ht="15" customHeight="1" s="47">
      <c r="A43" s="65">
        <f>ROW()-6</f>
        <v/>
      </c>
      <c r="B43" s="67">
        <f>IF(INDEX(Starfsmenn!$B$6:$B$10005,ROW()-6)="","",INDEX(Starfsmenn!$B$6:$B$10005,ROW()-6))</f>
        <v/>
      </c>
      <c r="C43" s="67">
        <f>IF(INDEX(Starfsmenn!$C$6:$C$10005,ROW()-6)="","",INDEX(Starfsmenn!$C$6:$C$10005,ROW()-6))</f>
        <v/>
      </c>
      <c r="D43" s="66" t="n"/>
      <c r="E43" s="78">
        <f>IF(OR(D$4=0,D43=""),"",IFERROR(ROUND(D43/INDEX(Undirviðmið!$F$6:$F$205,D$4)*INDEX(Undirviðmið!$E$6:$E$205,D$4)*KVARDI,2),""))</f>
        <v/>
      </c>
      <c r="F43" s="66" t="n"/>
      <c r="G43" s="78">
        <f>IF(OR(F$4=0,F43=""),"",IFERROR(ROUND(F43/INDEX(Undirviðmið!$F$6:$F$205,F$4)*INDEX(Undirviðmið!$E$6:$E$205,F$4)*KVARDI,2),""))</f>
        <v/>
      </c>
      <c r="H43" s="66" t="n"/>
      <c r="I43" s="78">
        <f>IF(OR(H$4=0,H43=""),"",IFERROR(ROUND(H43/INDEX(Undirviðmið!$F$6:$F$205,H$4)*INDEX(Undirviðmið!$E$6:$E$205,H$4)*KVARDI,2),""))</f>
        <v/>
      </c>
      <c r="J43" s="66" t="n"/>
      <c r="K43" s="78">
        <f>IF(OR(J$4=0,J43=""),"",IFERROR(ROUND(J43/INDEX(Undirviðmið!$F$6:$F$205,J$4)*INDEX(Undirviðmið!$E$6:$E$205,J$4)*KVARDI,2),""))</f>
        <v/>
      </c>
      <c r="L43" s="66" t="n"/>
      <c r="M43" s="78">
        <f>IF(OR(L$4=0,L43=""),"",IFERROR(ROUND(L43/INDEX(Undirviðmið!$F$6:$F$205,L$4)*INDEX(Undirviðmið!$E$6:$E$205,L$4)*KVARDI,2),""))</f>
        <v/>
      </c>
      <c r="N43" s="66" t="n"/>
      <c r="O43" s="78">
        <f>IF(OR(N$4=0,N43=""),"",IFERROR(ROUND(N43/INDEX(Undirviðmið!$F$6:$F$205,N$4)*INDEX(Undirviðmið!$E$6:$E$205,N$4)*KVARDI,2),""))</f>
        <v/>
      </c>
      <c r="P43" s="66" t="n"/>
      <c r="Q43" s="78">
        <f>IF(OR(P$4=0,P43=""),"",IFERROR(ROUND(P43/INDEX(Undirviðmið!$F$6:$F$205,P$4)*INDEX(Undirviðmið!$E$6:$E$205,P$4)*KVARDI,2),""))</f>
        <v/>
      </c>
      <c r="R43" s="66" t="n"/>
      <c r="S43" s="78">
        <f>IF(OR(R$4=0,R43=""),"",IFERROR(ROUND(R43/INDEX(Undirviðmið!$F$6:$F$205,R$4)*INDEX(Undirviðmið!$E$6:$E$205,R$4)*KVARDI,2),""))</f>
        <v/>
      </c>
      <c r="T43" s="66" t="n"/>
      <c r="U43" s="78">
        <f>IF(OR(T$4=0,T43=""),"",IFERROR(ROUND(T43/INDEX(Undirviðmið!$F$6:$F$205,T$4)*INDEX(Undirviðmið!$E$6:$E$205,T$4)*KVARDI,2),""))</f>
        <v/>
      </c>
      <c r="V43" s="66" t="n"/>
      <c r="W43" s="78">
        <f>IF(OR(V$4=0,V43=""),"",IFERROR(ROUND(V43/INDEX(Undirviðmið!$F$6:$F$205,V$4)*INDEX(Undirviðmið!$E$6:$E$205,V$4)*KVARDI,2),""))</f>
        <v/>
      </c>
      <c r="X43" s="66" t="n"/>
      <c r="Y43" s="78">
        <f>IF(OR(X$4=0,X43=""),"",IFERROR(ROUND(X43/INDEX(Undirviðmið!$F$6:$F$205,X$4)*INDEX(Undirviðmið!$E$6:$E$205,X$4)*KVARDI,2),""))</f>
        <v/>
      </c>
      <c r="Z43" s="66" t="n"/>
      <c r="AA43" s="78">
        <f>IF(OR(Z$4=0,Z43=""),"",IFERROR(ROUND(Z43/INDEX(Undirviðmið!$F$6:$F$205,Z$4)*INDEX(Undirviðmið!$E$6:$E$205,Z$4)*KVARDI,2),""))</f>
        <v/>
      </c>
      <c r="AB43" s="66" t="n"/>
      <c r="AC43" s="78">
        <f>IF(OR(AB$4=0,AB43=""),"",IFERROR(ROUND(AB43/INDEX(Undirviðmið!$F$6:$F$205,AB$4)*INDEX(Undirviðmið!$E$6:$E$205,AB$4)*KVARDI,2),""))</f>
        <v/>
      </c>
      <c r="AD43" s="66" t="n"/>
      <c r="AE43" s="78">
        <f>IF(OR(AD$4=0,AD43=""),"",IFERROR(ROUND(AD43/INDEX(Undirviðmið!$F$6:$F$205,AD$4)*INDEX(Undirviðmið!$E$6:$E$205,AD$4)*KVARDI,2),""))</f>
        <v/>
      </c>
      <c r="AF43" s="66" t="n"/>
      <c r="AG43" s="78">
        <f>IF(OR(AF$4=0,AF43=""),"",IFERROR(ROUND(AF43/INDEX(Undirviðmið!$F$6:$F$205,AF$4)*INDEX(Undirviðmið!$E$6:$E$205,AF$4)*KVARDI,2),""))</f>
        <v/>
      </c>
      <c r="AH43" s="66" t="n"/>
      <c r="AI43" s="78">
        <f>IF(OR(AH$4=0,AH43=""),"",IFERROR(ROUND(AH43/INDEX(Undirviðmið!$F$6:$F$205,AH$4)*INDEX(Undirviðmið!$E$6:$E$205,AH$4)*KVARDI,2),""))</f>
        <v/>
      </c>
      <c r="AJ43" s="66" t="n"/>
      <c r="AK43" s="78">
        <f>IF(OR(AJ$4=0,AJ43=""),"",IFERROR(ROUND(AJ43/INDEX(Undirviðmið!$F$6:$F$205,AJ$4)*INDEX(Undirviðmið!$E$6:$E$205,AJ$4)*KVARDI,2),""))</f>
        <v/>
      </c>
      <c r="AL43" s="66" t="n"/>
      <c r="AM43" s="78">
        <f>IF(OR(AL$4=0,AL43=""),"",IFERROR(ROUND(AL43/INDEX(Undirviðmið!$F$6:$F$205,AL$4)*INDEX(Undirviðmið!$E$6:$E$205,AL$4)*KVARDI,2),""))</f>
        <v/>
      </c>
      <c r="AN43" s="66" t="n"/>
      <c r="AO43" s="78">
        <f>IF(OR(AN$4=0,AN43=""),"",IFERROR(ROUND(AN43/INDEX(Undirviðmið!$F$6:$F$205,AN$4)*INDEX(Undirviðmið!$E$6:$E$205,AN$4)*KVARDI,2),""))</f>
        <v/>
      </c>
      <c r="AP43" s="66" t="n"/>
      <c r="AQ43" s="78">
        <f>IF(OR(AP$4=0,AP43=""),"",IFERROR(ROUND(AP43/INDEX(Undirviðmið!$F$6:$F$205,AP$4)*INDEX(Undirviðmið!$E$6:$E$205,AP$4)*KVARDI,2),""))</f>
        <v/>
      </c>
      <c r="AR43" s="66" t="n"/>
      <c r="AS43" s="78">
        <f>IF(OR(AR$4=0,AR43=""),"",IFERROR(ROUND(AR43/INDEX(Undirviðmið!$F$6:$F$205,AR$4)*INDEX(Undirviðmið!$E$6:$E$205,AR$4)*KVARDI,2),""))</f>
        <v/>
      </c>
      <c r="AT43" s="66" t="n"/>
      <c r="AU43" s="78">
        <f>IF(OR(AT$4=0,AT43=""),"",IFERROR(ROUND(AT43/INDEX(Undirviðmið!$F$6:$F$205,AT$4)*INDEX(Undirviðmið!$E$6:$E$205,AT$4)*KVARDI,2),""))</f>
        <v/>
      </c>
      <c r="AV43" s="66" t="n"/>
      <c r="AW43" s="78">
        <f>IF(OR(AV$4=0,AV43=""),"",IFERROR(ROUND(AV43/INDEX(Undirviðmið!$F$6:$F$205,AV$4)*INDEX(Undirviðmið!$E$6:$E$205,AV$4)*KVARDI,2),""))</f>
        <v/>
      </c>
      <c r="AX43" s="66" t="n"/>
      <c r="AY43" s="78">
        <f>IF(OR(AX$4=0,AX43=""),"",IFERROR(ROUND(AX43/INDEX(Undirviðmið!$F$6:$F$205,AX$4)*INDEX(Undirviðmið!$E$6:$E$205,AX$4)*KVARDI,2),""))</f>
        <v/>
      </c>
      <c r="AZ43" s="66" t="n"/>
      <c r="BA43" s="78">
        <f>IF(OR(AZ$4=0,AZ43=""),"",IFERROR(ROUND(AZ43/INDEX(Undirviðmið!$F$6:$F$205,AZ$4)*INDEX(Undirviðmið!$E$6:$E$205,AZ$4)*KVARDI,2),""))</f>
        <v/>
      </c>
      <c r="BB43" s="66" t="n"/>
      <c r="BC43" s="78">
        <f>IF(OR(BB$4=0,BB43=""),"",IFERROR(ROUND(BB43/INDEX(Undirviðmið!$F$6:$F$205,BB$4)*INDEX(Undirviðmið!$E$6:$E$205,BB$4)*KVARDI,2),""))</f>
        <v/>
      </c>
      <c r="BD43" s="66" t="n"/>
      <c r="BE43" s="78">
        <f>IF(OR(BD$4=0,BD43=""),"",IFERROR(ROUND(BD43/INDEX(Undirviðmið!$F$6:$F$205,BD$4)*INDEX(Undirviðmið!$E$6:$E$205,BD$4)*KVARDI,2),""))</f>
        <v/>
      </c>
      <c r="BF43" s="66" t="n"/>
      <c r="BG43" s="78">
        <f>IF(OR(BF$4=0,BF43=""),"",IFERROR(ROUND(BF43/INDEX(Undirviðmið!$F$6:$F$205,BF$4)*INDEX(Undirviðmið!$E$6:$E$205,BF$4)*KVARDI,2),""))</f>
        <v/>
      </c>
      <c r="BH43" s="66" t="n"/>
      <c r="BI43" s="78">
        <f>IF(OR(BH$4=0,BH43=""),"",IFERROR(ROUND(BH43/INDEX(Undirviðmið!$F$6:$F$205,BH$4)*INDEX(Undirviðmið!$E$6:$E$205,BH$4)*KVARDI,2),""))</f>
        <v/>
      </c>
      <c r="BJ43" s="66" t="n"/>
      <c r="BK43" s="78">
        <f>IF(OR(BJ$4=0,BJ43=""),"",IFERROR(ROUND(BJ43/INDEX(Undirviðmið!$F$6:$F$205,BJ$4)*INDEX(Undirviðmið!$E$6:$E$205,BJ$4)*KVARDI,2),""))</f>
        <v/>
      </c>
      <c r="BL43" s="66" t="n"/>
      <c r="BM43" s="78">
        <f>IF(OR(BL$4=0,BL43=""),"",IFERROR(ROUND(BL43/INDEX(Undirviðmið!$F$6:$F$205,BL$4)*INDEX(Undirviðmið!$E$6:$E$205,BL$4)*KVARDI,2),""))</f>
        <v/>
      </c>
      <c r="BN43" s="66" t="n"/>
      <c r="BO43" s="78">
        <f>IF(OR(BN$4=0,BN43=""),"",IFERROR(ROUND(BN43/INDEX(Undirviðmið!$F$6:$F$205,BN$4)*INDEX(Undirviðmið!$E$6:$E$205,BN$4)*KVARDI,2),""))</f>
        <v/>
      </c>
      <c r="BP43" s="66" t="n"/>
      <c r="BQ43" s="78">
        <f>IF(OR(BP$4=0,BP43=""),"",IFERROR(ROUND(BP43/INDEX(Undirviðmið!$F$6:$F$205,BP$4)*INDEX(Undirviðmið!$E$6:$E$205,BP$4)*KVARDI,2),""))</f>
        <v/>
      </c>
      <c r="BR43" s="66" t="n"/>
      <c r="BS43" s="78">
        <f>IF(OR(BR$4=0,BR43=""),"",IFERROR(ROUND(BR43/INDEX(Undirviðmið!$F$6:$F$205,BR$4)*INDEX(Undirviðmið!$E$6:$E$205,BR$4)*KVARDI,2),""))</f>
        <v/>
      </c>
      <c r="BT43" s="66" t="n"/>
      <c r="BU43" s="78">
        <f>IF(OR(BT$4=0,BT43=""),"",IFERROR(ROUND(BT43/INDEX(Undirviðmið!$F$6:$F$205,BT$4)*INDEX(Undirviðmið!$E$6:$E$205,BT$4)*KVARDI,2),""))</f>
        <v/>
      </c>
      <c r="BV43" s="66" t="n"/>
      <c r="BW43" s="78">
        <f>IF(OR(BV$4=0,BV43=""),"",IFERROR(ROUND(BV43/INDEX(Undirviðmið!$F$6:$F$205,BV$4)*INDEX(Undirviðmið!$E$6:$E$205,BV$4)*KVARDI,2),""))</f>
        <v/>
      </c>
      <c r="BX43" s="66" t="n"/>
      <c r="BY43" s="78">
        <f>IF(OR(BX$4=0,BX43=""),"",IFERROR(ROUND(BX43/INDEX(Undirviðmið!$F$6:$F$205,BX$4)*INDEX(Undirviðmið!$E$6:$E$205,BX$4)*KVARDI,2),""))</f>
        <v/>
      </c>
      <c r="BZ43" s="66" t="n"/>
      <c r="CA43" s="78">
        <f>IF(OR(BZ$4=0,BZ43=""),"",IFERROR(ROUND(BZ43/INDEX(Undirviðmið!$F$6:$F$205,BZ$4)*INDEX(Undirviðmið!$E$6:$E$205,BZ$4)*KVARDI,2),""))</f>
        <v/>
      </c>
      <c r="CB43" s="66" t="n"/>
      <c r="CC43" s="78">
        <f>IF(OR(CB$4=0,CB43=""),"",IFERROR(ROUND(CB43/INDEX(Undirviðmið!$F$6:$F$205,CB$4)*INDEX(Undirviðmið!$E$6:$E$205,CB$4)*KVARDI,2),""))</f>
        <v/>
      </c>
      <c r="CD43" s="66" t="n"/>
      <c r="CE43" s="78">
        <f>IF(OR(CD$4=0,CD43=""),"",IFERROR(ROUND(CD43/INDEX(Undirviðmið!$F$6:$F$205,CD$4)*INDEX(Undirviðmið!$E$6:$E$205,CD$4)*KVARDI,2),""))</f>
        <v/>
      </c>
      <c r="CF43" s="66" t="n"/>
      <c r="CG43" s="78">
        <f>IF(OR(CF$4=0,CF43=""),"",IFERROR(ROUND(CF43/INDEX(Undirviðmið!$F$6:$F$205,CF$4)*INDEX(Undirviðmið!$E$6:$E$205,CF$4)*KVARDI,2),""))</f>
        <v/>
      </c>
      <c r="CH43" s="66" t="n"/>
      <c r="CI43" s="78">
        <f>IF(OR(CH$4=0,CH43=""),"",IFERROR(ROUND(CH43/INDEX(Undirviðmið!$F$6:$F$205,CH$4)*INDEX(Undirviðmið!$E$6:$E$205,CH$4)*KVARDI,2),""))</f>
        <v/>
      </c>
      <c r="CJ43" s="66" t="n"/>
      <c r="CK43" s="78">
        <f>IF(OR(CJ$4=0,CJ43=""),"",IFERROR(ROUND(CJ43/INDEX(Undirviðmið!$F$6:$F$205,CJ$4)*INDEX(Undirviðmið!$E$6:$E$205,CJ$4)*KVARDI,2),""))</f>
        <v/>
      </c>
      <c r="CL43" s="66" t="n"/>
      <c r="CM43" s="78">
        <f>IF(OR(CL$4=0,CL43=""),"",IFERROR(ROUND(CL43/INDEX(Undirviðmið!$F$6:$F$205,CL$4)*INDEX(Undirviðmið!$E$6:$E$205,CL$4)*KVARDI,2),""))</f>
        <v/>
      </c>
      <c r="CN43" s="66" t="n"/>
      <c r="CO43" s="78">
        <f>IF(OR(CN$4=0,CN43=""),"",IFERROR(ROUND(CN43/INDEX(Undirviðmið!$F$6:$F$205,CN$4)*INDEX(Undirviðmið!$E$6:$E$205,CN$4)*KVARDI,2),""))</f>
        <v/>
      </c>
      <c r="CP43" s="66" t="n"/>
      <c r="CQ43" s="78">
        <f>IF(OR(CP$4=0,CP43=""),"",IFERROR(ROUND(CP43/INDEX(Undirviðmið!$F$6:$F$205,CP$4)*INDEX(Undirviðmið!$E$6:$E$205,CP$4)*KVARDI,2),""))</f>
        <v/>
      </c>
      <c r="CR43" s="66" t="n"/>
      <c r="CS43" s="78">
        <f>IF(OR(CR$4=0,CR43=""),"",IFERROR(ROUND(CR43/INDEX(Undirviðmið!$F$6:$F$205,CR$4)*INDEX(Undirviðmið!$E$6:$E$205,CR$4)*KVARDI,2),""))</f>
        <v/>
      </c>
      <c r="CT43" s="66" t="n"/>
      <c r="CU43" s="78">
        <f>IF(OR(CT$4=0,CT43=""),"",IFERROR(ROUND(CT43/INDEX(Undirviðmið!$F$6:$F$205,CT$4)*INDEX(Undirviðmið!$E$6:$E$205,CT$4)*KVARDI,2),""))</f>
        <v/>
      </c>
      <c r="CV43" s="66" t="n"/>
      <c r="CW43" s="78">
        <f>IF(OR(CV$4=0,CV43=""),"",IFERROR(ROUND(CV43/INDEX(Undirviðmið!$F$6:$F$205,CV$4)*INDEX(Undirviðmið!$E$6:$E$205,CV$4)*KVARDI,2),""))</f>
        <v/>
      </c>
      <c r="CX43" s="66" t="n"/>
      <c r="CY43" s="78">
        <f>IF(OR(CX$4=0,CX43=""),"",IFERROR(ROUND(CX43/INDEX(Undirviðmið!$F$6:$F$205,CX$4)*INDEX(Undirviðmið!$E$6:$E$205,CX$4)*KVARDI,2),""))</f>
        <v/>
      </c>
      <c r="CZ43" s="66" t="n"/>
      <c r="DA43" s="78">
        <f>IF(OR(CZ$4=0,CZ43=""),"",IFERROR(ROUND(CZ43/INDEX(Undirviðmið!$F$6:$F$205,CZ$4)*INDEX(Undirviðmið!$E$6:$E$205,CZ$4)*KVARDI,2),""))</f>
        <v/>
      </c>
      <c r="DB43" s="66" t="n"/>
      <c r="DC43" s="78">
        <f>IF(OR(DB$4=0,DB43=""),"",IFERROR(ROUND(DB43/INDEX(Undirviðmið!$F$6:$F$205,DB$4)*INDEX(Undirviðmið!$E$6:$E$205,DB$4)*KVARDI,2),""))</f>
        <v/>
      </c>
      <c r="DD43" s="66" t="n"/>
      <c r="DE43" s="78">
        <f>IF(OR(DD$4=0,DD43=""),"",IFERROR(ROUND(DD43/INDEX(Undirviðmið!$F$6:$F$205,DD$4)*INDEX(Undirviðmið!$E$6:$E$205,DD$4)*KVARDI,2),""))</f>
        <v/>
      </c>
      <c r="DF43" s="66" t="n"/>
      <c r="DG43" s="78">
        <f>IF(OR(DF$4=0,DF43=""),"",IFERROR(ROUND(DF43/INDEX(Undirviðmið!$F$6:$F$205,DF$4)*INDEX(Undirviðmið!$E$6:$E$205,DF$4)*KVARDI,2),""))</f>
        <v/>
      </c>
      <c r="DH43" s="66" t="n"/>
      <c r="DI43" s="78">
        <f>IF(OR(DH$4=0,DH43=""),"",IFERROR(ROUND(DH43/INDEX(Undirviðmið!$F$6:$F$205,DH$4)*INDEX(Undirviðmið!$E$6:$E$205,DH$4)*KVARDI,2),""))</f>
        <v/>
      </c>
      <c r="DJ43" s="66" t="n"/>
      <c r="DK43" s="78">
        <f>IF(OR(DJ$4=0,DJ43=""),"",IFERROR(ROUND(DJ43/INDEX(Undirviðmið!$F$6:$F$205,DJ$4)*INDEX(Undirviðmið!$E$6:$E$205,DJ$4)*KVARDI,2),""))</f>
        <v/>
      </c>
      <c r="DL43" s="66" t="n"/>
      <c r="DM43" s="78">
        <f>IF(OR(DL$4=0,DL43=""),"",IFERROR(ROUND(DL43/INDEX(Undirviðmið!$F$6:$F$205,DL$4)*INDEX(Undirviðmið!$E$6:$E$205,DL$4)*KVARDI,2),""))</f>
        <v/>
      </c>
      <c r="DN43" s="66" t="n"/>
      <c r="DO43" s="78">
        <f>IF(OR(DN$4=0,DN43=""),"",IFERROR(ROUND(DN43/INDEX(Undirviðmið!$F$6:$F$205,DN$4)*INDEX(Undirviðmið!$E$6:$E$205,DN$4)*KVARDI,2),""))</f>
        <v/>
      </c>
      <c r="DP43" s="66" t="n"/>
      <c r="DQ43" s="78">
        <f>IF(OR(DP$4=0,DP43=""),"",IFERROR(ROUND(DP43/INDEX(Undirviðmið!$F$6:$F$205,DP$4)*INDEX(Undirviðmið!$E$6:$E$205,DP$4)*KVARDI,2),""))</f>
        <v/>
      </c>
      <c r="DR43" s="66" t="n"/>
      <c r="DS43" s="78">
        <f>IF(OR(DR$4=0,DR43=""),"",IFERROR(ROUND(DR43/INDEX(Undirviðmið!$F$6:$F$205,DR$4)*INDEX(Undirviðmið!$E$6:$E$205,DR$4)*KVARDI,2),""))</f>
        <v/>
      </c>
      <c r="DT43" s="66" t="n"/>
      <c r="DU43" s="78">
        <f>IF(OR(DT$4=0,DT43=""),"",IFERROR(ROUND(DT43/INDEX(Undirviðmið!$F$6:$F$205,DT$4)*INDEX(Undirviðmið!$E$6:$E$205,DT$4)*KVARDI,2),""))</f>
        <v/>
      </c>
      <c r="DV43" s="66" t="n"/>
      <c r="DW43" s="78">
        <f>IF(OR(DV$4=0,DV43=""),"",IFERROR(ROUND(DV43/INDEX(Undirviðmið!$F$6:$F$205,DV$4)*INDEX(Undirviðmið!$E$6:$E$205,DV$4)*KVARDI,2),""))</f>
        <v/>
      </c>
      <c r="DX43" s="66" t="n"/>
      <c r="DY43" s="78">
        <f>IF(OR(DX$4=0,DX43=""),"",IFERROR(ROUND(DX43/INDEX(Undirviðmið!$F$6:$F$205,DX$4)*INDEX(Undirviðmið!$E$6:$E$205,DX$4)*KVARDI,2),""))</f>
        <v/>
      </c>
      <c r="DZ43" s="66" t="n"/>
      <c r="EA43" s="78">
        <f>IF(OR(DZ$4=0,DZ43=""),"",IFERROR(ROUND(DZ43/INDEX(Undirviðmið!$F$6:$F$205,DZ$4)*INDEX(Undirviðmið!$E$6:$E$205,DZ$4)*KVARDI,2),""))</f>
        <v/>
      </c>
      <c r="EB43" s="66" t="n"/>
      <c r="EC43" s="78">
        <f>IF(OR(EB$4=0,EB43=""),"",IFERROR(ROUND(EB43/INDEX(Undirviðmið!$F$6:$F$205,EB$4)*INDEX(Undirviðmið!$E$6:$E$205,EB$4)*KVARDI,2),""))</f>
        <v/>
      </c>
      <c r="ED43" s="66" t="n"/>
      <c r="EE43" s="78">
        <f>IF(OR(ED$4=0,ED43=""),"",IFERROR(ROUND(ED43/INDEX(Undirviðmið!$F$6:$F$205,ED$4)*INDEX(Undirviðmið!$E$6:$E$205,ED$4)*KVARDI,2),""))</f>
        <v/>
      </c>
      <c r="EF43" s="66" t="n"/>
      <c r="EG43" s="78">
        <f>IF(OR(EF$4=0,EF43=""),"",IFERROR(ROUND(EF43/INDEX(Undirviðmið!$F$6:$F$205,EF$4)*INDEX(Undirviðmið!$E$6:$E$205,EF$4)*KVARDI,2),""))</f>
        <v/>
      </c>
      <c r="EH43" s="66" t="n"/>
      <c r="EI43" s="78">
        <f>IF(OR(EH$4=0,EH43=""),"",IFERROR(ROUND(EH43/INDEX(Undirviðmið!$F$6:$F$205,EH$4)*INDEX(Undirviðmið!$E$6:$E$205,EH$4)*KVARDI,2),""))</f>
        <v/>
      </c>
      <c r="EJ43" s="66" t="n"/>
      <c r="EK43" s="78">
        <f>IF(OR(EJ$4=0,EJ43=""),"",IFERROR(ROUND(EJ43/INDEX(Undirviðmið!$F$6:$F$205,EJ$4)*INDEX(Undirviðmið!$E$6:$E$205,EJ$4)*KVARDI,2),""))</f>
        <v/>
      </c>
      <c r="EL43" s="66" t="n"/>
      <c r="EM43" s="78">
        <f>IF(OR(EL$4=0,EL43=""),"",IFERROR(ROUND(EL43/INDEX(Undirviðmið!$F$6:$F$205,EL$4)*INDEX(Undirviðmið!$E$6:$E$205,EL$4)*KVARDI,2),""))</f>
        <v/>
      </c>
      <c r="EN43" s="66" t="n"/>
      <c r="EO43" s="78">
        <f>IF(OR(EN$4=0,EN43=""),"",IFERROR(ROUND(EN43/INDEX(Undirviðmið!$F$6:$F$205,EN$4)*INDEX(Undirviðmið!$E$6:$E$205,EN$4)*KVARDI,2),""))</f>
        <v/>
      </c>
      <c r="EP43" s="66" t="n"/>
      <c r="EQ43" s="78">
        <f>IF(OR(EP$4=0,EP43=""),"",IFERROR(ROUND(EP43/INDEX(Undirviðmið!$F$6:$F$205,EP$4)*INDEX(Undirviðmið!$E$6:$E$205,EP$4)*KVARDI,2),""))</f>
        <v/>
      </c>
      <c r="ER43" s="66" t="n"/>
      <c r="ES43" s="78">
        <f>IF(OR(ER$4=0,ER43=""),"",IFERROR(ROUND(ER43/INDEX(Undirviðmið!$F$6:$F$205,ER$4)*INDEX(Undirviðmið!$E$6:$E$205,ER$4)*KVARDI,2),""))</f>
        <v/>
      </c>
      <c r="ET43" s="66" t="n"/>
      <c r="EU43" s="78">
        <f>IF(OR(ET$4=0,ET43=""),"",IFERROR(ROUND(ET43/INDEX(Undirviðmið!$F$6:$F$205,ET$4)*INDEX(Undirviðmið!$E$6:$E$205,ET$4)*KVARDI,2),""))</f>
        <v/>
      </c>
      <c r="EV43" s="66" t="n"/>
      <c r="EW43" s="78">
        <f>IF(OR(EV$4=0,EV43=""),"",IFERROR(ROUND(EV43/INDEX(Undirviðmið!$F$6:$F$205,EV$4)*INDEX(Undirviðmið!$E$6:$E$205,EV$4)*KVARDI,2),""))</f>
        <v/>
      </c>
      <c r="EX43" s="66" t="n"/>
      <c r="EY43" s="78">
        <f>IF(OR(EX$4=0,EX43=""),"",IFERROR(ROUND(EX43/INDEX(Undirviðmið!$F$6:$F$205,EX$4)*INDEX(Undirviðmið!$E$6:$E$205,EX$4)*KVARDI,2),""))</f>
        <v/>
      </c>
      <c r="EZ43" s="66" t="n"/>
      <c r="FA43" s="78">
        <f>IF(OR(EZ$4=0,EZ43=""),"",IFERROR(ROUND(EZ43/INDEX(Undirviðmið!$F$6:$F$205,EZ$4)*INDEX(Undirviðmið!$E$6:$E$205,EZ$4)*KVARDI,2),""))</f>
        <v/>
      </c>
      <c r="FB43" s="66" t="n"/>
      <c r="FC43" s="78">
        <f>IF(OR(FB$4=0,FB43=""),"",IFERROR(ROUND(FB43/INDEX(Undirviðmið!$F$6:$F$205,FB$4)*INDEX(Undirviðmið!$E$6:$E$205,FB$4)*KVARDI,2),""))</f>
        <v/>
      </c>
      <c r="FD43" s="66" t="n"/>
      <c r="FE43" s="78">
        <f>IF(OR(FD$4=0,FD43=""),"",IFERROR(ROUND(FD43/INDEX(Undirviðmið!$F$6:$F$205,FD$4)*INDEX(Undirviðmið!$E$6:$E$205,FD$4)*KVARDI,2),""))</f>
        <v/>
      </c>
      <c r="FF43" s="66" t="n"/>
      <c r="FG43" s="78">
        <f>IF(OR(FF$4=0,FF43=""),"",IFERROR(ROUND(FF43/INDEX(Undirviðmið!$F$6:$F$205,FF$4)*INDEX(Undirviðmið!$E$6:$E$205,FF$4)*KVARDI,2),""))</f>
        <v/>
      </c>
      <c r="FH43" s="66" t="n"/>
      <c r="FI43" s="78">
        <f>IF(OR(FH$4=0,FH43=""),"",IFERROR(ROUND(FH43/INDEX(Undirviðmið!$F$6:$F$205,FH$4)*INDEX(Undirviðmið!$E$6:$E$205,FH$4)*KVARDI,2),""))</f>
        <v/>
      </c>
      <c r="FJ43" s="66" t="n"/>
      <c r="FK43" s="78">
        <f>IF(OR(FJ$4=0,FJ43=""),"",IFERROR(ROUND(FJ43/INDEX(Undirviðmið!$F$6:$F$205,FJ$4)*INDEX(Undirviðmið!$E$6:$E$205,FJ$4)*KVARDI,2),""))</f>
        <v/>
      </c>
      <c r="FL43" s="66" t="n"/>
      <c r="FM43" s="78">
        <f>IF(OR(FL$4=0,FL43=""),"",IFERROR(ROUND(FL43/INDEX(Undirviðmið!$F$6:$F$205,FL$4)*INDEX(Undirviðmið!$E$6:$E$205,FL$4)*KVARDI,2),""))</f>
        <v/>
      </c>
      <c r="FN43" s="66" t="n"/>
      <c r="FO43" s="78">
        <f>IF(OR(FN$4=0,FN43=""),"",IFERROR(ROUND(FN43/INDEX(Undirviðmið!$F$6:$F$205,FN$4)*INDEX(Undirviðmið!$E$6:$E$205,FN$4)*KVARDI,2),""))</f>
        <v/>
      </c>
      <c r="FP43" s="66" t="n"/>
      <c r="FQ43" s="78">
        <f>IF(OR(FP$4=0,FP43=""),"",IFERROR(ROUND(FP43/INDEX(Undirviðmið!$F$6:$F$205,FP$4)*INDEX(Undirviðmið!$E$6:$E$205,FP$4)*KVARDI,2),""))</f>
        <v/>
      </c>
      <c r="FR43" s="66" t="n"/>
      <c r="FS43" s="78">
        <f>IF(OR(FR$4=0,FR43=""),"",IFERROR(ROUND(FR43/INDEX(Undirviðmið!$F$6:$F$205,FR$4)*INDEX(Undirviðmið!$E$6:$E$205,FR$4)*KVARDI,2),""))</f>
        <v/>
      </c>
      <c r="FT43" s="66" t="n"/>
      <c r="FU43" s="78">
        <f>IF(OR(FT$4=0,FT43=""),"",IFERROR(ROUND(FT43/INDEX(Undirviðmið!$F$6:$F$205,FT$4)*INDEX(Undirviðmið!$E$6:$E$205,FT$4)*KVARDI,2),""))</f>
        <v/>
      </c>
      <c r="FV43" s="66" t="n"/>
      <c r="FW43" s="78">
        <f>IF(OR(FV$4=0,FV43=""),"",IFERROR(ROUND(FV43/INDEX(Undirviðmið!$F$6:$F$205,FV$4)*INDEX(Undirviðmið!$E$6:$E$205,FV$4)*KVARDI,2),""))</f>
        <v/>
      </c>
      <c r="FX43" s="66" t="n"/>
      <c r="FY43" s="78">
        <f>IF(OR(FX$4=0,FX43=""),"",IFERROR(ROUND(FX43/INDEX(Undirviðmið!$F$6:$F$205,FX$4)*INDEX(Undirviðmið!$E$6:$E$205,FX$4)*KVARDI,2),""))</f>
        <v/>
      </c>
      <c r="FZ43" s="66" t="n"/>
      <c r="GA43" s="78">
        <f>IF(OR(FZ$4=0,FZ43=""),"",IFERROR(ROUND(FZ43/INDEX(Undirviðmið!$F$6:$F$205,FZ$4)*INDEX(Undirviðmið!$E$6:$E$205,FZ$4)*KVARDI,2),""))</f>
        <v/>
      </c>
      <c r="GB43" s="66" t="n"/>
      <c r="GC43" s="78">
        <f>IF(OR(GB$4=0,GB43=""),"",IFERROR(ROUND(GB43/INDEX(Undirviðmið!$F$6:$F$205,GB$4)*INDEX(Undirviðmið!$E$6:$E$205,GB$4)*KVARDI,2),""))</f>
        <v/>
      </c>
      <c r="GD43" s="66" t="n"/>
      <c r="GE43" s="78">
        <f>IF(OR(GD$4=0,GD43=""),"",IFERROR(ROUND(GD43/INDEX(Undirviðmið!$F$6:$F$205,GD$4)*INDEX(Undirviðmið!$E$6:$E$205,GD$4)*KVARDI,2),""))</f>
        <v/>
      </c>
      <c r="GF43" s="66" t="n"/>
      <c r="GG43" s="78">
        <f>IF(OR(GF$4=0,GF43=""),"",IFERROR(ROUND(GF43/INDEX(Undirviðmið!$F$6:$F$205,GF$4)*INDEX(Undirviðmið!$E$6:$E$205,GF$4)*KVARDI,2),""))</f>
        <v/>
      </c>
      <c r="GH43" s="66" t="n"/>
      <c r="GI43" s="78">
        <f>IF(OR(GH$4=0,GH43=""),"",IFERROR(ROUND(GH43/INDEX(Undirviðmið!$F$6:$F$205,GH$4)*INDEX(Undirviðmið!$E$6:$E$205,GH$4)*KVARDI,2),""))</f>
        <v/>
      </c>
      <c r="GJ43" s="66" t="n"/>
      <c r="GK43" s="78">
        <f>IF(OR(GJ$4=0,GJ43=""),"",IFERROR(ROUND(GJ43/INDEX(Undirviðmið!$F$6:$F$205,GJ$4)*INDEX(Undirviðmið!$E$6:$E$205,GJ$4)*KVARDI,2),""))</f>
        <v/>
      </c>
      <c r="GL43" s="66" t="n"/>
      <c r="GM43" s="78">
        <f>IF(OR(GL$4=0,GL43=""),"",IFERROR(ROUND(GL43/INDEX(Undirviðmið!$F$6:$F$205,GL$4)*INDEX(Undirviðmið!$E$6:$E$205,GL$4)*KVARDI,2),""))</f>
        <v/>
      </c>
      <c r="GN43" s="66" t="n"/>
      <c r="GO43" s="78">
        <f>IF(OR(GN$4=0,GN43=""),"",IFERROR(ROUND(GN43/INDEX(Undirviðmið!$F$6:$F$205,GN$4)*INDEX(Undirviðmið!$E$6:$E$205,GN$4)*KVARDI,2),""))</f>
        <v/>
      </c>
      <c r="GP43" s="66" t="n"/>
      <c r="GQ43" s="78">
        <f>IF(OR(GP$4=0,GP43=""),"",IFERROR(ROUND(GP43/INDEX(Undirviðmið!$F$6:$F$205,GP$4)*INDEX(Undirviðmið!$E$6:$E$205,GP$4)*KVARDI,2),""))</f>
        <v/>
      </c>
      <c r="GR43" s="66" t="n"/>
      <c r="GS43" s="78">
        <f>IF(OR(GR$4=0,GR43=""),"",IFERROR(ROUND(GR43/INDEX(Undirviðmið!$F$6:$F$205,GR$4)*INDEX(Undirviðmið!$E$6:$E$205,GR$4)*KVARDI,2),""))</f>
        <v/>
      </c>
      <c r="GT43" s="66" t="n"/>
      <c r="GU43" s="78">
        <f>IF(OR(GT$4=0,GT43=""),"",IFERROR(ROUND(GT43/INDEX(Undirviðmið!$F$6:$F$205,GT$4)*INDEX(Undirviðmið!$E$6:$E$205,GT$4)*KVARDI,2),""))</f>
        <v/>
      </c>
      <c r="GV43" s="63">
        <f>IFERROR(SUMIF($D$6:GU$6,"Stig",$D43:GU43),0)</f>
        <v/>
      </c>
    </row>
    <row r="44" ht="15" customHeight="1" s="47">
      <c r="A44" s="65">
        <f>ROW()-6</f>
        <v/>
      </c>
      <c r="B44" s="67">
        <f>IF(INDEX(Starfsmenn!$B$6:$B$10005,ROW()-6)="","",INDEX(Starfsmenn!$B$6:$B$10005,ROW()-6))</f>
        <v/>
      </c>
      <c r="C44" s="67">
        <f>IF(INDEX(Starfsmenn!$C$6:$C$10005,ROW()-6)="","",INDEX(Starfsmenn!$C$6:$C$10005,ROW()-6))</f>
        <v/>
      </c>
      <c r="D44" s="66" t="n"/>
      <c r="E44" s="78">
        <f>IF(OR(D$4=0,D44=""),"",IFERROR(ROUND(D44/INDEX(Undirviðmið!$F$6:$F$205,D$4)*INDEX(Undirviðmið!$E$6:$E$205,D$4)*KVARDI,2),""))</f>
        <v/>
      </c>
      <c r="F44" s="66" t="n"/>
      <c r="G44" s="78">
        <f>IF(OR(F$4=0,F44=""),"",IFERROR(ROUND(F44/INDEX(Undirviðmið!$F$6:$F$205,F$4)*INDEX(Undirviðmið!$E$6:$E$205,F$4)*KVARDI,2),""))</f>
        <v/>
      </c>
      <c r="H44" s="66" t="n"/>
      <c r="I44" s="78">
        <f>IF(OR(H$4=0,H44=""),"",IFERROR(ROUND(H44/INDEX(Undirviðmið!$F$6:$F$205,H$4)*INDEX(Undirviðmið!$E$6:$E$205,H$4)*KVARDI,2),""))</f>
        <v/>
      </c>
      <c r="J44" s="66" t="n"/>
      <c r="K44" s="78">
        <f>IF(OR(J$4=0,J44=""),"",IFERROR(ROUND(J44/INDEX(Undirviðmið!$F$6:$F$205,J$4)*INDEX(Undirviðmið!$E$6:$E$205,J$4)*KVARDI,2),""))</f>
        <v/>
      </c>
      <c r="L44" s="66" t="n"/>
      <c r="M44" s="78">
        <f>IF(OR(L$4=0,L44=""),"",IFERROR(ROUND(L44/INDEX(Undirviðmið!$F$6:$F$205,L$4)*INDEX(Undirviðmið!$E$6:$E$205,L$4)*KVARDI,2),""))</f>
        <v/>
      </c>
      <c r="N44" s="66" t="n"/>
      <c r="O44" s="78">
        <f>IF(OR(N$4=0,N44=""),"",IFERROR(ROUND(N44/INDEX(Undirviðmið!$F$6:$F$205,N$4)*INDEX(Undirviðmið!$E$6:$E$205,N$4)*KVARDI,2),""))</f>
        <v/>
      </c>
      <c r="P44" s="66" t="n"/>
      <c r="Q44" s="78">
        <f>IF(OR(P$4=0,P44=""),"",IFERROR(ROUND(P44/INDEX(Undirviðmið!$F$6:$F$205,P$4)*INDEX(Undirviðmið!$E$6:$E$205,P$4)*KVARDI,2),""))</f>
        <v/>
      </c>
      <c r="R44" s="66" t="n"/>
      <c r="S44" s="78">
        <f>IF(OR(R$4=0,R44=""),"",IFERROR(ROUND(R44/INDEX(Undirviðmið!$F$6:$F$205,R$4)*INDEX(Undirviðmið!$E$6:$E$205,R$4)*KVARDI,2),""))</f>
        <v/>
      </c>
      <c r="T44" s="66" t="n"/>
      <c r="U44" s="78">
        <f>IF(OR(T$4=0,T44=""),"",IFERROR(ROUND(T44/INDEX(Undirviðmið!$F$6:$F$205,T$4)*INDEX(Undirviðmið!$E$6:$E$205,T$4)*KVARDI,2),""))</f>
        <v/>
      </c>
      <c r="V44" s="66" t="n"/>
      <c r="W44" s="78">
        <f>IF(OR(V$4=0,V44=""),"",IFERROR(ROUND(V44/INDEX(Undirviðmið!$F$6:$F$205,V$4)*INDEX(Undirviðmið!$E$6:$E$205,V$4)*KVARDI,2),""))</f>
        <v/>
      </c>
      <c r="X44" s="66" t="n"/>
      <c r="Y44" s="78">
        <f>IF(OR(X$4=0,X44=""),"",IFERROR(ROUND(X44/INDEX(Undirviðmið!$F$6:$F$205,X$4)*INDEX(Undirviðmið!$E$6:$E$205,X$4)*KVARDI,2),""))</f>
        <v/>
      </c>
      <c r="Z44" s="66" t="n"/>
      <c r="AA44" s="78">
        <f>IF(OR(Z$4=0,Z44=""),"",IFERROR(ROUND(Z44/INDEX(Undirviðmið!$F$6:$F$205,Z$4)*INDEX(Undirviðmið!$E$6:$E$205,Z$4)*KVARDI,2),""))</f>
        <v/>
      </c>
      <c r="AB44" s="66" t="n"/>
      <c r="AC44" s="78">
        <f>IF(OR(AB$4=0,AB44=""),"",IFERROR(ROUND(AB44/INDEX(Undirviðmið!$F$6:$F$205,AB$4)*INDEX(Undirviðmið!$E$6:$E$205,AB$4)*KVARDI,2),""))</f>
        <v/>
      </c>
      <c r="AD44" s="66" t="n"/>
      <c r="AE44" s="78">
        <f>IF(OR(AD$4=0,AD44=""),"",IFERROR(ROUND(AD44/INDEX(Undirviðmið!$F$6:$F$205,AD$4)*INDEX(Undirviðmið!$E$6:$E$205,AD$4)*KVARDI,2),""))</f>
        <v/>
      </c>
      <c r="AF44" s="66" t="n"/>
      <c r="AG44" s="78">
        <f>IF(OR(AF$4=0,AF44=""),"",IFERROR(ROUND(AF44/INDEX(Undirviðmið!$F$6:$F$205,AF$4)*INDEX(Undirviðmið!$E$6:$E$205,AF$4)*KVARDI,2),""))</f>
        <v/>
      </c>
      <c r="AH44" s="66" t="n"/>
      <c r="AI44" s="78">
        <f>IF(OR(AH$4=0,AH44=""),"",IFERROR(ROUND(AH44/INDEX(Undirviðmið!$F$6:$F$205,AH$4)*INDEX(Undirviðmið!$E$6:$E$205,AH$4)*KVARDI,2),""))</f>
        <v/>
      </c>
      <c r="AJ44" s="66" t="n"/>
      <c r="AK44" s="78">
        <f>IF(OR(AJ$4=0,AJ44=""),"",IFERROR(ROUND(AJ44/INDEX(Undirviðmið!$F$6:$F$205,AJ$4)*INDEX(Undirviðmið!$E$6:$E$205,AJ$4)*KVARDI,2),""))</f>
        <v/>
      </c>
      <c r="AL44" s="66" t="n"/>
      <c r="AM44" s="78">
        <f>IF(OR(AL$4=0,AL44=""),"",IFERROR(ROUND(AL44/INDEX(Undirviðmið!$F$6:$F$205,AL$4)*INDEX(Undirviðmið!$E$6:$E$205,AL$4)*KVARDI,2),""))</f>
        <v/>
      </c>
      <c r="AN44" s="66" t="n"/>
      <c r="AO44" s="78">
        <f>IF(OR(AN$4=0,AN44=""),"",IFERROR(ROUND(AN44/INDEX(Undirviðmið!$F$6:$F$205,AN$4)*INDEX(Undirviðmið!$E$6:$E$205,AN$4)*KVARDI,2),""))</f>
        <v/>
      </c>
      <c r="AP44" s="66" t="n"/>
      <c r="AQ44" s="78">
        <f>IF(OR(AP$4=0,AP44=""),"",IFERROR(ROUND(AP44/INDEX(Undirviðmið!$F$6:$F$205,AP$4)*INDEX(Undirviðmið!$E$6:$E$205,AP$4)*KVARDI,2),""))</f>
        <v/>
      </c>
      <c r="AR44" s="66" t="n"/>
      <c r="AS44" s="78">
        <f>IF(OR(AR$4=0,AR44=""),"",IFERROR(ROUND(AR44/INDEX(Undirviðmið!$F$6:$F$205,AR$4)*INDEX(Undirviðmið!$E$6:$E$205,AR$4)*KVARDI,2),""))</f>
        <v/>
      </c>
      <c r="AT44" s="66" t="n"/>
      <c r="AU44" s="78">
        <f>IF(OR(AT$4=0,AT44=""),"",IFERROR(ROUND(AT44/INDEX(Undirviðmið!$F$6:$F$205,AT$4)*INDEX(Undirviðmið!$E$6:$E$205,AT$4)*KVARDI,2),""))</f>
        <v/>
      </c>
      <c r="AV44" s="66" t="n"/>
      <c r="AW44" s="78">
        <f>IF(OR(AV$4=0,AV44=""),"",IFERROR(ROUND(AV44/INDEX(Undirviðmið!$F$6:$F$205,AV$4)*INDEX(Undirviðmið!$E$6:$E$205,AV$4)*KVARDI,2),""))</f>
        <v/>
      </c>
      <c r="AX44" s="66" t="n"/>
      <c r="AY44" s="78">
        <f>IF(OR(AX$4=0,AX44=""),"",IFERROR(ROUND(AX44/INDEX(Undirviðmið!$F$6:$F$205,AX$4)*INDEX(Undirviðmið!$E$6:$E$205,AX$4)*KVARDI,2),""))</f>
        <v/>
      </c>
      <c r="AZ44" s="66" t="n"/>
      <c r="BA44" s="78">
        <f>IF(OR(AZ$4=0,AZ44=""),"",IFERROR(ROUND(AZ44/INDEX(Undirviðmið!$F$6:$F$205,AZ$4)*INDEX(Undirviðmið!$E$6:$E$205,AZ$4)*KVARDI,2),""))</f>
        <v/>
      </c>
      <c r="BB44" s="66" t="n"/>
      <c r="BC44" s="78">
        <f>IF(OR(BB$4=0,BB44=""),"",IFERROR(ROUND(BB44/INDEX(Undirviðmið!$F$6:$F$205,BB$4)*INDEX(Undirviðmið!$E$6:$E$205,BB$4)*KVARDI,2),""))</f>
        <v/>
      </c>
      <c r="BD44" s="66" t="n"/>
      <c r="BE44" s="78">
        <f>IF(OR(BD$4=0,BD44=""),"",IFERROR(ROUND(BD44/INDEX(Undirviðmið!$F$6:$F$205,BD$4)*INDEX(Undirviðmið!$E$6:$E$205,BD$4)*KVARDI,2),""))</f>
        <v/>
      </c>
      <c r="BF44" s="66" t="n"/>
      <c r="BG44" s="78">
        <f>IF(OR(BF$4=0,BF44=""),"",IFERROR(ROUND(BF44/INDEX(Undirviðmið!$F$6:$F$205,BF$4)*INDEX(Undirviðmið!$E$6:$E$205,BF$4)*KVARDI,2),""))</f>
        <v/>
      </c>
      <c r="BH44" s="66" t="n"/>
      <c r="BI44" s="78">
        <f>IF(OR(BH$4=0,BH44=""),"",IFERROR(ROUND(BH44/INDEX(Undirviðmið!$F$6:$F$205,BH$4)*INDEX(Undirviðmið!$E$6:$E$205,BH$4)*KVARDI,2),""))</f>
        <v/>
      </c>
      <c r="BJ44" s="66" t="n"/>
      <c r="BK44" s="78">
        <f>IF(OR(BJ$4=0,BJ44=""),"",IFERROR(ROUND(BJ44/INDEX(Undirviðmið!$F$6:$F$205,BJ$4)*INDEX(Undirviðmið!$E$6:$E$205,BJ$4)*KVARDI,2),""))</f>
        <v/>
      </c>
      <c r="BL44" s="66" t="n"/>
      <c r="BM44" s="78">
        <f>IF(OR(BL$4=0,BL44=""),"",IFERROR(ROUND(BL44/INDEX(Undirviðmið!$F$6:$F$205,BL$4)*INDEX(Undirviðmið!$E$6:$E$205,BL$4)*KVARDI,2),""))</f>
        <v/>
      </c>
      <c r="BN44" s="66" t="n"/>
      <c r="BO44" s="78">
        <f>IF(OR(BN$4=0,BN44=""),"",IFERROR(ROUND(BN44/INDEX(Undirviðmið!$F$6:$F$205,BN$4)*INDEX(Undirviðmið!$E$6:$E$205,BN$4)*KVARDI,2),""))</f>
        <v/>
      </c>
      <c r="BP44" s="66" t="n"/>
      <c r="BQ44" s="78">
        <f>IF(OR(BP$4=0,BP44=""),"",IFERROR(ROUND(BP44/INDEX(Undirviðmið!$F$6:$F$205,BP$4)*INDEX(Undirviðmið!$E$6:$E$205,BP$4)*KVARDI,2),""))</f>
        <v/>
      </c>
      <c r="BR44" s="66" t="n"/>
      <c r="BS44" s="78">
        <f>IF(OR(BR$4=0,BR44=""),"",IFERROR(ROUND(BR44/INDEX(Undirviðmið!$F$6:$F$205,BR$4)*INDEX(Undirviðmið!$E$6:$E$205,BR$4)*KVARDI,2),""))</f>
        <v/>
      </c>
      <c r="BT44" s="66" t="n"/>
      <c r="BU44" s="78">
        <f>IF(OR(BT$4=0,BT44=""),"",IFERROR(ROUND(BT44/INDEX(Undirviðmið!$F$6:$F$205,BT$4)*INDEX(Undirviðmið!$E$6:$E$205,BT$4)*KVARDI,2),""))</f>
        <v/>
      </c>
      <c r="BV44" s="66" t="n"/>
      <c r="BW44" s="78">
        <f>IF(OR(BV$4=0,BV44=""),"",IFERROR(ROUND(BV44/INDEX(Undirviðmið!$F$6:$F$205,BV$4)*INDEX(Undirviðmið!$E$6:$E$205,BV$4)*KVARDI,2),""))</f>
        <v/>
      </c>
      <c r="BX44" s="66" t="n"/>
      <c r="BY44" s="78">
        <f>IF(OR(BX$4=0,BX44=""),"",IFERROR(ROUND(BX44/INDEX(Undirviðmið!$F$6:$F$205,BX$4)*INDEX(Undirviðmið!$E$6:$E$205,BX$4)*KVARDI,2),""))</f>
        <v/>
      </c>
      <c r="BZ44" s="66" t="n"/>
      <c r="CA44" s="78">
        <f>IF(OR(BZ$4=0,BZ44=""),"",IFERROR(ROUND(BZ44/INDEX(Undirviðmið!$F$6:$F$205,BZ$4)*INDEX(Undirviðmið!$E$6:$E$205,BZ$4)*KVARDI,2),""))</f>
        <v/>
      </c>
      <c r="CB44" s="66" t="n"/>
      <c r="CC44" s="78">
        <f>IF(OR(CB$4=0,CB44=""),"",IFERROR(ROUND(CB44/INDEX(Undirviðmið!$F$6:$F$205,CB$4)*INDEX(Undirviðmið!$E$6:$E$205,CB$4)*KVARDI,2),""))</f>
        <v/>
      </c>
      <c r="CD44" s="66" t="n"/>
      <c r="CE44" s="78">
        <f>IF(OR(CD$4=0,CD44=""),"",IFERROR(ROUND(CD44/INDEX(Undirviðmið!$F$6:$F$205,CD$4)*INDEX(Undirviðmið!$E$6:$E$205,CD$4)*KVARDI,2),""))</f>
        <v/>
      </c>
      <c r="CF44" s="66" t="n"/>
      <c r="CG44" s="78">
        <f>IF(OR(CF$4=0,CF44=""),"",IFERROR(ROUND(CF44/INDEX(Undirviðmið!$F$6:$F$205,CF$4)*INDEX(Undirviðmið!$E$6:$E$205,CF$4)*KVARDI,2),""))</f>
        <v/>
      </c>
      <c r="CH44" s="66" t="n"/>
      <c r="CI44" s="78">
        <f>IF(OR(CH$4=0,CH44=""),"",IFERROR(ROUND(CH44/INDEX(Undirviðmið!$F$6:$F$205,CH$4)*INDEX(Undirviðmið!$E$6:$E$205,CH$4)*KVARDI,2),""))</f>
        <v/>
      </c>
      <c r="CJ44" s="66" t="n"/>
      <c r="CK44" s="78">
        <f>IF(OR(CJ$4=0,CJ44=""),"",IFERROR(ROUND(CJ44/INDEX(Undirviðmið!$F$6:$F$205,CJ$4)*INDEX(Undirviðmið!$E$6:$E$205,CJ$4)*KVARDI,2),""))</f>
        <v/>
      </c>
      <c r="CL44" s="66" t="n"/>
      <c r="CM44" s="78">
        <f>IF(OR(CL$4=0,CL44=""),"",IFERROR(ROUND(CL44/INDEX(Undirviðmið!$F$6:$F$205,CL$4)*INDEX(Undirviðmið!$E$6:$E$205,CL$4)*KVARDI,2),""))</f>
        <v/>
      </c>
      <c r="CN44" s="66" t="n"/>
      <c r="CO44" s="78">
        <f>IF(OR(CN$4=0,CN44=""),"",IFERROR(ROUND(CN44/INDEX(Undirviðmið!$F$6:$F$205,CN$4)*INDEX(Undirviðmið!$E$6:$E$205,CN$4)*KVARDI,2),""))</f>
        <v/>
      </c>
      <c r="CP44" s="66" t="n"/>
      <c r="CQ44" s="78">
        <f>IF(OR(CP$4=0,CP44=""),"",IFERROR(ROUND(CP44/INDEX(Undirviðmið!$F$6:$F$205,CP$4)*INDEX(Undirviðmið!$E$6:$E$205,CP$4)*KVARDI,2),""))</f>
        <v/>
      </c>
      <c r="CR44" s="66" t="n"/>
      <c r="CS44" s="78">
        <f>IF(OR(CR$4=0,CR44=""),"",IFERROR(ROUND(CR44/INDEX(Undirviðmið!$F$6:$F$205,CR$4)*INDEX(Undirviðmið!$E$6:$E$205,CR$4)*KVARDI,2),""))</f>
        <v/>
      </c>
      <c r="CT44" s="66" t="n"/>
      <c r="CU44" s="78">
        <f>IF(OR(CT$4=0,CT44=""),"",IFERROR(ROUND(CT44/INDEX(Undirviðmið!$F$6:$F$205,CT$4)*INDEX(Undirviðmið!$E$6:$E$205,CT$4)*KVARDI,2),""))</f>
        <v/>
      </c>
      <c r="CV44" s="66" t="n"/>
      <c r="CW44" s="78">
        <f>IF(OR(CV$4=0,CV44=""),"",IFERROR(ROUND(CV44/INDEX(Undirviðmið!$F$6:$F$205,CV$4)*INDEX(Undirviðmið!$E$6:$E$205,CV$4)*KVARDI,2),""))</f>
        <v/>
      </c>
      <c r="CX44" s="66" t="n"/>
      <c r="CY44" s="78">
        <f>IF(OR(CX$4=0,CX44=""),"",IFERROR(ROUND(CX44/INDEX(Undirviðmið!$F$6:$F$205,CX$4)*INDEX(Undirviðmið!$E$6:$E$205,CX$4)*KVARDI,2),""))</f>
        <v/>
      </c>
      <c r="CZ44" s="66" t="n"/>
      <c r="DA44" s="78">
        <f>IF(OR(CZ$4=0,CZ44=""),"",IFERROR(ROUND(CZ44/INDEX(Undirviðmið!$F$6:$F$205,CZ$4)*INDEX(Undirviðmið!$E$6:$E$205,CZ$4)*KVARDI,2),""))</f>
        <v/>
      </c>
      <c r="DB44" s="66" t="n"/>
      <c r="DC44" s="78">
        <f>IF(OR(DB$4=0,DB44=""),"",IFERROR(ROUND(DB44/INDEX(Undirviðmið!$F$6:$F$205,DB$4)*INDEX(Undirviðmið!$E$6:$E$205,DB$4)*KVARDI,2),""))</f>
        <v/>
      </c>
      <c r="DD44" s="66" t="n"/>
      <c r="DE44" s="78">
        <f>IF(OR(DD$4=0,DD44=""),"",IFERROR(ROUND(DD44/INDEX(Undirviðmið!$F$6:$F$205,DD$4)*INDEX(Undirviðmið!$E$6:$E$205,DD$4)*KVARDI,2),""))</f>
        <v/>
      </c>
      <c r="DF44" s="66" t="n"/>
      <c r="DG44" s="78">
        <f>IF(OR(DF$4=0,DF44=""),"",IFERROR(ROUND(DF44/INDEX(Undirviðmið!$F$6:$F$205,DF$4)*INDEX(Undirviðmið!$E$6:$E$205,DF$4)*KVARDI,2),""))</f>
        <v/>
      </c>
      <c r="DH44" s="66" t="n"/>
      <c r="DI44" s="78">
        <f>IF(OR(DH$4=0,DH44=""),"",IFERROR(ROUND(DH44/INDEX(Undirviðmið!$F$6:$F$205,DH$4)*INDEX(Undirviðmið!$E$6:$E$205,DH$4)*KVARDI,2),""))</f>
        <v/>
      </c>
      <c r="DJ44" s="66" t="n"/>
      <c r="DK44" s="78">
        <f>IF(OR(DJ$4=0,DJ44=""),"",IFERROR(ROUND(DJ44/INDEX(Undirviðmið!$F$6:$F$205,DJ$4)*INDEX(Undirviðmið!$E$6:$E$205,DJ$4)*KVARDI,2),""))</f>
        <v/>
      </c>
      <c r="DL44" s="66" t="n"/>
      <c r="DM44" s="78">
        <f>IF(OR(DL$4=0,DL44=""),"",IFERROR(ROUND(DL44/INDEX(Undirviðmið!$F$6:$F$205,DL$4)*INDEX(Undirviðmið!$E$6:$E$205,DL$4)*KVARDI,2),""))</f>
        <v/>
      </c>
      <c r="DN44" s="66" t="n"/>
      <c r="DO44" s="78">
        <f>IF(OR(DN$4=0,DN44=""),"",IFERROR(ROUND(DN44/INDEX(Undirviðmið!$F$6:$F$205,DN$4)*INDEX(Undirviðmið!$E$6:$E$205,DN$4)*KVARDI,2),""))</f>
        <v/>
      </c>
      <c r="DP44" s="66" t="n"/>
      <c r="DQ44" s="78">
        <f>IF(OR(DP$4=0,DP44=""),"",IFERROR(ROUND(DP44/INDEX(Undirviðmið!$F$6:$F$205,DP$4)*INDEX(Undirviðmið!$E$6:$E$205,DP$4)*KVARDI,2),""))</f>
        <v/>
      </c>
      <c r="DR44" s="66" t="n"/>
      <c r="DS44" s="78">
        <f>IF(OR(DR$4=0,DR44=""),"",IFERROR(ROUND(DR44/INDEX(Undirviðmið!$F$6:$F$205,DR$4)*INDEX(Undirviðmið!$E$6:$E$205,DR$4)*KVARDI,2),""))</f>
        <v/>
      </c>
      <c r="DT44" s="66" t="n"/>
      <c r="DU44" s="78">
        <f>IF(OR(DT$4=0,DT44=""),"",IFERROR(ROUND(DT44/INDEX(Undirviðmið!$F$6:$F$205,DT$4)*INDEX(Undirviðmið!$E$6:$E$205,DT$4)*KVARDI,2),""))</f>
        <v/>
      </c>
      <c r="DV44" s="66" t="n"/>
      <c r="DW44" s="78">
        <f>IF(OR(DV$4=0,DV44=""),"",IFERROR(ROUND(DV44/INDEX(Undirviðmið!$F$6:$F$205,DV$4)*INDEX(Undirviðmið!$E$6:$E$205,DV$4)*KVARDI,2),""))</f>
        <v/>
      </c>
      <c r="DX44" s="66" t="n"/>
      <c r="DY44" s="78">
        <f>IF(OR(DX$4=0,DX44=""),"",IFERROR(ROUND(DX44/INDEX(Undirviðmið!$F$6:$F$205,DX$4)*INDEX(Undirviðmið!$E$6:$E$205,DX$4)*KVARDI,2),""))</f>
        <v/>
      </c>
      <c r="DZ44" s="66" t="n"/>
      <c r="EA44" s="78">
        <f>IF(OR(DZ$4=0,DZ44=""),"",IFERROR(ROUND(DZ44/INDEX(Undirviðmið!$F$6:$F$205,DZ$4)*INDEX(Undirviðmið!$E$6:$E$205,DZ$4)*KVARDI,2),""))</f>
        <v/>
      </c>
      <c r="EB44" s="66" t="n"/>
      <c r="EC44" s="78">
        <f>IF(OR(EB$4=0,EB44=""),"",IFERROR(ROUND(EB44/INDEX(Undirviðmið!$F$6:$F$205,EB$4)*INDEX(Undirviðmið!$E$6:$E$205,EB$4)*KVARDI,2),""))</f>
        <v/>
      </c>
      <c r="ED44" s="66" t="n"/>
      <c r="EE44" s="78">
        <f>IF(OR(ED$4=0,ED44=""),"",IFERROR(ROUND(ED44/INDEX(Undirviðmið!$F$6:$F$205,ED$4)*INDEX(Undirviðmið!$E$6:$E$205,ED$4)*KVARDI,2),""))</f>
        <v/>
      </c>
      <c r="EF44" s="66" t="n"/>
      <c r="EG44" s="78">
        <f>IF(OR(EF$4=0,EF44=""),"",IFERROR(ROUND(EF44/INDEX(Undirviðmið!$F$6:$F$205,EF$4)*INDEX(Undirviðmið!$E$6:$E$205,EF$4)*KVARDI,2),""))</f>
        <v/>
      </c>
      <c r="EH44" s="66" t="n"/>
      <c r="EI44" s="78">
        <f>IF(OR(EH$4=0,EH44=""),"",IFERROR(ROUND(EH44/INDEX(Undirviðmið!$F$6:$F$205,EH$4)*INDEX(Undirviðmið!$E$6:$E$205,EH$4)*KVARDI,2),""))</f>
        <v/>
      </c>
      <c r="EJ44" s="66" t="n"/>
      <c r="EK44" s="78">
        <f>IF(OR(EJ$4=0,EJ44=""),"",IFERROR(ROUND(EJ44/INDEX(Undirviðmið!$F$6:$F$205,EJ$4)*INDEX(Undirviðmið!$E$6:$E$205,EJ$4)*KVARDI,2),""))</f>
        <v/>
      </c>
      <c r="EL44" s="66" t="n"/>
      <c r="EM44" s="78">
        <f>IF(OR(EL$4=0,EL44=""),"",IFERROR(ROUND(EL44/INDEX(Undirviðmið!$F$6:$F$205,EL$4)*INDEX(Undirviðmið!$E$6:$E$205,EL$4)*KVARDI,2),""))</f>
        <v/>
      </c>
      <c r="EN44" s="66" t="n"/>
      <c r="EO44" s="78">
        <f>IF(OR(EN$4=0,EN44=""),"",IFERROR(ROUND(EN44/INDEX(Undirviðmið!$F$6:$F$205,EN$4)*INDEX(Undirviðmið!$E$6:$E$205,EN$4)*KVARDI,2),""))</f>
        <v/>
      </c>
      <c r="EP44" s="66" t="n"/>
      <c r="EQ44" s="78">
        <f>IF(OR(EP$4=0,EP44=""),"",IFERROR(ROUND(EP44/INDEX(Undirviðmið!$F$6:$F$205,EP$4)*INDEX(Undirviðmið!$E$6:$E$205,EP$4)*KVARDI,2),""))</f>
        <v/>
      </c>
      <c r="ER44" s="66" t="n"/>
      <c r="ES44" s="78">
        <f>IF(OR(ER$4=0,ER44=""),"",IFERROR(ROUND(ER44/INDEX(Undirviðmið!$F$6:$F$205,ER$4)*INDEX(Undirviðmið!$E$6:$E$205,ER$4)*KVARDI,2),""))</f>
        <v/>
      </c>
      <c r="ET44" s="66" t="n"/>
      <c r="EU44" s="78">
        <f>IF(OR(ET$4=0,ET44=""),"",IFERROR(ROUND(ET44/INDEX(Undirviðmið!$F$6:$F$205,ET$4)*INDEX(Undirviðmið!$E$6:$E$205,ET$4)*KVARDI,2),""))</f>
        <v/>
      </c>
      <c r="EV44" s="66" t="n"/>
      <c r="EW44" s="78">
        <f>IF(OR(EV$4=0,EV44=""),"",IFERROR(ROUND(EV44/INDEX(Undirviðmið!$F$6:$F$205,EV$4)*INDEX(Undirviðmið!$E$6:$E$205,EV$4)*KVARDI,2),""))</f>
        <v/>
      </c>
      <c r="EX44" s="66" t="n"/>
      <c r="EY44" s="78">
        <f>IF(OR(EX$4=0,EX44=""),"",IFERROR(ROUND(EX44/INDEX(Undirviðmið!$F$6:$F$205,EX$4)*INDEX(Undirviðmið!$E$6:$E$205,EX$4)*KVARDI,2),""))</f>
        <v/>
      </c>
      <c r="EZ44" s="66" t="n"/>
      <c r="FA44" s="78">
        <f>IF(OR(EZ$4=0,EZ44=""),"",IFERROR(ROUND(EZ44/INDEX(Undirviðmið!$F$6:$F$205,EZ$4)*INDEX(Undirviðmið!$E$6:$E$205,EZ$4)*KVARDI,2),""))</f>
        <v/>
      </c>
      <c r="FB44" s="66" t="n"/>
      <c r="FC44" s="78">
        <f>IF(OR(FB$4=0,FB44=""),"",IFERROR(ROUND(FB44/INDEX(Undirviðmið!$F$6:$F$205,FB$4)*INDEX(Undirviðmið!$E$6:$E$205,FB$4)*KVARDI,2),""))</f>
        <v/>
      </c>
      <c r="FD44" s="66" t="n"/>
      <c r="FE44" s="78">
        <f>IF(OR(FD$4=0,FD44=""),"",IFERROR(ROUND(FD44/INDEX(Undirviðmið!$F$6:$F$205,FD$4)*INDEX(Undirviðmið!$E$6:$E$205,FD$4)*KVARDI,2),""))</f>
        <v/>
      </c>
      <c r="FF44" s="66" t="n"/>
      <c r="FG44" s="78">
        <f>IF(OR(FF$4=0,FF44=""),"",IFERROR(ROUND(FF44/INDEX(Undirviðmið!$F$6:$F$205,FF$4)*INDEX(Undirviðmið!$E$6:$E$205,FF$4)*KVARDI,2),""))</f>
        <v/>
      </c>
      <c r="FH44" s="66" t="n"/>
      <c r="FI44" s="78">
        <f>IF(OR(FH$4=0,FH44=""),"",IFERROR(ROUND(FH44/INDEX(Undirviðmið!$F$6:$F$205,FH$4)*INDEX(Undirviðmið!$E$6:$E$205,FH$4)*KVARDI,2),""))</f>
        <v/>
      </c>
      <c r="FJ44" s="66" t="n"/>
      <c r="FK44" s="78">
        <f>IF(OR(FJ$4=0,FJ44=""),"",IFERROR(ROUND(FJ44/INDEX(Undirviðmið!$F$6:$F$205,FJ$4)*INDEX(Undirviðmið!$E$6:$E$205,FJ$4)*KVARDI,2),""))</f>
        <v/>
      </c>
      <c r="FL44" s="66" t="n"/>
      <c r="FM44" s="78">
        <f>IF(OR(FL$4=0,FL44=""),"",IFERROR(ROUND(FL44/INDEX(Undirviðmið!$F$6:$F$205,FL$4)*INDEX(Undirviðmið!$E$6:$E$205,FL$4)*KVARDI,2),""))</f>
        <v/>
      </c>
      <c r="FN44" s="66" t="n"/>
      <c r="FO44" s="78">
        <f>IF(OR(FN$4=0,FN44=""),"",IFERROR(ROUND(FN44/INDEX(Undirviðmið!$F$6:$F$205,FN$4)*INDEX(Undirviðmið!$E$6:$E$205,FN$4)*KVARDI,2),""))</f>
        <v/>
      </c>
      <c r="FP44" s="66" t="n"/>
      <c r="FQ44" s="78">
        <f>IF(OR(FP$4=0,FP44=""),"",IFERROR(ROUND(FP44/INDEX(Undirviðmið!$F$6:$F$205,FP$4)*INDEX(Undirviðmið!$E$6:$E$205,FP$4)*KVARDI,2),""))</f>
        <v/>
      </c>
      <c r="FR44" s="66" t="n"/>
      <c r="FS44" s="78">
        <f>IF(OR(FR$4=0,FR44=""),"",IFERROR(ROUND(FR44/INDEX(Undirviðmið!$F$6:$F$205,FR$4)*INDEX(Undirviðmið!$E$6:$E$205,FR$4)*KVARDI,2),""))</f>
        <v/>
      </c>
      <c r="FT44" s="66" t="n"/>
      <c r="FU44" s="78">
        <f>IF(OR(FT$4=0,FT44=""),"",IFERROR(ROUND(FT44/INDEX(Undirviðmið!$F$6:$F$205,FT$4)*INDEX(Undirviðmið!$E$6:$E$205,FT$4)*KVARDI,2),""))</f>
        <v/>
      </c>
      <c r="FV44" s="66" t="n"/>
      <c r="FW44" s="78">
        <f>IF(OR(FV$4=0,FV44=""),"",IFERROR(ROUND(FV44/INDEX(Undirviðmið!$F$6:$F$205,FV$4)*INDEX(Undirviðmið!$E$6:$E$205,FV$4)*KVARDI,2),""))</f>
        <v/>
      </c>
      <c r="FX44" s="66" t="n"/>
      <c r="FY44" s="78">
        <f>IF(OR(FX$4=0,FX44=""),"",IFERROR(ROUND(FX44/INDEX(Undirviðmið!$F$6:$F$205,FX$4)*INDEX(Undirviðmið!$E$6:$E$205,FX$4)*KVARDI,2),""))</f>
        <v/>
      </c>
      <c r="FZ44" s="66" t="n"/>
      <c r="GA44" s="78">
        <f>IF(OR(FZ$4=0,FZ44=""),"",IFERROR(ROUND(FZ44/INDEX(Undirviðmið!$F$6:$F$205,FZ$4)*INDEX(Undirviðmið!$E$6:$E$205,FZ$4)*KVARDI,2),""))</f>
        <v/>
      </c>
      <c r="GB44" s="66" t="n"/>
      <c r="GC44" s="78">
        <f>IF(OR(GB$4=0,GB44=""),"",IFERROR(ROUND(GB44/INDEX(Undirviðmið!$F$6:$F$205,GB$4)*INDEX(Undirviðmið!$E$6:$E$205,GB$4)*KVARDI,2),""))</f>
        <v/>
      </c>
      <c r="GD44" s="66" t="n"/>
      <c r="GE44" s="78">
        <f>IF(OR(GD$4=0,GD44=""),"",IFERROR(ROUND(GD44/INDEX(Undirviðmið!$F$6:$F$205,GD$4)*INDEX(Undirviðmið!$E$6:$E$205,GD$4)*KVARDI,2),""))</f>
        <v/>
      </c>
      <c r="GF44" s="66" t="n"/>
      <c r="GG44" s="78">
        <f>IF(OR(GF$4=0,GF44=""),"",IFERROR(ROUND(GF44/INDEX(Undirviðmið!$F$6:$F$205,GF$4)*INDEX(Undirviðmið!$E$6:$E$205,GF$4)*KVARDI,2),""))</f>
        <v/>
      </c>
      <c r="GH44" s="66" t="n"/>
      <c r="GI44" s="78">
        <f>IF(OR(GH$4=0,GH44=""),"",IFERROR(ROUND(GH44/INDEX(Undirviðmið!$F$6:$F$205,GH$4)*INDEX(Undirviðmið!$E$6:$E$205,GH$4)*KVARDI,2),""))</f>
        <v/>
      </c>
      <c r="GJ44" s="66" t="n"/>
      <c r="GK44" s="78">
        <f>IF(OR(GJ$4=0,GJ44=""),"",IFERROR(ROUND(GJ44/INDEX(Undirviðmið!$F$6:$F$205,GJ$4)*INDEX(Undirviðmið!$E$6:$E$205,GJ$4)*KVARDI,2),""))</f>
        <v/>
      </c>
      <c r="GL44" s="66" t="n"/>
      <c r="GM44" s="78">
        <f>IF(OR(GL$4=0,GL44=""),"",IFERROR(ROUND(GL44/INDEX(Undirviðmið!$F$6:$F$205,GL$4)*INDEX(Undirviðmið!$E$6:$E$205,GL$4)*KVARDI,2),""))</f>
        <v/>
      </c>
      <c r="GN44" s="66" t="n"/>
      <c r="GO44" s="78">
        <f>IF(OR(GN$4=0,GN44=""),"",IFERROR(ROUND(GN44/INDEX(Undirviðmið!$F$6:$F$205,GN$4)*INDEX(Undirviðmið!$E$6:$E$205,GN$4)*KVARDI,2),""))</f>
        <v/>
      </c>
      <c r="GP44" s="66" t="n"/>
      <c r="GQ44" s="78">
        <f>IF(OR(GP$4=0,GP44=""),"",IFERROR(ROUND(GP44/INDEX(Undirviðmið!$F$6:$F$205,GP$4)*INDEX(Undirviðmið!$E$6:$E$205,GP$4)*KVARDI,2),""))</f>
        <v/>
      </c>
      <c r="GR44" s="66" t="n"/>
      <c r="GS44" s="78">
        <f>IF(OR(GR$4=0,GR44=""),"",IFERROR(ROUND(GR44/INDEX(Undirviðmið!$F$6:$F$205,GR$4)*INDEX(Undirviðmið!$E$6:$E$205,GR$4)*KVARDI,2),""))</f>
        <v/>
      </c>
      <c r="GT44" s="66" t="n"/>
      <c r="GU44" s="78">
        <f>IF(OR(GT$4=0,GT44=""),"",IFERROR(ROUND(GT44/INDEX(Undirviðmið!$F$6:$F$205,GT$4)*INDEX(Undirviðmið!$E$6:$E$205,GT$4)*KVARDI,2),""))</f>
        <v/>
      </c>
      <c r="GV44" s="63">
        <f>IFERROR(SUMIF($D$6:GU$6,"Stig",$D44:GU44),0)</f>
        <v/>
      </c>
    </row>
    <row r="45" ht="15" customHeight="1" s="47">
      <c r="A45" s="65">
        <f>ROW()-6</f>
        <v/>
      </c>
      <c r="B45" s="67">
        <f>IF(INDEX(Starfsmenn!$B$6:$B$10005,ROW()-6)="","",INDEX(Starfsmenn!$B$6:$B$10005,ROW()-6))</f>
        <v/>
      </c>
      <c r="C45" s="67">
        <f>IF(INDEX(Starfsmenn!$C$6:$C$10005,ROW()-6)="","",INDEX(Starfsmenn!$C$6:$C$10005,ROW()-6))</f>
        <v/>
      </c>
      <c r="D45" s="66" t="n"/>
      <c r="E45" s="78">
        <f>IF(OR(D$4=0,D45=""),"",IFERROR(ROUND(D45/INDEX(Undirviðmið!$F$6:$F$205,D$4)*INDEX(Undirviðmið!$E$6:$E$205,D$4)*KVARDI,2),""))</f>
        <v/>
      </c>
      <c r="F45" s="66" t="n"/>
      <c r="G45" s="78">
        <f>IF(OR(F$4=0,F45=""),"",IFERROR(ROUND(F45/INDEX(Undirviðmið!$F$6:$F$205,F$4)*INDEX(Undirviðmið!$E$6:$E$205,F$4)*KVARDI,2),""))</f>
        <v/>
      </c>
      <c r="H45" s="66" t="n"/>
      <c r="I45" s="78">
        <f>IF(OR(H$4=0,H45=""),"",IFERROR(ROUND(H45/INDEX(Undirviðmið!$F$6:$F$205,H$4)*INDEX(Undirviðmið!$E$6:$E$205,H$4)*KVARDI,2),""))</f>
        <v/>
      </c>
      <c r="J45" s="66" t="n"/>
      <c r="K45" s="78">
        <f>IF(OR(J$4=0,J45=""),"",IFERROR(ROUND(J45/INDEX(Undirviðmið!$F$6:$F$205,J$4)*INDEX(Undirviðmið!$E$6:$E$205,J$4)*KVARDI,2),""))</f>
        <v/>
      </c>
      <c r="L45" s="66" t="n"/>
      <c r="M45" s="78">
        <f>IF(OR(L$4=0,L45=""),"",IFERROR(ROUND(L45/INDEX(Undirviðmið!$F$6:$F$205,L$4)*INDEX(Undirviðmið!$E$6:$E$205,L$4)*KVARDI,2),""))</f>
        <v/>
      </c>
      <c r="N45" s="66" t="n"/>
      <c r="O45" s="78">
        <f>IF(OR(N$4=0,N45=""),"",IFERROR(ROUND(N45/INDEX(Undirviðmið!$F$6:$F$205,N$4)*INDEX(Undirviðmið!$E$6:$E$205,N$4)*KVARDI,2),""))</f>
        <v/>
      </c>
      <c r="P45" s="66" t="n"/>
      <c r="Q45" s="78">
        <f>IF(OR(P$4=0,P45=""),"",IFERROR(ROUND(P45/INDEX(Undirviðmið!$F$6:$F$205,P$4)*INDEX(Undirviðmið!$E$6:$E$205,P$4)*KVARDI,2),""))</f>
        <v/>
      </c>
      <c r="R45" s="66" t="n"/>
      <c r="S45" s="78">
        <f>IF(OR(R$4=0,R45=""),"",IFERROR(ROUND(R45/INDEX(Undirviðmið!$F$6:$F$205,R$4)*INDEX(Undirviðmið!$E$6:$E$205,R$4)*KVARDI,2),""))</f>
        <v/>
      </c>
      <c r="T45" s="66" t="n"/>
      <c r="U45" s="78">
        <f>IF(OR(T$4=0,T45=""),"",IFERROR(ROUND(T45/INDEX(Undirviðmið!$F$6:$F$205,T$4)*INDEX(Undirviðmið!$E$6:$E$205,T$4)*KVARDI,2),""))</f>
        <v/>
      </c>
      <c r="V45" s="66" t="n"/>
      <c r="W45" s="78">
        <f>IF(OR(V$4=0,V45=""),"",IFERROR(ROUND(V45/INDEX(Undirviðmið!$F$6:$F$205,V$4)*INDEX(Undirviðmið!$E$6:$E$205,V$4)*KVARDI,2),""))</f>
        <v/>
      </c>
      <c r="X45" s="66" t="n"/>
      <c r="Y45" s="78">
        <f>IF(OR(X$4=0,X45=""),"",IFERROR(ROUND(X45/INDEX(Undirviðmið!$F$6:$F$205,X$4)*INDEX(Undirviðmið!$E$6:$E$205,X$4)*KVARDI,2),""))</f>
        <v/>
      </c>
      <c r="Z45" s="66" t="n"/>
      <c r="AA45" s="78">
        <f>IF(OR(Z$4=0,Z45=""),"",IFERROR(ROUND(Z45/INDEX(Undirviðmið!$F$6:$F$205,Z$4)*INDEX(Undirviðmið!$E$6:$E$205,Z$4)*KVARDI,2),""))</f>
        <v/>
      </c>
      <c r="AB45" s="66" t="n"/>
      <c r="AC45" s="78">
        <f>IF(OR(AB$4=0,AB45=""),"",IFERROR(ROUND(AB45/INDEX(Undirviðmið!$F$6:$F$205,AB$4)*INDEX(Undirviðmið!$E$6:$E$205,AB$4)*KVARDI,2),""))</f>
        <v/>
      </c>
      <c r="AD45" s="66" t="n"/>
      <c r="AE45" s="78">
        <f>IF(OR(AD$4=0,AD45=""),"",IFERROR(ROUND(AD45/INDEX(Undirviðmið!$F$6:$F$205,AD$4)*INDEX(Undirviðmið!$E$6:$E$205,AD$4)*KVARDI,2),""))</f>
        <v/>
      </c>
      <c r="AF45" s="66" t="n"/>
      <c r="AG45" s="78">
        <f>IF(OR(AF$4=0,AF45=""),"",IFERROR(ROUND(AF45/INDEX(Undirviðmið!$F$6:$F$205,AF$4)*INDEX(Undirviðmið!$E$6:$E$205,AF$4)*KVARDI,2),""))</f>
        <v/>
      </c>
      <c r="AH45" s="66" t="n"/>
      <c r="AI45" s="78">
        <f>IF(OR(AH$4=0,AH45=""),"",IFERROR(ROUND(AH45/INDEX(Undirviðmið!$F$6:$F$205,AH$4)*INDEX(Undirviðmið!$E$6:$E$205,AH$4)*KVARDI,2),""))</f>
        <v/>
      </c>
      <c r="AJ45" s="66" t="n"/>
      <c r="AK45" s="78">
        <f>IF(OR(AJ$4=0,AJ45=""),"",IFERROR(ROUND(AJ45/INDEX(Undirviðmið!$F$6:$F$205,AJ$4)*INDEX(Undirviðmið!$E$6:$E$205,AJ$4)*KVARDI,2),""))</f>
        <v/>
      </c>
      <c r="AL45" s="66" t="n"/>
      <c r="AM45" s="78">
        <f>IF(OR(AL$4=0,AL45=""),"",IFERROR(ROUND(AL45/INDEX(Undirviðmið!$F$6:$F$205,AL$4)*INDEX(Undirviðmið!$E$6:$E$205,AL$4)*KVARDI,2),""))</f>
        <v/>
      </c>
      <c r="AN45" s="66" t="n"/>
      <c r="AO45" s="78">
        <f>IF(OR(AN$4=0,AN45=""),"",IFERROR(ROUND(AN45/INDEX(Undirviðmið!$F$6:$F$205,AN$4)*INDEX(Undirviðmið!$E$6:$E$205,AN$4)*KVARDI,2),""))</f>
        <v/>
      </c>
      <c r="AP45" s="66" t="n"/>
      <c r="AQ45" s="78">
        <f>IF(OR(AP$4=0,AP45=""),"",IFERROR(ROUND(AP45/INDEX(Undirviðmið!$F$6:$F$205,AP$4)*INDEX(Undirviðmið!$E$6:$E$205,AP$4)*KVARDI,2),""))</f>
        <v/>
      </c>
      <c r="AR45" s="66" t="n"/>
      <c r="AS45" s="78">
        <f>IF(OR(AR$4=0,AR45=""),"",IFERROR(ROUND(AR45/INDEX(Undirviðmið!$F$6:$F$205,AR$4)*INDEX(Undirviðmið!$E$6:$E$205,AR$4)*KVARDI,2),""))</f>
        <v/>
      </c>
      <c r="AT45" s="66" t="n"/>
      <c r="AU45" s="78">
        <f>IF(OR(AT$4=0,AT45=""),"",IFERROR(ROUND(AT45/INDEX(Undirviðmið!$F$6:$F$205,AT$4)*INDEX(Undirviðmið!$E$6:$E$205,AT$4)*KVARDI,2),""))</f>
        <v/>
      </c>
      <c r="AV45" s="66" t="n"/>
      <c r="AW45" s="78">
        <f>IF(OR(AV$4=0,AV45=""),"",IFERROR(ROUND(AV45/INDEX(Undirviðmið!$F$6:$F$205,AV$4)*INDEX(Undirviðmið!$E$6:$E$205,AV$4)*KVARDI,2),""))</f>
        <v/>
      </c>
      <c r="AX45" s="66" t="n"/>
      <c r="AY45" s="78">
        <f>IF(OR(AX$4=0,AX45=""),"",IFERROR(ROUND(AX45/INDEX(Undirviðmið!$F$6:$F$205,AX$4)*INDEX(Undirviðmið!$E$6:$E$205,AX$4)*KVARDI,2),""))</f>
        <v/>
      </c>
      <c r="AZ45" s="66" t="n"/>
      <c r="BA45" s="78">
        <f>IF(OR(AZ$4=0,AZ45=""),"",IFERROR(ROUND(AZ45/INDEX(Undirviðmið!$F$6:$F$205,AZ$4)*INDEX(Undirviðmið!$E$6:$E$205,AZ$4)*KVARDI,2),""))</f>
        <v/>
      </c>
      <c r="BB45" s="66" t="n"/>
      <c r="BC45" s="78">
        <f>IF(OR(BB$4=0,BB45=""),"",IFERROR(ROUND(BB45/INDEX(Undirviðmið!$F$6:$F$205,BB$4)*INDEX(Undirviðmið!$E$6:$E$205,BB$4)*KVARDI,2),""))</f>
        <v/>
      </c>
      <c r="BD45" s="66" t="n"/>
      <c r="BE45" s="78">
        <f>IF(OR(BD$4=0,BD45=""),"",IFERROR(ROUND(BD45/INDEX(Undirviðmið!$F$6:$F$205,BD$4)*INDEX(Undirviðmið!$E$6:$E$205,BD$4)*KVARDI,2),""))</f>
        <v/>
      </c>
      <c r="BF45" s="66" t="n"/>
      <c r="BG45" s="78">
        <f>IF(OR(BF$4=0,BF45=""),"",IFERROR(ROUND(BF45/INDEX(Undirviðmið!$F$6:$F$205,BF$4)*INDEX(Undirviðmið!$E$6:$E$205,BF$4)*KVARDI,2),""))</f>
        <v/>
      </c>
      <c r="BH45" s="66" t="n"/>
      <c r="BI45" s="78">
        <f>IF(OR(BH$4=0,BH45=""),"",IFERROR(ROUND(BH45/INDEX(Undirviðmið!$F$6:$F$205,BH$4)*INDEX(Undirviðmið!$E$6:$E$205,BH$4)*KVARDI,2),""))</f>
        <v/>
      </c>
      <c r="BJ45" s="66" t="n"/>
      <c r="BK45" s="78">
        <f>IF(OR(BJ$4=0,BJ45=""),"",IFERROR(ROUND(BJ45/INDEX(Undirviðmið!$F$6:$F$205,BJ$4)*INDEX(Undirviðmið!$E$6:$E$205,BJ$4)*KVARDI,2),""))</f>
        <v/>
      </c>
      <c r="BL45" s="66" t="n"/>
      <c r="BM45" s="78">
        <f>IF(OR(BL$4=0,BL45=""),"",IFERROR(ROUND(BL45/INDEX(Undirviðmið!$F$6:$F$205,BL$4)*INDEX(Undirviðmið!$E$6:$E$205,BL$4)*KVARDI,2),""))</f>
        <v/>
      </c>
      <c r="BN45" s="66" t="n"/>
      <c r="BO45" s="78">
        <f>IF(OR(BN$4=0,BN45=""),"",IFERROR(ROUND(BN45/INDEX(Undirviðmið!$F$6:$F$205,BN$4)*INDEX(Undirviðmið!$E$6:$E$205,BN$4)*KVARDI,2),""))</f>
        <v/>
      </c>
      <c r="BP45" s="66" t="n"/>
      <c r="BQ45" s="78">
        <f>IF(OR(BP$4=0,BP45=""),"",IFERROR(ROUND(BP45/INDEX(Undirviðmið!$F$6:$F$205,BP$4)*INDEX(Undirviðmið!$E$6:$E$205,BP$4)*KVARDI,2),""))</f>
        <v/>
      </c>
      <c r="BR45" s="66" t="n"/>
      <c r="BS45" s="78">
        <f>IF(OR(BR$4=0,BR45=""),"",IFERROR(ROUND(BR45/INDEX(Undirviðmið!$F$6:$F$205,BR$4)*INDEX(Undirviðmið!$E$6:$E$205,BR$4)*KVARDI,2),""))</f>
        <v/>
      </c>
      <c r="BT45" s="66" t="n"/>
      <c r="BU45" s="78">
        <f>IF(OR(BT$4=0,BT45=""),"",IFERROR(ROUND(BT45/INDEX(Undirviðmið!$F$6:$F$205,BT$4)*INDEX(Undirviðmið!$E$6:$E$205,BT$4)*KVARDI,2),""))</f>
        <v/>
      </c>
      <c r="BV45" s="66" t="n"/>
      <c r="BW45" s="78">
        <f>IF(OR(BV$4=0,BV45=""),"",IFERROR(ROUND(BV45/INDEX(Undirviðmið!$F$6:$F$205,BV$4)*INDEX(Undirviðmið!$E$6:$E$205,BV$4)*KVARDI,2),""))</f>
        <v/>
      </c>
      <c r="BX45" s="66" t="n"/>
      <c r="BY45" s="78">
        <f>IF(OR(BX$4=0,BX45=""),"",IFERROR(ROUND(BX45/INDEX(Undirviðmið!$F$6:$F$205,BX$4)*INDEX(Undirviðmið!$E$6:$E$205,BX$4)*KVARDI,2),""))</f>
        <v/>
      </c>
      <c r="BZ45" s="66" t="n"/>
      <c r="CA45" s="78">
        <f>IF(OR(BZ$4=0,BZ45=""),"",IFERROR(ROUND(BZ45/INDEX(Undirviðmið!$F$6:$F$205,BZ$4)*INDEX(Undirviðmið!$E$6:$E$205,BZ$4)*KVARDI,2),""))</f>
        <v/>
      </c>
      <c r="CB45" s="66" t="n"/>
      <c r="CC45" s="78">
        <f>IF(OR(CB$4=0,CB45=""),"",IFERROR(ROUND(CB45/INDEX(Undirviðmið!$F$6:$F$205,CB$4)*INDEX(Undirviðmið!$E$6:$E$205,CB$4)*KVARDI,2),""))</f>
        <v/>
      </c>
      <c r="CD45" s="66" t="n"/>
      <c r="CE45" s="78">
        <f>IF(OR(CD$4=0,CD45=""),"",IFERROR(ROUND(CD45/INDEX(Undirviðmið!$F$6:$F$205,CD$4)*INDEX(Undirviðmið!$E$6:$E$205,CD$4)*KVARDI,2),""))</f>
        <v/>
      </c>
      <c r="CF45" s="66" t="n"/>
      <c r="CG45" s="78">
        <f>IF(OR(CF$4=0,CF45=""),"",IFERROR(ROUND(CF45/INDEX(Undirviðmið!$F$6:$F$205,CF$4)*INDEX(Undirviðmið!$E$6:$E$205,CF$4)*KVARDI,2),""))</f>
        <v/>
      </c>
      <c r="CH45" s="66" t="n"/>
      <c r="CI45" s="78">
        <f>IF(OR(CH$4=0,CH45=""),"",IFERROR(ROUND(CH45/INDEX(Undirviðmið!$F$6:$F$205,CH$4)*INDEX(Undirviðmið!$E$6:$E$205,CH$4)*KVARDI,2),""))</f>
        <v/>
      </c>
      <c r="CJ45" s="66" t="n"/>
      <c r="CK45" s="78">
        <f>IF(OR(CJ$4=0,CJ45=""),"",IFERROR(ROUND(CJ45/INDEX(Undirviðmið!$F$6:$F$205,CJ$4)*INDEX(Undirviðmið!$E$6:$E$205,CJ$4)*KVARDI,2),""))</f>
        <v/>
      </c>
      <c r="CL45" s="66" t="n"/>
      <c r="CM45" s="78">
        <f>IF(OR(CL$4=0,CL45=""),"",IFERROR(ROUND(CL45/INDEX(Undirviðmið!$F$6:$F$205,CL$4)*INDEX(Undirviðmið!$E$6:$E$205,CL$4)*KVARDI,2),""))</f>
        <v/>
      </c>
      <c r="CN45" s="66" t="n"/>
      <c r="CO45" s="78">
        <f>IF(OR(CN$4=0,CN45=""),"",IFERROR(ROUND(CN45/INDEX(Undirviðmið!$F$6:$F$205,CN$4)*INDEX(Undirviðmið!$E$6:$E$205,CN$4)*KVARDI,2),""))</f>
        <v/>
      </c>
      <c r="CP45" s="66" t="n"/>
      <c r="CQ45" s="78">
        <f>IF(OR(CP$4=0,CP45=""),"",IFERROR(ROUND(CP45/INDEX(Undirviðmið!$F$6:$F$205,CP$4)*INDEX(Undirviðmið!$E$6:$E$205,CP$4)*KVARDI,2),""))</f>
        <v/>
      </c>
      <c r="CR45" s="66" t="n"/>
      <c r="CS45" s="78">
        <f>IF(OR(CR$4=0,CR45=""),"",IFERROR(ROUND(CR45/INDEX(Undirviðmið!$F$6:$F$205,CR$4)*INDEX(Undirviðmið!$E$6:$E$205,CR$4)*KVARDI,2),""))</f>
        <v/>
      </c>
      <c r="CT45" s="66" t="n"/>
      <c r="CU45" s="78">
        <f>IF(OR(CT$4=0,CT45=""),"",IFERROR(ROUND(CT45/INDEX(Undirviðmið!$F$6:$F$205,CT$4)*INDEX(Undirviðmið!$E$6:$E$205,CT$4)*KVARDI,2),""))</f>
        <v/>
      </c>
      <c r="CV45" s="66" t="n"/>
      <c r="CW45" s="78">
        <f>IF(OR(CV$4=0,CV45=""),"",IFERROR(ROUND(CV45/INDEX(Undirviðmið!$F$6:$F$205,CV$4)*INDEX(Undirviðmið!$E$6:$E$205,CV$4)*KVARDI,2),""))</f>
        <v/>
      </c>
      <c r="CX45" s="66" t="n"/>
      <c r="CY45" s="78">
        <f>IF(OR(CX$4=0,CX45=""),"",IFERROR(ROUND(CX45/INDEX(Undirviðmið!$F$6:$F$205,CX$4)*INDEX(Undirviðmið!$E$6:$E$205,CX$4)*KVARDI,2),""))</f>
        <v/>
      </c>
      <c r="CZ45" s="66" t="n"/>
      <c r="DA45" s="78">
        <f>IF(OR(CZ$4=0,CZ45=""),"",IFERROR(ROUND(CZ45/INDEX(Undirviðmið!$F$6:$F$205,CZ$4)*INDEX(Undirviðmið!$E$6:$E$205,CZ$4)*KVARDI,2),""))</f>
        <v/>
      </c>
      <c r="DB45" s="66" t="n"/>
      <c r="DC45" s="78">
        <f>IF(OR(DB$4=0,DB45=""),"",IFERROR(ROUND(DB45/INDEX(Undirviðmið!$F$6:$F$205,DB$4)*INDEX(Undirviðmið!$E$6:$E$205,DB$4)*KVARDI,2),""))</f>
        <v/>
      </c>
      <c r="DD45" s="66" t="n"/>
      <c r="DE45" s="78">
        <f>IF(OR(DD$4=0,DD45=""),"",IFERROR(ROUND(DD45/INDEX(Undirviðmið!$F$6:$F$205,DD$4)*INDEX(Undirviðmið!$E$6:$E$205,DD$4)*KVARDI,2),""))</f>
        <v/>
      </c>
      <c r="DF45" s="66" t="n"/>
      <c r="DG45" s="78">
        <f>IF(OR(DF$4=0,DF45=""),"",IFERROR(ROUND(DF45/INDEX(Undirviðmið!$F$6:$F$205,DF$4)*INDEX(Undirviðmið!$E$6:$E$205,DF$4)*KVARDI,2),""))</f>
        <v/>
      </c>
      <c r="DH45" s="66" t="n"/>
      <c r="DI45" s="78">
        <f>IF(OR(DH$4=0,DH45=""),"",IFERROR(ROUND(DH45/INDEX(Undirviðmið!$F$6:$F$205,DH$4)*INDEX(Undirviðmið!$E$6:$E$205,DH$4)*KVARDI,2),""))</f>
        <v/>
      </c>
      <c r="DJ45" s="66" t="n"/>
      <c r="DK45" s="78">
        <f>IF(OR(DJ$4=0,DJ45=""),"",IFERROR(ROUND(DJ45/INDEX(Undirviðmið!$F$6:$F$205,DJ$4)*INDEX(Undirviðmið!$E$6:$E$205,DJ$4)*KVARDI,2),""))</f>
        <v/>
      </c>
      <c r="DL45" s="66" t="n"/>
      <c r="DM45" s="78">
        <f>IF(OR(DL$4=0,DL45=""),"",IFERROR(ROUND(DL45/INDEX(Undirviðmið!$F$6:$F$205,DL$4)*INDEX(Undirviðmið!$E$6:$E$205,DL$4)*KVARDI,2),""))</f>
        <v/>
      </c>
      <c r="DN45" s="66" t="n"/>
      <c r="DO45" s="78">
        <f>IF(OR(DN$4=0,DN45=""),"",IFERROR(ROUND(DN45/INDEX(Undirviðmið!$F$6:$F$205,DN$4)*INDEX(Undirviðmið!$E$6:$E$205,DN$4)*KVARDI,2),""))</f>
        <v/>
      </c>
      <c r="DP45" s="66" t="n"/>
      <c r="DQ45" s="78">
        <f>IF(OR(DP$4=0,DP45=""),"",IFERROR(ROUND(DP45/INDEX(Undirviðmið!$F$6:$F$205,DP$4)*INDEX(Undirviðmið!$E$6:$E$205,DP$4)*KVARDI,2),""))</f>
        <v/>
      </c>
      <c r="DR45" s="66" t="n"/>
      <c r="DS45" s="78">
        <f>IF(OR(DR$4=0,DR45=""),"",IFERROR(ROUND(DR45/INDEX(Undirviðmið!$F$6:$F$205,DR$4)*INDEX(Undirviðmið!$E$6:$E$205,DR$4)*KVARDI,2),""))</f>
        <v/>
      </c>
      <c r="DT45" s="66" t="n"/>
      <c r="DU45" s="78">
        <f>IF(OR(DT$4=0,DT45=""),"",IFERROR(ROUND(DT45/INDEX(Undirviðmið!$F$6:$F$205,DT$4)*INDEX(Undirviðmið!$E$6:$E$205,DT$4)*KVARDI,2),""))</f>
        <v/>
      </c>
      <c r="DV45" s="66" t="n"/>
      <c r="DW45" s="78">
        <f>IF(OR(DV$4=0,DV45=""),"",IFERROR(ROUND(DV45/INDEX(Undirviðmið!$F$6:$F$205,DV$4)*INDEX(Undirviðmið!$E$6:$E$205,DV$4)*KVARDI,2),""))</f>
        <v/>
      </c>
      <c r="DX45" s="66" t="n"/>
      <c r="DY45" s="78">
        <f>IF(OR(DX$4=0,DX45=""),"",IFERROR(ROUND(DX45/INDEX(Undirviðmið!$F$6:$F$205,DX$4)*INDEX(Undirviðmið!$E$6:$E$205,DX$4)*KVARDI,2),""))</f>
        <v/>
      </c>
      <c r="DZ45" s="66" t="n"/>
      <c r="EA45" s="78">
        <f>IF(OR(DZ$4=0,DZ45=""),"",IFERROR(ROUND(DZ45/INDEX(Undirviðmið!$F$6:$F$205,DZ$4)*INDEX(Undirviðmið!$E$6:$E$205,DZ$4)*KVARDI,2),""))</f>
        <v/>
      </c>
      <c r="EB45" s="66" t="n"/>
      <c r="EC45" s="78">
        <f>IF(OR(EB$4=0,EB45=""),"",IFERROR(ROUND(EB45/INDEX(Undirviðmið!$F$6:$F$205,EB$4)*INDEX(Undirviðmið!$E$6:$E$205,EB$4)*KVARDI,2),""))</f>
        <v/>
      </c>
      <c r="ED45" s="66" t="n"/>
      <c r="EE45" s="78">
        <f>IF(OR(ED$4=0,ED45=""),"",IFERROR(ROUND(ED45/INDEX(Undirviðmið!$F$6:$F$205,ED$4)*INDEX(Undirviðmið!$E$6:$E$205,ED$4)*KVARDI,2),""))</f>
        <v/>
      </c>
      <c r="EF45" s="66" t="n"/>
      <c r="EG45" s="78">
        <f>IF(OR(EF$4=0,EF45=""),"",IFERROR(ROUND(EF45/INDEX(Undirviðmið!$F$6:$F$205,EF$4)*INDEX(Undirviðmið!$E$6:$E$205,EF$4)*KVARDI,2),""))</f>
        <v/>
      </c>
      <c r="EH45" s="66" t="n"/>
      <c r="EI45" s="78">
        <f>IF(OR(EH$4=0,EH45=""),"",IFERROR(ROUND(EH45/INDEX(Undirviðmið!$F$6:$F$205,EH$4)*INDEX(Undirviðmið!$E$6:$E$205,EH$4)*KVARDI,2),""))</f>
        <v/>
      </c>
      <c r="EJ45" s="66" t="n"/>
      <c r="EK45" s="78">
        <f>IF(OR(EJ$4=0,EJ45=""),"",IFERROR(ROUND(EJ45/INDEX(Undirviðmið!$F$6:$F$205,EJ$4)*INDEX(Undirviðmið!$E$6:$E$205,EJ$4)*KVARDI,2),""))</f>
        <v/>
      </c>
      <c r="EL45" s="66" t="n"/>
      <c r="EM45" s="78">
        <f>IF(OR(EL$4=0,EL45=""),"",IFERROR(ROUND(EL45/INDEX(Undirviðmið!$F$6:$F$205,EL$4)*INDEX(Undirviðmið!$E$6:$E$205,EL$4)*KVARDI,2),""))</f>
        <v/>
      </c>
      <c r="EN45" s="66" t="n"/>
      <c r="EO45" s="78">
        <f>IF(OR(EN$4=0,EN45=""),"",IFERROR(ROUND(EN45/INDEX(Undirviðmið!$F$6:$F$205,EN$4)*INDEX(Undirviðmið!$E$6:$E$205,EN$4)*KVARDI,2),""))</f>
        <v/>
      </c>
      <c r="EP45" s="66" t="n"/>
      <c r="EQ45" s="78">
        <f>IF(OR(EP$4=0,EP45=""),"",IFERROR(ROUND(EP45/INDEX(Undirviðmið!$F$6:$F$205,EP$4)*INDEX(Undirviðmið!$E$6:$E$205,EP$4)*KVARDI,2),""))</f>
        <v/>
      </c>
      <c r="ER45" s="66" t="n"/>
      <c r="ES45" s="78">
        <f>IF(OR(ER$4=0,ER45=""),"",IFERROR(ROUND(ER45/INDEX(Undirviðmið!$F$6:$F$205,ER$4)*INDEX(Undirviðmið!$E$6:$E$205,ER$4)*KVARDI,2),""))</f>
        <v/>
      </c>
      <c r="ET45" s="66" t="n"/>
      <c r="EU45" s="78">
        <f>IF(OR(ET$4=0,ET45=""),"",IFERROR(ROUND(ET45/INDEX(Undirviðmið!$F$6:$F$205,ET$4)*INDEX(Undirviðmið!$E$6:$E$205,ET$4)*KVARDI,2),""))</f>
        <v/>
      </c>
      <c r="EV45" s="66" t="n"/>
      <c r="EW45" s="78">
        <f>IF(OR(EV$4=0,EV45=""),"",IFERROR(ROUND(EV45/INDEX(Undirviðmið!$F$6:$F$205,EV$4)*INDEX(Undirviðmið!$E$6:$E$205,EV$4)*KVARDI,2),""))</f>
        <v/>
      </c>
      <c r="EX45" s="66" t="n"/>
      <c r="EY45" s="78">
        <f>IF(OR(EX$4=0,EX45=""),"",IFERROR(ROUND(EX45/INDEX(Undirviðmið!$F$6:$F$205,EX$4)*INDEX(Undirviðmið!$E$6:$E$205,EX$4)*KVARDI,2),""))</f>
        <v/>
      </c>
      <c r="EZ45" s="66" t="n"/>
      <c r="FA45" s="78">
        <f>IF(OR(EZ$4=0,EZ45=""),"",IFERROR(ROUND(EZ45/INDEX(Undirviðmið!$F$6:$F$205,EZ$4)*INDEX(Undirviðmið!$E$6:$E$205,EZ$4)*KVARDI,2),""))</f>
        <v/>
      </c>
      <c r="FB45" s="66" t="n"/>
      <c r="FC45" s="78">
        <f>IF(OR(FB$4=0,FB45=""),"",IFERROR(ROUND(FB45/INDEX(Undirviðmið!$F$6:$F$205,FB$4)*INDEX(Undirviðmið!$E$6:$E$205,FB$4)*KVARDI,2),""))</f>
        <v/>
      </c>
      <c r="FD45" s="66" t="n"/>
      <c r="FE45" s="78">
        <f>IF(OR(FD$4=0,FD45=""),"",IFERROR(ROUND(FD45/INDEX(Undirviðmið!$F$6:$F$205,FD$4)*INDEX(Undirviðmið!$E$6:$E$205,FD$4)*KVARDI,2),""))</f>
        <v/>
      </c>
      <c r="FF45" s="66" t="n"/>
      <c r="FG45" s="78">
        <f>IF(OR(FF$4=0,FF45=""),"",IFERROR(ROUND(FF45/INDEX(Undirviðmið!$F$6:$F$205,FF$4)*INDEX(Undirviðmið!$E$6:$E$205,FF$4)*KVARDI,2),""))</f>
        <v/>
      </c>
      <c r="FH45" s="66" t="n"/>
      <c r="FI45" s="78">
        <f>IF(OR(FH$4=0,FH45=""),"",IFERROR(ROUND(FH45/INDEX(Undirviðmið!$F$6:$F$205,FH$4)*INDEX(Undirviðmið!$E$6:$E$205,FH$4)*KVARDI,2),""))</f>
        <v/>
      </c>
      <c r="FJ45" s="66" t="n"/>
      <c r="FK45" s="78">
        <f>IF(OR(FJ$4=0,FJ45=""),"",IFERROR(ROUND(FJ45/INDEX(Undirviðmið!$F$6:$F$205,FJ$4)*INDEX(Undirviðmið!$E$6:$E$205,FJ$4)*KVARDI,2),""))</f>
        <v/>
      </c>
      <c r="FL45" s="66" t="n"/>
      <c r="FM45" s="78">
        <f>IF(OR(FL$4=0,FL45=""),"",IFERROR(ROUND(FL45/INDEX(Undirviðmið!$F$6:$F$205,FL$4)*INDEX(Undirviðmið!$E$6:$E$205,FL$4)*KVARDI,2),""))</f>
        <v/>
      </c>
      <c r="FN45" s="66" t="n"/>
      <c r="FO45" s="78">
        <f>IF(OR(FN$4=0,FN45=""),"",IFERROR(ROUND(FN45/INDEX(Undirviðmið!$F$6:$F$205,FN$4)*INDEX(Undirviðmið!$E$6:$E$205,FN$4)*KVARDI,2),""))</f>
        <v/>
      </c>
      <c r="FP45" s="66" t="n"/>
      <c r="FQ45" s="78">
        <f>IF(OR(FP$4=0,FP45=""),"",IFERROR(ROUND(FP45/INDEX(Undirviðmið!$F$6:$F$205,FP$4)*INDEX(Undirviðmið!$E$6:$E$205,FP$4)*KVARDI,2),""))</f>
        <v/>
      </c>
      <c r="FR45" s="66" t="n"/>
      <c r="FS45" s="78">
        <f>IF(OR(FR$4=0,FR45=""),"",IFERROR(ROUND(FR45/INDEX(Undirviðmið!$F$6:$F$205,FR$4)*INDEX(Undirviðmið!$E$6:$E$205,FR$4)*KVARDI,2),""))</f>
        <v/>
      </c>
      <c r="FT45" s="66" t="n"/>
      <c r="FU45" s="78">
        <f>IF(OR(FT$4=0,FT45=""),"",IFERROR(ROUND(FT45/INDEX(Undirviðmið!$F$6:$F$205,FT$4)*INDEX(Undirviðmið!$E$6:$E$205,FT$4)*KVARDI,2),""))</f>
        <v/>
      </c>
      <c r="FV45" s="66" t="n"/>
      <c r="FW45" s="78">
        <f>IF(OR(FV$4=0,FV45=""),"",IFERROR(ROUND(FV45/INDEX(Undirviðmið!$F$6:$F$205,FV$4)*INDEX(Undirviðmið!$E$6:$E$205,FV$4)*KVARDI,2),""))</f>
        <v/>
      </c>
      <c r="FX45" s="66" t="n"/>
      <c r="FY45" s="78">
        <f>IF(OR(FX$4=0,FX45=""),"",IFERROR(ROUND(FX45/INDEX(Undirviðmið!$F$6:$F$205,FX$4)*INDEX(Undirviðmið!$E$6:$E$205,FX$4)*KVARDI,2),""))</f>
        <v/>
      </c>
      <c r="FZ45" s="66" t="n"/>
      <c r="GA45" s="78">
        <f>IF(OR(FZ$4=0,FZ45=""),"",IFERROR(ROUND(FZ45/INDEX(Undirviðmið!$F$6:$F$205,FZ$4)*INDEX(Undirviðmið!$E$6:$E$205,FZ$4)*KVARDI,2),""))</f>
        <v/>
      </c>
      <c r="GB45" s="66" t="n"/>
      <c r="GC45" s="78">
        <f>IF(OR(GB$4=0,GB45=""),"",IFERROR(ROUND(GB45/INDEX(Undirviðmið!$F$6:$F$205,GB$4)*INDEX(Undirviðmið!$E$6:$E$205,GB$4)*KVARDI,2),""))</f>
        <v/>
      </c>
      <c r="GD45" s="66" t="n"/>
      <c r="GE45" s="78">
        <f>IF(OR(GD$4=0,GD45=""),"",IFERROR(ROUND(GD45/INDEX(Undirviðmið!$F$6:$F$205,GD$4)*INDEX(Undirviðmið!$E$6:$E$205,GD$4)*KVARDI,2),""))</f>
        <v/>
      </c>
      <c r="GF45" s="66" t="n"/>
      <c r="GG45" s="78">
        <f>IF(OR(GF$4=0,GF45=""),"",IFERROR(ROUND(GF45/INDEX(Undirviðmið!$F$6:$F$205,GF$4)*INDEX(Undirviðmið!$E$6:$E$205,GF$4)*KVARDI,2),""))</f>
        <v/>
      </c>
      <c r="GH45" s="66" t="n"/>
      <c r="GI45" s="78">
        <f>IF(OR(GH$4=0,GH45=""),"",IFERROR(ROUND(GH45/INDEX(Undirviðmið!$F$6:$F$205,GH$4)*INDEX(Undirviðmið!$E$6:$E$205,GH$4)*KVARDI,2),""))</f>
        <v/>
      </c>
      <c r="GJ45" s="66" t="n"/>
      <c r="GK45" s="78">
        <f>IF(OR(GJ$4=0,GJ45=""),"",IFERROR(ROUND(GJ45/INDEX(Undirviðmið!$F$6:$F$205,GJ$4)*INDEX(Undirviðmið!$E$6:$E$205,GJ$4)*KVARDI,2),""))</f>
        <v/>
      </c>
      <c r="GL45" s="66" t="n"/>
      <c r="GM45" s="78">
        <f>IF(OR(GL$4=0,GL45=""),"",IFERROR(ROUND(GL45/INDEX(Undirviðmið!$F$6:$F$205,GL$4)*INDEX(Undirviðmið!$E$6:$E$205,GL$4)*KVARDI,2),""))</f>
        <v/>
      </c>
      <c r="GN45" s="66" t="n"/>
      <c r="GO45" s="78">
        <f>IF(OR(GN$4=0,GN45=""),"",IFERROR(ROUND(GN45/INDEX(Undirviðmið!$F$6:$F$205,GN$4)*INDEX(Undirviðmið!$E$6:$E$205,GN$4)*KVARDI,2),""))</f>
        <v/>
      </c>
      <c r="GP45" s="66" t="n"/>
      <c r="GQ45" s="78">
        <f>IF(OR(GP$4=0,GP45=""),"",IFERROR(ROUND(GP45/INDEX(Undirviðmið!$F$6:$F$205,GP$4)*INDEX(Undirviðmið!$E$6:$E$205,GP$4)*KVARDI,2),""))</f>
        <v/>
      </c>
      <c r="GR45" s="66" t="n"/>
      <c r="GS45" s="78">
        <f>IF(OR(GR$4=0,GR45=""),"",IFERROR(ROUND(GR45/INDEX(Undirviðmið!$F$6:$F$205,GR$4)*INDEX(Undirviðmið!$E$6:$E$205,GR$4)*KVARDI,2),""))</f>
        <v/>
      </c>
      <c r="GT45" s="66" t="n"/>
      <c r="GU45" s="78">
        <f>IF(OR(GT$4=0,GT45=""),"",IFERROR(ROUND(GT45/INDEX(Undirviðmið!$F$6:$F$205,GT$4)*INDEX(Undirviðmið!$E$6:$E$205,GT$4)*KVARDI,2),""))</f>
        <v/>
      </c>
      <c r="GV45" s="63">
        <f>IFERROR(SUMIF($D$6:GU$6,"Stig",$D45:GU45),0)</f>
        <v/>
      </c>
    </row>
    <row r="46" ht="15" customHeight="1" s="47">
      <c r="A46" s="65">
        <f>ROW()-6</f>
        <v/>
      </c>
      <c r="B46" s="67">
        <f>IF(INDEX(Starfsmenn!$B$6:$B$10005,ROW()-6)="","",INDEX(Starfsmenn!$B$6:$B$10005,ROW()-6))</f>
        <v/>
      </c>
      <c r="C46" s="67">
        <f>IF(INDEX(Starfsmenn!$C$6:$C$10005,ROW()-6)="","",INDEX(Starfsmenn!$C$6:$C$10005,ROW()-6))</f>
        <v/>
      </c>
      <c r="D46" s="66" t="n"/>
      <c r="E46" s="78">
        <f>IF(OR(D$4=0,D46=""),"",IFERROR(ROUND(D46/INDEX(Undirviðmið!$F$6:$F$205,D$4)*INDEX(Undirviðmið!$E$6:$E$205,D$4)*KVARDI,2),""))</f>
        <v/>
      </c>
      <c r="F46" s="66" t="n"/>
      <c r="G46" s="78">
        <f>IF(OR(F$4=0,F46=""),"",IFERROR(ROUND(F46/INDEX(Undirviðmið!$F$6:$F$205,F$4)*INDEX(Undirviðmið!$E$6:$E$205,F$4)*KVARDI,2),""))</f>
        <v/>
      </c>
      <c r="H46" s="66" t="n"/>
      <c r="I46" s="78">
        <f>IF(OR(H$4=0,H46=""),"",IFERROR(ROUND(H46/INDEX(Undirviðmið!$F$6:$F$205,H$4)*INDEX(Undirviðmið!$E$6:$E$205,H$4)*KVARDI,2),""))</f>
        <v/>
      </c>
      <c r="J46" s="66" t="n"/>
      <c r="K46" s="78">
        <f>IF(OR(J$4=0,J46=""),"",IFERROR(ROUND(J46/INDEX(Undirviðmið!$F$6:$F$205,J$4)*INDEX(Undirviðmið!$E$6:$E$205,J$4)*KVARDI,2),""))</f>
        <v/>
      </c>
      <c r="L46" s="66" t="n"/>
      <c r="M46" s="78">
        <f>IF(OR(L$4=0,L46=""),"",IFERROR(ROUND(L46/INDEX(Undirviðmið!$F$6:$F$205,L$4)*INDEX(Undirviðmið!$E$6:$E$205,L$4)*KVARDI,2),""))</f>
        <v/>
      </c>
      <c r="N46" s="66" t="n"/>
      <c r="O46" s="78">
        <f>IF(OR(N$4=0,N46=""),"",IFERROR(ROUND(N46/INDEX(Undirviðmið!$F$6:$F$205,N$4)*INDEX(Undirviðmið!$E$6:$E$205,N$4)*KVARDI,2),""))</f>
        <v/>
      </c>
      <c r="P46" s="66" t="n"/>
      <c r="Q46" s="78">
        <f>IF(OR(P$4=0,P46=""),"",IFERROR(ROUND(P46/INDEX(Undirviðmið!$F$6:$F$205,P$4)*INDEX(Undirviðmið!$E$6:$E$205,P$4)*KVARDI,2),""))</f>
        <v/>
      </c>
      <c r="R46" s="66" t="n"/>
      <c r="S46" s="78">
        <f>IF(OR(R$4=0,R46=""),"",IFERROR(ROUND(R46/INDEX(Undirviðmið!$F$6:$F$205,R$4)*INDEX(Undirviðmið!$E$6:$E$205,R$4)*KVARDI,2),""))</f>
        <v/>
      </c>
      <c r="T46" s="66" t="n"/>
      <c r="U46" s="78">
        <f>IF(OR(T$4=0,T46=""),"",IFERROR(ROUND(T46/INDEX(Undirviðmið!$F$6:$F$205,T$4)*INDEX(Undirviðmið!$E$6:$E$205,T$4)*KVARDI,2),""))</f>
        <v/>
      </c>
      <c r="V46" s="66" t="n"/>
      <c r="W46" s="78">
        <f>IF(OR(V$4=0,V46=""),"",IFERROR(ROUND(V46/INDEX(Undirviðmið!$F$6:$F$205,V$4)*INDEX(Undirviðmið!$E$6:$E$205,V$4)*KVARDI,2),""))</f>
        <v/>
      </c>
      <c r="X46" s="66" t="n"/>
      <c r="Y46" s="78">
        <f>IF(OR(X$4=0,X46=""),"",IFERROR(ROUND(X46/INDEX(Undirviðmið!$F$6:$F$205,X$4)*INDEX(Undirviðmið!$E$6:$E$205,X$4)*KVARDI,2),""))</f>
        <v/>
      </c>
      <c r="Z46" s="66" t="n"/>
      <c r="AA46" s="78">
        <f>IF(OR(Z$4=0,Z46=""),"",IFERROR(ROUND(Z46/INDEX(Undirviðmið!$F$6:$F$205,Z$4)*INDEX(Undirviðmið!$E$6:$E$205,Z$4)*KVARDI,2),""))</f>
        <v/>
      </c>
      <c r="AB46" s="66" t="n"/>
      <c r="AC46" s="78">
        <f>IF(OR(AB$4=0,AB46=""),"",IFERROR(ROUND(AB46/INDEX(Undirviðmið!$F$6:$F$205,AB$4)*INDEX(Undirviðmið!$E$6:$E$205,AB$4)*KVARDI,2),""))</f>
        <v/>
      </c>
      <c r="AD46" s="66" t="n"/>
      <c r="AE46" s="78">
        <f>IF(OR(AD$4=0,AD46=""),"",IFERROR(ROUND(AD46/INDEX(Undirviðmið!$F$6:$F$205,AD$4)*INDEX(Undirviðmið!$E$6:$E$205,AD$4)*KVARDI,2),""))</f>
        <v/>
      </c>
      <c r="AF46" s="66" t="n"/>
      <c r="AG46" s="78">
        <f>IF(OR(AF$4=0,AF46=""),"",IFERROR(ROUND(AF46/INDEX(Undirviðmið!$F$6:$F$205,AF$4)*INDEX(Undirviðmið!$E$6:$E$205,AF$4)*KVARDI,2),""))</f>
        <v/>
      </c>
      <c r="AH46" s="66" t="n"/>
      <c r="AI46" s="78">
        <f>IF(OR(AH$4=0,AH46=""),"",IFERROR(ROUND(AH46/INDEX(Undirviðmið!$F$6:$F$205,AH$4)*INDEX(Undirviðmið!$E$6:$E$205,AH$4)*KVARDI,2),""))</f>
        <v/>
      </c>
      <c r="AJ46" s="66" t="n"/>
      <c r="AK46" s="78">
        <f>IF(OR(AJ$4=0,AJ46=""),"",IFERROR(ROUND(AJ46/INDEX(Undirviðmið!$F$6:$F$205,AJ$4)*INDEX(Undirviðmið!$E$6:$E$205,AJ$4)*KVARDI,2),""))</f>
        <v/>
      </c>
      <c r="AL46" s="66" t="n"/>
      <c r="AM46" s="78">
        <f>IF(OR(AL$4=0,AL46=""),"",IFERROR(ROUND(AL46/INDEX(Undirviðmið!$F$6:$F$205,AL$4)*INDEX(Undirviðmið!$E$6:$E$205,AL$4)*KVARDI,2),""))</f>
        <v/>
      </c>
      <c r="AN46" s="66" t="n"/>
      <c r="AO46" s="78">
        <f>IF(OR(AN$4=0,AN46=""),"",IFERROR(ROUND(AN46/INDEX(Undirviðmið!$F$6:$F$205,AN$4)*INDEX(Undirviðmið!$E$6:$E$205,AN$4)*KVARDI,2),""))</f>
        <v/>
      </c>
      <c r="AP46" s="66" t="n"/>
      <c r="AQ46" s="78">
        <f>IF(OR(AP$4=0,AP46=""),"",IFERROR(ROUND(AP46/INDEX(Undirviðmið!$F$6:$F$205,AP$4)*INDEX(Undirviðmið!$E$6:$E$205,AP$4)*KVARDI,2),""))</f>
        <v/>
      </c>
      <c r="AR46" s="66" t="n"/>
      <c r="AS46" s="78">
        <f>IF(OR(AR$4=0,AR46=""),"",IFERROR(ROUND(AR46/INDEX(Undirviðmið!$F$6:$F$205,AR$4)*INDEX(Undirviðmið!$E$6:$E$205,AR$4)*KVARDI,2),""))</f>
        <v/>
      </c>
      <c r="AT46" s="66" t="n"/>
      <c r="AU46" s="78">
        <f>IF(OR(AT$4=0,AT46=""),"",IFERROR(ROUND(AT46/INDEX(Undirviðmið!$F$6:$F$205,AT$4)*INDEX(Undirviðmið!$E$6:$E$205,AT$4)*KVARDI,2),""))</f>
        <v/>
      </c>
      <c r="AV46" s="66" t="n"/>
      <c r="AW46" s="78">
        <f>IF(OR(AV$4=0,AV46=""),"",IFERROR(ROUND(AV46/INDEX(Undirviðmið!$F$6:$F$205,AV$4)*INDEX(Undirviðmið!$E$6:$E$205,AV$4)*KVARDI,2),""))</f>
        <v/>
      </c>
      <c r="AX46" s="66" t="n"/>
      <c r="AY46" s="78">
        <f>IF(OR(AX$4=0,AX46=""),"",IFERROR(ROUND(AX46/INDEX(Undirviðmið!$F$6:$F$205,AX$4)*INDEX(Undirviðmið!$E$6:$E$205,AX$4)*KVARDI,2),""))</f>
        <v/>
      </c>
      <c r="AZ46" s="66" t="n"/>
      <c r="BA46" s="78">
        <f>IF(OR(AZ$4=0,AZ46=""),"",IFERROR(ROUND(AZ46/INDEX(Undirviðmið!$F$6:$F$205,AZ$4)*INDEX(Undirviðmið!$E$6:$E$205,AZ$4)*KVARDI,2),""))</f>
        <v/>
      </c>
      <c r="BB46" s="66" t="n"/>
      <c r="BC46" s="78">
        <f>IF(OR(BB$4=0,BB46=""),"",IFERROR(ROUND(BB46/INDEX(Undirviðmið!$F$6:$F$205,BB$4)*INDEX(Undirviðmið!$E$6:$E$205,BB$4)*KVARDI,2),""))</f>
        <v/>
      </c>
      <c r="BD46" s="66" t="n"/>
      <c r="BE46" s="78">
        <f>IF(OR(BD$4=0,BD46=""),"",IFERROR(ROUND(BD46/INDEX(Undirviðmið!$F$6:$F$205,BD$4)*INDEX(Undirviðmið!$E$6:$E$205,BD$4)*KVARDI,2),""))</f>
        <v/>
      </c>
      <c r="BF46" s="66" t="n"/>
      <c r="BG46" s="78">
        <f>IF(OR(BF$4=0,BF46=""),"",IFERROR(ROUND(BF46/INDEX(Undirviðmið!$F$6:$F$205,BF$4)*INDEX(Undirviðmið!$E$6:$E$205,BF$4)*KVARDI,2),""))</f>
        <v/>
      </c>
      <c r="BH46" s="66" t="n"/>
      <c r="BI46" s="78">
        <f>IF(OR(BH$4=0,BH46=""),"",IFERROR(ROUND(BH46/INDEX(Undirviðmið!$F$6:$F$205,BH$4)*INDEX(Undirviðmið!$E$6:$E$205,BH$4)*KVARDI,2),""))</f>
        <v/>
      </c>
      <c r="BJ46" s="66" t="n"/>
      <c r="BK46" s="78">
        <f>IF(OR(BJ$4=0,BJ46=""),"",IFERROR(ROUND(BJ46/INDEX(Undirviðmið!$F$6:$F$205,BJ$4)*INDEX(Undirviðmið!$E$6:$E$205,BJ$4)*KVARDI,2),""))</f>
        <v/>
      </c>
      <c r="BL46" s="66" t="n"/>
      <c r="BM46" s="78">
        <f>IF(OR(BL$4=0,BL46=""),"",IFERROR(ROUND(BL46/INDEX(Undirviðmið!$F$6:$F$205,BL$4)*INDEX(Undirviðmið!$E$6:$E$205,BL$4)*KVARDI,2),""))</f>
        <v/>
      </c>
      <c r="BN46" s="66" t="n"/>
      <c r="BO46" s="78">
        <f>IF(OR(BN$4=0,BN46=""),"",IFERROR(ROUND(BN46/INDEX(Undirviðmið!$F$6:$F$205,BN$4)*INDEX(Undirviðmið!$E$6:$E$205,BN$4)*KVARDI,2),""))</f>
        <v/>
      </c>
      <c r="BP46" s="66" t="n"/>
      <c r="BQ46" s="78">
        <f>IF(OR(BP$4=0,BP46=""),"",IFERROR(ROUND(BP46/INDEX(Undirviðmið!$F$6:$F$205,BP$4)*INDEX(Undirviðmið!$E$6:$E$205,BP$4)*KVARDI,2),""))</f>
        <v/>
      </c>
      <c r="BR46" s="66" t="n"/>
      <c r="BS46" s="78">
        <f>IF(OR(BR$4=0,BR46=""),"",IFERROR(ROUND(BR46/INDEX(Undirviðmið!$F$6:$F$205,BR$4)*INDEX(Undirviðmið!$E$6:$E$205,BR$4)*KVARDI,2),""))</f>
        <v/>
      </c>
      <c r="BT46" s="66" t="n"/>
      <c r="BU46" s="78">
        <f>IF(OR(BT$4=0,BT46=""),"",IFERROR(ROUND(BT46/INDEX(Undirviðmið!$F$6:$F$205,BT$4)*INDEX(Undirviðmið!$E$6:$E$205,BT$4)*KVARDI,2),""))</f>
        <v/>
      </c>
      <c r="BV46" s="66" t="n"/>
      <c r="BW46" s="78">
        <f>IF(OR(BV$4=0,BV46=""),"",IFERROR(ROUND(BV46/INDEX(Undirviðmið!$F$6:$F$205,BV$4)*INDEX(Undirviðmið!$E$6:$E$205,BV$4)*KVARDI,2),""))</f>
        <v/>
      </c>
      <c r="BX46" s="66" t="n"/>
      <c r="BY46" s="78">
        <f>IF(OR(BX$4=0,BX46=""),"",IFERROR(ROUND(BX46/INDEX(Undirviðmið!$F$6:$F$205,BX$4)*INDEX(Undirviðmið!$E$6:$E$205,BX$4)*KVARDI,2),""))</f>
        <v/>
      </c>
      <c r="BZ46" s="66" t="n"/>
      <c r="CA46" s="78">
        <f>IF(OR(BZ$4=0,BZ46=""),"",IFERROR(ROUND(BZ46/INDEX(Undirviðmið!$F$6:$F$205,BZ$4)*INDEX(Undirviðmið!$E$6:$E$205,BZ$4)*KVARDI,2),""))</f>
        <v/>
      </c>
      <c r="CB46" s="66" t="n"/>
      <c r="CC46" s="78">
        <f>IF(OR(CB$4=0,CB46=""),"",IFERROR(ROUND(CB46/INDEX(Undirviðmið!$F$6:$F$205,CB$4)*INDEX(Undirviðmið!$E$6:$E$205,CB$4)*KVARDI,2),""))</f>
        <v/>
      </c>
      <c r="CD46" s="66" t="n"/>
      <c r="CE46" s="78">
        <f>IF(OR(CD$4=0,CD46=""),"",IFERROR(ROUND(CD46/INDEX(Undirviðmið!$F$6:$F$205,CD$4)*INDEX(Undirviðmið!$E$6:$E$205,CD$4)*KVARDI,2),""))</f>
        <v/>
      </c>
      <c r="CF46" s="66" t="n"/>
      <c r="CG46" s="78">
        <f>IF(OR(CF$4=0,CF46=""),"",IFERROR(ROUND(CF46/INDEX(Undirviðmið!$F$6:$F$205,CF$4)*INDEX(Undirviðmið!$E$6:$E$205,CF$4)*KVARDI,2),""))</f>
        <v/>
      </c>
      <c r="CH46" s="66" t="n"/>
      <c r="CI46" s="78">
        <f>IF(OR(CH$4=0,CH46=""),"",IFERROR(ROUND(CH46/INDEX(Undirviðmið!$F$6:$F$205,CH$4)*INDEX(Undirviðmið!$E$6:$E$205,CH$4)*KVARDI,2),""))</f>
        <v/>
      </c>
      <c r="CJ46" s="66" t="n"/>
      <c r="CK46" s="78">
        <f>IF(OR(CJ$4=0,CJ46=""),"",IFERROR(ROUND(CJ46/INDEX(Undirviðmið!$F$6:$F$205,CJ$4)*INDEX(Undirviðmið!$E$6:$E$205,CJ$4)*KVARDI,2),""))</f>
        <v/>
      </c>
      <c r="CL46" s="66" t="n"/>
      <c r="CM46" s="78">
        <f>IF(OR(CL$4=0,CL46=""),"",IFERROR(ROUND(CL46/INDEX(Undirviðmið!$F$6:$F$205,CL$4)*INDEX(Undirviðmið!$E$6:$E$205,CL$4)*KVARDI,2),""))</f>
        <v/>
      </c>
      <c r="CN46" s="66" t="n"/>
      <c r="CO46" s="78">
        <f>IF(OR(CN$4=0,CN46=""),"",IFERROR(ROUND(CN46/INDEX(Undirviðmið!$F$6:$F$205,CN$4)*INDEX(Undirviðmið!$E$6:$E$205,CN$4)*KVARDI,2),""))</f>
        <v/>
      </c>
      <c r="CP46" s="66" t="n"/>
      <c r="CQ46" s="78">
        <f>IF(OR(CP$4=0,CP46=""),"",IFERROR(ROUND(CP46/INDEX(Undirviðmið!$F$6:$F$205,CP$4)*INDEX(Undirviðmið!$E$6:$E$205,CP$4)*KVARDI,2),""))</f>
        <v/>
      </c>
      <c r="CR46" s="66" t="n"/>
      <c r="CS46" s="78">
        <f>IF(OR(CR$4=0,CR46=""),"",IFERROR(ROUND(CR46/INDEX(Undirviðmið!$F$6:$F$205,CR$4)*INDEX(Undirviðmið!$E$6:$E$205,CR$4)*KVARDI,2),""))</f>
        <v/>
      </c>
      <c r="CT46" s="66" t="n"/>
      <c r="CU46" s="78">
        <f>IF(OR(CT$4=0,CT46=""),"",IFERROR(ROUND(CT46/INDEX(Undirviðmið!$F$6:$F$205,CT$4)*INDEX(Undirviðmið!$E$6:$E$205,CT$4)*KVARDI,2),""))</f>
        <v/>
      </c>
      <c r="CV46" s="66" t="n"/>
      <c r="CW46" s="78">
        <f>IF(OR(CV$4=0,CV46=""),"",IFERROR(ROUND(CV46/INDEX(Undirviðmið!$F$6:$F$205,CV$4)*INDEX(Undirviðmið!$E$6:$E$205,CV$4)*KVARDI,2),""))</f>
        <v/>
      </c>
      <c r="CX46" s="66" t="n"/>
      <c r="CY46" s="78">
        <f>IF(OR(CX$4=0,CX46=""),"",IFERROR(ROUND(CX46/INDEX(Undirviðmið!$F$6:$F$205,CX$4)*INDEX(Undirviðmið!$E$6:$E$205,CX$4)*KVARDI,2),""))</f>
        <v/>
      </c>
      <c r="CZ46" s="66" t="n"/>
      <c r="DA46" s="78">
        <f>IF(OR(CZ$4=0,CZ46=""),"",IFERROR(ROUND(CZ46/INDEX(Undirviðmið!$F$6:$F$205,CZ$4)*INDEX(Undirviðmið!$E$6:$E$205,CZ$4)*KVARDI,2),""))</f>
        <v/>
      </c>
      <c r="DB46" s="66" t="n"/>
      <c r="DC46" s="78">
        <f>IF(OR(DB$4=0,DB46=""),"",IFERROR(ROUND(DB46/INDEX(Undirviðmið!$F$6:$F$205,DB$4)*INDEX(Undirviðmið!$E$6:$E$205,DB$4)*KVARDI,2),""))</f>
        <v/>
      </c>
      <c r="DD46" s="66" t="n"/>
      <c r="DE46" s="78">
        <f>IF(OR(DD$4=0,DD46=""),"",IFERROR(ROUND(DD46/INDEX(Undirviðmið!$F$6:$F$205,DD$4)*INDEX(Undirviðmið!$E$6:$E$205,DD$4)*KVARDI,2),""))</f>
        <v/>
      </c>
      <c r="DF46" s="66" t="n"/>
      <c r="DG46" s="78">
        <f>IF(OR(DF$4=0,DF46=""),"",IFERROR(ROUND(DF46/INDEX(Undirviðmið!$F$6:$F$205,DF$4)*INDEX(Undirviðmið!$E$6:$E$205,DF$4)*KVARDI,2),""))</f>
        <v/>
      </c>
      <c r="DH46" s="66" t="n"/>
      <c r="DI46" s="78">
        <f>IF(OR(DH$4=0,DH46=""),"",IFERROR(ROUND(DH46/INDEX(Undirviðmið!$F$6:$F$205,DH$4)*INDEX(Undirviðmið!$E$6:$E$205,DH$4)*KVARDI,2),""))</f>
        <v/>
      </c>
      <c r="DJ46" s="66" t="n"/>
      <c r="DK46" s="78">
        <f>IF(OR(DJ$4=0,DJ46=""),"",IFERROR(ROUND(DJ46/INDEX(Undirviðmið!$F$6:$F$205,DJ$4)*INDEX(Undirviðmið!$E$6:$E$205,DJ$4)*KVARDI,2),""))</f>
        <v/>
      </c>
      <c r="DL46" s="66" t="n"/>
      <c r="DM46" s="78">
        <f>IF(OR(DL$4=0,DL46=""),"",IFERROR(ROUND(DL46/INDEX(Undirviðmið!$F$6:$F$205,DL$4)*INDEX(Undirviðmið!$E$6:$E$205,DL$4)*KVARDI,2),""))</f>
        <v/>
      </c>
      <c r="DN46" s="66" t="n"/>
      <c r="DO46" s="78">
        <f>IF(OR(DN$4=0,DN46=""),"",IFERROR(ROUND(DN46/INDEX(Undirviðmið!$F$6:$F$205,DN$4)*INDEX(Undirviðmið!$E$6:$E$205,DN$4)*KVARDI,2),""))</f>
        <v/>
      </c>
      <c r="DP46" s="66" t="n"/>
      <c r="DQ46" s="78">
        <f>IF(OR(DP$4=0,DP46=""),"",IFERROR(ROUND(DP46/INDEX(Undirviðmið!$F$6:$F$205,DP$4)*INDEX(Undirviðmið!$E$6:$E$205,DP$4)*KVARDI,2),""))</f>
        <v/>
      </c>
      <c r="DR46" s="66" t="n"/>
      <c r="DS46" s="78">
        <f>IF(OR(DR$4=0,DR46=""),"",IFERROR(ROUND(DR46/INDEX(Undirviðmið!$F$6:$F$205,DR$4)*INDEX(Undirviðmið!$E$6:$E$205,DR$4)*KVARDI,2),""))</f>
        <v/>
      </c>
      <c r="DT46" s="66" t="n"/>
      <c r="DU46" s="78">
        <f>IF(OR(DT$4=0,DT46=""),"",IFERROR(ROUND(DT46/INDEX(Undirviðmið!$F$6:$F$205,DT$4)*INDEX(Undirviðmið!$E$6:$E$205,DT$4)*KVARDI,2),""))</f>
        <v/>
      </c>
      <c r="DV46" s="66" t="n"/>
      <c r="DW46" s="78">
        <f>IF(OR(DV$4=0,DV46=""),"",IFERROR(ROUND(DV46/INDEX(Undirviðmið!$F$6:$F$205,DV$4)*INDEX(Undirviðmið!$E$6:$E$205,DV$4)*KVARDI,2),""))</f>
        <v/>
      </c>
      <c r="DX46" s="66" t="n"/>
      <c r="DY46" s="78">
        <f>IF(OR(DX$4=0,DX46=""),"",IFERROR(ROUND(DX46/INDEX(Undirviðmið!$F$6:$F$205,DX$4)*INDEX(Undirviðmið!$E$6:$E$205,DX$4)*KVARDI,2),""))</f>
        <v/>
      </c>
      <c r="DZ46" s="66" t="n"/>
      <c r="EA46" s="78">
        <f>IF(OR(DZ$4=0,DZ46=""),"",IFERROR(ROUND(DZ46/INDEX(Undirviðmið!$F$6:$F$205,DZ$4)*INDEX(Undirviðmið!$E$6:$E$205,DZ$4)*KVARDI,2),""))</f>
        <v/>
      </c>
      <c r="EB46" s="66" t="n"/>
      <c r="EC46" s="78">
        <f>IF(OR(EB$4=0,EB46=""),"",IFERROR(ROUND(EB46/INDEX(Undirviðmið!$F$6:$F$205,EB$4)*INDEX(Undirviðmið!$E$6:$E$205,EB$4)*KVARDI,2),""))</f>
        <v/>
      </c>
      <c r="ED46" s="66" t="n"/>
      <c r="EE46" s="78">
        <f>IF(OR(ED$4=0,ED46=""),"",IFERROR(ROUND(ED46/INDEX(Undirviðmið!$F$6:$F$205,ED$4)*INDEX(Undirviðmið!$E$6:$E$205,ED$4)*KVARDI,2),""))</f>
        <v/>
      </c>
      <c r="EF46" s="66" t="n"/>
      <c r="EG46" s="78">
        <f>IF(OR(EF$4=0,EF46=""),"",IFERROR(ROUND(EF46/INDEX(Undirviðmið!$F$6:$F$205,EF$4)*INDEX(Undirviðmið!$E$6:$E$205,EF$4)*KVARDI,2),""))</f>
        <v/>
      </c>
      <c r="EH46" s="66" t="n"/>
      <c r="EI46" s="78">
        <f>IF(OR(EH$4=0,EH46=""),"",IFERROR(ROUND(EH46/INDEX(Undirviðmið!$F$6:$F$205,EH$4)*INDEX(Undirviðmið!$E$6:$E$205,EH$4)*KVARDI,2),""))</f>
        <v/>
      </c>
      <c r="EJ46" s="66" t="n"/>
      <c r="EK46" s="78">
        <f>IF(OR(EJ$4=0,EJ46=""),"",IFERROR(ROUND(EJ46/INDEX(Undirviðmið!$F$6:$F$205,EJ$4)*INDEX(Undirviðmið!$E$6:$E$205,EJ$4)*KVARDI,2),""))</f>
        <v/>
      </c>
      <c r="EL46" s="66" t="n"/>
      <c r="EM46" s="78">
        <f>IF(OR(EL$4=0,EL46=""),"",IFERROR(ROUND(EL46/INDEX(Undirviðmið!$F$6:$F$205,EL$4)*INDEX(Undirviðmið!$E$6:$E$205,EL$4)*KVARDI,2),""))</f>
        <v/>
      </c>
      <c r="EN46" s="66" t="n"/>
      <c r="EO46" s="78">
        <f>IF(OR(EN$4=0,EN46=""),"",IFERROR(ROUND(EN46/INDEX(Undirviðmið!$F$6:$F$205,EN$4)*INDEX(Undirviðmið!$E$6:$E$205,EN$4)*KVARDI,2),""))</f>
        <v/>
      </c>
      <c r="EP46" s="66" t="n"/>
      <c r="EQ46" s="78">
        <f>IF(OR(EP$4=0,EP46=""),"",IFERROR(ROUND(EP46/INDEX(Undirviðmið!$F$6:$F$205,EP$4)*INDEX(Undirviðmið!$E$6:$E$205,EP$4)*KVARDI,2),""))</f>
        <v/>
      </c>
      <c r="ER46" s="66" t="n"/>
      <c r="ES46" s="78">
        <f>IF(OR(ER$4=0,ER46=""),"",IFERROR(ROUND(ER46/INDEX(Undirviðmið!$F$6:$F$205,ER$4)*INDEX(Undirviðmið!$E$6:$E$205,ER$4)*KVARDI,2),""))</f>
        <v/>
      </c>
      <c r="ET46" s="66" t="n"/>
      <c r="EU46" s="78">
        <f>IF(OR(ET$4=0,ET46=""),"",IFERROR(ROUND(ET46/INDEX(Undirviðmið!$F$6:$F$205,ET$4)*INDEX(Undirviðmið!$E$6:$E$205,ET$4)*KVARDI,2),""))</f>
        <v/>
      </c>
      <c r="EV46" s="66" t="n"/>
      <c r="EW46" s="78">
        <f>IF(OR(EV$4=0,EV46=""),"",IFERROR(ROUND(EV46/INDEX(Undirviðmið!$F$6:$F$205,EV$4)*INDEX(Undirviðmið!$E$6:$E$205,EV$4)*KVARDI,2),""))</f>
        <v/>
      </c>
      <c r="EX46" s="66" t="n"/>
      <c r="EY46" s="78">
        <f>IF(OR(EX$4=0,EX46=""),"",IFERROR(ROUND(EX46/INDEX(Undirviðmið!$F$6:$F$205,EX$4)*INDEX(Undirviðmið!$E$6:$E$205,EX$4)*KVARDI,2),""))</f>
        <v/>
      </c>
      <c r="EZ46" s="66" t="n"/>
      <c r="FA46" s="78">
        <f>IF(OR(EZ$4=0,EZ46=""),"",IFERROR(ROUND(EZ46/INDEX(Undirviðmið!$F$6:$F$205,EZ$4)*INDEX(Undirviðmið!$E$6:$E$205,EZ$4)*KVARDI,2),""))</f>
        <v/>
      </c>
      <c r="FB46" s="66" t="n"/>
      <c r="FC46" s="78">
        <f>IF(OR(FB$4=0,FB46=""),"",IFERROR(ROUND(FB46/INDEX(Undirviðmið!$F$6:$F$205,FB$4)*INDEX(Undirviðmið!$E$6:$E$205,FB$4)*KVARDI,2),""))</f>
        <v/>
      </c>
      <c r="FD46" s="66" t="n"/>
      <c r="FE46" s="78">
        <f>IF(OR(FD$4=0,FD46=""),"",IFERROR(ROUND(FD46/INDEX(Undirviðmið!$F$6:$F$205,FD$4)*INDEX(Undirviðmið!$E$6:$E$205,FD$4)*KVARDI,2),""))</f>
        <v/>
      </c>
      <c r="FF46" s="66" t="n"/>
      <c r="FG46" s="78">
        <f>IF(OR(FF$4=0,FF46=""),"",IFERROR(ROUND(FF46/INDEX(Undirviðmið!$F$6:$F$205,FF$4)*INDEX(Undirviðmið!$E$6:$E$205,FF$4)*KVARDI,2),""))</f>
        <v/>
      </c>
      <c r="FH46" s="66" t="n"/>
      <c r="FI46" s="78">
        <f>IF(OR(FH$4=0,FH46=""),"",IFERROR(ROUND(FH46/INDEX(Undirviðmið!$F$6:$F$205,FH$4)*INDEX(Undirviðmið!$E$6:$E$205,FH$4)*KVARDI,2),""))</f>
        <v/>
      </c>
      <c r="FJ46" s="66" t="n"/>
      <c r="FK46" s="78">
        <f>IF(OR(FJ$4=0,FJ46=""),"",IFERROR(ROUND(FJ46/INDEX(Undirviðmið!$F$6:$F$205,FJ$4)*INDEX(Undirviðmið!$E$6:$E$205,FJ$4)*KVARDI,2),""))</f>
        <v/>
      </c>
      <c r="FL46" s="66" t="n"/>
      <c r="FM46" s="78">
        <f>IF(OR(FL$4=0,FL46=""),"",IFERROR(ROUND(FL46/INDEX(Undirviðmið!$F$6:$F$205,FL$4)*INDEX(Undirviðmið!$E$6:$E$205,FL$4)*KVARDI,2),""))</f>
        <v/>
      </c>
      <c r="FN46" s="66" t="n"/>
      <c r="FO46" s="78">
        <f>IF(OR(FN$4=0,FN46=""),"",IFERROR(ROUND(FN46/INDEX(Undirviðmið!$F$6:$F$205,FN$4)*INDEX(Undirviðmið!$E$6:$E$205,FN$4)*KVARDI,2),""))</f>
        <v/>
      </c>
      <c r="FP46" s="66" t="n"/>
      <c r="FQ46" s="78">
        <f>IF(OR(FP$4=0,FP46=""),"",IFERROR(ROUND(FP46/INDEX(Undirviðmið!$F$6:$F$205,FP$4)*INDEX(Undirviðmið!$E$6:$E$205,FP$4)*KVARDI,2),""))</f>
        <v/>
      </c>
      <c r="FR46" s="66" t="n"/>
      <c r="FS46" s="78">
        <f>IF(OR(FR$4=0,FR46=""),"",IFERROR(ROUND(FR46/INDEX(Undirviðmið!$F$6:$F$205,FR$4)*INDEX(Undirviðmið!$E$6:$E$205,FR$4)*KVARDI,2),""))</f>
        <v/>
      </c>
      <c r="FT46" s="66" t="n"/>
      <c r="FU46" s="78">
        <f>IF(OR(FT$4=0,FT46=""),"",IFERROR(ROUND(FT46/INDEX(Undirviðmið!$F$6:$F$205,FT$4)*INDEX(Undirviðmið!$E$6:$E$205,FT$4)*KVARDI,2),""))</f>
        <v/>
      </c>
      <c r="FV46" s="66" t="n"/>
      <c r="FW46" s="78">
        <f>IF(OR(FV$4=0,FV46=""),"",IFERROR(ROUND(FV46/INDEX(Undirviðmið!$F$6:$F$205,FV$4)*INDEX(Undirviðmið!$E$6:$E$205,FV$4)*KVARDI,2),""))</f>
        <v/>
      </c>
      <c r="FX46" s="66" t="n"/>
      <c r="FY46" s="78">
        <f>IF(OR(FX$4=0,FX46=""),"",IFERROR(ROUND(FX46/INDEX(Undirviðmið!$F$6:$F$205,FX$4)*INDEX(Undirviðmið!$E$6:$E$205,FX$4)*KVARDI,2),""))</f>
        <v/>
      </c>
      <c r="FZ46" s="66" t="n"/>
      <c r="GA46" s="78">
        <f>IF(OR(FZ$4=0,FZ46=""),"",IFERROR(ROUND(FZ46/INDEX(Undirviðmið!$F$6:$F$205,FZ$4)*INDEX(Undirviðmið!$E$6:$E$205,FZ$4)*KVARDI,2),""))</f>
        <v/>
      </c>
      <c r="GB46" s="66" t="n"/>
      <c r="GC46" s="78">
        <f>IF(OR(GB$4=0,GB46=""),"",IFERROR(ROUND(GB46/INDEX(Undirviðmið!$F$6:$F$205,GB$4)*INDEX(Undirviðmið!$E$6:$E$205,GB$4)*KVARDI,2),""))</f>
        <v/>
      </c>
      <c r="GD46" s="66" t="n"/>
      <c r="GE46" s="78">
        <f>IF(OR(GD$4=0,GD46=""),"",IFERROR(ROUND(GD46/INDEX(Undirviðmið!$F$6:$F$205,GD$4)*INDEX(Undirviðmið!$E$6:$E$205,GD$4)*KVARDI,2),""))</f>
        <v/>
      </c>
      <c r="GF46" s="66" t="n"/>
      <c r="GG46" s="78">
        <f>IF(OR(GF$4=0,GF46=""),"",IFERROR(ROUND(GF46/INDEX(Undirviðmið!$F$6:$F$205,GF$4)*INDEX(Undirviðmið!$E$6:$E$205,GF$4)*KVARDI,2),""))</f>
        <v/>
      </c>
      <c r="GH46" s="66" t="n"/>
      <c r="GI46" s="78">
        <f>IF(OR(GH$4=0,GH46=""),"",IFERROR(ROUND(GH46/INDEX(Undirviðmið!$F$6:$F$205,GH$4)*INDEX(Undirviðmið!$E$6:$E$205,GH$4)*KVARDI,2),""))</f>
        <v/>
      </c>
      <c r="GJ46" s="66" t="n"/>
      <c r="GK46" s="78">
        <f>IF(OR(GJ$4=0,GJ46=""),"",IFERROR(ROUND(GJ46/INDEX(Undirviðmið!$F$6:$F$205,GJ$4)*INDEX(Undirviðmið!$E$6:$E$205,GJ$4)*KVARDI,2),""))</f>
        <v/>
      </c>
      <c r="GL46" s="66" t="n"/>
      <c r="GM46" s="78">
        <f>IF(OR(GL$4=0,GL46=""),"",IFERROR(ROUND(GL46/INDEX(Undirviðmið!$F$6:$F$205,GL$4)*INDEX(Undirviðmið!$E$6:$E$205,GL$4)*KVARDI,2),""))</f>
        <v/>
      </c>
      <c r="GN46" s="66" t="n"/>
      <c r="GO46" s="78">
        <f>IF(OR(GN$4=0,GN46=""),"",IFERROR(ROUND(GN46/INDEX(Undirviðmið!$F$6:$F$205,GN$4)*INDEX(Undirviðmið!$E$6:$E$205,GN$4)*KVARDI,2),""))</f>
        <v/>
      </c>
      <c r="GP46" s="66" t="n"/>
      <c r="GQ46" s="78">
        <f>IF(OR(GP$4=0,GP46=""),"",IFERROR(ROUND(GP46/INDEX(Undirviðmið!$F$6:$F$205,GP$4)*INDEX(Undirviðmið!$E$6:$E$205,GP$4)*KVARDI,2),""))</f>
        <v/>
      </c>
      <c r="GR46" s="66" t="n"/>
      <c r="GS46" s="78">
        <f>IF(OR(GR$4=0,GR46=""),"",IFERROR(ROUND(GR46/INDEX(Undirviðmið!$F$6:$F$205,GR$4)*INDEX(Undirviðmið!$E$6:$E$205,GR$4)*KVARDI,2),""))</f>
        <v/>
      </c>
      <c r="GT46" s="66" t="n"/>
      <c r="GU46" s="78">
        <f>IF(OR(GT$4=0,GT46=""),"",IFERROR(ROUND(GT46/INDEX(Undirviðmið!$F$6:$F$205,GT$4)*INDEX(Undirviðmið!$E$6:$E$205,GT$4)*KVARDI,2),""))</f>
        <v/>
      </c>
      <c r="GV46" s="63">
        <f>IFERROR(SUMIF($D$6:GU$6,"Stig",$D46:GU46),0)</f>
        <v/>
      </c>
    </row>
    <row r="47" ht="15" customHeight="1" s="47">
      <c r="A47" s="65">
        <f>ROW()-6</f>
        <v/>
      </c>
      <c r="B47" s="67">
        <f>IF(INDEX(Starfsmenn!$B$6:$B$10005,ROW()-6)="","",INDEX(Starfsmenn!$B$6:$B$10005,ROW()-6))</f>
        <v/>
      </c>
      <c r="C47" s="67">
        <f>IF(INDEX(Starfsmenn!$C$6:$C$10005,ROW()-6)="","",INDEX(Starfsmenn!$C$6:$C$10005,ROW()-6))</f>
        <v/>
      </c>
      <c r="D47" s="66" t="n"/>
      <c r="E47" s="78">
        <f>IF(OR(D$4=0,D47=""),"",IFERROR(ROUND(D47/INDEX(Undirviðmið!$F$6:$F$205,D$4)*INDEX(Undirviðmið!$E$6:$E$205,D$4)*KVARDI,2),""))</f>
        <v/>
      </c>
      <c r="F47" s="66" t="n"/>
      <c r="G47" s="78">
        <f>IF(OR(F$4=0,F47=""),"",IFERROR(ROUND(F47/INDEX(Undirviðmið!$F$6:$F$205,F$4)*INDEX(Undirviðmið!$E$6:$E$205,F$4)*KVARDI,2),""))</f>
        <v/>
      </c>
      <c r="H47" s="66" t="n"/>
      <c r="I47" s="78">
        <f>IF(OR(H$4=0,H47=""),"",IFERROR(ROUND(H47/INDEX(Undirviðmið!$F$6:$F$205,H$4)*INDEX(Undirviðmið!$E$6:$E$205,H$4)*KVARDI,2),""))</f>
        <v/>
      </c>
      <c r="J47" s="66" t="n"/>
      <c r="K47" s="78">
        <f>IF(OR(J$4=0,J47=""),"",IFERROR(ROUND(J47/INDEX(Undirviðmið!$F$6:$F$205,J$4)*INDEX(Undirviðmið!$E$6:$E$205,J$4)*KVARDI,2),""))</f>
        <v/>
      </c>
      <c r="L47" s="66" t="n"/>
      <c r="M47" s="78">
        <f>IF(OR(L$4=0,L47=""),"",IFERROR(ROUND(L47/INDEX(Undirviðmið!$F$6:$F$205,L$4)*INDEX(Undirviðmið!$E$6:$E$205,L$4)*KVARDI,2),""))</f>
        <v/>
      </c>
      <c r="N47" s="66" t="n"/>
      <c r="O47" s="78">
        <f>IF(OR(N$4=0,N47=""),"",IFERROR(ROUND(N47/INDEX(Undirviðmið!$F$6:$F$205,N$4)*INDEX(Undirviðmið!$E$6:$E$205,N$4)*KVARDI,2),""))</f>
        <v/>
      </c>
      <c r="P47" s="66" t="n"/>
      <c r="Q47" s="78">
        <f>IF(OR(P$4=0,P47=""),"",IFERROR(ROUND(P47/INDEX(Undirviðmið!$F$6:$F$205,P$4)*INDEX(Undirviðmið!$E$6:$E$205,P$4)*KVARDI,2),""))</f>
        <v/>
      </c>
      <c r="R47" s="66" t="n"/>
      <c r="S47" s="78">
        <f>IF(OR(R$4=0,R47=""),"",IFERROR(ROUND(R47/INDEX(Undirviðmið!$F$6:$F$205,R$4)*INDEX(Undirviðmið!$E$6:$E$205,R$4)*KVARDI,2),""))</f>
        <v/>
      </c>
      <c r="T47" s="66" t="n"/>
      <c r="U47" s="78">
        <f>IF(OR(T$4=0,T47=""),"",IFERROR(ROUND(T47/INDEX(Undirviðmið!$F$6:$F$205,T$4)*INDEX(Undirviðmið!$E$6:$E$205,T$4)*KVARDI,2),""))</f>
        <v/>
      </c>
      <c r="V47" s="66" t="n"/>
      <c r="W47" s="78">
        <f>IF(OR(V$4=0,V47=""),"",IFERROR(ROUND(V47/INDEX(Undirviðmið!$F$6:$F$205,V$4)*INDEX(Undirviðmið!$E$6:$E$205,V$4)*KVARDI,2),""))</f>
        <v/>
      </c>
      <c r="X47" s="66" t="n"/>
      <c r="Y47" s="78">
        <f>IF(OR(X$4=0,X47=""),"",IFERROR(ROUND(X47/INDEX(Undirviðmið!$F$6:$F$205,X$4)*INDEX(Undirviðmið!$E$6:$E$205,X$4)*KVARDI,2),""))</f>
        <v/>
      </c>
      <c r="Z47" s="66" t="n"/>
      <c r="AA47" s="78">
        <f>IF(OR(Z$4=0,Z47=""),"",IFERROR(ROUND(Z47/INDEX(Undirviðmið!$F$6:$F$205,Z$4)*INDEX(Undirviðmið!$E$6:$E$205,Z$4)*KVARDI,2),""))</f>
        <v/>
      </c>
      <c r="AB47" s="66" t="n"/>
      <c r="AC47" s="78">
        <f>IF(OR(AB$4=0,AB47=""),"",IFERROR(ROUND(AB47/INDEX(Undirviðmið!$F$6:$F$205,AB$4)*INDEX(Undirviðmið!$E$6:$E$205,AB$4)*KVARDI,2),""))</f>
        <v/>
      </c>
      <c r="AD47" s="66" t="n"/>
      <c r="AE47" s="78">
        <f>IF(OR(AD$4=0,AD47=""),"",IFERROR(ROUND(AD47/INDEX(Undirviðmið!$F$6:$F$205,AD$4)*INDEX(Undirviðmið!$E$6:$E$205,AD$4)*KVARDI,2),""))</f>
        <v/>
      </c>
      <c r="AF47" s="66" t="n"/>
      <c r="AG47" s="78">
        <f>IF(OR(AF$4=0,AF47=""),"",IFERROR(ROUND(AF47/INDEX(Undirviðmið!$F$6:$F$205,AF$4)*INDEX(Undirviðmið!$E$6:$E$205,AF$4)*KVARDI,2),""))</f>
        <v/>
      </c>
      <c r="AH47" s="66" t="n"/>
      <c r="AI47" s="78">
        <f>IF(OR(AH$4=0,AH47=""),"",IFERROR(ROUND(AH47/INDEX(Undirviðmið!$F$6:$F$205,AH$4)*INDEX(Undirviðmið!$E$6:$E$205,AH$4)*KVARDI,2),""))</f>
        <v/>
      </c>
      <c r="AJ47" s="66" t="n"/>
      <c r="AK47" s="78">
        <f>IF(OR(AJ$4=0,AJ47=""),"",IFERROR(ROUND(AJ47/INDEX(Undirviðmið!$F$6:$F$205,AJ$4)*INDEX(Undirviðmið!$E$6:$E$205,AJ$4)*KVARDI,2),""))</f>
        <v/>
      </c>
      <c r="AL47" s="66" t="n"/>
      <c r="AM47" s="78">
        <f>IF(OR(AL$4=0,AL47=""),"",IFERROR(ROUND(AL47/INDEX(Undirviðmið!$F$6:$F$205,AL$4)*INDEX(Undirviðmið!$E$6:$E$205,AL$4)*KVARDI,2),""))</f>
        <v/>
      </c>
      <c r="AN47" s="66" t="n"/>
      <c r="AO47" s="78">
        <f>IF(OR(AN$4=0,AN47=""),"",IFERROR(ROUND(AN47/INDEX(Undirviðmið!$F$6:$F$205,AN$4)*INDEX(Undirviðmið!$E$6:$E$205,AN$4)*KVARDI,2),""))</f>
        <v/>
      </c>
      <c r="AP47" s="66" t="n"/>
      <c r="AQ47" s="78">
        <f>IF(OR(AP$4=0,AP47=""),"",IFERROR(ROUND(AP47/INDEX(Undirviðmið!$F$6:$F$205,AP$4)*INDEX(Undirviðmið!$E$6:$E$205,AP$4)*KVARDI,2),""))</f>
        <v/>
      </c>
      <c r="AR47" s="66" t="n"/>
      <c r="AS47" s="78">
        <f>IF(OR(AR$4=0,AR47=""),"",IFERROR(ROUND(AR47/INDEX(Undirviðmið!$F$6:$F$205,AR$4)*INDEX(Undirviðmið!$E$6:$E$205,AR$4)*KVARDI,2),""))</f>
        <v/>
      </c>
      <c r="AT47" s="66" t="n"/>
      <c r="AU47" s="78">
        <f>IF(OR(AT$4=0,AT47=""),"",IFERROR(ROUND(AT47/INDEX(Undirviðmið!$F$6:$F$205,AT$4)*INDEX(Undirviðmið!$E$6:$E$205,AT$4)*KVARDI,2),""))</f>
        <v/>
      </c>
      <c r="AV47" s="66" t="n"/>
      <c r="AW47" s="78">
        <f>IF(OR(AV$4=0,AV47=""),"",IFERROR(ROUND(AV47/INDEX(Undirviðmið!$F$6:$F$205,AV$4)*INDEX(Undirviðmið!$E$6:$E$205,AV$4)*KVARDI,2),""))</f>
        <v/>
      </c>
      <c r="AX47" s="66" t="n"/>
      <c r="AY47" s="78">
        <f>IF(OR(AX$4=0,AX47=""),"",IFERROR(ROUND(AX47/INDEX(Undirviðmið!$F$6:$F$205,AX$4)*INDEX(Undirviðmið!$E$6:$E$205,AX$4)*KVARDI,2),""))</f>
        <v/>
      </c>
      <c r="AZ47" s="66" t="n"/>
      <c r="BA47" s="78">
        <f>IF(OR(AZ$4=0,AZ47=""),"",IFERROR(ROUND(AZ47/INDEX(Undirviðmið!$F$6:$F$205,AZ$4)*INDEX(Undirviðmið!$E$6:$E$205,AZ$4)*KVARDI,2),""))</f>
        <v/>
      </c>
      <c r="BB47" s="66" t="n"/>
      <c r="BC47" s="78">
        <f>IF(OR(BB$4=0,BB47=""),"",IFERROR(ROUND(BB47/INDEX(Undirviðmið!$F$6:$F$205,BB$4)*INDEX(Undirviðmið!$E$6:$E$205,BB$4)*KVARDI,2),""))</f>
        <v/>
      </c>
      <c r="BD47" s="66" t="n"/>
      <c r="BE47" s="78">
        <f>IF(OR(BD$4=0,BD47=""),"",IFERROR(ROUND(BD47/INDEX(Undirviðmið!$F$6:$F$205,BD$4)*INDEX(Undirviðmið!$E$6:$E$205,BD$4)*KVARDI,2),""))</f>
        <v/>
      </c>
      <c r="BF47" s="66" t="n"/>
      <c r="BG47" s="78">
        <f>IF(OR(BF$4=0,BF47=""),"",IFERROR(ROUND(BF47/INDEX(Undirviðmið!$F$6:$F$205,BF$4)*INDEX(Undirviðmið!$E$6:$E$205,BF$4)*KVARDI,2),""))</f>
        <v/>
      </c>
      <c r="BH47" s="66" t="n"/>
      <c r="BI47" s="78">
        <f>IF(OR(BH$4=0,BH47=""),"",IFERROR(ROUND(BH47/INDEX(Undirviðmið!$F$6:$F$205,BH$4)*INDEX(Undirviðmið!$E$6:$E$205,BH$4)*KVARDI,2),""))</f>
        <v/>
      </c>
      <c r="BJ47" s="66" t="n"/>
      <c r="BK47" s="78">
        <f>IF(OR(BJ$4=0,BJ47=""),"",IFERROR(ROUND(BJ47/INDEX(Undirviðmið!$F$6:$F$205,BJ$4)*INDEX(Undirviðmið!$E$6:$E$205,BJ$4)*KVARDI,2),""))</f>
        <v/>
      </c>
      <c r="BL47" s="66" t="n"/>
      <c r="BM47" s="78">
        <f>IF(OR(BL$4=0,BL47=""),"",IFERROR(ROUND(BL47/INDEX(Undirviðmið!$F$6:$F$205,BL$4)*INDEX(Undirviðmið!$E$6:$E$205,BL$4)*KVARDI,2),""))</f>
        <v/>
      </c>
      <c r="BN47" s="66" t="n"/>
      <c r="BO47" s="78">
        <f>IF(OR(BN$4=0,BN47=""),"",IFERROR(ROUND(BN47/INDEX(Undirviðmið!$F$6:$F$205,BN$4)*INDEX(Undirviðmið!$E$6:$E$205,BN$4)*KVARDI,2),""))</f>
        <v/>
      </c>
      <c r="BP47" s="66" t="n"/>
      <c r="BQ47" s="78">
        <f>IF(OR(BP$4=0,BP47=""),"",IFERROR(ROUND(BP47/INDEX(Undirviðmið!$F$6:$F$205,BP$4)*INDEX(Undirviðmið!$E$6:$E$205,BP$4)*KVARDI,2),""))</f>
        <v/>
      </c>
      <c r="BR47" s="66" t="n"/>
      <c r="BS47" s="78">
        <f>IF(OR(BR$4=0,BR47=""),"",IFERROR(ROUND(BR47/INDEX(Undirviðmið!$F$6:$F$205,BR$4)*INDEX(Undirviðmið!$E$6:$E$205,BR$4)*KVARDI,2),""))</f>
        <v/>
      </c>
      <c r="BT47" s="66" t="n"/>
      <c r="BU47" s="78">
        <f>IF(OR(BT$4=0,BT47=""),"",IFERROR(ROUND(BT47/INDEX(Undirviðmið!$F$6:$F$205,BT$4)*INDEX(Undirviðmið!$E$6:$E$205,BT$4)*KVARDI,2),""))</f>
        <v/>
      </c>
      <c r="BV47" s="66" t="n"/>
      <c r="BW47" s="78">
        <f>IF(OR(BV$4=0,BV47=""),"",IFERROR(ROUND(BV47/INDEX(Undirviðmið!$F$6:$F$205,BV$4)*INDEX(Undirviðmið!$E$6:$E$205,BV$4)*KVARDI,2),""))</f>
        <v/>
      </c>
      <c r="BX47" s="66" t="n"/>
      <c r="BY47" s="78">
        <f>IF(OR(BX$4=0,BX47=""),"",IFERROR(ROUND(BX47/INDEX(Undirviðmið!$F$6:$F$205,BX$4)*INDEX(Undirviðmið!$E$6:$E$205,BX$4)*KVARDI,2),""))</f>
        <v/>
      </c>
      <c r="BZ47" s="66" t="n"/>
      <c r="CA47" s="78">
        <f>IF(OR(BZ$4=0,BZ47=""),"",IFERROR(ROUND(BZ47/INDEX(Undirviðmið!$F$6:$F$205,BZ$4)*INDEX(Undirviðmið!$E$6:$E$205,BZ$4)*KVARDI,2),""))</f>
        <v/>
      </c>
      <c r="CB47" s="66" t="n"/>
      <c r="CC47" s="78">
        <f>IF(OR(CB$4=0,CB47=""),"",IFERROR(ROUND(CB47/INDEX(Undirviðmið!$F$6:$F$205,CB$4)*INDEX(Undirviðmið!$E$6:$E$205,CB$4)*KVARDI,2),""))</f>
        <v/>
      </c>
      <c r="CD47" s="66" t="n"/>
      <c r="CE47" s="78">
        <f>IF(OR(CD$4=0,CD47=""),"",IFERROR(ROUND(CD47/INDEX(Undirviðmið!$F$6:$F$205,CD$4)*INDEX(Undirviðmið!$E$6:$E$205,CD$4)*KVARDI,2),""))</f>
        <v/>
      </c>
      <c r="CF47" s="66" t="n"/>
      <c r="CG47" s="78">
        <f>IF(OR(CF$4=0,CF47=""),"",IFERROR(ROUND(CF47/INDEX(Undirviðmið!$F$6:$F$205,CF$4)*INDEX(Undirviðmið!$E$6:$E$205,CF$4)*KVARDI,2),""))</f>
        <v/>
      </c>
      <c r="CH47" s="66" t="n"/>
      <c r="CI47" s="78">
        <f>IF(OR(CH$4=0,CH47=""),"",IFERROR(ROUND(CH47/INDEX(Undirviðmið!$F$6:$F$205,CH$4)*INDEX(Undirviðmið!$E$6:$E$205,CH$4)*KVARDI,2),""))</f>
        <v/>
      </c>
      <c r="CJ47" s="66" t="n"/>
      <c r="CK47" s="78">
        <f>IF(OR(CJ$4=0,CJ47=""),"",IFERROR(ROUND(CJ47/INDEX(Undirviðmið!$F$6:$F$205,CJ$4)*INDEX(Undirviðmið!$E$6:$E$205,CJ$4)*KVARDI,2),""))</f>
        <v/>
      </c>
      <c r="CL47" s="66" t="n"/>
      <c r="CM47" s="78">
        <f>IF(OR(CL$4=0,CL47=""),"",IFERROR(ROUND(CL47/INDEX(Undirviðmið!$F$6:$F$205,CL$4)*INDEX(Undirviðmið!$E$6:$E$205,CL$4)*KVARDI,2),""))</f>
        <v/>
      </c>
      <c r="CN47" s="66" t="n"/>
      <c r="CO47" s="78">
        <f>IF(OR(CN$4=0,CN47=""),"",IFERROR(ROUND(CN47/INDEX(Undirviðmið!$F$6:$F$205,CN$4)*INDEX(Undirviðmið!$E$6:$E$205,CN$4)*KVARDI,2),""))</f>
        <v/>
      </c>
      <c r="CP47" s="66" t="n"/>
      <c r="CQ47" s="78">
        <f>IF(OR(CP$4=0,CP47=""),"",IFERROR(ROUND(CP47/INDEX(Undirviðmið!$F$6:$F$205,CP$4)*INDEX(Undirviðmið!$E$6:$E$205,CP$4)*KVARDI,2),""))</f>
        <v/>
      </c>
      <c r="CR47" s="66" t="n"/>
      <c r="CS47" s="78">
        <f>IF(OR(CR$4=0,CR47=""),"",IFERROR(ROUND(CR47/INDEX(Undirviðmið!$F$6:$F$205,CR$4)*INDEX(Undirviðmið!$E$6:$E$205,CR$4)*KVARDI,2),""))</f>
        <v/>
      </c>
      <c r="CT47" s="66" t="n"/>
      <c r="CU47" s="78">
        <f>IF(OR(CT$4=0,CT47=""),"",IFERROR(ROUND(CT47/INDEX(Undirviðmið!$F$6:$F$205,CT$4)*INDEX(Undirviðmið!$E$6:$E$205,CT$4)*KVARDI,2),""))</f>
        <v/>
      </c>
      <c r="CV47" s="66" t="n"/>
      <c r="CW47" s="78">
        <f>IF(OR(CV$4=0,CV47=""),"",IFERROR(ROUND(CV47/INDEX(Undirviðmið!$F$6:$F$205,CV$4)*INDEX(Undirviðmið!$E$6:$E$205,CV$4)*KVARDI,2),""))</f>
        <v/>
      </c>
      <c r="CX47" s="66" t="n"/>
      <c r="CY47" s="78">
        <f>IF(OR(CX$4=0,CX47=""),"",IFERROR(ROUND(CX47/INDEX(Undirviðmið!$F$6:$F$205,CX$4)*INDEX(Undirviðmið!$E$6:$E$205,CX$4)*KVARDI,2),""))</f>
        <v/>
      </c>
      <c r="CZ47" s="66" t="n"/>
      <c r="DA47" s="78">
        <f>IF(OR(CZ$4=0,CZ47=""),"",IFERROR(ROUND(CZ47/INDEX(Undirviðmið!$F$6:$F$205,CZ$4)*INDEX(Undirviðmið!$E$6:$E$205,CZ$4)*KVARDI,2),""))</f>
        <v/>
      </c>
      <c r="DB47" s="66" t="n"/>
      <c r="DC47" s="78">
        <f>IF(OR(DB$4=0,DB47=""),"",IFERROR(ROUND(DB47/INDEX(Undirviðmið!$F$6:$F$205,DB$4)*INDEX(Undirviðmið!$E$6:$E$205,DB$4)*KVARDI,2),""))</f>
        <v/>
      </c>
      <c r="DD47" s="66" t="n"/>
      <c r="DE47" s="78">
        <f>IF(OR(DD$4=0,DD47=""),"",IFERROR(ROUND(DD47/INDEX(Undirviðmið!$F$6:$F$205,DD$4)*INDEX(Undirviðmið!$E$6:$E$205,DD$4)*KVARDI,2),""))</f>
        <v/>
      </c>
      <c r="DF47" s="66" t="n"/>
      <c r="DG47" s="78">
        <f>IF(OR(DF$4=0,DF47=""),"",IFERROR(ROUND(DF47/INDEX(Undirviðmið!$F$6:$F$205,DF$4)*INDEX(Undirviðmið!$E$6:$E$205,DF$4)*KVARDI,2),""))</f>
        <v/>
      </c>
      <c r="DH47" s="66" t="n"/>
      <c r="DI47" s="78">
        <f>IF(OR(DH$4=0,DH47=""),"",IFERROR(ROUND(DH47/INDEX(Undirviðmið!$F$6:$F$205,DH$4)*INDEX(Undirviðmið!$E$6:$E$205,DH$4)*KVARDI,2),""))</f>
        <v/>
      </c>
      <c r="DJ47" s="66" t="n"/>
      <c r="DK47" s="78">
        <f>IF(OR(DJ$4=0,DJ47=""),"",IFERROR(ROUND(DJ47/INDEX(Undirviðmið!$F$6:$F$205,DJ$4)*INDEX(Undirviðmið!$E$6:$E$205,DJ$4)*KVARDI,2),""))</f>
        <v/>
      </c>
      <c r="DL47" s="66" t="n"/>
      <c r="DM47" s="78">
        <f>IF(OR(DL$4=0,DL47=""),"",IFERROR(ROUND(DL47/INDEX(Undirviðmið!$F$6:$F$205,DL$4)*INDEX(Undirviðmið!$E$6:$E$205,DL$4)*KVARDI,2),""))</f>
        <v/>
      </c>
      <c r="DN47" s="66" t="n"/>
      <c r="DO47" s="78">
        <f>IF(OR(DN$4=0,DN47=""),"",IFERROR(ROUND(DN47/INDEX(Undirviðmið!$F$6:$F$205,DN$4)*INDEX(Undirviðmið!$E$6:$E$205,DN$4)*KVARDI,2),""))</f>
        <v/>
      </c>
      <c r="DP47" s="66" t="n"/>
      <c r="DQ47" s="78">
        <f>IF(OR(DP$4=0,DP47=""),"",IFERROR(ROUND(DP47/INDEX(Undirviðmið!$F$6:$F$205,DP$4)*INDEX(Undirviðmið!$E$6:$E$205,DP$4)*KVARDI,2),""))</f>
        <v/>
      </c>
      <c r="DR47" s="66" t="n"/>
      <c r="DS47" s="78">
        <f>IF(OR(DR$4=0,DR47=""),"",IFERROR(ROUND(DR47/INDEX(Undirviðmið!$F$6:$F$205,DR$4)*INDEX(Undirviðmið!$E$6:$E$205,DR$4)*KVARDI,2),""))</f>
        <v/>
      </c>
      <c r="DT47" s="66" t="n"/>
      <c r="DU47" s="78">
        <f>IF(OR(DT$4=0,DT47=""),"",IFERROR(ROUND(DT47/INDEX(Undirviðmið!$F$6:$F$205,DT$4)*INDEX(Undirviðmið!$E$6:$E$205,DT$4)*KVARDI,2),""))</f>
        <v/>
      </c>
      <c r="DV47" s="66" t="n"/>
      <c r="DW47" s="78">
        <f>IF(OR(DV$4=0,DV47=""),"",IFERROR(ROUND(DV47/INDEX(Undirviðmið!$F$6:$F$205,DV$4)*INDEX(Undirviðmið!$E$6:$E$205,DV$4)*KVARDI,2),""))</f>
        <v/>
      </c>
      <c r="DX47" s="66" t="n"/>
      <c r="DY47" s="78">
        <f>IF(OR(DX$4=0,DX47=""),"",IFERROR(ROUND(DX47/INDEX(Undirviðmið!$F$6:$F$205,DX$4)*INDEX(Undirviðmið!$E$6:$E$205,DX$4)*KVARDI,2),""))</f>
        <v/>
      </c>
      <c r="DZ47" s="66" t="n"/>
      <c r="EA47" s="78">
        <f>IF(OR(DZ$4=0,DZ47=""),"",IFERROR(ROUND(DZ47/INDEX(Undirviðmið!$F$6:$F$205,DZ$4)*INDEX(Undirviðmið!$E$6:$E$205,DZ$4)*KVARDI,2),""))</f>
        <v/>
      </c>
      <c r="EB47" s="66" t="n"/>
      <c r="EC47" s="78">
        <f>IF(OR(EB$4=0,EB47=""),"",IFERROR(ROUND(EB47/INDEX(Undirviðmið!$F$6:$F$205,EB$4)*INDEX(Undirviðmið!$E$6:$E$205,EB$4)*KVARDI,2),""))</f>
        <v/>
      </c>
      <c r="ED47" s="66" t="n"/>
      <c r="EE47" s="78">
        <f>IF(OR(ED$4=0,ED47=""),"",IFERROR(ROUND(ED47/INDEX(Undirviðmið!$F$6:$F$205,ED$4)*INDEX(Undirviðmið!$E$6:$E$205,ED$4)*KVARDI,2),""))</f>
        <v/>
      </c>
      <c r="EF47" s="66" t="n"/>
      <c r="EG47" s="78">
        <f>IF(OR(EF$4=0,EF47=""),"",IFERROR(ROUND(EF47/INDEX(Undirviðmið!$F$6:$F$205,EF$4)*INDEX(Undirviðmið!$E$6:$E$205,EF$4)*KVARDI,2),""))</f>
        <v/>
      </c>
      <c r="EH47" s="66" t="n"/>
      <c r="EI47" s="78">
        <f>IF(OR(EH$4=0,EH47=""),"",IFERROR(ROUND(EH47/INDEX(Undirviðmið!$F$6:$F$205,EH$4)*INDEX(Undirviðmið!$E$6:$E$205,EH$4)*KVARDI,2),""))</f>
        <v/>
      </c>
      <c r="EJ47" s="66" t="n"/>
      <c r="EK47" s="78">
        <f>IF(OR(EJ$4=0,EJ47=""),"",IFERROR(ROUND(EJ47/INDEX(Undirviðmið!$F$6:$F$205,EJ$4)*INDEX(Undirviðmið!$E$6:$E$205,EJ$4)*KVARDI,2),""))</f>
        <v/>
      </c>
      <c r="EL47" s="66" t="n"/>
      <c r="EM47" s="78">
        <f>IF(OR(EL$4=0,EL47=""),"",IFERROR(ROUND(EL47/INDEX(Undirviðmið!$F$6:$F$205,EL$4)*INDEX(Undirviðmið!$E$6:$E$205,EL$4)*KVARDI,2),""))</f>
        <v/>
      </c>
      <c r="EN47" s="66" t="n"/>
      <c r="EO47" s="78">
        <f>IF(OR(EN$4=0,EN47=""),"",IFERROR(ROUND(EN47/INDEX(Undirviðmið!$F$6:$F$205,EN$4)*INDEX(Undirviðmið!$E$6:$E$205,EN$4)*KVARDI,2),""))</f>
        <v/>
      </c>
      <c r="EP47" s="66" t="n"/>
      <c r="EQ47" s="78">
        <f>IF(OR(EP$4=0,EP47=""),"",IFERROR(ROUND(EP47/INDEX(Undirviðmið!$F$6:$F$205,EP$4)*INDEX(Undirviðmið!$E$6:$E$205,EP$4)*KVARDI,2),""))</f>
        <v/>
      </c>
      <c r="ER47" s="66" t="n"/>
      <c r="ES47" s="78">
        <f>IF(OR(ER$4=0,ER47=""),"",IFERROR(ROUND(ER47/INDEX(Undirviðmið!$F$6:$F$205,ER$4)*INDEX(Undirviðmið!$E$6:$E$205,ER$4)*KVARDI,2),""))</f>
        <v/>
      </c>
      <c r="ET47" s="66" t="n"/>
      <c r="EU47" s="78">
        <f>IF(OR(ET$4=0,ET47=""),"",IFERROR(ROUND(ET47/INDEX(Undirviðmið!$F$6:$F$205,ET$4)*INDEX(Undirviðmið!$E$6:$E$205,ET$4)*KVARDI,2),""))</f>
        <v/>
      </c>
      <c r="EV47" s="66" t="n"/>
      <c r="EW47" s="78">
        <f>IF(OR(EV$4=0,EV47=""),"",IFERROR(ROUND(EV47/INDEX(Undirviðmið!$F$6:$F$205,EV$4)*INDEX(Undirviðmið!$E$6:$E$205,EV$4)*KVARDI,2),""))</f>
        <v/>
      </c>
      <c r="EX47" s="66" t="n"/>
      <c r="EY47" s="78">
        <f>IF(OR(EX$4=0,EX47=""),"",IFERROR(ROUND(EX47/INDEX(Undirviðmið!$F$6:$F$205,EX$4)*INDEX(Undirviðmið!$E$6:$E$205,EX$4)*KVARDI,2),""))</f>
        <v/>
      </c>
      <c r="EZ47" s="66" t="n"/>
      <c r="FA47" s="78">
        <f>IF(OR(EZ$4=0,EZ47=""),"",IFERROR(ROUND(EZ47/INDEX(Undirviðmið!$F$6:$F$205,EZ$4)*INDEX(Undirviðmið!$E$6:$E$205,EZ$4)*KVARDI,2),""))</f>
        <v/>
      </c>
      <c r="FB47" s="66" t="n"/>
      <c r="FC47" s="78">
        <f>IF(OR(FB$4=0,FB47=""),"",IFERROR(ROUND(FB47/INDEX(Undirviðmið!$F$6:$F$205,FB$4)*INDEX(Undirviðmið!$E$6:$E$205,FB$4)*KVARDI,2),""))</f>
        <v/>
      </c>
      <c r="FD47" s="66" t="n"/>
      <c r="FE47" s="78">
        <f>IF(OR(FD$4=0,FD47=""),"",IFERROR(ROUND(FD47/INDEX(Undirviðmið!$F$6:$F$205,FD$4)*INDEX(Undirviðmið!$E$6:$E$205,FD$4)*KVARDI,2),""))</f>
        <v/>
      </c>
      <c r="FF47" s="66" t="n"/>
      <c r="FG47" s="78">
        <f>IF(OR(FF$4=0,FF47=""),"",IFERROR(ROUND(FF47/INDEX(Undirviðmið!$F$6:$F$205,FF$4)*INDEX(Undirviðmið!$E$6:$E$205,FF$4)*KVARDI,2),""))</f>
        <v/>
      </c>
      <c r="FH47" s="66" t="n"/>
      <c r="FI47" s="78">
        <f>IF(OR(FH$4=0,FH47=""),"",IFERROR(ROUND(FH47/INDEX(Undirviðmið!$F$6:$F$205,FH$4)*INDEX(Undirviðmið!$E$6:$E$205,FH$4)*KVARDI,2),""))</f>
        <v/>
      </c>
      <c r="FJ47" s="66" t="n"/>
      <c r="FK47" s="78">
        <f>IF(OR(FJ$4=0,FJ47=""),"",IFERROR(ROUND(FJ47/INDEX(Undirviðmið!$F$6:$F$205,FJ$4)*INDEX(Undirviðmið!$E$6:$E$205,FJ$4)*KVARDI,2),""))</f>
        <v/>
      </c>
      <c r="FL47" s="66" t="n"/>
      <c r="FM47" s="78">
        <f>IF(OR(FL$4=0,FL47=""),"",IFERROR(ROUND(FL47/INDEX(Undirviðmið!$F$6:$F$205,FL$4)*INDEX(Undirviðmið!$E$6:$E$205,FL$4)*KVARDI,2),""))</f>
        <v/>
      </c>
      <c r="FN47" s="66" t="n"/>
      <c r="FO47" s="78">
        <f>IF(OR(FN$4=0,FN47=""),"",IFERROR(ROUND(FN47/INDEX(Undirviðmið!$F$6:$F$205,FN$4)*INDEX(Undirviðmið!$E$6:$E$205,FN$4)*KVARDI,2),""))</f>
        <v/>
      </c>
      <c r="FP47" s="66" t="n"/>
      <c r="FQ47" s="78">
        <f>IF(OR(FP$4=0,FP47=""),"",IFERROR(ROUND(FP47/INDEX(Undirviðmið!$F$6:$F$205,FP$4)*INDEX(Undirviðmið!$E$6:$E$205,FP$4)*KVARDI,2),""))</f>
        <v/>
      </c>
      <c r="FR47" s="66" t="n"/>
      <c r="FS47" s="78">
        <f>IF(OR(FR$4=0,FR47=""),"",IFERROR(ROUND(FR47/INDEX(Undirviðmið!$F$6:$F$205,FR$4)*INDEX(Undirviðmið!$E$6:$E$205,FR$4)*KVARDI,2),""))</f>
        <v/>
      </c>
      <c r="FT47" s="66" t="n"/>
      <c r="FU47" s="78">
        <f>IF(OR(FT$4=0,FT47=""),"",IFERROR(ROUND(FT47/INDEX(Undirviðmið!$F$6:$F$205,FT$4)*INDEX(Undirviðmið!$E$6:$E$205,FT$4)*KVARDI,2),""))</f>
        <v/>
      </c>
      <c r="FV47" s="66" t="n"/>
      <c r="FW47" s="78">
        <f>IF(OR(FV$4=0,FV47=""),"",IFERROR(ROUND(FV47/INDEX(Undirviðmið!$F$6:$F$205,FV$4)*INDEX(Undirviðmið!$E$6:$E$205,FV$4)*KVARDI,2),""))</f>
        <v/>
      </c>
      <c r="FX47" s="66" t="n"/>
      <c r="FY47" s="78">
        <f>IF(OR(FX$4=0,FX47=""),"",IFERROR(ROUND(FX47/INDEX(Undirviðmið!$F$6:$F$205,FX$4)*INDEX(Undirviðmið!$E$6:$E$205,FX$4)*KVARDI,2),""))</f>
        <v/>
      </c>
      <c r="FZ47" s="66" t="n"/>
      <c r="GA47" s="78">
        <f>IF(OR(FZ$4=0,FZ47=""),"",IFERROR(ROUND(FZ47/INDEX(Undirviðmið!$F$6:$F$205,FZ$4)*INDEX(Undirviðmið!$E$6:$E$205,FZ$4)*KVARDI,2),""))</f>
        <v/>
      </c>
      <c r="GB47" s="66" t="n"/>
      <c r="GC47" s="78">
        <f>IF(OR(GB$4=0,GB47=""),"",IFERROR(ROUND(GB47/INDEX(Undirviðmið!$F$6:$F$205,GB$4)*INDEX(Undirviðmið!$E$6:$E$205,GB$4)*KVARDI,2),""))</f>
        <v/>
      </c>
      <c r="GD47" s="66" t="n"/>
      <c r="GE47" s="78">
        <f>IF(OR(GD$4=0,GD47=""),"",IFERROR(ROUND(GD47/INDEX(Undirviðmið!$F$6:$F$205,GD$4)*INDEX(Undirviðmið!$E$6:$E$205,GD$4)*KVARDI,2),""))</f>
        <v/>
      </c>
      <c r="GF47" s="66" t="n"/>
      <c r="GG47" s="78">
        <f>IF(OR(GF$4=0,GF47=""),"",IFERROR(ROUND(GF47/INDEX(Undirviðmið!$F$6:$F$205,GF$4)*INDEX(Undirviðmið!$E$6:$E$205,GF$4)*KVARDI,2),""))</f>
        <v/>
      </c>
      <c r="GH47" s="66" t="n"/>
      <c r="GI47" s="78">
        <f>IF(OR(GH$4=0,GH47=""),"",IFERROR(ROUND(GH47/INDEX(Undirviðmið!$F$6:$F$205,GH$4)*INDEX(Undirviðmið!$E$6:$E$205,GH$4)*KVARDI,2),""))</f>
        <v/>
      </c>
      <c r="GJ47" s="66" t="n"/>
      <c r="GK47" s="78">
        <f>IF(OR(GJ$4=0,GJ47=""),"",IFERROR(ROUND(GJ47/INDEX(Undirviðmið!$F$6:$F$205,GJ$4)*INDEX(Undirviðmið!$E$6:$E$205,GJ$4)*KVARDI,2),""))</f>
        <v/>
      </c>
      <c r="GL47" s="66" t="n"/>
      <c r="GM47" s="78">
        <f>IF(OR(GL$4=0,GL47=""),"",IFERROR(ROUND(GL47/INDEX(Undirviðmið!$F$6:$F$205,GL$4)*INDEX(Undirviðmið!$E$6:$E$205,GL$4)*KVARDI,2),""))</f>
        <v/>
      </c>
      <c r="GN47" s="66" t="n"/>
      <c r="GO47" s="78">
        <f>IF(OR(GN$4=0,GN47=""),"",IFERROR(ROUND(GN47/INDEX(Undirviðmið!$F$6:$F$205,GN$4)*INDEX(Undirviðmið!$E$6:$E$205,GN$4)*KVARDI,2),""))</f>
        <v/>
      </c>
      <c r="GP47" s="66" t="n"/>
      <c r="GQ47" s="78">
        <f>IF(OR(GP$4=0,GP47=""),"",IFERROR(ROUND(GP47/INDEX(Undirviðmið!$F$6:$F$205,GP$4)*INDEX(Undirviðmið!$E$6:$E$205,GP$4)*KVARDI,2),""))</f>
        <v/>
      </c>
      <c r="GR47" s="66" t="n"/>
      <c r="GS47" s="78">
        <f>IF(OR(GR$4=0,GR47=""),"",IFERROR(ROUND(GR47/INDEX(Undirviðmið!$F$6:$F$205,GR$4)*INDEX(Undirviðmið!$E$6:$E$205,GR$4)*KVARDI,2),""))</f>
        <v/>
      </c>
      <c r="GT47" s="66" t="n"/>
      <c r="GU47" s="78">
        <f>IF(OR(GT$4=0,GT47=""),"",IFERROR(ROUND(GT47/INDEX(Undirviðmið!$F$6:$F$205,GT$4)*INDEX(Undirviðmið!$E$6:$E$205,GT$4)*KVARDI,2),""))</f>
        <v/>
      </c>
      <c r="GV47" s="63">
        <f>IFERROR(SUMIF($D$6:GU$6,"Stig",$D47:GU47),0)</f>
        <v/>
      </c>
    </row>
    <row r="48" ht="15" customHeight="1" s="47">
      <c r="A48" s="65">
        <f>ROW()-6</f>
        <v/>
      </c>
      <c r="B48" s="67">
        <f>IF(INDEX(Starfsmenn!$B$6:$B$10005,ROW()-6)="","",INDEX(Starfsmenn!$B$6:$B$10005,ROW()-6))</f>
        <v/>
      </c>
      <c r="C48" s="67">
        <f>IF(INDEX(Starfsmenn!$C$6:$C$10005,ROW()-6)="","",INDEX(Starfsmenn!$C$6:$C$10005,ROW()-6))</f>
        <v/>
      </c>
      <c r="D48" s="66" t="n"/>
      <c r="E48" s="78">
        <f>IF(OR(D$4=0,D48=""),"",IFERROR(ROUND(D48/INDEX(Undirviðmið!$F$6:$F$205,D$4)*INDEX(Undirviðmið!$E$6:$E$205,D$4)*KVARDI,2),""))</f>
        <v/>
      </c>
      <c r="F48" s="66" t="n"/>
      <c r="G48" s="78">
        <f>IF(OR(F$4=0,F48=""),"",IFERROR(ROUND(F48/INDEX(Undirviðmið!$F$6:$F$205,F$4)*INDEX(Undirviðmið!$E$6:$E$205,F$4)*KVARDI,2),""))</f>
        <v/>
      </c>
      <c r="H48" s="66" t="n"/>
      <c r="I48" s="78">
        <f>IF(OR(H$4=0,H48=""),"",IFERROR(ROUND(H48/INDEX(Undirviðmið!$F$6:$F$205,H$4)*INDEX(Undirviðmið!$E$6:$E$205,H$4)*KVARDI,2),""))</f>
        <v/>
      </c>
      <c r="J48" s="66" t="n"/>
      <c r="K48" s="78">
        <f>IF(OR(J$4=0,J48=""),"",IFERROR(ROUND(J48/INDEX(Undirviðmið!$F$6:$F$205,J$4)*INDEX(Undirviðmið!$E$6:$E$205,J$4)*KVARDI,2),""))</f>
        <v/>
      </c>
      <c r="L48" s="66" t="n"/>
      <c r="M48" s="78">
        <f>IF(OR(L$4=0,L48=""),"",IFERROR(ROUND(L48/INDEX(Undirviðmið!$F$6:$F$205,L$4)*INDEX(Undirviðmið!$E$6:$E$205,L$4)*KVARDI,2),""))</f>
        <v/>
      </c>
      <c r="N48" s="66" t="n"/>
      <c r="O48" s="78">
        <f>IF(OR(N$4=0,N48=""),"",IFERROR(ROUND(N48/INDEX(Undirviðmið!$F$6:$F$205,N$4)*INDEX(Undirviðmið!$E$6:$E$205,N$4)*KVARDI,2),""))</f>
        <v/>
      </c>
      <c r="P48" s="66" t="n"/>
      <c r="Q48" s="78">
        <f>IF(OR(P$4=0,P48=""),"",IFERROR(ROUND(P48/INDEX(Undirviðmið!$F$6:$F$205,P$4)*INDEX(Undirviðmið!$E$6:$E$205,P$4)*KVARDI,2),""))</f>
        <v/>
      </c>
      <c r="R48" s="66" t="n"/>
      <c r="S48" s="78">
        <f>IF(OR(R$4=0,R48=""),"",IFERROR(ROUND(R48/INDEX(Undirviðmið!$F$6:$F$205,R$4)*INDEX(Undirviðmið!$E$6:$E$205,R$4)*KVARDI,2),""))</f>
        <v/>
      </c>
      <c r="T48" s="66" t="n"/>
      <c r="U48" s="78">
        <f>IF(OR(T$4=0,T48=""),"",IFERROR(ROUND(T48/INDEX(Undirviðmið!$F$6:$F$205,T$4)*INDEX(Undirviðmið!$E$6:$E$205,T$4)*KVARDI,2),""))</f>
        <v/>
      </c>
      <c r="V48" s="66" t="n"/>
      <c r="W48" s="78">
        <f>IF(OR(V$4=0,V48=""),"",IFERROR(ROUND(V48/INDEX(Undirviðmið!$F$6:$F$205,V$4)*INDEX(Undirviðmið!$E$6:$E$205,V$4)*KVARDI,2),""))</f>
        <v/>
      </c>
      <c r="X48" s="66" t="n"/>
      <c r="Y48" s="78">
        <f>IF(OR(X$4=0,X48=""),"",IFERROR(ROUND(X48/INDEX(Undirviðmið!$F$6:$F$205,X$4)*INDEX(Undirviðmið!$E$6:$E$205,X$4)*KVARDI,2),""))</f>
        <v/>
      </c>
      <c r="Z48" s="66" t="n"/>
      <c r="AA48" s="78">
        <f>IF(OR(Z$4=0,Z48=""),"",IFERROR(ROUND(Z48/INDEX(Undirviðmið!$F$6:$F$205,Z$4)*INDEX(Undirviðmið!$E$6:$E$205,Z$4)*KVARDI,2),""))</f>
        <v/>
      </c>
      <c r="AB48" s="66" t="n"/>
      <c r="AC48" s="78">
        <f>IF(OR(AB$4=0,AB48=""),"",IFERROR(ROUND(AB48/INDEX(Undirviðmið!$F$6:$F$205,AB$4)*INDEX(Undirviðmið!$E$6:$E$205,AB$4)*KVARDI,2),""))</f>
        <v/>
      </c>
      <c r="AD48" s="66" t="n"/>
      <c r="AE48" s="78">
        <f>IF(OR(AD$4=0,AD48=""),"",IFERROR(ROUND(AD48/INDEX(Undirviðmið!$F$6:$F$205,AD$4)*INDEX(Undirviðmið!$E$6:$E$205,AD$4)*KVARDI,2),""))</f>
        <v/>
      </c>
      <c r="AF48" s="66" t="n"/>
      <c r="AG48" s="78">
        <f>IF(OR(AF$4=0,AF48=""),"",IFERROR(ROUND(AF48/INDEX(Undirviðmið!$F$6:$F$205,AF$4)*INDEX(Undirviðmið!$E$6:$E$205,AF$4)*KVARDI,2),""))</f>
        <v/>
      </c>
      <c r="AH48" s="66" t="n"/>
      <c r="AI48" s="78">
        <f>IF(OR(AH$4=0,AH48=""),"",IFERROR(ROUND(AH48/INDEX(Undirviðmið!$F$6:$F$205,AH$4)*INDEX(Undirviðmið!$E$6:$E$205,AH$4)*KVARDI,2),""))</f>
        <v/>
      </c>
      <c r="AJ48" s="66" t="n"/>
      <c r="AK48" s="78">
        <f>IF(OR(AJ$4=0,AJ48=""),"",IFERROR(ROUND(AJ48/INDEX(Undirviðmið!$F$6:$F$205,AJ$4)*INDEX(Undirviðmið!$E$6:$E$205,AJ$4)*KVARDI,2),""))</f>
        <v/>
      </c>
      <c r="AL48" s="66" t="n"/>
      <c r="AM48" s="78">
        <f>IF(OR(AL$4=0,AL48=""),"",IFERROR(ROUND(AL48/INDEX(Undirviðmið!$F$6:$F$205,AL$4)*INDEX(Undirviðmið!$E$6:$E$205,AL$4)*KVARDI,2),""))</f>
        <v/>
      </c>
      <c r="AN48" s="66" t="n"/>
      <c r="AO48" s="78">
        <f>IF(OR(AN$4=0,AN48=""),"",IFERROR(ROUND(AN48/INDEX(Undirviðmið!$F$6:$F$205,AN$4)*INDEX(Undirviðmið!$E$6:$E$205,AN$4)*KVARDI,2),""))</f>
        <v/>
      </c>
      <c r="AP48" s="66" t="n"/>
      <c r="AQ48" s="78">
        <f>IF(OR(AP$4=0,AP48=""),"",IFERROR(ROUND(AP48/INDEX(Undirviðmið!$F$6:$F$205,AP$4)*INDEX(Undirviðmið!$E$6:$E$205,AP$4)*KVARDI,2),""))</f>
        <v/>
      </c>
      <c r="AR48" s="66" t="n"/>
      <c r="AS48" s="78">
        <f>IF(OR(AR$4=0,AR48=""),"",IFERROR(ROUND(AR48/INDEX(Undirviðmið!$F$6:$F$205,AR$4)*INDEX(Undirviðmið!$E$6:$E$205,AR$4)*KVARDI,2),""))</f>
        <v/>
      </c>
      <c r="AT48" s="66" t="n"/>
      <c r="AU48" s="78">
        <f>IF(OR(AT$4=0,AT48=""),"",IFERROR(ROUND(AT48/INDEX(Undirviðmið!$F$6:$F$205,AT$4)*INDEX(Undirviðmið!$E$6:$E$205,AT$4)*KVARDI,2),""))</f>
        <v/>
      </c>
      <c r="AV48" s="66" t="n"/>
      <c r="AW48" s="78">
        <f>IF(OR(AV$4=0,AV48=""),"",IFERROR(ROUND(AV48/INDEX(Undirviðmið!$F$6:$F$205,AV$4)*INDEX(Undirviðmið!$E$6:$E$205,AV$4)*KVARDI,2),""))</f>
        <v/>
      </c>
      <c r="AX48" s="66" t="n"/>
      <c r="AY48" s="78">
        <f>IF(OR(AX$4=0,AX48=""),"",IFERROR(ROUND(AX48/INDEX(Undirviðmið!$F$6:$F$205,AX$4)*INDEX(Undirviðmið!$E$6:$E$205,AX$4)*KVARDI,2),""))</f>
        <v/>
      </c>
      <c r="AZ48" s="66" t="n"/>
      <c r="BA48" s="78">
        <f>IF(OR(AZ$4=0,AZ48=""),"",IFERROR(ROUND(AZ48/INDEX(Undirviðmið!$F$6:$F$205,AZ$4)*INDEX(Undirviðmið!$E$6:$E$205,AZ$4)*KVARDI,2),""))</f>
        <v/>
      </c>
      <c r="BB48" s="66" t="n"/>
      <c r="BC48" s="78">
        <f>IF(OR(BB$4=0,BB48=""),"",IFERROR(ROUND(BB48/INDEX(Undirviðmið!$F$6:$F$205,BB$4)*INDEX(Undirviðmið!$E$6:$E$205,BB$4)*KVARDI,2),""))</f>
        <v/>
      </c>
      <c r="BD48" s="66" t="n"/>
      <c r="BE48" s="78">
        <f>IF(OR(BD$4=0,BD48=""),"",IFERROR(ROUND(BD48/INDEX(Undirviðmið!$F$6:$F$205,BD$4)*INDEX(Undirviðmið!$E$6:$E$205,BD$4)*KVARDI,2),""))</f>
        <v/>
      </c>
      <c r="BF48" s="66" t="n"/>
      <c r="BG48" s="78">
        <f>IF(OR(BF$4=0,BF48=""),"",IFERROR(ROUND(BF48/INDEX(Undirviðmið!$F$6:$F$205,BF$4)*INDEX(Undirviðmið!$E$6:$E$205,BF$4)*KVARDI,2),""))</f>
        <v/>
      </c>
      <c r="BH48" s="66" t="n"/>
      <c r="BI48" s="78">
        <f>IF(OR(BH$4=0,BH48=""),"",IFERROR(ROUND(BH48/INDEX(Undirviðmið!$F$6:$F$205,BH$4)*INDEX(Undirviðmið!$E$6:$E$205,BH$4)*KVARDI,2),""))</f>
        <v/>
      </c>
      <c r="BJ48" s="66" t="n"/>
      <c r="BK48" s="78">
        <f>IF(OR(BJ$4=0,BJ48=""),"",IFERROR(ROUND(BJ48/INDEX(Undirviðmið!$F$6:$F$205,BJ$4)*INDEX(Undirviðmið!$E$6:$E$205,BJ$4)*KVARDI,2),""))</f>
        <v/>
      </c>
      <c r="BL48" s="66" t="n"/>
      <c r="BM48" s="78">
        <f>IF(OR(BL$4=0,BL48=""),"",IFERROR(ROUND(BL48/INDEX(Undirviðmið!$F$6:$F$205,BL$4)*INDEX(Undirviðmið!$E$6:$E$205,BL$4)*KVARDI,2),""))</f>
        <v/>
      </c>
      <c r="BN48" s="66" t="n"/>
      <c r="BO48" s="78">
        <f>IF(OR(BN$4=0,BN48=""),"",IFERROR(ROUND(BN48/INDEX(Undirviðmið!$F$6:$F$205,BN$4)*INDEX(Undirviðmið!$E$6:$E$205,BN$4)*KVARDI,2),""))</f>
        <v/>
      </c>
      <c r="BP48" s="66" t="n"/>
      <c r="BQ48" s="78">
        <f>IF(OR(BP$4=0,BP48=""),"",IFERROR(ROUND(BP48/INDEX(Undirviðmið!$F$6:$F$205,BP$4)*INDEX(Undirviðmið!$E$6:$E$205,BP$4)*KVARDI,2),""))</f>
        <v/>
      </c>
      <c r="BR48" s="66" t="n"/>
      <c r="BS48" s="78">
        <f>IF(OR(BR$4=0,BR48=""),"",IFERROR(ROUND(BR48/INDEX(Undirviðmið!$F$6:$F$205,BR$4)*INDEX(Undirviðmið!$E$6:$E$205,BR$4)*KVARDI,2),""))</f>
        <v/>
      </c>
      <c r="BT48" s="66" t="n"/>
      <c r="BU48" s="78">
        <f>IF(OR(BT$4=0,BT48=""),"",IFERROR(ROUND(BT48/INDEX(Undirviðmið!$F$6:$F$205,BT$4)*INDEX(Undirviðmið!$E$6:$E$205,BT$4)*KVARDI,2),""))</f>
        <v/>
      </c>
      <c r="BV48" s="66" t="n"/>
      <c r="BW48" s="78">
        <f>IF(OR(BV$4=0,BV48=""),"",IFERROR(ROUND(BV48/INDEX(Undirviðmið!$F$6:$F$205,BV$4)*INDEX(Undirviðmið!$E$6:$E$205,BV$4)*KVARDI,2),""))</f>
        <v/>
      </c>
      <c r="BX48" s="66" t="n"/>
      <c r="BY48" s="78">
        <f>IF(OR(BX$4=0,BX48=""),"",IFERROR(ROUND(BX48/INDEX(Undirviðmið!$F$6:$F$205,BX$4)*INDEX(Undirviðmið!$E$6:$E$205,BX$4)*KVARDI,2),""))</f>
        <v/>
      </c>
      <c r="BZ48" s="66" t="n"/>
      <c r="CA48" s="78">
        <f>IF(OR(BZ$4=0,BZ48=""),"",IFERROR(ROUND(BZ48/INDEX(Undirviðmið!$F$6:$F$205,BZ$4)*INDEX(Undirviðmið!$E$6:$E$205,BZ$4)*KVARDI,2),""))</f>
        <v/>
      </c>
      <c r="CB48" s="66" t="n"/>
      <c r="CC48" s="78">
        <f>IF(OR(CB$4=0,CB48=""),"",IFERROR(ROUND(CB48/INDEX(Undirviðmið!$F$6:$F$205,CB$4)*INDEX(Undirviðmið!$E$6:$E$205,CB$4)*KVARDI,2),""))</f>
        <v/>
      </c>
      <c r="CD48" s="66" t="n"/>
      <c r="CE48" s="78">
        <f>IF(OR(CD$4=0,CD48=""),"",IFERROR(ROUND(CD48/INDEX(Undirviðmið!$F$6:$F$205,CD$4)*INDEX(Undirviðmið!$E$6:$E$205,CD$4)*KVARDI,2),""))</f>
        <v/>
      </c>
      <c r="CF48" s="66" t="n"/>
      <c r="CG48" s="78">
        <f>IF(OR(CF$4=0,CF48=""),"",IFERROR(ROUND(CF48/INDEX(Undirviðmið!$F$6:$F$205,CF$4)*INDEX(Undirviðmið!$E$6:$E$205,CF$4)*KVARDI,2),""))</f>
        <v/>
      </c>
      <c r="CH48" s="66" t="n"/>
      <c r="CI48" s="78">
        <f>IF(OR(CH$4=0,CH48=""),"",IFERROR(ROUND(CH48/INDEX(Undirviðmið!$F$6:$F$205,CH$4)*INDEX(Undirviðmið!$E$6:$E$205,CH$4)*KVARDI,2),""))</f>
        <v/>
      </c>
      <c r="CJ48" s="66" t="n"/>
      <c r="CK48" s="78">
        <f>IF(OR(CJ$4=0,CJ48=""),"",IFERROR(ROUND(CJ48/INDEX(Undirviðmið!$F$6:$F$205,CJ$4)*INDEX(Undirviðmið!$E$6:$E$205,CJ$4)*KVARDI,2),""))</f>
        <v/>
      </c>
      <c r="CL48" s="66" t="n"/>
      <c r="CM48" s="78">
        <f>IF(OR(CL$4=0,CL48=""),"",IFERROR(ROUND(CL48/INDEX(Undirviðmið!$F$6:$F$205,CL$4)*INDEX(Undirviðmið!$E$6:$E$205,CL$4)*KVARDI,2),""))</f>
        <v/>
      </c>
      <c r="CN48" s="66" t="n"/>
      <c r="CO48" s="78">
        <f>IF(OR(CN$4=0,CN48=""),"",IFERROR(ROUND(CN48/INDEX(Undirviðmið!$F$6:$F$205,CN$4)*INDEX(Undirviðmið!$E$6:$E$205,CN$4)*KVARDI,2),""))</f>
        <v/>
      </c>
      <c r="CP48" s="66" t="n"/>
      <c r="CQ48" s="78">
        <f>IF(OR(CP$4=0,CP48=""),"",IFERROR(ROUND(CP48/INDEX(Undirviðmið!$F$6:$F$205,CP$4)*INDEX(Undirviðmið!$E$6:$E$205,CP$4)*KVARDI,2),""))</f>
        <v/>
      </c>
      <c r="CR48" s="66" t="n"/>
      <c r="CS48" s="78">
        <f>IF(OR(CR$4=0,CR48=""),"",IFERROR(ROUND(CR48/INDEX(Undirviðmið!$F$6:$F$205,CR$4)*INDEX(Undirviðmið!$E$6:$E$205,CR$4)*KVARDI,2),""))</f>
        <v/>
      </c>
      <c r="CT48" s="66" t="n"/>
      <c r="CU48" s="78">
        <f>IF(OR(CT$4=0,CT48=""),"",IFERROR(ROUND(CT48/INDEX(Undirviðmið!$F$6:$F$205,CT$4)*INDEX(Undirviðmið!$E$6:$E$205,CT$4)*KVARDI,2),""))</f>
        <v/>
      </c>
      <c r="CV48" s="66" t="n"/>
      <c r="CW48" s="78">
        <f>IF(OR(CV$4=0,CV48=""),"",IFERROR(ROUND(CV48/INDEX(Undirviðmið!$F$6:$F$205,CV$4)*INDEX(Undirviðmið!$E$6:$E$205,CV$4)*KVARDI,2),""))</f>
        <v/>
      </c>
      <c r="CX48" s="66" t="n"/>
      <c r="CY48" s="78">
        <f>IF(OR(CX$4=0,CX48=""),"",IFERROR(ROUND(CX48/INDEX(Undirviðmið!$F$6:$F$205,CX$4)*INDEX(Undirviðmið!$E$6:$E$205,CX$4)*KVARDI,2),""))</f>
        <v/>
      </c>
      <c r="CZ48" s="66" t="n"/>
      <c r="DA48" s="78">
        <f>IF(OR(CZ$4=0,CZ48=""),"",IFERROR(ROUND(CZ48/INDEX(Undirviðmið!$F$6:$F$205,CZ$4)*INDEX(Undirviðmið!$E$6:$E$205,CZ$4)*KVARDI,2),""))</f>
        <v/>
      </c>
      <c r="DB48" s="66" t="n"/>
      <c r="DC48" s="78">
        <f>IF(OR(DB$4=0,DB48=""),"",IFERROR(ROUND(DB48/INDEX(Undirviðmið!$F$6:$F$205,DB$4)*INDEX(Undirviðmið!$E$6:$E$205,DB$4)*KVARDI,2),""))</f>
        <v/>
      </c>
      <c r="DD48" s="66" t="n"/>
      <c r="DE48" s="78">
        <f>IF(OR(DD$4=0,DD48=""),"",IFERROR(ROUND(DD48/INDEX(Undirviðmið!$F$6:$F$205,DD$4)*INDEX(Undirviðmið!$E$6:$E$205,DD$4)*KVARDI,2),""))</f>
        <v/>
      </c>
      <c r="DF48" s="66" t="n"/>
      <c r="DG48" s="78">
        <f>IF(OR(DF$4=0,DF48=""),"",IFERROR(ROUND(DF48/INDEX(Undirviðmið!$F$6:$F$205,DF$4)*INDEX(Undirviðmið!$E$6:$E$205,DF$4)*KVARDI,2),""))</f>
        <v/>
      </c>
      <c r="DH48" s="66" t="n"/>
      <c r="DI48" s="78">
        <f>IF(OR(DH$4=0,DH48=""),"",IFERROR(ROUND(DH48/INDEX(Undirviðmið!$F$6:$F$205,DH$4)*INDEX(Undirviðmið!$E$6:$E$205,DH$4)*KVARDI,2),""))</f>
        <v/>
      </c>
      <c r="DJ48" s="66" t="n"/>
      <c r="DK48" s="78">
        <f>IF(OR(DJ$4=0,DJ48=""),"",IFERROR(ROUND(DJ48/INDEX(Undirviðmið!$F$6:$F$205,DJ$4)*INDEX(Undirviðmið!$E$6:$E$205,DJ$4)*KVARDI,2),""))</f>
        <v/>
      </c>
      <c r="DL48" s="66" t="n"/>
      <c r="DM48" s="78">
        <f>IF(OR(DL$4=0,DL48=""),"",IFERROR(ROUND(DL48/INDEX(Undirviðmið!$F$6:$F$205,DL$4)*INDEX(Undirviðmið!$E$6:$E$205,DL$4)*KVARDI,2),""))</f>
        <v/>
      </c>
      <c r="DN48" s="66" t="n"/>
      <c r="DO48" s="78">
        <f>IF(OR(DN$4=0,DN48=""),"",IFERROR(ROUND(DN48/INDEX(Undirviðmið!$F$6:$F$205,DN$4)*INDEX(Undirviðmið!$E$6:$E$205,DN$4)*KVARDI,2),""))</f>
        <v/>
      </c>
      <c r="DP48" s="66" t="n"/>
      <c r="DQ48" s="78">
        <f>IF(OR(DP$4=0,DP48=""),"",IFERROR(ROUND(DP48/INDEX(Undirviðmið!$F$6:$F$205,DP$4)*INDEX(Undirviðmið!$E$6:$E$205,DP$4)*KVARDI,2),""))</f>
        <v/>
      </c>
      <c r="DR48" s="66" t="n"/>
      <c r="DS48" s="78">
        <f>IF(OR(DR$4=0,DR48=""),"",IFERROR(ROUND(DR48/INDEX(Undirviðmið!$F$6:$F$205,DR$4)*INDEX(Undirviðmið!$E$6:$E$205,DR$4)*KVARDI,2),""))</f>
        <v/>
      </c>
      <c r="DT48" s="66" t="n"/>
      <c r="DU48" s="78">
        <f>IF(OR(DT$4=0,DT48=""),"",IFERROR(ROUND(DT48/INDEX(Undirviðmið!$F$6:$F$205,DT$4)*INDEX(Undirviðmið!$E$6:$E$205,DT$4)*KVARDI,2),""))</f>
        <v/>
      </c>
      <c r="DV48" s="66" t="n"/>
      <c r="DW48" s="78">
        <f>IF(OR(DV$4=0,DV48=""),"",IFERROR(ROUND(DV48/INDEX(Undirviðmið!$F$6:$F$205,DV$4)*INDEX(Undirviðmið!$E$6:$E$205,DV$4)*KVARDI,2),""))</f>
        <v/>
      </c>
      <c r="DX48" s="66" t="n"/>
      <c r="DY48" s="78">
        <f>IF(OR(DX$4=0,DX48=""),"",IFERROR(ROUND(DX48/INDEX(Undirviðmið!$F$6:$F$205,DX$4)*INDEX(Undirviðmið!$E$6:$E$205,DX$4)*KVARDI,2),""))</f>
        <v/>
      </c>
      <c r="DZ48" s="66" t="n"/>
      <c r="EA48" s="78">
        <f>IF(OR(DZ$4=0,DZ48=""),"",IFERROR(ROUND(DZ48/INDEX(Undirviðmið!$F$6:$F$205,DZ$4)*INDEX(Undirviðmið!$E$6:$E$205,DZ$4)*KVARDI,2),""))</f>
        <v/>
      </c>
      <c r="EB48" s="66" t="n"/>
      <c r="EC48" s="78">
        <f>IF(OR(EB$4=0,EB48=""),"",IFERROR(ROUND(EB48/INDEX(Undirviðmið!$F$6:$F$205,EB$4)*INDEX(Undirviðmið!$E$6:$E$205,EB$4)*KVARDI,2),""))</f>
        <v/>
      </c>
      <c r="ED48" s="66" t="n"/>
      <c r="EE48" s="78">
        <f>IF(OR(ED$4=0,ED48=""),"",IFERROR(ROUND(ED48/INDEX(Undirviðmið!$F$6:$F$205,ED$4)*INDEX(Undirviðmið!$E$6:$E$205,ED$4)*KVARDI,2),""))</f>
        <v/>
      </c>
      <c r="EF48" s="66" t="n"/>
      <c r="EG48" s="78">
        <f>IF(OR(EF$4=0,EF48=""),"",IFERROR(ROUND(EF48/INDEX(Undirviðmið!$F$6:$F$205,EF$4)*INDEX(Undirviðmið!$E$6:$E$205,EF$4)*KVARDI,2),""))</f>
        <v/>
      </c>
      <c r="EH48" s="66" t="n"/>
      <c r="EI48" s="78">
        <f>IF(OR(EH$4=0,EH48=""),"",IFERROR(ROUND(EH48/INDEX(Undirviðmið!$F$6:$F$205,EH$4)*INDEX(Undirviðmið!$E$6:$E$205,EH$4)*KVARDI,2),""))</f>
        <v/>
      </c>
      <c r="EJ48" s="66" t="n"/>
      <c r="EK48" s="78">
        <f>IF(OR(EJ$4=0,EJ48=""),"",IFERROR(ROUND(EJ48/INDEX(Undirviðmið!$F$6:$F$205,EJ$4)*INDEX(Undirviðmið!$E$6:$E$205,EJ$4)*KVARDI,2),""))</f>
        <v/>
      </c>
      <c r="EL48" s="66" t="n"/>
      <c r="EM48" s="78">
        <f>IF(OR(EL$4=0,EL48=""),"",IFERROR(ROUND(EL48/INDEX(Undirviðmið!$F$6:$F$205,EL$4)*INDEX(Undirviðmið!$E$6:$E$205,EL$4)*KVARDI,2),""))</f>
        <v/>
      </c>
      <c r="EN48" s="66" t="n"/>
      <c r="EO48" s="78">
        <f>IF(OR(EN$4=0,EN48=""),"",IFERROR(ROUND(EN48/INDEX(Undirviðmið!$F$6:$F$205,EN$4)*INDEX(Undirviðmið!$E$6:$E$205,EN$4)*KVARDI,2),""))</f>
        <v/>
      </c>
      <c r="EP48" s="66" t="n"/>
      <c r="EQ48" s="78">
        <f>IF(OR(EP$4=0,EP48=""),"",IFERROR(ROUND(EP48/INDEX(Undirviðmið!$F$6:$F$205,EP$4)*INDEX(Undirviðmið!$E$6:$E$205,EP$4)*KVARDI,2),""))</f>
        <v/>
      </c>
      <c r="ER48" s="66" t="n"/>
      <c r="ES48" s="78">
        <f>IF(OR(ER$4=0,ER48=""),"",IFERROR(ROUND(ER48/INDEX(Undirviðmið!$F$6:$F$205,ER$4)*INDEX(Undirviðmið!$E$6:$E$205,ER$4)*KVARDI,2),""))</f>
        <v/>
      </c>
      <c r="ET48" s="66" t="n"/>
      <c r="EU48" s="78">
        <f>IF(OR(ET$4=0,ET48=""),"",IFERROR(ROUND(ET48/INDEX(Undirviðmið!$F$6:$F$205,ET$4)*INDEX(Undirviðmið!$E$6:$E$205,ET$4)*KVARDI,2),""))</f>
        <v/>
      </c>
      <c r="EV48" s="66" t="n"/>
      <c r="EW48" s="78">
        <f>IF(OR(EV$4=0,EV48=""),"",IFERROR(ROUND(EV48/INDEX(Undirviðmið!$F$6:$F$205,EV$4)*INDEX(Undirviðmið!$E$6:$E$205,EV$4)*KVARDI,2),""))</f>
        <v/>
      </c>
      <c r="EX48" s="66" t="n"/>
      <c r="EY48" s="78">
        <f>IF(OR(EX$4=0,EX48=""),"",IFERROR(ROUND(EX48/INDEX(Undirviðmið!$F$6:$F$205,EX$4)*INDEX(Undirviðmið!$E$6:$E$205,EX$4)*KVARDI,2),""))</f>
        <v/>
      </c>
      <c r="EZ48" s="66" t="n"/>
      <c r="FA48" s="78">
        <f>IF(OR(EZ$4=0,EZ48=""),"",IFERROR(ROUND(EZ48/INDEX(Undirviðmið!$F$6:$F$205,EZ$4)*INDEX(Undirviðmið!$E$6:$E$205,EZ$4)*KVARDI,2),""))</f>
        <v/>
      </c>
      <c r="FB48" s="66" t="n"/>
      <c r="FC48" s="78">
        <f>IF(OR(FB$4=0,FB48=""),"",IFERROR(ROUND(FB48/INDEX(Undirviðmið!$F$6:$F$205,FB$4)*INDEX(Undirviðmið!$E$6:$E$205,FB$4)*KVARDI,2),""))</f>
        <v/>
      </c>
      <c r="FD48" s="66" t="n"/>
      <c r="FE48" s="78">
        <f>IF(OR(FD$4=0,FD48=""),"",IFERROR(ROUND(FD48/INDEX(Undirviðmið!$F$6:$F$205,FD$4)*INDEX(Undirviðmið!$E$6:$E$205,FD$4)*KVARDI,2),""))</f>
        <v/>
      </c>
      <c r="FF48" s="66" t="n"/>
      <c r="FG48" s="78">
        <f>IF(OR(FF$4=0,FF48=""),"",IFERROR(ROUND(FF48/INDEX(Undirviðmið!$F$6:$F$205,FF$4)*INDEX(Undirviðmið!$E$6:$E$205,FF$4)*KVARDI,2),""))</f>
        <v/>
      </c>
      <c r="FH48" s="66" t="n"/>
      <c r="FI48" s="78">
        <f>IF(OR(FH$4=0,FH48=""),"",IFERROR(ROUND(FH48/INDEX(Undirviðmið!$F$6:$F$205,FH$4)*INDEX(Undirviðmið!$E$6:$E$205,FH$4)*KVARDI,2),""))</f>
        <v/>
      </c>
      <c r="FJ48" s="66" t="n"/>
      <c r="FK48" s="78">
        <f>IF(OR(FJ$4=0,FJ48=""),"",IFERROR(ROUND(FJ48/INDEX(Undirviðmið!$F$6:$F$205,FJ$4)*INDEX(Undirviðmið!$E$6:$E$205,FJ$4)*KVARDI,2),""))</f>
        <v/>
      </c>
      <c r="FL48" s="66" t="n"/>
      <c r="FM48" s="78">
        <f>IF(OR(FL$4=0,FL48=""),"",IFERROR(ROUND(FL48/INDEX(Undirviðmið!$F$6:$F$205,FL$4)*INDEX(Undirviðmið!$E$6:$E$205,FL$4)*KVARDI,2),""))</f>
        <v/>
      </c>
      <c r="FN48" s="66" t="n"/>
      <c r="FO48" s="78">
        <f>IF(OR(FN$4=0,FN48=""),"",IFERROR(ROUND(FN48/INDEX(Undirviðmið!$F$6:$F$205,FN$4)*INDEX(Undirviðmið!$E$6:$E$205,FN$4)*KVARDI,2),""))</f>
        <v/>
      </c>
      <c r="FP48" s="66" t="n"/>
      <c r="FQ48" s="78">
        <f>IF(OR(FP$4=0,FP48=""),"",IFERROR(ROUND(FP48/INDEX(Undirviðmið!$F$6:$F$205,FP$4)*INDEX(Undirviðmið!$E$6:$E$205,FP$4)*KVARDI,2),""))</f>
        <v/>
      </c>
      <c r="FR48" s="66" t="n"/>
      <c r="FS48" s="78">
        <f>IF(OR(FR$4=0,FR48=""),"",IFERROR(ROUND(FR48/INDEX(Undirviðmið!$F$6:$F$205,FR$4)*INDEX(Undirviðmið!$E$6:$E$205,FR$4)*KVARDI,2),""))</f>
        <v/>
      </c>
      <c r="FT48" s="66" t="n"/>
      <c r="FU48" s="78">
        <f>IF(OR(FT$4=0,FT48=""),"",IFERROR(ROUND(FT48/INDEX(Undirviðmið!$F$6:$F$205,FT$4)*INDEX(Undirviðmið!$E$6:$E$205,FT$4)*KVARDI,2),""))</f>
        <v/>
      </c>
      <c r="FV48" s="66" t="n"/>
      <c r="FW48" s="78">
        <f>IF(OR(FV$4=0,FV48=""),"",IFERROR(ROUND(FV48/INDEX(Undirviðmið!$F$6:$F$205,FV$4)*INDEX(Undirviðmið!$E$6:$E$205,FV$4)*KVARDI,2),""))</f>
        <v/>
      </c>
      <c r="FX48" s="66" t="n"/>
      <c r="FY48" s="78">
        <f>IF(OR(FX$4=0,FX48=""),"",IFERROR(ROUND(FX48/INDEX(Undirviðmið!$F$6:$F$205,FX$4)*INDEX(Undirviðmið!$E$6:$E$205,FX$4)*KVARDI,2),""))</f>
        <v/>
      </c>
      <c r="FZ48" s="66" t="n"/>
      <c r="GA48" s="78">
        <f>IF(OR(FZ$4=0,FZ48=""),"",IFERROR(ROUND(FZ48/INDEX(Undirviðmið!$F$6:$F$205,FZ$4)*INDEX(Undirviðmið!$E$6:$E$205,FZ$4)*KVARDI,2),""))</f>
        <v/>
      </c>
      <c r="GB48" s="66" t="n"/>
      <c r="GC48" s="78">
        <f>IF(OR(GB$4=0,GB48=""),"",IFERROR(ROUND(GB48/INDEX(Undirviðmið!$F$6:$F$205,GB$4)*INDEX(Undirviðmið!$E$6:$E$205,GB$4)*KVARDI,2),""))</f>
        <v/>
      </c>
      <c r="GD48" s="66" t="n"/>
      <c r="GE48" s="78">
        <f>IF(OR(GD$4=0,GD48=""),"",IFERROR(ROUND(GD48/INDEX(Undirviðmið!$F$6:$F$205,GD$4)*INDEX(Undirviðmið!$E$6:$E$205,GD$4)*KVARDI,2),""))</f>
        <v/>
      </c>
      <c r="GF48" s="66" t="n"/>
      <c r="GG48" s="78">
        <f>IF(OR(GF$4=0,GF48=""),"",IFERROR(ROUND(GF48/INDEX(Undirviðmið!$F$6:$F$205,GF$4)*INDEX(Undirviðmið!$E$6:$E$205,GF$4)*KVARDI,2),""))</f>
        <v/>
      </c>
      <c r="GH48" s="66" t="n"/>
      <c r="GI48" s="78">
        <f>IF(OR(GH$4=0,GH48=""),"",IFERROR(ROUND(GH48/INDEX(Undirviðmið!$F$6:$F$205,GH$4)*INDEX(Undirviðmið!$E$6:$E$205,GH$4)*KVARDI,2),""))</f>
        <v/>
      </c>
      <c r="GJ48" s="66" t="n"/>
      <c r="GK48" s="78">
        <f>IF(OR(GJ$4=0,GJ48=""),"",IFERROR(ROUND(GJ48/INDEX(Undirviðmið!$F$6:$F$205,GJ$4)*INDEX(Undirviðmið!$E$6:$E$205,GJ$4)*KVARDI,2),""))</f>
        <v/>
      </c>
      <c r="GL48" s="66" t="n"/>
      <c r="GM48" s="78">
        <f>IF(OR(GL$4=0,GL48=""),"",IFERROR(ROUND(GL48/INDEX(Undirviðmið!$F$6:$F$205,GL$4)*INDEX(Undirviðmið!$E$6:$E$205,GL$4)*KVARDI,2),""))</f>
        <v/>
      </c>
      <c r="GN48" s="66" t="n"/>
      <c r="GO48" s="78">
        <f>IF(OR(GN$4=0,GN48=""),"",IFERROR(ROUND(GN48/INDEX(Undirviðmið!$F$6:$F$205,GN$4)*INDEX(Undirviðmið!$E$6:$E$205,GN$4)*KVARDI,2),""))</f>
        <v/>
      </c>
      <c r="GP48" s="66" t="n"/>
      <c r="GQ48" s="78">
        <f>IF(OR(GP$4=0,GP48=""),"",IFERROR(ROUND(GP48/INDEX(Undirviðmið!$F$6:$F$205,GP$4)*INDEX(Undirviðmið!$E$6:$E$205,GP$4)*KVARDI,2),""))</f>
        <v/>
      </c>
      <c r="GR48" s="66" t="n"/>
      <c r="GS48" s="78">
        <f>IF(OR(GR$4=0,GR48=""),"",IFERROR(ROUND(GR48/INDEX(Undirviðmið!$F$6:$F$205,GR$4)*INDEX(Undirviðmið!$E$6:$E$205,GR$4)*KVARDI,2),""))</f>
        <v/>
      </c>
      <c r="GT48" s="66" t="n"/>
      <c r="GU48" s="78">
        <f>IF(OR(GT$4=0,GT48=""),"",IFERROR(ROUND(GT48/INDEX(Undirviðmið!$F$6:$F$205,GT$4)*INDEX(Undirviðmið!$E$6:$E$205,GT$4)*KVARDI,2),""))</f>
        <v/>
      </c>
      <c r="GV48" s="63">
        <f>IFERROR(SUMIF($D$6:GU$6,"Stig",$D48:GU48),0)</f>
        <v/>
      </c>
    </row>
    <row r="49" ht="15" customHeight="1" s="47">
      <c r="A49" s="65">
        <f>ROW()-6</f>
        <v/>
      </c>
      <c r="B49" s="67">
        <f>IF(INDEX(Starfsmenn!$B$6:$B$10005,ROW()-6)="","",INDEX(Starfsmenn!$B$6:$B$10005,ROW()-6))</f>
        <v/>
      </c>
      <c r="C49" s="67">
        <f>IF(INDEX(Starfsmenn!$C$6:$C$10005,ROW()-6)="","",INDEX(Starfsmenn!$C$6:$C$10005,ROW()-6))</f>
        <v/>
      </c>
      <c r="D49" s="66" t="n"/>
      <c r="E49" s="78">
        <f>IF(OR(D$4=0,D49=""),"",IFERROR(ROUND(D49/INDEX(Undirviðmið!$F$6:$F$205,D$4)*INDEX(Undirviðmið!$E$6:$E$205,D$4)*KVARDI,2),""))</f>
        <v/>
      </c>
      <c r="F49" s="66" t="n"/>
      <c r="G49" s="78">
        <f>IF(OR(F$4=0,F49=""),"",IFERROR(ROUND(F49/INDEX(Undirviðmið!$F$6:$F$205,F$4)*INDEX(Undirviðmið!$E$6:$E$205,F$4)*KVARDI,2),""))</f>
        <v/>
      </c>
      <c r="H49" s="66" t="n"/>
      <c r="I49" s="78">
        <f>IF(OR(H$4=0,H49=""),"",IFERROR(ROUND(H49/INDEX(Undirviðmið!$F$6:$F$205,H$4)*INDEX(Undirviðmið!$E$6:$E$205,H$4)*KVARDI,2),""))</f>
        <v/>
      </c>
      <c r="J49" s="66" t="n"/>
      <c r="K49" s="78">
        <f>IF(OR(J$4=0,J49=""),"",IFERROR(ROUND(J49/INDEX(Undirviðmið!$F$6:$F$205,J$4)*INDEX(Undirviðmið!$E$6:$E$205,J$4)*KVARDI,2),""))</f>
        <v/>
      </c>
      <c r="L49" s="66" t="n"/>
      <c r="M49" s="78">
        <f>IF(OR(L$4=0,L49=""),"",IFERROR(ROUND(L49/INDEX(Undirviðmið!$F$6:$F$205,L$4)*INDEX(Undirviðmið!$E$6:$E$205,L$4)*KVARDI,2),""))</f>
        <v/>
      </c>
      <c r="N49" s="66" t="n"/>
      <c r="O49" s="78">
        <f>IF(OR(N$4=0,N49=""),"",IFERROR(ROUND(N49/INDEX(Undirviðmið!$F$6:$F$205,N$4)*INDEX(Undirviðmið!$E$6:$E$205,N$4)*KVARDI,2),""))</f>
        <v/>
      </c>
      <c r="P49" s="66" t="n"/>
      <c r="Q49" s="78">
        <f>IF(OR(P$4=0,P49=""),"",IFERROR(ROUND(P49/INDEX(Undirviðmið!$F$6:$F$205,P$4)*INDEX(Undirviðmið!$E$6:$E$205,P$4)*KVARDI,2),""))</f>
        <v/>
      </c>
      <c r="R49" s="66" t="n"/>
      <c r="S49" s="78">
        <f>IF(OR(R$4=0,R49=""),"",IFERROR(ROUND(R49/INDEX(Undirviðmið!$F$6:$F$205,R$4)*INDEX(Undirviðmið!$E$6:$E$205,R$4)*KVARDI,2),""))</f>
        <v/>
      </c>
      <c r="T49" s="66" t="n"/>
      <c r="U49" s="78">
        <f>IF(OR(T$4=0,T49=""),"",IFERROR(ROUND(T49/INDEX(Undirviðmið!$F$6:$F$205,T$4)*INDEX(Undirviðmið!$E$6:$E$205,T$4)*KVARDI,2),""))</f>
        <v/>
      </c>
      <c r="V49" s="66" t="n"/>
      <c r="W49" s="78">
        <f>IF(OR(V$4=0,V49=""),"",IFERROR(ROUND(V49/INDEX(Undirviðmið!$F$6:$F$205,V$4)*INDEX(Undirviðmið!$E$6:$E$205,V$4)*KVARDI,2),""))</f>
        <v/>
      </c>
      <c r="X49" s="66" t="n"/>
      <c r="Y49" s="78">
        <f>IF(OR(X$4=0,X49=""),"",IFERROR(ROUND(X49/INDEX(Undirviðmið!$F$6:$F$205,X$4)*INDEX(Undirviðmið!$E$6:$E$205,X$4)*KVARDI,2),""))</f>
        <v/>
      </c>
      <c r="Z49" s="66" t="n"/>
      <c r="AA49" s="78">
        <f>IF(OR(Z$4=0,Z49=""),"",IFERROR(ROUND(Z49/INDEX(Undirviðmið!$F$6:$F$205,Z$4)*INDEX(Undirviðmið!$E$6:$E$205,Z$4)*KVARDI,2),""))</f>
        <v/>
      </c>
      <c r="AB49" s="66" t="n"/>
      <c r="AC49" s="78">
        <f>IF(OR(AB$4=0,AB49=""),"",IFERROR(ROUND(AB49/INDEX(Undirviðmið!$F$6:$F$205,AB$4)*INDEX(Undirviðmið!$E$6:$E$205,AB$4)*KVARDI,2),""))</f>
        <v/>
      </c>
      <c r="AD49" s="66" t="n"/>
      <c r="AE49" s="78">
        <f>IF(OR(AD$4=0,AD49=""),"",IFERROR(ROUND(AD49/INDEX(Undirviðmið!$F$6:$F$205,AD$4)*INDEX(Undirviðmið!$E$6:$E$205,AD$4)*KVARDI,2),""))</f>
        <v/>
      </c>
      <c r="AF49" s="66" t="n"/>
      <c r="AG49" s="78">
        <f>IF(OR(AF$4=0,AF49=""),"",IFERROR(ROUND(AF49/INDEX(Undirviðmið!$F$6:$F$205,AF$4)*INDEX(Undirviðmið!$E$6:$E$205,AF$4)*KVARDI,2),""))</f>
        <v/>
      </c>
      <c r="AH49" s="66" t="n"/>
      <c r="AI49" s="78">
        <f>IF(OR(AH$4=0,AH49=""),"",IFERROR(ROUND(AH49/INDEX(Undirviðmið!$F$6:$F$205,AH$4)*INDEX(Undirviðmið!$E$6:$E$205,AH$4)*KVARDI,2),""))</f>
        <v/>
      </c>
      <c r="AJ49" s="66" t="n"/>
      <c r="AK49" s="78">
        <f>IF(OR(AJ$4=0,AJ49=""),"",IFERROR(ROUND(AJ49/INDEX(Undirviðmið!$F$6:$F$205,AJ$4)*INDEX(Undirviðmið!$E$6:$E$205,AJ$4)*KVARDI,2),""))</f>
        <v/>
      </c>
      <c r="AL49" s="66" t="n"/>
      <c r="AM49" s="78">
        <f>IF(OR(AL$4=0,AL49=""),"",IFERROR(ROUND(AL49/INDEX(Undirviðmið!$F$6:$F$205,AL$4)*INDEX(Undirviðmið!$E$6:$E$205,AL$4)*KVARDI,2),""))</f>
        <v/>
      </c>
      <c r="AN49" s="66" t="n"/>
      <c r="AO49" s="78">
        <f>IF(OR(AN$4=0,AN49=""),"",IFERROR(ROUND(AN49/INDEX(Undirviðmið!$F$6:$F$205,AN$4)*INDEX(Undirviðmið!$E$6:$E$205,AN$4)*KVARDI,2),""))</f>
        <v/>
      </c>
      <c r="AP49" s="66" t="n"/>
      <c r="AQ49" s="78">
        <f>IF(OR(AP$4=0,AP49=""),"",IFERROR(ROUND(AP49/INDEX(Undirviðmið!$F$6:$F$205,AP$4)*INDEX(Undirviðmið!$E$6:$E$205,AP$4)*KVARDI,2),""))</f>
        <v/>
      </c>
      <c r="AR49" s="66" t="n"/>
      <c r="AS49" s="78">
        <f>IF(OR(AR$4=0,AR49=""),"",IFERROR(ROUND(AR49/INDEX(Undirviðmið!$F$6:$F$205,AR$4)*INDEX(Undirviðmið!$E$6:$E$205,AR$4)*KVARDI,2),""))</f>
        <v/>
      </c>
      <c r="AT49" s="66" t="n"/>
      <c r="AU49" s="78">
        <f>IF(OR(AT$4=0,AT49=""),"",IFERROR(ROUND(AT49/INDEX(Undirviðmið!$F$6:$F$205,AT$4)*INDEX(Undirviðmið!$E$6:$E$205,AT$4)*KVARDI,2),""))</f>
        <v/>
      </c>
      <c r="AV49" s="66" t="n"/>
      <c r="AW49" s="78">
        <f>IF(OR(AV$4=0,AV49=""),"",IFERROR(ROUND(AV49/INDEX(Undirviðmið!$F$6:$F$205,AV$4)*INDEX(Undirviðmið!$E$6:$E$205,AV$4)*KVARDI,2),""))</f>
        <v/>
      </c>
      <c r="AX49" s="66" t="n"/>
      <c r="AY49" s="78">
        <f>IF(OR(AX$4=0,AX49=""),"",IFERROR(ROUND(AX49/INDEX(Undirviðmið!$F$6:$F$205,AX$4)*INDEX(Undirviðmið!$E$6:$E$205,AX$4)*KVARDI,2),""))</f>
        <v/>
      </c>
      <c r="AZ49" s="66" t="n"/>
      <c r="BA49" s="78">
        <f>IF(OR(AZ$4=0,AZ49=""),"",IFERROR(ROUND(AZ49/INDEX(Undirviðmið!$F$6:$F$205,AZ$4)*INDEX(Undirviðmið!$E$6:$E$205,AZ$4)*KVARDI,2),""))</f>
        <v/>
      </c>
      <c r="BB49" s="66" t="n"/>
      <c r="BC49" s="78">
        <f>IF(OR(BB$4=0,BB49=""),"",IFERROR(ROUND(BB49/INDEX(Undirviðmið!$F$6:$F$205,BB$4)*INDEX(Undirviðmið!$E$6:$E$205,BB$4)*KVARDI,2),""))</f>
        <v/>
      </c>
      <c r="BD49" s="66" t="n"/>
      <c r="BE49" s="78">
        <f>IF(OR(BD$4=0,BD49=""),"",IFERROR(ROUND(BD49/INDEX(Undirviðmið!$F$6:$F$205,BD$4)*INDEX(Undirviðmið!$E$6:$E$205,BD$4)*KVARDI,2),""))</f>
        <v/>
      </c>
      <c r="BF49" s="66" t="n"/>
      <c r="BG49" s="78">
        <f>IF(OR(BF$4=0,BF49=""),"",IFERROR(ROUND(BF49/INDEX(Undirviðmið!$F$6:$F$205,BF$4)*INDEX(Undirviðmið!$E$6:$E$205,BF$4)*KVARDI,2),""))</f>
        <v/>
      </c>
      <c r="BH49" s="66" t="n"/>
      <c r="BI49" s="78">
        <f>IF(OR(BH$4=0,BH49=""),"",IFERROR(ROUND(BH49/INDEX(Undirviðmið!$F$6:$F$205,BH$4)*INDEX(Undirviðmið!$E$6:$E$205,BH$4)*KVARDI,2),""))</f>
        <v/>
      </c>
      <c r="BJ49" s="66" t="n"/>
      <c r="BK49" s="78">
        <f>IF(OR(BJ$4=0,BJ49=""),"",IFERROR(ROUND(BJ49/INDEX(Undirviðmið!$F$6:$F$205,BJ$4)*INDEX(Undirviðmið!$E$6:$E$205,BJ$4)*KVARDI,2),""))</f>
        <v/>
      </c>
      <c r="BL49" s="66" t="n"/>
      <c r="BM49" s="78">
        <f>IF(OR(BL$4=0,BL49=""),"",IFERROR(ROUND(BL49/INDEX(Undirviðmið!$F$6:$F$205,BL$4)*INDEX(Undirviðmið!$E$6:$E$205,BL$4)*KVARDI,2),""))</f>
        <v/>
      </c>
      <c r="BN49" s="66" t="n"/>
      <c r="BO49" s="78">
        <f>IF(OR(BN$4=0,BN49=""),"",IFERROR(ROUND(BN49/INDEX(Undirviðmið!$F$6:$F$205,BN$4)*INDEX(Undirviðmið!$E$6:$E$205,BN$4)*KVARDI,2),""))</f>
        <v/>
      </c>
      <c r="BP49" s="66" t="n"/>
      <c r="BQ49" s="78">
        <f>IF(OR(BP$4=0,BP49=""),"",IFERROR(ROUND(BP49/INDEX(Undirviðmið!$F$6:$F$205,BP$4)*INDEX(Undirviðmið!$E$6:$E$205,BP$4)*KVARDI,2),""))</f>
        <v/>
      </c>
      <c r="BR49" s="66" t="n"/>
      <c r="BS49" s="78">
        <f>IF(OR(BR$4=0,BR49=""),"",IFERROR(ROUND(BR49/INDEX(Undirviðmið!$F$6:$F$205,BR$4)*INDEX(Undirviðmið!$E$6:$E$205,BR$4)*KVARDI,2),""))</f>
        <v/>
      </c>
      <c r="BT49" s="66" t="n"/>
      <c r="BU49" s="78">
        <f>IF(OR(BT$4=0,BT49=""),"",IFERROR(ROUND(BT49/INDEX(Undirviðmið!$F$6:$F$205,BT$4)*INDEX(Undirviðmið!$E$6:$E$205,BT$4)*KVARDI,2),""))</f>
        <v/>
      </c>
      <c r="BV49" s="66" t="n"/>
      <c r="BW49" s="78">
        <f>IF(OR(BV$4=0,BV49=""),"",IFERROR(ROUND(BV49/INDEX(Undirviðmið!$F$6:$F$205,BV$4)*INDEX(Undirviðmið!$E$6:$E$205,BV$4)*KVARDI,2),""))</f>
        <v/>
      </c>
      <c r="BX49" s="66" t="n"/>
      <c r="BY49" s="78">
        <f>IF(OR(BX$4=0,BX49=""),"",IFERROR(ROUND(BX49/INDEX(Undirviðmið!$F$6:$F$205,BX$4)*INDEX(Undirviðmið!$E$6:$E$205,BX$4)*KVARDI,2),""))</f>
        <v/>
      </c>
      <c r="BZ49" s="66" t="n"/>
      <c r="CA49" s="78">
        <f>IF(OR(BZ$4=0,BZ49=""),"",IFERROR(ROUND(BZ49/INDEX(Undirviðmið!$F$6:$F$205,BZ$4)*INDEX(Undirviðmið!$E$6:$E$205,BZ$4)*KVARDI,2),""))</f>
        <v/>
      </c>
      <c r="CB49" s="66" t="n"/>
      <c r="CC49" s="78">
        <f>IF(OR(CB$4=0,CB49=""),"",IFERROR(ROUND(CB49/INDEX(Undirviðmið!$F$6:$F$205,CB$4)*INDEX(Undirviðmið!$E$6:$E$205,CB$4)*KVARDI,2),""))</f>
        <v/>
      </c>
      <c r="CD49" s="66" t="n"/>
      <c r="CE49" s="78">
        <f>IF(OR(CD$4=0,CD49=""),"",IFERROR(ROUND(CD49/INDEX(Undirviðmið!$F$6:$F$205,CD$4)*INDEX(Undirviðmið!$E$6:$E$205,CD$4)*KVARDI,2),""))</f>
        <v/>
      </c>
      <c r="CF49" s="66" t="n"/>
      <c r="CG49" s="78">
        <f>IF(OR(CF$4=0,CF49=""),"",IFERROR(ROUND(CF49/INDEX(Undirviðmið!$F$6:$F$205,CF$4)*INDEX(Undirviðmið!$E$6:$E$205,CF$4)*KVARDI,2),""))</f>
        <v/>
      </c>
      <c r="CH49" s="66" t="n"/>
      <c r="CI49" s="78">
        <f>IF(OR(CH$4=0,CH49=""),"",IFERROR(ROUND(CH49/INDEX(Undirviðmið!$F$6:$F$205,CH$4)*INDEX(Undirviðmið!$E$6:$E$205,CH$4)*KVARDI,2),""))</f>
        <v/>
      </c>
      <c r="CJ49" s="66" t="n"/>
      <c r="CK49" s="78">
        <f>IF(OR(CJ$4=0,CJ49=""),"",IFERROR(ROUND(CJ49/INDEX(Undirviðmið!$F$6:$F$205,CJ$4)*INDEX(Undirviðmið!$E$6:$E$205,CJ$4)*KVARDI,2),""))</f>
        <v/>
      </c>
      <c r="CL49" s="66" t="n"/>
      <c r="CM49" s="78">
        <f>IF(OR(CL$4=0,CL49=""),"",IFERROR(ROUND(CL49/INDEX(Undirviðmið!$F$6:$F$205,CL$4)*INDEX(Undirviðmið!$E$6:$E$205,CL$4)*KVARDI,2),""))</f>
        <v/>
      </c>
      <c r="CN49" s="66" t="n"/>
      <c r="CO49" s="78">
        <f>IF(OR(CN$4=0,CN49=""),"",IFERROR(ROUND(CN49/INDEX(Undirviðmið!$F$6:$F$205,CN$4)*INDEX(Undirviðmið!$E$6:$E$205,CN$4)*KVARDI,2),""))</f>
        <v/>
      </c>
      <c r="CP49" s="66" t="n"/>
      <c r="CQ49" s="78">
        <f>IF(OR(CP$4=0,CP49=""),"",IFERROR(ROUND(CP49/INDEX(Undirviðmið!$F$6:$F$205,CP$4)*INDEX(Undirviðmið!$E$6:$E$205,CP$4)*KVARDI,2),""))</f>
        <v/>
      </c>
      <c r="CR49" s="66" t="n"/>
      <c r="CS49" s="78">
        <f>IF(OR(CR$4=0,CR49=""),"",IFERROR(ROUND(CR49/INDEX(Undirviðmið!$F$6:$F$205,CR$4)*INDEX(Undirviðmið!$E$6:$E$205,CR$4)*KVARDI,2),""))</f>
        <v/>
      </c>
      <c r="CT49" s="66" t="n"/>
      <c r="CU49" s="78">
        <f>IF(OR(CT$4=0,CT49=""),"",IFERROR(ROUND(CT49/INDEX(Undirviðmið!$F$6:$F$205,CT$4)*INDEX(Undirviðmið!$E$6:$E$205,CT$4)*KVARDI,2),""))</f>
        <v/>
      </c>
      <c r="CV49" s="66" t="n"/>
      <c r="CW49" s="78">
        <f>IF(OR(CV$4=0,CV49=""),"",IFERROR(ROUND(CV49/INDEX(Undirviðmið!$F$6:$F$205,CV$4)*INDEX(Undirviðmið!$E$6:$E$205,CV$4)*KVARDI,2),""))</f>
        <v/>
      </c>
      <c r="CX49" s="66" t="n"/>
      <c r="CY49" s="78">
        <f>IF(OR(CX$4=0,CX49=""),"",IFERROR(ROUND(CX49/INDEX(Undirviðmið!$F$6:$F$205,CX$4)*INDEX(Undirviðmið!$E$6:$E$205,CX$4)*KVARDI,2),""))</f>
        <v/>
      </c>
      <c r="CZ49" s="66" t="n"/>
      <c r="DA49" s="78">
        <f>IF(OR(CZ$4=0,CZ49=""),"",IFERROR(ROUND(CZ49/INDEX(Undirviðmið!$F$6:$F$205,CZ$4)*INDEX(Undirviðmið!$E$6:$E$205,CZ$4)*KVARDI,2),""))</f>
        <v/>
      </c>
      <c r="DB49" s="66" t="n"/>
      <c r="DC49" s="78">
        <f>IF(OR(DB$4=0,DB49=""),"",IFERROR(ROUND(DB49/INDEX(Undirviðmið!$F$6:$F$205,DB$4)*INDEX(Undirviðmið!$E$6:$E$205,DB$4)*KVARDI,2),""))</f>
        <v/>
      </c>
      <c r="DD49" s="66" t="n"/>
      <c r="DE49" s="78">
        <f>IF(OR(DD$4=0,DD49=""),"",IFERROR(ROUND(DD49/INDEX(Undirviðmið!$F$6:$F$205,DD$4)*INDEX(Undirviðmið!$E$6:$E$205,DD$4)*KVARDI,2),""))</f>
        <v/>
      </c>
      <c r="DF49" s="66" t="n"/>
      <c r="DG49" s="78">
        <f>IF(OR(DF$4=0,DF49=""),"",IFERROR(ROUND(DF49/INDEX(Undirviðmið!$F$6:$F$205,DF$4)*INDEX(Undirviðmið!$E$6:$E$205,DF$4)*KVARDI,2),""))</f>
        <v/>
      </c>
      <c r="DH49" s="66" t="n"/>
      <c r="DI49" s="78">
        <f>IF(OR(DH$4=0,DH49=""),"",IFERROR(ROUND(DH49/INDEX(Undirviðmið!$F$6:$F$205,DH$4)*INDEX(Undirviðmið!$E$6:$E$205,DH$4)*KVARDI,2),""))</f>
        <v/>
      </c>
      <c r="DJ49" s="66" t="n"/>
      <c r="DK49" s="78">
        <f>IF(OR(DJ$4=0,DJ49=""),"",IFERROR(ROUND(DJ49/INDEX(Undirviðmið!$F$6:$F$205,DJ$4)*INDEX(Undirviðmið!$E$6:$E$205,DJ$4)*KVARDI,2),""))</f>
        <v/>
      </c>
      <c r="DL49" s="66" t="n"/>
      <c r="DM49" s="78">
        <f>IF(OR(DL$4=0,DL49=""),"",IFERROR(ROUND(DL49/INDEX(Undirviðmið!$F$6:$F$205,DL$4)*INDEX(Undirviðmið!$E$6:$E$205,DL$4)*KVARDI,2),""))</f>
        <v/>
      </c>
      <c r="DN49" s="66" t="n"/>
      <c r="DO49" s="78">
        <f>IF(OR(DN$4=0,DN49=""),"",IFERROR(ROUND(DN49/INDEX(Undirviðmið!$F$6:$F$205,DN$4)*INDEX(Undirviðmið!$E$6:$E$205,DN$4)*KVARDI,2),""))</f>
        <v/>
      </c>
      <c r="DP49" s="66" t="n"/>
      <c r="DQ49" s="78">
        <f>IF(OR(DP$4=0,DP49=""),"",IFERROR(ROUND(DP49/INDEX(Undirviðmið!$F$6:$F$205,DP$4)*INDEX(Undirviðmið!$E$6:$E$205,DP$4)*KVARDI,2),""))</f>
        <v/>
      </c>
      <c r="DR49" s="66" t="n"/>
      <c r="DS49" s="78">
        <f>IF(OR(DR$4=0,DR49=""),"",IFERROR(ROUND(DR49/INDEX(Undirviðmið!$F$6:$F$205,DR$4)*INDEX(Undirviðmið!$E$6:$E$205,DR$4)*KVARDI,2),""))</f>
        <v/>
      </c>
      <c r="DT49" s="66" t="n"/>
      <c r="DU49" s="78">
        <f>IF(OR(DT$4=0,DT49=""),"",IFERROR(ROUND(DT49/INDEX(Undirviðmið!$F$6:$F$205,DT$4)*INDEX(Undirviðmið!$E$6:$E$205,DT$4)*KVARDI,2),""))</f>
        <v/>
      </c>
      <c r="DV49" s="66" t="n"/>
      <c r="DW49" s="78">
        <f>IF(OR(DV$4=0,DV49=""),"",IFERROR(ROUND(DV49/INDEX(Undirviðmið!$F$6:$F$205,DV$4)*INDEX(Undirviðmið!$E$6:$E$205,DV$4)*KVARDI,2),""))</f>
        <v/>
      </c>
      <c r="DX49" s="66" t="n"/>
      <c r="DY49" s="78">
        <f>IF(OR(DX$4=0,DX49=""),"",IFERROR(ROUND(DX49/INDEX(Undirviðmið!$F$6:$F$205,DX$4)*INDEX(Undirviðmið!$E$6:$E$205,DX$4)*KVARDI,2),""))</f>
        <v/>
      </c>
      <c r="DZ49" s="66" t="n"/>
      <c r="EA49" s="78">
        <f>IF(OR(DZ$4=0,DZ49=""),"",IFERROR(ROUND(DZ49/INDEX(Undirviðmið!$F$6:$F$205,DZ$4)*INDEX(Undirviðmið!$E$6:$E$205,DZ$4)*KVARDI,2),""))</f>
        <v/>
      </c>
      <c r="EB49" s="66" t="n"/>
      <c r="EC49" s="78">
        <f>IF(OR(EB$4=0,EB49=""),"",IFERROR(ROUND(EB49/INDEX(Undirviðmið!$F$6:$F$205,EB$4)*INDEX(Undirviðmið!$E$6:$E$205,EB$4)*KVARDI,2),""))</f>
        <v/>
      </c>
      <c r="ED49" s="66" t="n"/>
      <c r="EE49" s="78">
        <f>IF(OR(ED$4=0,ED49=""),"",IFERROR(ROUND(ED49/INDEX(Undirviðmið!$F$6:$F$205,ED$4)*INDEX(Undirviðmið!$E$6:$E$205,ED$4)*KVARDI,2),""))</f>
        <v/>
      </c>
      <c r="EF49" s="66" t="n"/>
      <c r="EG49" s="78">
        <f>IF(OR(EF$4=0,EF49=""),"",IFERROR(ROUND(EF49/INDEX(Undirviðmið!$F$6:$F$205,EF$4)*INDEX(Undirviðmið!$E$6:$E$205,EF$4)*KVARDI,2),""))</f>
        <v/>
      </c>
      <c r="EH49" s="66" t="n"/>
      <c r="EI49" s="78">
        <f>IF(OR(EH$4=0,EH49=""),"",IFERROR(ROUND(EH49/INDEX(Undirviðmið!$F$6:$F$205,EH$4)*INDEX(Undirviðmið!$E$6:$E$205,EH$4)*KVARDI,2),""))</f>
        <v/>
      </c>
      <c r="EJ49" s="66" t="n"/>
      <c r="EK49" s="78">
        <f>IF(OR(EJ$4=0,EJ49=""),"",IFERROR(ROUND(EJ49/INDEX(Undirviðmið!$F$6:$F$205,EJ$4)*INDEX(Undirviðmið!$E$6:$E$205,EJ$4)*KVARDI,2),""))</f>
        <v/>
      </c>
      <c r="EL49" s="66" t="n"/>
      <c r="EM49" s="78">
        <f>IF(OR(EL$4=0,EL49=""),"",IFERROR(ROUND(EL49/INDEX(Undirviðmið!$F$6:$F$205,EL$4)*INDEX(Undirviðmið!$E$6:$E$205,EL$4)*KVARDI,2),""))</f>
        <v/>
      </c>
      <c r="EN49" s="66" t="n"/>
      <c r="EO49" s="78">
        <f>IF(OR(EN$4=0,EN49=""),"",IFERROR(ROUND(EN49/INDEX(Undirviðmið!$F$6:$F$205,EN$4)*INDEX(Undirviðmið!$E$6:$E$205,EN$4)*KVARDI,2),""))</f>
        <v/>
      </c>
      <c r="EP49" s="66" t="n"/>
      <c r="EQ49" s="78">
        <f>IF(OR(EP$4=0,EP49=""),"",IFERROR(ROUND(EP49/INDEX(Undirviðmið!$F$6:$F$205,EP$4)*INDEX(Undirviðmið!$E$6:$E$205,EP$4)*KVARDI,2),""))</f>
        <v/>
      </c>
      <c r="ER49" s="66" t="n"/>
      <c r="ES49" s="78">
        <f>IF(OR(ER$4=0,ER49=""),"",IFERROR(ROUND(ER49/INDEX(Undirviðmið!$F$6:$F$205,ER$4)*INDEX(Undirviðmið!$E$6:$E$205,ER$4)*KVARDI,2),""))</f>
        <v/>
      </c>
      <c r="ET49" s="66" t="n"/>
      <c r="EU49" s="78">
        <f>IF(OR(ET$4=0,ET49=""),"",IFERROR(ROUND(ET49/INDEX(Undirviðmið!$F$6:$F$205,ET$4)*INDEX(Undirviðmið!$E$6:$E$205,ET$4)*KVARDI,2),""))</f>
        <v/>
      </c>
      <c r="EV49" s="66" t="n"/>
      <c r="EW49" s="78">
        <f>IF(OR(EV$4=0,EV49=""),"",IFERROR(ROUND(EV49/INDEX(Undirviðmið!$F$6:$F$205,EV$4)*INDEX(Undirviðmið!$E$6:$E$205,EV$4)*KVARDI,2),""))</f>
        <v/>
      </c>
      <c r="EX49" s="66" t="n"/>
      <c r="EY49" s="78">
        <f>IF(OR(EX$4=0,EX49=""),"",IFERROR(ROUND(EX49/INDEX(Undirviðmið!$F$6:$F$205,EX$4)*INDEX(Undirviðmið!$E$6:$E$205,EX$4)*KVARDI,2),""))</f>
        <v/>
      </c>
      <c r="EZ49" s="66" t="n"/>
      <c r="FA49" s="78">
        <f>IF(OR(EZ$4=0,EZ49=""),"",IFERROR(ROUND(EZ49/INDEX(Undirviðmið!$F$6:$F$205,EZ$4)*INDEX(Undirviðmið!$E$6:$E$205,EZ$4)*KVARDI,2),""))</f>
        <v/>
      </c>
      <c r="FB49" s="66" t="n"/>
      <c r="FC49" s="78">
        <f>IF(OR(FB$4=0,FB49=""),"",IFERROR(ROUND(FB49/INDEX(Undirviðmið!$F$6:$F$205,FB$4)*INDEX(Undirviðmið!$E$6:$E$205,FB$4)*KVARDI,2),""))</f>
        <v/>
      </c>
      <c r="FD49" s="66" t="n"/>
      <c r="FE49" s="78">
        <f>IF(OR(FD$4=0,FD49=""),"",IFERROR(ROUND(FD49/INDEX(Undirviðmið!$F$6:$F$205,FD$4)*INDEX(Undirviðmið!$E$6:$E$205,FD$4)*KVARDI,2),""))</f>
        <v/>
      </c>
      <c r="FF49" s="66" t="n"/>
      <c r="FG49" s="78">
        <f>IF(OR(FF$4=0,FF49=""),"",IFERROR(ROUND(FF49/INDEX(Undirviðmið!$F$6:$F$205,FF$4)*INDEX(Undirviðmið!$E$6:$E$205,FF$4)*KVARDI,2),""))</f>
        <v/>
      </c>
      <c r="FH49" s="66" t="n"/>
      <c r="FI49" s="78">
        <f>IF(OR(FH$4=0,FH49=""),"",IFERROR(ROUND(FH49/INDEX(Undirviðmið!$F$6:$F$205,FH$4)*INDEX(Undirviðmið!$E$6:$E$205,FH$4)*KVARDI,2),""))</f>
        <v/>
      </c>
      <c r="FJ49" s="66" t="n"/>
      <c r="FK49" s="78">
        <f>IF(OR(FJ$4=0,FJ49=""),"",IFERROR(ROUND(FJ49/INDEX(Undirviðmið!$F$6:$F$205,FJ$4)*INDEX(Undirviðmið!$E$6:$E$205,FJ$4)*KVARDI,2),""))</f>
        <v/>
      </c>
      <c r="FL49" s="66" t="n"/>
      <c r="FM49" s="78">
        <f>IF(OR(FL$4=0,FL49=""),"",IFERROR(ROUND(FL49/INDEX(Undirviðmið!$F$6:$F$205,FL$4)*INDEX(Undirviðmið!$E$6:$E$205,FL$4)*KVARDI,2),""))</f>
        <v/>
      </c>
      <c r="FN49" s="66" t="n"/>
      <c r="FO49" s="78">
        <f>IF(OR(FN$4=0,FN49=""),"",IFERROR(ROUND(FN49/INDEX(Undirviðmið!$F$6:$F$205,FN$4)*INDEX(Undirviðmið!$E$6:$E$205,FN$4)*KVARDI,2),""))</f>
        <v/>
      </c>
      <c r="FP49" s="66" t="n"/>
      <c r="FQ49" s="78">
        <f>IF(OR(FP$4=0,FP49=""),"",IFERROR(ROUND(FP49/INDEX(Undirviðmið!$F$6:$F$205,FP$4)*INDEX(Undirviðmið!$E$6:$E$205,FP$4)*KVARDI,2),""))</f>
        <v/>
      </c>
      <c r="FR49" s="66" t="n"/>
      <c r="FS49" s="78">
        <f>IF(OR(FR$4=0,FR49=""),"",IFERROR(ROUND(FR49/INDEX(Undirviðmið!$F$6:$F$205,FR$4)*INDEX(Undirviðmið!$E$6:$E$205,FR$4)*KVARDI,2),""))</f>
        <v/>
      </c>
      <c r="FT49" s="66" t="n"/>
      <c r="FU49" s="78">
        <f>IF(OR(FT$4=0,FT49=""),"",IFERROR(ROUND(FT49/INDEX(Undirviðmið!$F$6:$F$205,FT$4)*INDEX(Undirviðmið!$E$6:$E$205,FT$4)*KVARDI,2),""))</f>
        <v/>
      </c>
      <c r="FV49" s="66" t="n"/>
      <c r="FW49" s="78">
        <f>IF(OR(FV$4=0,FV49=""),"",IFERROR(ROUND(FV49/INDEX(Undirviðmið!$F$6:$F$205,FV$4)*INDEX(Undirviðmið!$E$6:$E$205,FV$4)*KVARDI,2),""))</f>
        <v/>
      </c>
      <c r="FX49" s="66" t="n"/>
      <c r="FY49" s="78">
        <f>IF(OR(FX$4=0,FX49=""),"",IFERROR(ROUND(FX49/INDEX(Undirviðmið!$F$6:$F$205,FX$4)*INDEX(Undirviðmið!$E$6:$E$205,FX$4)*KVARDI,2),""))</f>
        <v/>
      </c>
      <c r="FZ49" s="66" t="n"/>
      <c r="GA49" s="78">
        <f>IF(OR(FZ$4=0,FZ49=""),"",IFERROR(ROUND(FZ49/INDEX(Undirviðmið!$F$6:$F$205,FZ$4)*INDEX(Undirviðmið!$E$6:$E$205,FZ$4)*KVARDI,2),""))</f>
        <v/>
      </c>
      <c r="GB49" s="66" t="n"/>
      <c r="GC49" s="78">
        <f>IF(OR(GB$4=0,GB49=""),"",IFERROR(ROUND(GB49/INDEX(Undirviðmið!$F$6:$F$205,GB$4)*INDEX(Undirviðmið!$E$6:$E$205,GB$4)*KVARDI,2),""))</f>
        <v/>
      </c>
      <c r="GD49" s="66" t="n"/>
      <c r="GE49" s="78">
        <f>IF(OR(GD$4=0,GD49=""),"",IFERROR(ROUND(GD49/INDEX(Undirviðmið!$F$6:$F$205,GD$4)*INDEX(Undirviðmið!$E$6:$E$205,GD$4)*KVARDI,2),""))</f>
        <v/>
      </c>
      <c r="GF49" s="66" t="n"/>
      <c r="GG49" s="78">
        <f>IF(OR(GF$4=0,GF49=""),"",IFERROR(ROUND(GF49/INDEX(Undirviðmið!$F$6:$F$205,GF$4)*INDEX(Undirviðmið!$E$6:$E$205,GF$4)*KVARDI,2),""))</f>
        <v/>
      </c>
      <c r="GH49" s="66" t="n"/>
      <c r="GI49" s="78">
        <f>IF(OR(GH$4=0,GH49=""),"",IFERROR(ROUND(GH49/INDEX(Undirviðmið!$F$6:$F$205,GH$4)*INDEX(Undirviðmið!$E$6:$E$205,GH$4)*KVARDI,2),""))</f>
        <v/>
      </c>
      <c r="GJ49" s="66" t="n"/>
      <c r="GK49" s="78">
        <f>IF(OR(GJ$4=0,GJ49=""),"",IFERROR(ROUND(GJ49/INDEX(Undirviðmið!$F$6:$F$205,GJ$4)*INDEX(Undirviðmið!$E$6:$E$205,GJ$4)*KVARDI,2),""))</f>
        <v/>
      </c>
      <c r="GL49" s="66" t="n"/>
      <c r="GM49" s="78">
        <f>IF(OR(GL$4=0,GL49=""),"",IFERROR(ROUND(GL49/INDEX(Undirviðmið!$F$6:$F$205,GL$4)*INDEX(Undirviðmið!$E$6:$E$205,GL$4)*KVARDI,2),""))</f>
        <v/>
      </c>
      <c r="GN49" s="66" t="n"/>
      <c r="GO49" s="78">
        <f>IF(OR(GN$4=0,GN49=""),"",IFERROR(ROUND(GN49/INDEX(Undirviðmið!$F$6:$F$205,GN$4)*INDEX(Undirviðmið!$E$6:$E$205,GN$4)*KVARDI,2),""))</f>
        <v/>
      </c>
      <c r="GP49" s="66" t="n"/>
      <c r="GQ49" s="78">
        <f>IF(OR(GP$4=0,GP49=""),"",IFERROR(ROUND(GP49/INDEX(Undirviðmið!$F$6:$F$205,GP$4)*INDEX(Undirviðmið!$E$6:$E$205,GP$4)*KVARDI,2),""))</f>
        <v/>
      </c>
      <c r="GR49" s="66" t="n"/>
      <c r="GS49" s="78">
        <f>IF(OR(GR$4=0,GR49=""),"",IFERROR(ROUND(GR49/INDEX(Undirviðmið!$F$6:$F$205,GR$4)*INDEX(Undirviðmið!$E$6:$E$205,GR$4)*KVARDI,2),""))</f>
        <v/>
      </c>
      <c r="GT49" s="66" t="n"/>
      <c r="GU49" s="78">
        <f>IF(OR(GT$4=0,GT49=""),"",IFERROR(ROUND(GT49/INDEX(Undirviðmið!$F$6:$F$205,GT$4)*INDEX(Undirviðmið!$E$6:$E$205,GT$4)*KVARDI,2),""))</f>
        <v/>
      </c>
      <c r="GV49" s="63">
        <f>IFERROR(SUMIF($D$6:GU$6,"Stig",$D49:GU49),0)</f>
        <v/>
      </c>
    </row>
    <row r="50" ht="15" customHeight="1" s="47">
      <c r="A50" s="65">
        <f>ROW()-6</f>
        <v/>
      </c>
      <c r="B50" s="67">
        <f>IF(INDEX(Starfsmenn!$B$6:$B$10005,ROW()-6)="","",INDEX(Starfsmenn!$B$6:$B$10005,ROW()-6))</f>
        <v/>
      </c>
      <c r="C50" s="67">
        <f>IF(INDEX(Starfsmenn!$C$6:$C$10005,ROW()-6)="","",INDEX(Starfsmenn!$C$6:$C$10005,ROW()-6))</f>
        <v/>
      </c>
      <c r="D50" s="66" t="n"/>
      <c r="E50" s="78">
        <f>IF(OR(D$4=0,D50=""),"",IFERROR(ROUND(D50/INDEX(Undirviðmið!$F$6:$F$205,D$4)*INDEX(Undirviðmið!$E$6:$E$205,D$4)*KVARDI,2),""))</f>
        <v/>
      </c>
      <c r="F50" s="66" t="n"/>
      <c r="G50" s="78">
        <f>IF(OR(F$4=0,F50=""),"",IFERROR(ROUND(F50/INDEX(Undirviðmið!$F$6:$F$205,F$4)*INDEX(Undirviðmið!$E$6:$E$205,F$4)*KVARDI,2),""))</f>
        <v/>
      </c>
      <c r="H50" s="66" t="n"/>
      <c r="I50" s="78">
        <f>IF(OR(H$4=0,H50=""),"",IFERROR(ROUND(H50/INDEX(Undirviðmið!$F$6:$F$205,H$4)*INDEX(Undirviðmið!$E$6:$E$205,H$4)*KVARDI,2),""))</f>
        <v/>
      </c>
      <c r="J50" s="66" t="n"/>
      <c r="K50" s="78">
        <f>IF(OR(J$4=0,J50=""),"",IFERROR(ROUND(J50/INDEX(Undirviðmið!$F$6:$F$205,J$4)*INDEX(Undirviðmið!$E$6:$E$205,J$4)*KVARDI,2),""))</f>
        <v/>
      </c>
      <c r="L50" s="66" t="n"/>
      <c r="M50" s="78">
        <f>IF(OR(L$4=0,L50=""),"",IFERROR(ROUND(L50/INDEX(Undirviðmið!$F$6:$F$205,L$4)*INDEX(Undirviðmið!$E$6:$E$205,L$4)*KVARDI,2),""))</f>
        <v/>
      </c>
      <c r="N50" s="66" t="n"/>
      <c r="O50" s="78">
        <f>IF(OR(N$4=0,N50=""),"",IFERROR(ROUND(N50/INDEX(Undirviðmið!$F$6:$F$205,N$4)*INDEX(Undirviðmið!$E$6:$E$205,N$4)*KVARDI,2),""))</f>
        <v/>
      </c>
      <c r="P50" s="66" t="n"/>
      <c r="Q50" s="78">
        <f>IF(OR(P$4=0,P50=""),"",IFERROR(ROUND(P50/INDEX(Undirviðmið!$F$6:$F$205,P$4)*INDEX(Undirviðmið!$E$6:$E$205,P$4)*KVARDI,2),""))</f>
        <v/>
      </c>
      <c r="R50" s="66" t="n"/>
      <c r="S50" s="78">
        <f>IF(OR(R$4=0,R50=""),"",IFERROR(ROUND(R50/INDEX(Undirviðmið!$F$6:$F$205,R$4)*INDEX(Undirviðmið!$E$6:$E$205,R$4)*KVARDI,2),""))</f>
        <v/>
      </c>
      <c r="T50" s="66" t="n"/>
      <c r="U50" s="78">
        <f>IF(OR(T$4=0,T50=""),"",IFERROR(ROUND(T50/INDEX(Undirviðmið!$F$6:$F$205,T$4)*INDEX(Undirviðmið!$E$6:$E$205,T$4)*KVARDI,2),""))</f>
        <v/>
      </c>
      <c r="V50" s="66" t="n"/>
      <c r="W50" s="78">
        <f>IF(OR(V$4=0,V50=""),"",IFERROR(ROUND(V50/INDEX(Undirviðmið!$F$6:$F$205,V$4)*INDEX(Undirviðmið!$E$6:$E$205,V$4)*KVARDI,2),""))</f>
        <v/>
      </c>
      <c r="X50" s="66" t="n"/>
      <c r="Y50" s="78">
        <f>IF(OR(X$4=0,X50=""),"",IFERROR(ROUND(X50/INDEX(Undirviðmið!$F$6:$F$205,X$4)*INDEX(Undirviðmið!$E$6:$E$205,X$4)*KVARDI,2),""))</f>
        <v/>
      </c>
      <c r="Z50" s="66" t="n"/>
      <c r="AA50" s="78">
        <f>IF(OR(Z$4=0,Z50=""),"",IFERROR(ROUND(Z50/INDEX(Undirviðmið!$F$6:$F$205,Z$4)*INDEX(Undirviðmið!$E$6:$E$205,Z$4)*KVARDI,2),""))</f>
        <v/>
      </c>
      <c r="AB50" s="66" t="n"/>
      <c r="AC50" s="78">
        <f>IF(OR(AB$4=0,AB50=""),"",IFERROR(ROUND(AB50/INDEX(Undirviðmið!$F$6:$F$205,AB$4)*INDEX(Undirviðmið!$E$6:$E$205,AB$4)*KVARDI,2),""))</f>
        <v/>
      </c>
      <c r="AD50" s="66" t="n"/>
      <c r="AE50" s="78">
        <f>IF(OR(AD$4=0,AD50=""),"",IFERROR(ROUND(AD50/INDEX(Undirviðmið!$F$6:$F$205,AD$4)*INDEX(Undirviðmið!$E$6:$E$205,AD$4)*KVARDI,2),""))</f>
        <v/>
      </c>
      <c r="AF50" s="66" t="n"/>
      <c r="AG50" s="78">
        <f>IF(OR(AF$4=0,AF50=""),"",IFERROR(ROUND(AF50/INDEX(Undirviðmið!$F$6:$F$205,AF$4)*INDEX(Undirviðmið!$E$6:$E$205,AF$4)*KVARDI,2),""))</f>
        <v/>
      </c>
      <c r="AH50" s="66" t="n"/>
      <c r="AI50" s="78">
        <f>IF(OR(AH$4=0,AH50=""),"",IFERROR(ROUND(AH50/INDEX(Undirviðmið!$F$6:$F$205,AH$4)*INDEX(Undirviðmið!$E$6:$E$205,AH$4)*KVARDI,2),""))</f>
        <v/>
      </c>
      <c r="AJ50" s="66" t="n"/>
      <c r="AK50" s="78">
        <f>IF(OR(AJ$4=0,AJ50=""),"",IFERROR(ROUND(AJ50/INDEX(Undirviðmið!$F$6:$F$205,AJ$4)*INDEX(Undirviðmið!$E$6:$E$205,AJ$4)*KVARDI,2),""))</f>
        <v/>
      </c>
      <c r="AL50" s="66" t="n"/>
      <c r="AM50" s="78">
        <f>IF(OR(AL$4=0,AL50=""),"",IFERROR(ROUND(AL50/INDEX(Undirviðmið!$F$6:$F$205,AL$4)*INDEX(Undirviðmið!$E$6:$E$205,AL$4)*KVARDI,2),""))</f>
        <v/>
      </c>
      <c r="AN50" s="66" t="n"/>
      <c r="AO50" s="78">
        <f>IF(OR(AN$4=0,AN50=""),"",IFERROR(ROUND(AN50/INDEX(Undirviðmið!$F$6:$F$205,AN$4)*INDEX(Undirviðmið!$E$6:$E$205,AN$4)*KVARDI,2),""))</f>
        <v/>
      </c>
      <c r="AP50" s="66" t="n"/>
      <c r="AQ50" s="78">
        <f>IF(OR(AP$4=0,AP50=""),"",IFERROR(ROUND(AP50/INDEX(Undirviðmið!$F$6:$F$205,AP$4)*INDEX(Undirviðmið!$E$6:$E$205,AP$4)*KVARDI,2),""))</f>
        <v/>
      </c>
      <c r="AR50" s="66" t="n"/>
      <c r="AS50" s="78">
        <f>IF(OR(AR$4=0,AR50=""),"",IFERROR(ROUND(AR50/INDEX(Undirviðmið!$F$6:$F$205,AR$4)*INDEX(Undirviðmið!$E$6:$E$205,AR$4)*KVARDI,2),""))</f>
        <v/>
      </c>
      <c r="AT50" s="66" t="n"/>
      <c r="AU50" s="78">
        <f>IF(OR(AT$4=0,AT50=""),"",IFERROR(ROUND(AT50/INDEX(Undirviðmið!$F$6:$F$205,AT$4)*INDEX(Undirviðmið!$E$6:$E$205,AT$4)*KVARDI,2),""))</f>
        <v/>
      </c>
      <c r="AV50" s="66" t="n"/>
      <c r="AW50" s="78">
        <f>IF(OR(AV$4=0,AV50=""),"",IFERROR(ROUND(AV50/INDEX(Undirviðmið!$F$6:$F$205,AV$4)*INDEX(Undirviðmið!$E$6:$E$205,AV$4)*KVARDI,2),""))</f>
        <v/>
      </c>
      <c r="AX50" s="66" t="n"/>
      <c r="AY50" s="78">
        <f>IF(OR(AX$4=0,AX50=""),"",IFERROR(ROUND(AX50/INDEX(Undirviðmið!$F$6:$F$205,AX$4)*INDEX(Undirviðmið!$E$6:$E$205,AX$4)*KVARDI,2),""))</f>
        <v/>
      </c>
      <c r="AZ50" s="66" t="n"/>
      <c r="BA50" s="78">
        <f>IF(OR(AZ$4=0,AZ50=""),"",IFERROR(ROUND(AZ50/INDEX(Undirviðmið!$F$6:$F$205,AZ$4)*INDEX(Undirviðmið!$E$6:$E$205,AZ$4)*KVARDI,2),""))</f>
        <v/>
      </c>
      <c r="BB50" s="66" t="n"/>
      <c r="BC50" s="78">
        <f>IF(OR(BB$4=0,BB50=""),"",IFERROR(ROUND(BB50/INDEX(Undirviðmið!$F$6:$F$205,BB$4)*INDEX(Undirviðmið!$E$6:$E$205,BB$4)*KVARDI,2),""))</f>
        <v/>
      </c>
      <c r="BD50" s="66" t="n"/>
      <c r="BE50" s="78">
        <f>IF(OR(BD$4=0,BD50=""),"",IFERROR(ROUND(BD50/INDEX(Undirviðmið!$F$6:$F$205,BD$4)*INDEX(Undirviðmið!$E$6:$E$205,BD$4)*KVARDI,2),""))</f>
        <v/>
      </c>
      <c r="BF50" s="66" t="n"/>
      <c r="BG50" s="78">
        <f>IF(OR(BF$4=0,BF50=""),"",IFERROR(ROUND(BF50/INDEX(Undirviðmið!$F$6:$F$205,BF$4)*INDEX(Undirviðmið!$E$6:$E$205,BF$4)*KVARDI,2),""))</f>
        <v/>
      </c>
      <c r="BH50" s="66" t="n"/>
      <c r="BI50" s="78">
        <f>IF(OR(BH$4=0,BH50=""),"",IFERROR(ROUND(BH50/INDEX(Undirviðmið!$F$6:$F$205,BH$4)*INDEX(Undirviðmið!$E$6:$E$205,BH$4)*KVARDI,2),""))</f>
        <v/>
      </c>
      <c r="BJ50" s="66" t="n"/>
      <c r="BK50" s="78">
        <f>IF(OR(BJ$4=0,BJ50=""),"",IFERROR(ROUND(BJ50/INDEX(Undirviðmið!$F$6:$F$205,BJ$4)*INDEX(Undirviðmið!$E$6:$E$205,BJ$4)*KVARDI,2),""))</f>
        <v/>
      </c>
      <c r="BL50" s="66" t="n"/>
      <c r="BM50" s="78">
        <f>IF(OR(BL$4=0,BL50=""),"",IFERROR(ROUND(BL50/INDEX(Undirviðmið!$F$6:$F$205,BL$4)*INDEX(Undirviðmið!$E$6:$E$205,BL$4)*KVARDI,2),""))</f>
        <v/>
      </c>
      <c r="BN50" s="66" t="n"/>
      <c r="BO50" s="78">
        <f>IF(OR(BN$4=0,BN50=""),"",IFERROR(ROUND(BN50/INDEX(Undirviðmið!$F$6:$F$205,BN$4)*INDEX(Undirviðmið!$E$6:$E$205,BN$4)*KVARDI,2),""))</f>
        <v/>
      </c>
      <c r="BP50" s="66" t="n"/>
      <c r="BQ50" s="78">
        <f>IF(OR(BP$4=0,BP50=""),"",IFERROR(ROUND(BP50/INDEX(Undirviðmið!$F$6:$F$205,BP$4)*INDEX(Undirviðmið!$E$6:$E$205,BP$4)*KVARDI,2),""))</f>
        <v/>
      </c>
      <c r="BR50" s="66" t="n"/>
      <c r="BS50" s="78">
        <f>IF(OR(BR$4=0,BR50=""),"",IFERROR(ROUND(BR50/INDEX(Undirviðmið!$F$6:$F$205,BR$4)*INDEX(Undirviðmið!$E$6:$E$205,BR$4)*KVARDI,2),""))</f>
        <v/>
      </c>
      <c r="BT50" s="66" t="n"/>
      <c r="BU50" s="78">
        <f>IF(OR(BT$4=0,BT50=""),"",IFERROR(ROUND(BT50/INDEX(Undirviðmið!$F$6:$F$205,BT$4)*INDEX(Undirviðmið!$E$6:$E$205,BT$4)*KVARDI,2),""))</f>
        <v/>
      </c>
      <c r="BV50" s="66" t="n"/>
      <c r="BW50" s="78">
        <f>IF(OR(BV$4=0,BV50=""),"",IFERROR(ROUND(BV50/INDEX(Undirviðmið!$F$6:$F$205,BV$4)*INDEX(Undirviðmið!$E$6:$E$205,BV$4)*KVARDI,2),""))</f>
        <v/>
      </c>
      <c r="BX50" s="66" t="n"/>
      <c r="BY50" s="78">
        <f>IF(OR(BX$4=0,BX50=""),"",IFERROR(ROUND(BX50/INDEX(Undirviðmið!$F$6:$F$205,BX$4)*INDEX(Undirviðmið!$E$6:$E$205,BX$4)*KVARDI,2),""))</f>
        <v/>
      </c>
      <c r="BZ50" s="66" t="n"/>
      <c r="CA50" s="78">
        <f>IF(OR(BZ$4=0,BZ50=""),"",IFERROR(ROUND(BZ50/INDEX(Undirviðmið!$F$6:$F$205,BZ$4)*INDEX(Undirviðmið!$E$6:$E$205,BZ$4)*KVARDI,2),""))</f>
        <v/>
      </c>
      <c r="CB50" s="66" t="n"/>
      <c r="CC50" s="78">
        <f>IF(OR(CB$4=0,CB50=""),"",IFERROR(ROUND(CB50/INDEX(Undirviðmið!$F$6:$F$205,CB$4)*INDEX(Undirviðmið!$E$6:$E$205,CB$4)*KVARDI,2),""))</f>
        <v/>
      </c>
      <c r="CD50" s="66" t="n"/>
      <c r="CE50" s="78">
        <f>IF(OR(CD$4=0,CD50=""),"",IFERROR(ROUND(CD50/INDEX(Undirviðmið!$F$6:$F$205,CD$4)*INDEX(Undirviðmið!$E$6:$E$205,CD$4)*KVARDI,2),""))</f>
        <v/>
      </c>
      <c r="CF50" s="66" t="n"/>
      <c r="CG50" s="78">
        <f>IF(OR(CF$4=0,CF50=""),"",IFERROR(ROUND(CF50/INDEX(Undirviðmið!$F$6:$F$205,CF$4)*INDEX(Undirviðmið!$E$6:$E$205,CF$4)*KVARDI,2),""))</f>
        <v/>
      </c>
      <c r="CH50" s="66" t="n"/>
      <c r="CI50" s="78">
        <f>IF(OR(CH$4=0,CH50=""),"",IFERROR(ROUND(CH50/INDEX(Undirviðmið!$F$6:$F$205,CH$4)*INDEX(Undirviðmið!$E$6:$E$205,CH$4)*KVARDI,2),""))</f>
        <v/>
      </c>
      <c r="CJ50" s="66" t="n"/>
      <c r="CK50" s="78">
        <f>IF(OR(CJ$4=0,CJ50=""),"",IFERROR(ROUND(CJ50/INDEX(Undirviðmið!$F$6:$F$205,CJ$4)*INDEX(Undirviðmið!$E$6:$E$205,CJ$4)*KVARDI,2),""))</f>
        <v/>
      </c>
      <c r="CL50" s="66" t="n"/>
      <c r="CM50" s="78">
        <f>IF(OR(CL$4=0,CL50=""),"",IFERROR(ROUND(CL50/INDEX(Undirviðmið!$F$6:$F$205,CL$4)*INDEX(Undirviðmið!$E$6:$E$205,CL$4)*KVARDI,2),""))</f>
        <v/>
      </c>
      <c r="CN50" s="66" t="n"/>
      <c r="CO50" s="78">
        <f>IF(OR(CN$4=0,CN50=""),"",IFERROR(ROUND(CN50/INDEX(Undirviðmið!$F$6:$F$205,CN$4)*INDEX(Undirviðmið!$E$6:$E$205,CN$4)*KVARDI,2),""))</f>
        <v/>
      </c>
      <c r="CP50" s="66" t="n"/>
      <c r="CQ50" s="78">
        <f>IF(OR(CP$4=0,CP50=""),"",IFERROR(ROUND(CP50/INDEX(Undirviðmið!$F$6:$F$205,CP$4)*INDEX(Undirviðmið!$E$6:$E$205,CP$4)*KVARDI,2),""))</f>
        <v/>
      </c>
      <c r="CR50" s="66" t="n"/>
      <c r="CS50" s="78">
        <f>IF(OR(CR$4=0,CR50=""),"",IFERROR(ROUND(CR50/INDEX(Undirviðmið!$F$6:$F$205,CR$4)*INDEX(Undirviðmið!$E$6:$E$205,CR$4)*KVARDI,2),""))</f>
        <v/>
      </c>
      <c r="CT50" s="66" t="n"/>
      <c r="CU50" s="78">
        <f>IF(OR(CT$4=0,CT50=""),"",IFERROR(ROUND(CT50/INDEX(Undirviðmið!$F$6:$F$205,CT$4)*INDEX(Undirviðmið!$E$6:$E$205,CT$4)*KVARDI,2),""))</f>
        <v/>
      </c>
      <c r="CV50" s="66" t="n"/>
      <c r="CW50" s="78">
        <f>IF(OR(CV$4=0,CV50=""),"",IFERROR(ROUND(CV50/INDEX(Undirviðmið!$F$6:$F$205,CV$4)*INDEX(Undirviðmið!$E$6:$E$205,CV$4)*KVARDI,2),""))</f>
        <v/>
      </c>
      <c r="CX50" s="66" t="n"/>
      <c r="CY50" s="78">
        <f>IF(OR(CX$4=0,CX50=""),"",IFERROR(ROUND(CX50/INDEX(Undirviðmið!$F$6:$F$205,CX$4)*INDEX(Undirviðmið!$E$6:$E$205,CX$4)*KVARDI,2),""))</f>
        <v/>
      </c>
      <c r="CZ50" s="66" t="n"/>
      <c r="DA50" s="78">
        <f>IF(OR(CZ$4=0,CZ50=""),"",IFERROR(ROUND(CZ50/INDEX(Undirviðmið!$F$6:$F$205,CZ$4)*INDEX(Undirviðmið!$E$6:$E$205,CZ$4)*KVARDI,2),""))</f>
        <v/>
      </c>
      <c r="DB50" s="66" t="n"/>
      <c r="DC50" s="78">
        <f>IF(OR(DB$4=0,DB50=""),"",IFERROR(ROUND(DB50/INDEX(Undirviðmið!$F$6:$F$205,DB$4)*INDEX(Undirviðmið!$E$6:$E$205,DB$4)*KVARDI,2),""))</f>
        <v/>
      </c>
      <c r="DD50" s="66" t="n"/>
      <c r="DE50" s="78">
        <f>IF(OR(DD$4=0,DD50=""),"",IFERROR(ROUND(DD50/INDEX(Undirviðmið!$F$6:$F$205,DD$4)*INDEX(Undirviðmið!$E$6:$E$205,DD$4)*KVARDI,2),""))</f>
        <v/>
      </c>
      <c r="DF50" s="66" t="n"/>
      <c r="DG50" s="78">
        <f>IF(OR(DF$4=0,DF50=""),"",IFERROR(ROUND(DF50/INDEX(Undirviðmið!$F$6:$F$205,DF$4)*INDEX(Undirviðmið!$E$6:$E$205,DF$4)*KVARDI,2),""))</f>
        <v/>
      </c>
      <c r="DH50" s="66" t="n"/>
      <c r="DI50" s="78">
        <f>IF(OR(DH$4=0,DH50=""),"",IFERROR(ROUND(DH50/INDEX(Undirviðmið!$F$6:$F$205,DH$4)*INDEX(Undirviðmið!$E$6:$E$205,DH$4)*KVARDI,2),""))</f>
        <v/>
      </c>
      <c r="DJ50" s="66" t="n"/>
      <c r="DK50" s="78">
        <f>IF(OR(DJ$4=0,DJ50=""),"",IFERROR(ROUND(DJ50/INDEX(Undirviðmið!$F$6:$F$205,DJ$4)*INDEX(Undirviðmið!$E$6:$E$205,DJ$4)*KVARDI,2),""))</f>
        <v/>
      </c>
      <c r="DL50" s="66" t="n"/>
      <c r="DM50" s="78">
        <f>IF(OR(DL$4=0,DL50=""),"",IFERROR(ROUND(DL50/INDEX(Undirviðmið!$F$6:$F$205,DL$4)*INDEX(Undirviðmið!$E$6:$E$205,DL$4)*KVARDI,2),""))</f>
        <v/>
      </c>
      <c r="DN50" s="66" t="n"/>
      <c r="DO50" s="78">
        <f>IF(OR(DN$4=0,DN50=""),"",IFERROR(ROUND(DN50/INDEX(Undirviðmið!$F$6:$F$205,DN$4)*INDEX(Undirviðmið!$E$6:$E$205,DN$4)*KVARDI,2),""))</f>
        <v/>
      </c>
      <c r="DP50" s="66" t="n"/>
      <c r="DQ50" s="78">
        <f>IF(OR(DP$4=0,DP50=""),"",IFERROR(ROUND(DP50/INDEX(Undirviðmið!$F$6:$F$205,DP$4)*INDEX(Undirviðmið!$E$6:$E$205,DP$4)*KVARDI,2),""))</f>
        <v/>
      </c>
      <c r="DR50" s="66" t="n"/>
      <c r="DS50" s="78">
        <f>IF(OR(DR$4=0,DR50=""),"",IFERROR(ROUND(DR50/INDEX(Undirviðmið!$F$6:$F$205,DR$4)*INDEX(Undirviðmið!$E$6:$E$205,DR$4)*KVARDI,2),""))</f>
        <v/>
      </c>
      <c r="DT50" s="66" t="n"/>
      <c r="DU50" s="78">
        <f>IF(OR(DT$4=0,DT50=""),"",IFERROR(ROUND(DT50/INDEX(Undirviðmið!$F$6:$F$205,DT$4)*INDEX(Undirviðmið!$E$6:$E$205,DT$4)*KVARDI,2),""))</f>
        <v/>
      </c>
      <c r="DV50" s="66" t="n"/>
      <c r="DW50" s="78">
        <f>IF(OR(DV$4=0,DV50=""),"",IFERROR(ROUND(DV50/INDEX(Undirviðmið!$F$6:$F$205,DV$4)*INDEX(Undirviðmið!$E$6:$E$205,DV$4)*KVARDI,2),""))</f>
        <v/>
      </c>
      <c r="DX50" s="66" t="n"/>
      <c r="DY50" s="78">
        <f>IF(OR(DX$4=0,DX50=""),"",IFERROR(ROUND(DX50/INDEX(Undirviðmið!$F$6:$F$205,DX$4)*INDEX(Undirviðmið!$E$6:$E$205,DX$4)*KVARDI,2),""))</f>
        <v/>
      </c>
      <c r="DZ50" s="66" t="n"/>
      <c r="EA50" s="78">
        <f>IF(OR(DZ$4=0,DZ50=""),"",IFERROR(ROUND(DZ50/INDEX(Undirviðmið!$F$6:$F$205,DZ$4)*INDEX(Undirviðmið!$E$6:$E$205,DZ$4)*KVARDI,2),""))</f>
        <v/>
      </c>
      <c r="EB50" s="66" t="n"/>
      <c r="EC50" s="78">
        <f>IF(OR(EB$4=0,EB50=""),"",IFERROR(ROUND(EB50/INDEX(Undirviðmið!$F$6:$F$205,EB$4)*INDEX(Undirviðmið!$E$6:$E$205,EB$4)*KVARDI,2),""))</f>
        <v/>
      </c>
      <c r="ED50" s="66" t="n"/>
      <c r="EE50" s="78">
        <f>IF(OR(ED$4=0,ED50=""),"",IFERROR(ROUND(ED50/INDEX(Undirviðmið!$F$6:$F$205,ED$4)*INDEX(Undirviðmið!$E$6:$E$205,ED$4)*KVARDI,2),""))</f>
        <v/>
      </c>
      <c r="EF50" s="66" t="n"/>
      <c r="EG50" s="78">
        <f>IF(OR(EF$4=0,EF50=""),"",IFERROR(ROUND(EF50/INDEX(Undirviðmið!$F$6:$F$205,EF$4)*INDEX(Undirviðmið!$E$6:$E$205,EF$4)*KVARDI,2),""))</f>
        <v/>
      </c>
      <c r="EH50" s="66" t="n"/>
      <c r="EI50" s="78">
        <f>IF(OR(EH$4=0,EH50=""),"",IFERROR(ROUND(EH50/INDEX(Undirviðmið!$F$6:$F$205,EH$4)*INDEX(Undirviðmið!$E$6:$E$205,EH$4)*KVARDI,2),""))</f>
        <v/>
      </c>
      <c r="EJ50" s="66" t="n"/>
      <c r="EK50" s="78">
        <f>IF(OR(EJ$4=0,EJ50=""),"",IFERROR(ROUND(EJ50/INDEX(Undirviðmið!$F$6:$F$205,EJ$4)*INDEX(Undirviðmið!$E$6:$E$205,EJ$4)*KVARDI,2),""))</f>
        <v/>
      </c>
      <c r="EL50" s="66" t="n"/>
      <c r="EM50" s="78">
        <f>IF(OR(EL$4=0,EL50=""),"",IFERROR(ROUND(EL50/INDEX(Undirviðmið!$F$6:$F$205,EL$4)*INDEX(Undirviðmið!$E$6:$E$205,EL$4)*KVARDI,2),""))</f>
        <v/>
      </c>
      <c r="EN50" s="66" t="n"/>
      <c r="EO50" s="78">
        <f>IF(OR(EN$4=0,EN50=""),"",IFERROR(ROUND(EN50/INDEX(Undirviðmið!$F$6:$F$205,EN$4)*INDEX(Undirviðmið!$E$6:$E$205,EN$4)*KVARDI,2),""))</f>
        <v/>
      </c>
      <c r="EP50" s="66" t="n"/>
      <c r="EQ50" s="78">
        <f>IF(OR(EP$4=0,EP50=""),"",IFERROR(ROUND(EP50/INDEX(Undirviðmið!$F$6:$F$205,EP$4)*INDEX(Undirviðmið!$E$6:$E$205,EP$4)*KVARDI,2),""))</f>
        <v/>
      </c>
      <c r="ER50" s="66" t="n"/>
      <c r="ES50" s="78">
        <f>IF(OR(ER$4=0,ER50=""),"",IFERROR(ROUND(ER50/INDEX(Undirviðmið!$F$6:$F$205,ER$4)*INDEX(Undirviðmið!$E$6:$E$205,ER$4)*KVARDI,2),""))</f>
        <v/>
      </c>
      <c r="ET50" s="66" t="n"/>
      <c r="EU50" s="78">
        <f>IF(OR(ET$4=0,ET50=""),"",IFERROR(ROUND(ET50/INDEX(Undirviðmið!$F$6:$F$205,ET$4)*INDEX(Undirviðmið!$E$6:$E$205,ET$4)*KVARDI,2),""))</f>
        <v/>
      </c>
      <c r="EV50" s="66" t="n"/>
      <c r="EW50" s="78">
        <f>IF(OR(EV$4=0,EV50=""),"",IFERROR(ROUND(EV50/INDEX(Undirviðmið!$F$6:$F$205,EV$4)*INDEX(Undirviðmið!$E$6:$E$205,EV$4)*KVARDI,2),""))</f>
        <v/>
      </c>
      <c r="EX50" s="66" t="n"/>
      <c r="EY50" s="78">
        <f>IF(OR(EX$4=0,EX50=""),"",IFERROR(ROUND(EX50/INDEX(Undirviðmið!$F$6:$F$205,EX$4)*INDEX(Undirviðmið!$E$6:$E$205,EX$4)*KVARDI,2),""))</f>
        <v/>
      </c>
      <c r="EZ50" s="66" t="n"/>
      <c r="FA50" s="78">
        <f>IF(OR(EZ$4=0,EZ50=""),"",IFERROR(ROUND(EZ50/INDEX(Undirviðmið!$F$6:$F$205,EZ$4)*INDEX(Undirviðmið!$E$6:$E$205,EZ$4)*KVARDI,2),""))</f>
        <v/>
      </c>
      <c r="FB50" s="66" t="n"/>
      <c r="FC50" s="78">
        <f>IF(OR(FB$4=0,FB50=""),"",IFERROR(ROUND(FB50/INDEX(Undirviðmið!$F$6:$F$205,FB$4)*INDEX(Undirviðmið!$E$6:$E$205,FB$4)*KVARDI,2),""))</f>
        <v/>
      </c>
      <c r="FD50" s="66" t="n"/>
      <c r="FE50" s="78">
        <f>IF(OR(FD$4=0,FD50=""),"",IFERROR(ROUND(FD50/INDEX(Undirviðmið!$F$6:$F$205,FD$4)*INDEX(Undirviðmið!$E$6:$E$205,FD$4)*KVARDI,2),""))</f>
        <v/>
      </c>
      <c r="FF50" s="66" t="n"/>
      <c r="FG50" s="78">
        <f>IF(OR(FF$4=0,FF50=""),"",IFERROR(ROUND(FF50/INDEX(Undirviðmið!$F$6:$F$205,FF$4)*INDEX(Undirviðmið!$E$6:$E$205,FF$4)*KVARDI,2),""))</f>
        <v/>
      </c>
      <c r="FH50" s="66" t="n"/>
      <c r="FI50" s="78">
        <f>IF(OR(FH$4=0,FH50=""),"",IFERROR(ROUND(FH50/INDEX(Undirviðmið!$F$6:$F$205,FH$4)*INDEX(Undirviðmið!$E$6:$E$205,FH$4)*KVARDI,2),""))</f>
        <v/>
      </c>
      <c r="FJ50" s="66" t="n"/>
      <c r="FK50" s="78">
        <f>IF(OR(FJ$4=0,FJ50=""),"",IFERROR(ROUND(FJ50/INDEX(Undirviðmið!$F$6:$F$205,FJ$4)*INDEX(Undirviðmið!$E$6:$E$205,FJ$4)*KVARDI,2),""))</f>
        <v/>
      </c>
      <c r="FL50" s="66" t="n"/>
      <c r="FM50" s="78">
        <f>IF(OR(FL$4=0,FL50=""),"",IFERROR(ROUND(FL50/INDEX(Undirviðmið!$F$6:$F$205,FL$4)*INDEX(Undirviðmið!$E$6:$E$205,FL$4)*KVARDI,2),""))</f>
        <v/>
      </c>
      <c r="FN50" s="66" t="n"/>
      <c r="FO50" s="78">
        <f>IF(OR(FN$4=0,FN50=""),"",IFERROR(ROUND(FN50/INDEX(Undirviðmið!$F$6:$F$205,FN$4)*INDEX(Undirviðmið!$E$6:$E$205,FN$4)*KVARDI,2),""))</f>
        <v/>
      </c>
      <c r="FP50" s="66" t="n"/>
      <c r="FQ50" s="78">
        <f>IF(OR(FP$4=0,FP50=""),"",IFERROR(ROUND(FP50/INDEX(Undirviðmið!$F$6:$F$205,FP$4)*INDEX(Undirviðmið!$E$6:$E$205,FP$4)*KVARDI,2),""))</f>
        <v/>
      </c>
      <c r="FR50" s="66" t="n"/>
      <c r="FS50" s="78">
        <f>IF(OR(FR$4=0,FR50=""),"",IFERROR(ROUND(FR50/INDEX(Undirviðmið!$F$6:$F$205,FR$4)*INDEX(Undirviðmið!$E$6:$E$205,FR$4)*KVARDI,2),""))</f>
        <v/>
      </c>
      <c r="FT50" s="66" t="n"/>
      <c r="FU50" s="78">
        <f>IF(OR(FT$4=0,FT50=""),"",IFERROR(ROUND(FT50/INDEX(Undirviðmið!$F$6:$F$205,FT$4)*INDEX(Undirviðmið!$E$6:$E$205,FT$4)*KVARDI,2),""))</f>
        <v/>
      </c>
      <c r="FV50" s="66" t="n"/>
      <c r="FW50" s="78">
        <f>IF(OR(FV$4=0,FV50=""),"",IFERROR(ROUND(FV50/INDEX(Undirviðmið!$F$6:$F$205,FV$4)*INDEX(Undirviðmið!$E$6:$E$205,FV$4)*KVARDI,2),""))</f>
        <v/>
      </c>
      <c r="FX50" s="66" t="n"/>
      <c r="FY50" s="78">
        <f>IF(OR(FX$4=0,FX50=""),"",IFERROR(ROUND(FX50/INDEX(Undirviðmið!$F$6:$F$205,FX$4)*INDEX(Undirviðmið!$E$6:$E$205,FX$4)*KVARDI,2),""))</f>
        <v/>
      </c>
      <c r="FZ50" s="66" t="n"/>
      <c r="GA50" s="78">
        <f>IF(OR(FZ$4=0,FZ50=""),"",IFERROR(ROUND(FZ50/INDEX(Undirviðmið!$F$6:$F$205,FZ$4)*INDEX(Undirviðmið!$E$6:$E$205,FZ$4)*KVARDI,2),""))</f>
        <v/>
      </c>
      <c r="GB50" s="66" t="n"/>
      <c r="GC50" s="78">
        <f>IF(OR(GB$4=0,GB50=""),"",IFERROR(ROUND(GB50/INDEX(Undirviðmið!$F$6:$F$205,GB$4)*INDEX(Undirviðmið!$E$6:$E$205,GB$4)*KVARDI,2),""))</f>
        <v/>
      </c>
      <c r="GD50" s="66" t="n"/>
      <c r="GE50" s="78">
        <f>IF(OR(GD$4=0,GD50=""),"",IFERROR(ROUND(GD50/INDEX(Undirviðmið!$F$6:$F$205,GD$4)*INDEX(Undirviðmið!$E$6:$E$205,GD$4)*KVARDI,2),""))</f>
        <v/>
      </c>
      <c r="GF50" s="66" t="n"/>
      <c r="GG50" s="78">
        <f>IF(OR(GF$4=0,GF50=""),"",IFERROR(ROUND(GF50/INDEX(Undirviðmið!$F$6:$F$205,GF$4)*INDEX(Undirviðmið!$E$6:$E$205,GF$4)*KVARDI,2),""))</f>
        <v/>
      </c>
      <c r="GH50" s="66" t="n"/>
      <c r="GI50" s="78">
        <f>IF(OR(GH$4=0,GH50=""),"",IFERROR(ROUND(GH50/INDEX(Undirviðmið!$F$6:$F$205,GH$4)*INDEX(Undirviðmið!$E$6:$E$205,GH$4)*KVARDI,2),""))</f>
        <v/>
      </c>
      <c r="GJ50" s="66" t="n"/>
      <c r="GK50" s="78">
        <f>IF(OR(GJ$4=0,GJ50=""),"",IFERROR(ROUND(GJ50/INDEX(Undirviðmið!$F$6:$F$205,GJ$4)*INDEX(Undirviðmið!$E$6:$E$205,GJ$4)*KVARDI,2),""))</f>
        <v/>
      </c>
      <c r="GL50" s="66" t="n"/>
      <c r="GM50" s="78">
        <f>IF(OR(GL$4=0,GL50=""),"",IFERROR(ROUND(GL50/INDEX(Undirviðmið!$F$6:$F$205,GL$4)*INDEX(Undirviðmið!$E$6:$E$205,GL$4)*KVARDI,2),""))</f>
        <v/>
      </c>
      <c r="GN50" s="66" t="n"/>
      <c r="GO50" s="78">
        <f>IF(OR(GN$4=0,GN50=""),"",IFERROR(ROUND(GN50/INDEX(Undirviðmið!$F$6:$F$205,GN$4)*INDEX(Undirviðmið!$E$6:$E$205,GN$4)*KVARDI,2),""))</f>
        <v/>
      </c>
      <c r="GP50" s="66" t="n"/>
      <c r="GQ50" s="78">
        <f>IF(OR(GP$4=0,GP50=""),"",IFERROR(ROUND(GP50/INDEX(Undirviðmið!$F$6:$F$205,GP$4)*INDEX(Undirviðmið!$E$6:$E$205,GP$4)*KVARDI,2),""))</f>
        <v/>
      </c>
      <c r="GR50" s="66" t="n"/>
      <c r="GS50" s="78">
        <f>IF(OR(GR$4=0,GR50=""),"",IFERROR(ROUND(GR50/INDEX(Undirviðmið!$F$6:$F$205,GR$4)*INDEX(Undirviðmið!$E$6:$E$205,GR$4)*KVARDI,2),""))</f>
        <v/>
      </c>
      <c r="GT50" s="66" t="n"/>
      <c r="GU50" s="78">
        <f>IF(OR(GT$4=0,GT50=""),"",IFERROR(ROUND(GT50/INDEX(Undirviðmið!$F$6:$F$205,GT$4)*INDEX(Undirviðmið!$E$6:$E$205,GT$4)*KVARDI,2),""))</f>
        <v/>
      </c>
      <c r="GV50" s="63">
        <f>IFERROR(SUMIF($D$6:GU$6,"Stig",$D50:GU50),0)</f>
        <v/>
      </c>
    </row>
    <row r="51" ht="15" customHeight="1" s="47">
      <c r="A51" s="65">
        <f>ROW()-6</f>
        <v/>
      </c>
      <c r="B51" s="67">
        <f>IF(INDEX(Starfsmenn!$B$6:$B$10005,ROW()-6)="","",INDEX(Starfsmenn!$B$6:$B$10005,ROW()-6))</f>
        <v/>
      </c>
      <c r="C51" s="67">
        <f>IF(INDEX(Starfsmenn!$C$6:$C$10005,ROW()-6)="","",INDEX(Starfsmenn!$C$6:$C$10005,ROW()-6))</f>
        <v/>
      </c>
      <c r="D51" s="66" t="n"/>
      <c r="E51" s="78">
        <f>IF(OR(D$4=0,D51=""),"",IFERROR(ROUND(D51/INDEX(Undirviðmið!$F$6:$F$205,D$4)*INDEX(Undirviðmið!$E$6:$E$205,D$4)*KVARDI,2),""))</f>
        <v/>
      </c>
      <c r="F51" s="66" t="n"/>
      <c r="G51" s="78">
        <f>IF(OR(F$4=0,F51=""),"",IFERROR(ROUND(F51/INDEX(Undirviðmið!$F$6:$F$205,F$4)*INDEX(Undirviðmið!$E$6:$E$205,F$4)*KVARDI,2),""))</f>
        <v/>
      </c>
      <c r="H51" s="66" t="n"/>
      <c r="I51" s="78">
        <f>IF(OR(H$4=0,H51=""),"",IFERROR(ROUND(H51/INDEX(Undirviðmið!$F$6:$F$205,H$4)*INDEX(Undirviðmið!$E$6:$E$205,H$4)*KVARDI,2),""))</f>
        <v/>
      </c>
      <c r="J51" s="66" t="n"/>
      <c r="K51" s="78">
        <f>IF(OR(J$4=0,J51=""),"",IFERROR(ROUND(J51/INDEX(Undirviðmið!$F$6:$F$205,J$4)*INDEX(Undirviðmið!$E$6:$E$205,J$4)*KVARDI,2),""))</f>
        <v/>
      </c>
      <c r="L51" s="66" t="n"/>
      <c r="M51" s="78">
        <f>IF(OR(L$4=0,L51=""),"",IFERROR(ROUND(L51/INDEX(Undirviðmið!$F$6:$F$205,L$4)*INDEX(Undirviðmið!$E$6:$E$205,L$4)*KVARDI,2),""))</f>
        <v/>
      </c>
      <c r="N51" s="66" t="n"/>
      <c r="O51" s="78">
        <f>IF(OR(N$4=0,N51=""),"",IFERROR(ROUND(N51/INDEX(Undirviðmið!$F$6:$F$205,N$4)*INDEX(Undirviðmið!$E$6:$E$205,N$4)*KVARDI,2),""))</f>
        <v/>
      </c>
      <c r="P51" s="66" t="n"/>
      <c r="Q51" s="78">
        <f>IF(OR(P$4=0,P51=""),"",IFERROR(ROUND(P51/INDEX(Undirviðmið!$F$6:$F$205,P$4)*INDEX(Undirviðmið!$E$6:$E$205,P$4)*KVARDI,2),""))</f>
        <v/>
      </c>
      <c r="R51" s="66" t="n"/>
      <c r="S51" s="78">
        <f>IF(OR(R$4=0,R51=""),"",IFERROR(ROUND(R51/INDEX(Undirviðmið!$F$6:$F$205,R$4)*INDEX(Undirviðmið!$E$6:$E$205,R$4)*KVARDI,2),""))</f>
        <v/>
      </c>
      <c r="T51" s="66" t="n"/>
      <c r="U51" s="78">
        <f>IF(OR(T$4=0,T51=""),"",IFERROR(ROUND(T51/INDEX(Undirviðmið!$F$6:$F$205,T$4)*INDEX(Undirviðmið!$E$6:$E$205,T$4)*KVARDI,2),""))</f>
        <v/>
      </c>
      <c r="V51" s="66" t="n"/>
      <c r="W51" s="78">
        <f>IF(OR(V$4=0,V51=""),"",IFERROR(ROUND(V51/INDEX(Undirviðmið!$F$6:$F$205,V$4)*INDEX(Undirviðmið!$E$6:$E$205,V$4)*KVARDI,2),""))</f>
        <v/>
      </c>
      <c r="X51" s="66" t="n"/>
      <c r="Y51" s="78">
        <f>IF(OR(X$4=0,X51=""),"",IFERROR(ROUND(X51/INDEX(Undirviðmið!$F$6:$F$205,X$4)*INDEX(Undirviðmið!$E$6:$E$205,X$4)*KVARDI,2),""))</f>
        <v/>
      </c>
      <c r="Z51" s="66" t="n"/>
      <c r="AA51" s="78">
        <f>IF(OR(Z$4=0,Z51=""),"",IFERROR(ROUND(Z51/INDEX(Undirviðmið!$F$6:$F$205,Z$4)*INDEX(Undirviðmið!$E$6:$E$205,Z$4)*KVARDI,2),""))</f>
        <v/>
      </c>
      <c r="AB51" s="66" t="n"/>
      <c r="AC51" s="78">
        <f>IF(OR(AB$4=0,AB51=""),"",IFERROR(ROUND(AB51/INDEX(Undirviðmið!$F$6:$F$205,AB$4)*INDEX(Undirviðmið!$E$6:$E$205,AB$4)*KVARDI,2),""))</f>
        <v/>
      </c>
      <c r="AD51" s="66" t="n"/>
      <c r="AE51" s="78">
        <f>IF(OR(AD$4=0,AD51=""),"",IFERROR(ROUND(AD51/INDEX(Undirviðmið!$F$6:$F$205,AD$4)*INDEX(Undirviðmið!$E$6:$E$205,AD$4)*KVARDI,2),""))</f>
        <v/>
      </c>
      <c r="AF51" s="66" t="n"/>
      <c r="AG51" s="78">
        <f>IF(OR(AF$4=0,AF51=""),"",IFERROR(ROUND(AF51/INDEX(Undirviðmið!$F$6:$F$205,AF$4)*INDEX(Undirviðmið!$E$6:$E$205,AF$4)*KVARDI,2),""))</f>
        <v/>
      </c>
      <c r="AH51" s="66" t="n"/>
      <c r="AI51" s="78">
        <f>IF(OR(AH$4=0,AH51=""),"",IFERROR(ROUND(AH51/INDEX(Undirviðmið!$F$6:$F$205,AH$4)*INDEX(Undirviðmið!$E$6:$E$205,AH$4)*KVARDI,2),""))</f>
        <v/>
      </c>
      <c r="AJ51" s="66" t="n"/>
      <c r="AK51" s="78">
        <f>IF(OR(AJ$4=0,AJ51=""),"",IFERROR(ROUND(AJ51/INDEX(Undirviðmið!$F$6:$F$205,AJ$4)*INDEX(Undirviðmið!$E$6:$E$205,AJ$4)*KVARDI,2),""))</f>
        <v/>
      </c>
      <c r="AL51" s="66" t="n"/>
      <c r="AM51" s="78">
        <f>IF(OR(AL$4=0,AL51=""),"",IFERROR(ROUND(AL51/INDEX(Undirviðmið!$F$6:$F$205,AL$4)*INDEX(Undirviðmið!$E$6:$E$205,AL$4)*KVARDI,2),""))</f>
        <v/>
      </c>
      <c r="AN51" s="66" t="n"/>
      <c r="AO51" s="78">
        <f>IF(OR(AN$4=0,AN51=""),"",IFERROR(ROUND(AN51/INDEX(Undirviðmið!$F$6:$F$205,AN$4)*INDEX(Undirviðmið!$E$6:$E$205,AN$4)*KVARDI,2),""))</f>
        <v/>
      </c>
      <c r="AP51" s="66" t="n"/>
      <c r="AQ51" s="78">
        <f>IF(OR(AP$4=0,AP51=""),"",IFERROR(ROUND(AP51/INDEX(Undirviðmið!$F$6:$F$205,AP$4)*INDEX(Undirviðmið!$E$6:$E$205,AP$4)*KVARDI,2),""))</f>
        <v/>
      </c>
      <c r="AR51" s="66" t="n"/>
      <c r="AS51" s="78">
        <f>IF(OR(AR$4=0,AR51=""),"",IFERROR(ROUND(AR51/INDEX(Undirviðmið!$F$6:$F$205,AR$4)*INDEX(Undirviðmið!$E$6:$E$205,AR$4)*KVARDI,2),""))</f>
        <v/>
      </c>
      <c r="AT51" s="66" t="n"/>
      <c r="AU51" s="78">
        <f>IF(OR(AT$4=0,AT51=""),"",IFERROR(ROUND(AT51/INDEX(Undirviðmið!$F$6:$F$205,AT$4)*INDEX(Undirviðmið!$E$6:$E$205,AT$4)*KVARDI,2),""))</f>
        <v/>
      </c>
      <c r="AV51" s="66" t="n"/>
      <c r="AW51" s="78">
        <f>IF(OR(AV$4=0,AV51=""),"",IFERROR(ROUND(AV51/INDEX(Undirviðmið!$F$6:$F$205,AV$4)*INDEX(Undirviðmið!$E$6:$E$205,AV$4)*KVARDI,2),""))</f>
        <v/>
      </c>
      <c r="AX51" s="66" t="n"/>
      <c r="AY51" s="78">
        <f>IF(OR(AX$4=0,AX51=""),"",IFERROR(ROUND(AX51/INDEX(Undirviðmið!$F$6:$F$205,AX$4)*INDEX(Undirviðmið!$E$6:$E$205,AX$4)*KVARDI,2),""))</f>
        <v/>
      </c>
      <c r="AZ51" s="66" t="n"/>
      <c r="BA51" s="78">
        <f>IF(OR(AZ$4=0,AZ51=""),"",IFERROR(ROUND(AZ51/INDEX(Undirviðmið!$F$6:$F$205,AZ$4)*INDEX(Undirviðmið!$E$6:$E$205,AZ$4)*KVARDI,2),""))</f>
        <v/>
      </c>
      <c r="BB51" s="66" t="n"/>
      <c r="BC51" s="78">
        <f>IF(OR(BB$4=0,BB51=""),"",IFERROR(ROUND(BB51/INDEX(Undirviðmið!$F$6:$F$205,BB$4)*INDEX(Undirviðmið!$E$6:$E$205,BB$4)*KVARDI,2),""))</f>
        <v/>
      </c>
      <c r="BD51" s="66" t="n"/>
      <c r="BE51" s="78">
        <f>IF(OR(BD$4=0,BD51=""),"",IFERROR(ROUND(BD51/INDEX(Undirviðmið!$F$6:$F$205,BD$4)*INDEX(Undirviðmið!$E$6:$E$205,BD$4)*KVARDI,2),""))</f>
        <v/>
      </c>
      <c r="BF51" s="66" t="n"/>
      <c r="BG51" s="78">
        <f>IF(OR(BF$4=0,BF51=""),"",IFERROR(ROUND(BF51/INDEX(Undirviðmið!$F$6:$F$205,BF$4)*INDEX(Undirviðmið!$E$6:$E$205,BF$4)*KVARDI,2),""))</f>
        <v/>
      </c>
      <c r="BH51" s="66" t="n"/>
      <c r="BI51" s="78">
        <f>IF(OR(BH$4=0,BH51=""),"",IFERROR(ROUND(BH51/INDEX(Undirviðmið!$F$6:$F$205,BH$4)*INDEX(Undirviðmið!$E$6:$E$205,BH$4)*KVARDI,2),""))</f>
        <v/>
      </c>
      <c r="BJ51" s="66" t="n"/>
      <c r="BK51" s="78">
        <f>IF(OR(BJ$4=0,BJ51=""),"",IFERROR(ROUND(BJ51/INDEX(Undirviðmið!$F$6:$F$205,BJ$4)*INDEX(Undirviðmið!$E$6:$E$205,BJ$4)*KVARDI,2),""))</f>
        <v/>
      </c>
      <c r="BL51" s="66" t="n"/>
      <c r="BM51" s="78">
        <f>IF(OR(BL$4=0,BL51=""),"",IFERROR(ROUND(BL51/INDEX(Undirviðmið!$F$6:$F$205,BL$4)*INDEX(Undirviðmið!$E$6:$E$205,BL$4)*KVARDI,2),""))</f>
        <v/>
      </c>
      <c r="BN51" s="66" t="n"/>
      <c r="BO51" s="78">
        <f>IF(OR(BN$4=0,BN51=""),"",IFERROR(ROUND(BN51/INDEX(Undirviðmið!$F$6:$F$205,BN$4)*INDEX(Undirviðmið!$E$6:$E$205,BN$4)*KVARDI,2),""))</f>
        <v/>
      </c>
      <c r="BP51" s="66" t="n"/>
      <c r="BQ51" s="78">
        <f>IF(OR(BP$4=0,BP51=""),"",IFERROR(ROUND(BP51/INDEX(Undirviðmið!$F$6:$F$205,BP$4)*INDEX(Undirviðmið!$E$6:$E$205,BP$4)*KVARDI,2),""))</f>
        <v/>
      </c>
      <c r="BR51" s="66" t="n"/>
      <c r="BS51" s="78">
        <f>IF(OR(BR$4=0,BR51=""),"",IFERROR(ROUND(BR51/INDEX(Undirviðmið!$F$6:$F$205,BR$4)*INDEX(Undirviðmið!$E$6:$E$205,BR$4)*KVARDI,2),""))</f>
        <v/>
      </c>
      <c r="BT51" s="66" t="n"/>
      <c r="BU51" s="78">
        <f>IF(OR(BT$4=0,BT51=""),"",IFERROR(ROUND(BT51/INDEX(Undirviðmið!$F$6:$F$205,BT$4)*INDEX(Undirviðmið!$E$6:$E$205,BT$4)*KVARDI,2),""))</f>
        <v/>
      </c>
      <c r="BV51" s="66" t="n"/>
      <c r="BW51" s="78">
        <f>IF(OR(BV$4=0,BV51=""),"",IFERROR(ROUND(BV51/INDEX(Undirviðmið!$F$6:$F$205,BV$4)*INDEX(Undirviðmið!$E$6:$E$205,BV$4)*KVARDI,2),""))</f>
        <v/>
      </c>
      <c r="BX51" s="66" t="n"/>
      <c r="BY51" s="78">
        <f>IF(OR(BX$4=0,BX51=""),"",IFERROR(ROUND(BX51/INDEX(Undirviðmið!$F$6:$F$205,BX$4)*INDEX(Undirviðmið!$E$6:$E$205,BX$4)*KVARDI,2),""))</f>
        <v/>
      </c>
      <c r="BZ51" s="66" t="n"/>
      <c r="CA51" s="78">
        <f>IF(OR(BZ$4=0,BZ51=""),"",IFERROR(ROUND(BZ51/INDEX(Undirviðmið!$F$6:$F$205,BZ$4)*INDEX(Undirviðmið!$E$6:$E$205,BZ$4)*KVARDI,2),""))</f>
        <v/>
      </c>
      <c r="CB51" s="66" t="n"/>
      <c r="CC51" s="78">
        <f>IF(OR(CB$4=0,CB51=""),"",IFERROR(ROUND(CB51/INDEX(Undirviðmið!$F$6:$F$205,CB$4)*INDEX(Undirviðmið!$E$6:$E$205,CB$4)*KVARDI,2),""))</f>
        <v/>
      </c>
      <c r="CD51" s="66" t="n"/>
      <c r="CE51" s="78">
        <f>IF(OR(CD$4=0,CD51=""),"",IFERROR(ROUND(CD51/INDEX(Undirviðmið!$F$6:$F$205,CD$4)*INDEX(Undirviðmið!$E$6:$E$205,CD$4)*KVARDI,2),""))</f>
        <v/>
      </c>
      <c r="CF51" s="66" t="n"/>
      <c r="CG51" s="78">
        <f>IF(OR(CF$4=0,CF51=""),"",IFERROR(ROUND(CF51/INDEX(Undirviðmið!$F$6:$F$205,CF$4)*INDEX(Undirviðmið!$E$6:$E$205,CF$4)*KVARDI,2),""))</f>
        <v/>
      </c>
      <c r="CH51" s="66" t="n"/>
      <c r="CI51" s="78">
        <f>IF(OR(CH$4=0,CH51=""),"",IFERROR(ROUND(CH51/INDEX(Undirviðmið!$F$6:$F$205,CH$4)*INDEX(Undirviðmið!$E$6:$E$205,CH$4)*KVARDI,2),""))</f>
        <v/>
      </c>
      <c r="CJ51" s="66" t="n"/>
      <c r="CK51" s="78">
        <f>IF(OR(CJ$4=0,CJ51=""),"",IFERROR(ROUND(CJ51/INDEX(Undirviðmið!$F$6:$F$205,CJ$4)*INDEX(Undirviðmið!$E$6:$E$205,CJ$4)*KVARDI,2),""))</f>
        <v/>
      </c>
      <c r="CL51" s="66" t="n"/>
      <c r="CM51" s="78">
        <f>IF(OR(CL$4=0,CL51=""),"",IFERROR(ROUND(CL51/INDEX(Undirviðmið!$F$6:$F$205,CL$4)*INDEX(Undirviðmið!$E$6:$E$205,CL$4)*KVARDI,2),""))</f>
        <v/>
      </c>
      <c r="CN51" s="66" t="n"/>
      <c r="CO51" s="78">
        <f>IF(OR(CN$4=0,CN51=""),"",IFERROR(ROUND(CN51/INDEX(Undirviðmið!$F$6:$F$205,CN$4)*INDEX(Undirviðmið!$E$6:$E$205,CN$4)*KVARDI,2),""))</f>
        <v/>
      </c>
      <c r="CP51" s="66" t="n"/>
      <c r="CQ51" s="78">
        <f>IF(OR(CP$4=0,CP51=""),"",IFERROR(ROUND(CP51/INDEX(Undirviðmið!$F$6:$F$205,CP$4)*INDEX(Undirviðmið!$E$6:$E$205,CP$4)*KVARDI,2),""))</f>
        <v/>
      </c>
      <c r="CR51" s="66" t="n"/>
      <c r="CS51" s="78">
        <f>IF(OR(CR$4=0,CR51=""),"",IFERROR(ROUND(CR51/INDEX(Undirviðmið!$F$6:$F$205,CR$4)*INDEX(Undirviðmið!$E$6:$E$205,CR$4)*KVARDI,2),""))</f>
        <v/>
      </c>
      <c r="CT51" s="66" t="n"/>
      <c r="CU51" s="78">
        <f>IF(OR(CT$4=0,CT51=""),"",IFERROR(ROUND(CT51/INDEX(Undirviðmið!$F$6:$F$205,CT$4)*INDEX(Undirviðmið!$E$6:$E$205,CT$4)*KVARDI,2),""))</f>
        <v/>
      </c>
      <c r="CV51" s="66" t="n"/>
      <c r="CW51" s="78">
        <f>IF(OR(CV$4=0,CV51=""),"",IFERROR(ROUND(CV51/INDEX(Undirviðmið!$F$6:$F$205,CV$4)*INDEX(Undirviðmið!$E$6:$E$205,CV$4)*KVARDI,2),""))</f>
        <v/>
      </c>
      <c r="CX51" s="66" t="n"/>
      <c r="CY51" s="78">
        <f>IF(OR(CX$4=0,CX51=""),"",IFERROR(ROUND(CX51/INDEX(Undirviðmið!$F$6:$F$205,CX$4)*INDEX(Undirviðmið!$E$6:$E$205,CX$4)*KVARDI,2),""))</f>
        <v/>
      </c>
      <c r="CZ51" s="66" t="n"/>
      <c r="DA51" s="78">
        <f>IF(OR(CZ$4=0,CZ51=""),"",IFERROR(ROUND(CZ51/INDEX(Undirviðmið!$F$6:$F$205,CZ$4)*INDEX(Undirviðmið!$E$6:$E$205,CZ$4)*KVARDI,2),""))</f>
        <v/>
      </c>
      <c r="DB51" s="66" t="n"/>
      <c r="DC51" s="78">
        <f>IF(OR(DB$4=0,DB51=""),"",IFERROR(ROUND(DB51/INDEX(Undirviðmið!$F$6:$F$205,DB$4)*INDEX(Undirviðmið!$E$6:$E$205,DB$4)*KVARDI,2),""))</f>
        <v/>
      </c>
      <c r="DD51" s="66" t="n"/>
      <c r="DE51" s="78">
        <f>IF(OR(DD$4=0,DD51=""),"",IFERROR(ROUND(DD51/INDEX(Undirviðmið!$F$6:$F$205,DD$4)*INDEX(Undirviðmið!$E$6:$E$205,DD$4)*KVARDI,2),""))</f>
        <v/>
      </c>
      <c r="DF51" s="66" t="n"/>
      <c r="DG51" s="78">
        <f>IF(OR(DF$4=0,DF51=""),"",IFERROR(ROUND(DF51/INDEX(Undirviðmið!$F$6:$F$205,DF$4)*INDEX(Undirviðmið!$E$6:$E$205,DF$4)*KVARDI,2),""))</f>
        <v/>
      </c>
      <c r="DH51" s="66" t="n"/>
      <c r="DI51" s="78">
        <f>IF(OR(DH$4=0,DH51=""),"",IFERROR(ROUND(DH51/INDEX(Undirviðmið!$F$6:$F$205,DH$4)*INDEX(Undirviðmið!$E$6:$E$205,DH$4)*KVARDI,2),""))</f>
        <v/>
      </c>
      <c r="DJ51" s="66" t="n"/>
      <c r="DK51" s="78">
        <f>IF(OR(DJ$4=0,DJ51=""),"",IFERROR(ROUND(DJ51/INDEX(Undirviðmið!$F$6:$F$205,DJ$4)*INDEX(Undirviðmið!$E$6:$E$205,DJ$4)*KVARDI,2),""))</f>
        <v/>
      </c>
      <c r="DL51" s="66" t="n"/>
      <c r="DM51" s="78">
        <f>IF(OR(DL$4=0,DL51=""),"",IFERROR(ROUND(DL51/INDEX(Undirviðmið!$F$6:$F$205,DL$4)*INDEX(Undirviðmið!$E$6:$E$205,DL$4)*KVARDI,2),""))</f>
        <v/>
      </c>
      <c r="DN51" s="66" t="n"/>
      <c r="DO51" s="78">
        <f>IF(OR(DN$4=0,DN51=""),"",IFERROR(ROUND(DN51/INDEX(Undirviðmið!$F$6:$F$205,DN$4)*INDEX(Undirviðmið!$E$6:$E$205,DN$4)*KVARDI,2),""))</f>
        <v/>
      </c>
      <c r="DP51" s="66" t="n"/>
      <c r="DQ51" s="78">
        <f>IF(OR(DP$4=0,DP51=""),"",IFERROR(ROUND(DP51/INDEX(Undirviðmið!$F$6:$F$205,DP$4)*INDEX(Undirviðmið!$E$6:$E$205,DP$4)*KVARDI,2),""))</f>
        <v/>
      </c>
      <c r="DR51" s="66" t="n"/>
      <c r="DS51" s="78">
        <f>IF(OR(DR$4=0,DR51=""),"",IFERROR(ROUND(DR51/INDEX(Undirviðmið!$F$6:$F$205,DR$4)*INDEX(Undirviðmið!$E$6:$E$205,DR$4)*KVARDI,2),""))</f>
        <v/>
      </c>
      <c r="DT51" s="66" t="n"/>
      <c r="DU51" s="78">
        <f>IF(OR(DT$4=0,DT51=""),"",IFERROR(ROUND(DT51/INDEX(Undirviðmið!$F$6:$F$205,DT$4)*INDEX(Undirviðmið!$E$6:$E$205,DT$4)*KVARDI,2),""))</f>
        <v/>
      </c>
      <c r="DV51" s="66" t="n"/>
      <c r="DW51" s="78">
        <f>IF(OR(DV$4=0,DV51=""),"",IFERROR(ROUND(DV51/INDEX(Undirviðmið!$F$6:$F$205,DV$4)*INDEX(Undirviðmið!$E$6:$E$205,DV$4)*KVARDI,2),""))</f>
        <v/>
      </c>
      <c r="DX51" s="66" t="n"/>
      <c r="DY51" s="78">
        <f>IF(OR(DX$4=0,DX51=""),"",IFERROR(ROUND(DX51/INDEX(Undirviðmið!$F$6:$F$205,DX$4)*INDEX(Undirviðmið!$E$6:$E$205,DX$4)*KVARDI,2),""))</f>
        <v/>
      </c>
      <c r="DZ51" s="66" t="n"/>
      <c r="EA51" s="78">
        <f>IF(OR(DZ$4=0,DZ51=""),"",IFERROR(ROUND(DZ51/INDEX(Undirviðmið!$F$6:$F$205,DZ$4)*INDEX(Undirviðmið!$E$6:$E$205,DZ$4)*KVARDI,2),""))</f>
        <v/>
      </c>
      <c r="EB51" s="66" t="n"/>
      <c r="EC51" s="78">
        <f>IF(OR(EB$4=0,EB51=""),"",IFERROR(ROUND(EB51/INDEX(Undirviðmið!$F$6:$F$205,EB$4)*INDEX(Undirviðmið!$E$6:$E$205,EB$4)*KVARDI,2),""))</f>
        <v/>
      </c>
      <c r="ED51" s="66" t="n"/>
      <c r="EE51" s="78">
        <f>IF(OR(ED$4=0,ED51=""),"",IFERROR(ROUND(ED51/INDEX(Undirviðmið!$F$6:$F$205,ED$4)*INDEX(Undirviðmið!$E$6:$E$205,ED$4)*KVARDI,2),""))</f>
        <v/>
      </c>
      <c r="EF51" s="66" t="n"/>
      <c r="EG51" s="78">
        <f>IF(OR(EF$4=0,EF51=""),"",IFERROR(ROUND(EF51/INDEX(Undirviðmið!$F$6:$F$205,EF$4)*INDEX(Undirviðmið!$E$6:$E$205,EF$4)*KVARDI,2),""))</f>
        <v/>
      </c>
      <c r="EH51" s="66" t="n"/>
      <c r="EI51" s="78">
        <f>IF(OR(EH$4=0,EH51=""),"",IFERROR(ROUND(EH51/INDEX(Undirviðmið!$F$6:$F$205,EH$4)*INDEX(Undirviðmið!$E$6:$E$205,EH$4)*KVARDI,2),""))</f>
        <v/>
      </c>
      <c r="EJ51" s="66" t="n"/>
      <c r="EK51" s="78">
        <f>IF(OR(EJ$4=0,EJ51=""),"",IFERROR(ROUND(EJ51/INDEX(Undirviðmið!$F$6:$F$205,EJ$4)*INDEX(Undirviðmið!$E$6:$E$205,EJ$4)*KVARDI,2),""))</f>
        <v/>
      </c>
      <c r="EL51" s="66" t="n"/>
      <c r="EM51" s="78">
        <f>IF(OR(EL$4=0,EL51=""),"",IFERROR(ROUND(EL51/INDEX(Undirviðmið!$F$6:$F$205,EL$4)*INDEX(Undirviðmið!$E$6:$E$205,EL$4)*KVARDI,2),""))</f>
        <v/>
      </c>
      <c r="EN51" s="66" t="n"/>
      <c r="EO51" s="78">
        <f>IF(OR(EN$4=0,EN51=""),"",IFERROR(ROUND(EN51/INDEX(Undirviðmið!$F$6:$F$205,EN$4)*INDEX(Undirviðmið!$E$6:$E$205,EN$4)*KVARDI,2),""))</f>
        <v/>
      </c>
      <c r="EP51" s="66" t="n"/>
      <c r="EQ51" s="78">
        <f>IF(OR(EP$4=0,EP51=""),"",IFERROR(ROUND(EP51/INDEX(Undirviðmið!$F$6:$F$205,EP$4)*INDEX(Undirviðmið!$E$6:$E$205,EP$4)*KVARDI,2),""))</f>
        <v/>
      </c>
      <c r="ER51" s="66" t="n"/>
      <c r="ES51" s="78">
        <f>IF(OR(ER$4=0,ER51=""),"",IFERROR(ROUND(ER51/INDEX(Undirviðmið!$F$6:$F$205,ER$4)*INDEX(Undirviðmið!$E$6:$E$205,ER$4)*KVARDI,2),""))</f>
        <v/>
      </c>
      <c r="ET51" s="66" t="n"/>
      <c r="EU51" s="78">
        <f>IF(OR(ET$4=0,ET51=""),"",IFERROR(ROUND(ET51/INDEX(Undirviðmið!$F$6:$F$205,ET$4)*INDEX(Undirviðmið!$E$6:$E$205,ET$4)*KVARDI,2),""))</f>
        <v/>
      </c>
      <c r="EV51" s="66" t="n"/>
      <c r="EW51" s="78">
        <f>IF(OR(EV$4=0,EV51=""),"",IFERROR(ROUND(EV51/INDEX(Undirviðmið!$F$6:$F$205,EV$4)*INDEX(Undirviðmið!$E$6:$E$205,EV$4)*KVARDI,2),""))</f>
        <v/>
      </c>
      <c r="EX51" s="66" t="n"/>
      <c r="EY51" s="78">
        <f>IF(OR(EX$4=0,EX51=""),"",IFERROR(ROUND(EX51/INDEX(Undirviðmið!$F$6:$F$205,EX$4)*INDEX(Undirviðmið!$E$6:$E$205,EX$4)*KVARDI,2),""))</f>
        <v/>
      </c>
      <c r="EZ51" s="66" t="n"/>
      <c r="FA51" s="78">
        <f>IF(OR(EZ$4=0,EZ51=""),"",IFERROR(ROUND(EZ51/INDEX(Undirviðmið!$F$6:$F$205,EZ$4)*INDEX(Undirviðmið!$E$6:$E$205,EZ$4)*KVARDI,2),""))</f>
        <v/>
      </c>
      <c r="FB51" s="66" t="n"/>
      <c r="FC51" s="78">
        <f>IF(OR(FB$4=0,FB51=""),"",IFERROR(ROUND(FB51/INDEX(Undirviðmið!$F$6:$F$205,FB$4)*INDEX(Undirviðmið!$E$6:$E$205,FB$4)*KVARDI,2),""))</f>
        <v/>
      </c>
      <c r="FD51" s="66" t="n"/>
      <c r="FE51" s="78">
        <f>IF(OR(FD$4=0,FD51=""),"",IFERROR(ROUND(FD51/INDEX(Undirviðmið!$F$6:$F$205,FD$4)*INDEX(Undirviðmið!$E$6:$E$205,FD$4)*KVARDI,2),""))</f>
        <v/>
      </c>
      <c r="FF51" s="66" t="n"/>
      <c r="FG51" s="78">
        <f>IF(OR(FF$4=0,FF51=""),"",IFERROR(ROUND(FF51/INDEX(Undirviðmið!$F$6:$F$205,FF$4)*INDEX(Undirviðmið!$E$6:$E$205,FF$4)*KVARDI,2),""))</f>
        <v/>
      </c>
      <c r="FH51" s="66" t="n"/>
      <c r="FI51" s="78">
        <f>IF(OR(FH$4=0,FH51=""),"",IFERROR(ROUND(FH51/INDEX(Undirviðmið!$F$6:$F$205,FH$4)*INDEX(Undirviðmið!$E$6:$E$205,FH$4)*KVARDI,2),""))</f>
        <v/>
      </c>
      <c r="FJ51" s="66" t="n"/>
      <c r="FK51" s="78">
        <f>IF(OR(FJ$4=0,FJ51=""),"",IFERROR(ROUND(FJ51/INDEX(Undirviðmið!$F$6:$F$205,FJ$4)*INDEX(Undirviðmið!$E$6:$E$205,FJ$4)*KVARDI,2),""))</f>
        <v/>
      </c>
      <c r="FL51" s="66" t="n"/>
      <c r="FM51" s="78">
        <f>IF(OR(FL$4=0,FL51=""),"",IFERROR(ROUND(FL51/INDEX(Undirviðmið!$F$6:$F$205,FL$4)*INDEX(Undirviðmið!$E$6:$E$205,FL$4)*KVARDI,2),""))</f>
        <v/>
      </c>
      <c r="FN51" s="66" t="n"/>
      <c r="FO51" s="78">
        <f>IF(OR(FN$4=0,FN51=""),"",IFERROR(ROUND(FN51/INDEX(Undirviðmið!$F$6:$F$205,FN$4)*INDEX(Undirviðmið!$E$6:$E$205,FN$4)*KVARDI,2),""))</f>
        <v/>
      </c>
      <c r="FP51" s="66" t="n"/>
      <c r="FQ51" s="78">
        <f>IF(OR(FP$4=0,FP51=""),"",IFERROR(ROUND(FP51/INDEX(Undirviðmið!$F$6:$F$205,FP$4)*INDEX(Undirviðmið!$E$6:$E$205,FP$4)*KVARDI,2),""))</f>
        <v/>
      </c>
      <c r="FR51" s="66" t="n"/>
      <c r="FS51" s="78">
        <f>IF(OR(FR$4=0,FR51=""),"",IFERROR(ROUND(FR51/INDEX(Undirviðmið!$F$6:$F$205,FR$4)*INDEX(Undirviðmið!$E$6:$E$205,FR$4)*KVARDI,2),""))</f>
        <v/>
      </c>
      <c r="FT51" s="66" t="n"/>
      <c r="FU51" s="78">
        <f>IF(OR(FT$4=0,FT51=""),"",IFERROR(ROUND(FT51/INDEX(Undirviðmið!$F$6:$F$205,FT$4)*INDEX(Undirviðmið!$E$6:$E$205,FT$4)*KVARDI,2),""))</f>
        <v/>
      </c>
      <c r="FV51" s="66" t="n"/>
      <c r="FW51" s="78">
        <f>IF(OR(FV$4=0,FV51=""),"",IFERROR(ROUND(FV51/INDEX(Undirviðmið!$F$6:$F$205,FV$4)*INDEX(Undirviðmið!$E$6:$E$205,FV$4)*KVARDI,2),""))</f>
        <v/>
      </c>
      <c r="FX51" s="66" t="n"/>
      <c r="FY51" s="78">
        <f>IF(OR(FX$4=0,FX51=""),"",IFERROR(ROUND(FX51/INDEX(Undirviðmið!$F$6:$F$205,FX$4)*INDEX(Undirviðmið!$E$6:$E$205,FX$4)*KVARDI,2),""))</f>
        <v/>
      </c>
      <c r="FZ51" s="66" t="n"/>
      <c r="GA51" s="78">
        <f>IF(OR(FZ$4=0,FZ51=""),"",IFERROR(ROUND(FZ51/INDEX(Undirviðmið!$F$6:$F$205,FZ$4)*INDEX(Undirviðmið!$E$6:$E$205,FZ$4)*KVARDI,2),""))</f>
        <v/>
      </c>
      <c r="GB51" s="66" t="n"/>
      <c r="GC51" s="78">
        <f>IF(OR(GB$4=0,GB51=""),"",IFERROR(ROUND(GB51/INDEX(Undirviðmið!$F$6:$F$205,GB$4)*INDEX(Undirviðmið!$E$6:$E$205,GB$4)*KVARDI,2),""))</f>
        <v/>
      </c>
      <c r="GD51" s="66" t="n"/>
      <c r="GE51" s="78">
        <f>IF(OR(GD$4=0,GD51=""),"",IFERROR(ROUND(GD51/INDEX(Undirviðmið!$F$6:$F$205,GD$4)*INDEX(Undirviðmið!$E$6:$E$205,GD$4)*KVARDI,2),""))</f>
        <v/>
      </c>
      <c r="GF51" s="66" t="n"/>
      <c r="GG51" s="78">
        <f>IF(OR(GF$4=0,GF51=""),"",IFERROR(ROUND(GF51/INDEX(Undirviðmið!$F$6:$F$205,GF$4)*INDEX(Undirviðmið!$E$6:$E$205,GF$4)*KVARDI,2),""))</f>
        <v/>
      </c>
      <c r="GH51" s="66" t="n"/>
      <c r="GI51" s="78">
        <f>IF(OR(GH$4=0,GH51=""),"",IFERROR(ROUND(GH51/INDEX(Undirviðmið!$F$6:$F$205,GH$4)*INDEX(Undirviðmið!$E$6:$E$205,GH$4)*KVARDI,2),""))</f>
        <v/>
      </c>
      <c r="GJ51" s="66" t="n"/>
      <c r="GK51" s="78">
        <f>IF(OR(GJ$4=0,GJ51=""),"",IFERROR(ROUND(GJ51/INDEX(Undirviðmið!$F$6:$F$205,GJ$4)*INDEX(Undirviðmið!$E$6:$E$205,GJ$4)*KVARDI,2),""))</f>
        <v/>
      </c>
      <c r="GL51" s="66" t="n"/>
      <c r="GM51" s="78">
        <f>IF(OR(GL$4=0,GL51=""),"",IFERROR(ROUND(GL51/INDEX(Undirviðmið!$F$6:$F$205,GL$4)*INDEX(Undirviðmið!$E$6:$E$205,GL$4)*KVARDI,2),""))</f>
        <v/>
      </c>
      <c r="GN51" s="66" t="n"/>
      <c r="GO51" s="78">
        <f>IF(OR(GN$4=0,GN51=""),"",IFERROR(ROUND(GN51/INDEX(Undirviðmið!$F$6:$F$205,GN$4)*INDEX(Undirviðmið!$E$6:$E$205,GN$4)*KVARDI,2),""))</f>
        <v/>
      </c>
      <c r="GP51" s="66" t="n"/>
      <c r="GQ51" s="78">
        <f>IF(OR(GP$4=0,GP51=""),"",IFERROR(ROUND(GP51/INDEX(Undirviðmið!$F$6:$F$205,GP$4)*INDEX(Undirviðmið!$E$6:$E$205,GP$4)*KVARDI,2),""))</f>
        <v/>
      </c>
      <c r="GR51" s="66" t="n"/>
      <c r="GS51" s="78">
        <f>IF(OR(GR$4=0,GR51=""),"",IFERROR(ROUND(GR51/INDEX(Undirviðmið!$F$6:$F$205,GR$4)*INDEX(Undirviðmið!$E$6:$E$205,GR$4)*KVARDI,2),""))</f>
        <v/>
      </c>
      <c r="GT51" s="66" t="n"/>
      <c r="GU51" s="78">
        <f>IF(OR(GT$4=0,GT51=""),"",IFERROR(ROUND(GT51/INDEX(Undirviðmið!$F$6:$F$205,GT$4)*INDEX(Undirviðmið!$E$6:$E$205,GT$4)*KVARDI,2),""))</f>
        <v/>
      </c>
      <c r="GV51" s="63">
        <f>IFERROR(SUMIF($D$6:GU$6,"Stig",$D51:GU51),0)</f>
        <v/>
      </c>
    </row>
    <row r="52" ht="15" customHeight="1" s="47">
      <c r="A52" s="65">
        <f>ROW()-6</f>
        <v/>
      </c>
      <c r="B52" s="67">
        <f>IF(INDEX(Starfsmenn!$B$6:$B$10005,ROW()-6)="","",INDEX(Starfsmenn!$B$6:$B$10005,ROW()-6))</f>
        <v/>
      </c>
      <c r="C52" s="67">
        <f>IF(INDEX(Starfsmenn!$C$6:$C$10005,ROW()-6)="","",INDEX(Starfsmenn!$C$6:$C$10005,ROW()-6))</f>
        <v/>
      </c>
      <c r="D52" s="66" t="n"/>
      <c r="E52" s="78">
        <f>IF(OR(D$4=0,D52=""),"",IFERROR(ROUND(D52/INDEX(Undirviðmið!$F$6:$F$205,D$4)*INDEX(Undirviðmið!$E$6:$E$205,D$4)*KVARDI,2),""))</f>
        <v/>
      </c>
      <c r="F52" s="66" t="n"/>
      <c r="G52" s="78">
        <f>IF(OR(F$4=0,F52=""),"",IFERROR(ROUND(F52/INDEX(Undirviðmið!$F$6:$F$205,F$4)*INDEX(Undirviðmið!$E$6:$E$205,F$4)*KVARDI,2),""))</f>
        <v/>
      </c>
      <c r="H52" s="66" t="n"/>
      <c r="I52" s="78">
        <f>IF(OR(H$4=0,H52=""),"",IFERROR(ROUND(H52/INDEX(Undirviðmið!$F$6:$F$205,H$4)*INDEX(Undirviðmið!$E$6:$E$205,H$4)*KVARDI,2),""))</f>
        <v/>
      </c>
      <c r="J52" s="66" t="n"/>
      <c r="K52" s="78">
        <f>IF(OR(J$4=0,J52=""),"",IFERROR(ROUND(J52/INDEX(Undirviðmið!$F$6:$F$205,J$4)*INDEX(Undirviðmið!$E$6:$E$205,J$4)*KVARDI,2),""))</f>
        <v/>
      </c>
      <c r="L52" s="66" t="n"/>
      <c r="M52" s="78">
        <f>IF(OR(L$4=0,L52=""),"",IFERROR(ROUND(L52/INDEX(Undirviðmið!$F$6:$F$205,L$4)*INDEX(Undirviðmið!$E$6:$E$205,L$4)*KVARDI,2),""))</f>
        <v/>
      </c>
      <c r="N52" s="66" t="n"/>
      <c r="O52" s="78">
        <f>IF(OR(N$4=0,N52=""),"",IFERROR(ROUND(N52/INDEX(Undirviðmið!$F$6:$F$205,N$4)*INDEX(Undirviðmið!$E$6:$E$205,N$4)*KVARDI,2),""))</f>
        <v/>
      </c>
      <c r="P52" s="66" t="n"/>
      <c r="Q52" s="78">
        <f>IF(OR(P$4=0,P52=""),"",IFERROR(ROUND(P52/INDEX(Undirviðmið!$F$6:$F$205,P$4)*INDEX(Undirviðmið!$E$6:$E$205,P$4)*KVARDI,2),""))</f>
        <v/>
      </c>
      <c r="R52" s="66" t="n"/>
      <c r="S52" s="78">
        <f>IF(OR(R$4=0,R52=""),"",IFERROR(ROUND(R52/INDEX(Undirviðmið!$F$6:$F$205,R$4)*INDEX(Undirviðmið!$E$6:$E$205,R$4)*KVARDI,2),""))</f>
        <v/>
      </c>
      <c r="T52" s="66" t="n"/>
      <c r="U52" s="78">
        <f>IF(OR(T$4=0,T52=""),"",IFERROR(ROUND(T52/INDEX(Undirviðmið!$F$6:$F$205,T$4)*INDEX(Undirviðmið!$E$6:$E$205,T$4)*KVARDI,2),""))</f>
        <v/>
      </c>
      <c r="V52" s="66" t="n"/>
      <c r="W52" s="78">
        <f>IF(OR(V$4=0,V52=""),"",IFERROR(ROUND(V52/INDEX(Undirviðmið!$F$6:$F$205,V$4)*INDEX(Undirviðmið!$E$6:$E$205,V$4)*KVARDI,2),""))</f>
        <v/>
      </c>
      <c r="X52" s="66" t="n"/>
      <c r="Y52" s="78">
        <f>IF(OR(X$4=0,X52=""),"",IFERROR(ROUND(X52/INDEX(Undirviðmið!$F$6:$F$205,X$4)*INDEX(Undirviðmið!$E$6:$E$205,X$4)*KVARDI,2),""))</f>
        <v/>
      </c>
      <c r="Z52" s="66" t="n"/>
      <c r="AA52" s="78">
        <f>IF(OR(Z$4=0,Z52=""),"",IFERROR(ROUND(Z52/INDEX(Undirviðmið!$F$6:$F$205,Z$4)*INDEX(Undirviðmið!$E$6:$E$205,Z$4)*KVARDI,2),""))</f>
        <v/>
      </c>
      <c r="AB52" s="66" t="n"/>
      <c r="AC52" s="78">
        <f>IF(OR(AB$4=0,AB52=""),"",IFERROR(ROUND(AB52/INDEX(Undirviðmið!$F$6:$F$205,AB$4)*INDEX(Undirviðmið!$E$6:$E$205,AB$4)*KVARDI,2),""))</f>
        <v/>
      </c>
      <c r="AD52" s="66" t="n"/>
      <c r="AE52" s="78">
        <f>IF(OR(AD$4=0,AD52=""),"",IFERROR(ROUND(AD52/INDEX(Undirviðmið!$F$6:$F$205,AD$4)*INDEX(Undirviðmið!$E$6:$E$205,AD$4)*KVARDI,2),""))</f>
        <v/>
      </c>
      <c r="AF52" s="66" t="n"/>
      <c r="AG52" s="78">
        <f>IF(OR(AF$4=0,AF52=""),"",IFERROR(ROUND(AF52/INDEX(Undirviðmið!$F$6:$F$205,AF$4)*INDEX(Undirviðmið!$E$6:$E$205,AF$4)*KVARDI,2),""))</f>
        <v/>
      </c>
      <c r="AH52" s="66" t="n"/>
      <c r="AI52" s="78">
        <f>IF(OR(AH$4=0,AH52=""),"",IFERROR(ROUND(AH52/INDEX(Undirviðmið!$F$6:$F$205,AH$4)*INDEX(Undirviðmið!$E$6:$E$205,AH$4)*KVARDI,2),""))</f>
        <v/>
      </c>
      <c r="AJ52" s="66" t="n"/>
      <c r="AK52" s="78">
        <f>IF(OR(AJ$4=0,AJ52=""),"",IFERROR(ROUND(AJ52/INDEX(Undirviðmið!$F$6:$F$205,AJ$4)*INDEX(Undirviðmið!$E$6:$E$205,AJ$4)*KVARDI,2),""))</f>
        <v/>
      </c>
      <c r="AL52" s="66" t="n"/>
      <c r="AM52" s="78">
        <f>IF(OR(AL$4=0,AL52=""),"",IFERROR(ROUND(AL52/INDEX(Undirviðmið!$F$6:$F$205,AL$4)*INDEX(Undirviðmið!$E$6:$E$205,AL$4)*KVARDI,2),""))</f>
        <v/>
      </c>
      <c r="AN52" s="66" t="n"/>
      <c r="AO52" s="78">
        <f>IF(OR(AN$4=0,AN52=""),"",IFERROR(ROUND(AN52/INDEX(Undirviðmið!$F$6:$F$205,AN$4)*INDEX(Undirviðmið!$E$6:$E$205,AN$4)*KVARDI,2),""))</f>
        <v/>
      </c>
      <c r="AP52" s="66" t="n"/>
      <c r="AQ52" s="78">
        <f>IF(OR(AP$4=0,AP52=""),"",IFERROR(ROUND(AP52/INDEX(Undirviðmið!$F$6:$F$205,AP$4)*INDEX(Undirviðmið!$E$6:$E$205,AP$4)*KVARDI,2),""))</f>
        <v/>
      </c>
      <c r="AR52" s="66" t="n"/>
      <c r="AS52" s="78">
        <f>IF(OR(AR$4=0,AR52=""),"",IFERROR(ROUND(AR52/INDEX(Undirviðmið!$F$6:$F$205,AR$4)*INDEX(Undirviðmið!$E$6:$E$205,AR$4)*KVARDI,2),""))</f>
        <v/>
      </c>
      <c r="AT52" s="66" t="n"/>
      <c r="AU52" s="78">
        <f>IF(OR(AT$4=0,AT52=""),"",IFERROR(ROUND(AT52/INDEX(Undirviðmið!$F$6:$F$205,AT$4)*INDEX(Undirviðmið!$E$6:$E$205,AT$4)*KVARDI,2),""))</f>
        <v/>
      </c>
      <c r="AV52" s="66" t="n"/>
      <c r="AW52" s="78">
        <f>IF(OR(AV$4=0,AV52=""),"",IFERROR(ROUND(AV52/INDEX(Undirviðmið!$F$6:$F$205,AV$4)*INDEX(Undirviðmið!$E$6:$E$205,AV$4)*KVARDI,2),""))</f>
        <v/>
      </c>
      <c r="AX52" s="66" t="n"/>
      <c r="AY52" s="78">
        <f>IF(OR(AX$4=0,AX52=""),"",IFERROR(ROUND(AX52/INDEX(Undirviðmið!$F$6:$F$205,AX$4)*INDEX(Undirviðmið!$E$6:$E$205,AX$4)*KVARDI,2),""))</f>
        <v/>
      </c>
      <c r="AZ52" s="66" t="n"/>
      <c r="BA52" s="78">
        <f>IF(OR(AZ$4=0,AZ52=""),"",IFERROR(ROUND(AZ52/INDEX(Undirviðmið!$F$6:$F$205,AZ$4)*INDEX(Undirviðmið!$E$6:$E$205,AZ$4)*KVARDI,2),""))</f>
        <v/>
      </c>
      <c r="BB52" s="66" t="n"/>
      <c r="BC52" s="78">
        <f>IF(OR(BB$4=0,BB52=""),"",IFERROR(ROUND(BB52/INDEX(Undirviðmið!$F$6:$F$205,BB$4)*INDEX(Undirviðmið!$E$6:$E$205,BB$4)*KVARDI,2),""))</f>
        <v/>
      </c>
      <c r="BD52" s="66" t="n"/>
      <c r="BE52" s="78">
        <f>IF(OR(BD$4=0,BD52=""),"",IFERROR(ROUND(BD52/INDEX(Undirviðmið!$F$6:$F$205,BD$4)*INDEX(Undirviðmið!$E$6:$E$205,BD$4)*KVARDI,2),""))</f>
        <v/>
      </c>
      <c r="BF52" s="66" t="n"/>
      <c r="BG52" s="78">
        <f>IF(OR(BF$4=0,BF52=""),"",IFERROR(ROUND(BF52/INDEX(Undirviðmið!$F$6:$F$205,BF$4)*INDEX(Undirviðmið!$E$6:$E$205,BF$4)*KVARDI,2),""))</f>
        <v/>
      </c>
      <c r="BH52" s="66" t="n"/>
      <c r="BI52" s="78">
        <f>IF(OR(BH$4=0,BH52=""),"",IFERROR(ROUND(BH52/INDEX(Undirviðmið!$F$6:$F$205,BH$4)*INDEX(Undirviðmið!$E$6:$E$205,BH$4)*KVARDI,2),""))</f>
        <v/>
      </c>
      <c r="BJ52" s="66" t="n"/>
      <c r="BK52" s="78">
        <f>IF(OR(BJ$4=0,BJ52=""),"",IFERROR(ROUND(BJ52/INDEX(Undirviðmið!$F$6:$F$205,BJ$4)*INDEX(Undirviðmið!$E$6:$E$205,BJ$4)*KVARDI,2),""))</f>
        <v/>
      </c>
      <c r="BL52" s="66" t="n"/>
      <c r="BM52" s="78">
        <f>IF(OR(BL$4=0,BL52=""),"",IFERROR(ROUND(BL52/INDEX(Undirviðmið!$F$6:$F$205,BL$4)*INDEX(Undirviðmið!$E$6:$E$205,BL$4)*KVARDI,2),""))</f>
        <v/>
      </c>
      <c r="BN52" s="66" t="n"/>
      <c r="BO52" s="78">
        <f>IF(OR(BN$4=0,BN52=""),"",IFERROR(ROUND(BN52/INDEX(Undirviðmið!$F$6:$F$205,BN$4)*INDEX(Undirviðmið!$E$6:$E$205,BN$4)*KVARDI,2),""))</f>
        <v/>
      </c>
      <c r="BP52" s="66" t="n"/>
      <c r="BQ52" s="78">
        <f>IF(OR(BP$4=0,BP52=""),"",IFERROR(ROUND(BP52/INDEX(Undirviðmið!$F$6:$F$205,BP$4)*INDEX(Undirviðmið!$E$6:$E$205,BP$4)*KVARDI,2),""))</f>
        <v/>
      </c>
      <c r="BR52" s="66" t="n"/>
      <c r="BS52" s="78">
        <f>IF(OR(BR$4=0,BR52=""),"",IFERROR(ROUND(BR52/INDEX(Undirviðmið!$F$6:$F$205,BR$4)*INDEX(Undirviðmið!$E$6:$E$205,BR$4)*KVARDI,2),""))</f>
        <v/>
      </c>
      <c r="BT52" s="66" t="n"/>
      <c r="BU52" s="78">
        <f>IF(OR(BT$4=0,BT52=""),"",IFERROR(ROUND(BT52/INDEX(Undirviðmið!$F$6:$F$205,BT$4)*INDEX(Undirviðmið!$E$6:$E$205,BT$4)*KVARDI,2),""))</f>
        <v/>
      </c>
      <c r="BV52" s="66" t="n"/>
      <c r="BW52" s="78">
        <f>IF(OR(BV$4=0,BV52=""),"",IFERROR(ROUND(BV52/INDEX(Undirviðmið!$F$6:$F$205,BV$4)*INDEX(Undirviðmið!$E$6:$E$205,BV$4)*KVARDI,2),""))</f>
        <v/>
      </c>
      <c r="BX52" s="66" t="n"/>
      <c r="BY52" s="78">
        <f>IF(OR(BX$4=0,BX52=""),"",IFERROR(ROUND(BX52/INDEX(Undirviðmið!$F$6:$F$205,BX$4)*INDEX(Undirviðmið!$E$6:$E$205,BX$4)*KVARDI,2),""))</f>
        <v/>
      </c>
      <c r="BZ52" s="66" t="n"/>
      <c r="CA52" s="78">
        <f>IF(OR(BZ$4=0,BZ52=""),"",IFERROR(ROUND(BZ52/INDEX(Undirviðmið!$F$6:$F$205,BZ$4)*INDEX(Undirviðmið!$E$6:$E$205,BZ$4)*KVARDI,2),""))</f>
        <v/>
      </c>
      <c r="CB52" s="66" t="n"/>
      <c r="CC52" s="78">
        <f>IF(OR(CB$4=0,CB52=""),"",IFERROR(ROUND(CB52/INDEX(Undirviðmið!$F$6:$F$205,CB$4)*INDEX(Undirviðmið!$E$6:$E$205,CB$4)*KVARDI,2),""))</f>
        <v/>
      </c>
      <c r="CD52" s="66" t="n"/>
      <c r="CE52" s="78">
        <f>IF(OR(CD$4=0,CD52=""),"",IFERROR(ROUND(CD52/INDEX(Undirviðmið!$F$6:$F$205,CD$4)*INDEX(Undirviðmið!$E$6:$E$205,CD$4)*KVARDI,2),""))</f>
        <v/>
      </c>
      <c r="CF52" s="66" t="n"/>
      <c r="CG52" s="78">
        <f>IF(OR(CF$4=0,CF52=""),"",IFERROR(ROUND(CF52/INDEX(Undirviðmið!$F$6:$F$205,CF$4)*INDEX(Undirviðmið!$E$6:$E$205,CF$4)*KVARDI,2),""))</f>
        <v/>
      </c>
      <c r="CH52" s="66" t="n"/>
      <c r="CI52" s="78">
        <f>IF(OR(CH$4=0,CH52=""),"",IFERROR(ROUND(CH52/INDEX(Undirviðmið!$F$6:$F$205,CH$4)*INDEX(Undirviðmið!$E$6:$E$205,CH$4)*KVARDI,2),""))</f>
        <v/>
      </c>
      <c r="CJ52" s="66" t="n"/>
      <c r="CK52" s="78">
        <f>IF(OR(CJ$4=0,CJ52=""),"",IFERROR(ROUND(CJ52/INDEX(Undirviðmið!$F$6:$F$205,CJ$4)*INDEX(Undirviðmið!$E$6:$E$205,CJ$4)*KVARDI,2),""))</f>
        <v/>
      </c>
      <c r="CL52" s="66" t="n"/>
      <c r="CM52" s="78">
        <f>IF(OR(CL$4=0,CL52=""),"",IFERROR(ROUND(CL52/INDEX(Undirviðmið!$F$6:$F$205,CL$4)*INDEX(Undirviðmið!$E$6:$E$205,CL$4)*KVARDI,2),""))</f>
        <v/>
      </c>
      <c r="CN52" s="66" t="n"/>
      <c r="CO52" s="78">
        <f>IF(OR(CN$4=0,CN52=""),"",IFERROR(ROUND(CN52/INDEX(Undirviðmið!$F$6:$F$205,CN$4)*INDEX(Undirviðmið!$E$6:$E$205,CN$4)*KVARDI,2),""))</f>
        <v/>
      </c>
      <c r="CP52" s="66" t="n"/>
      <c r="CQ52" s="78">
        <f>IF(OR(CP$4=0,CP52=""),"",IFERROR(ROUND(CP52/INDEX(Undirviðmið!$F$6:$F$205,CP$4)*INDEX(Undirviðmið!$E$6:$E$205,CP$4)*KVARDI,2),""))</f>
        <v/>
      </c>
      <c r="CR52" s="66" t="n"/>
      <c r="CS52" s="78">
        <f>IF(OR(CR$4=0,CR52=""),"",IFERROR(ROUND(CR52/INDEX(Undirviðmið!$F$6:$F$205,CR$4)*INDEX(Undirviðmið!$E$6:$E$205,CR$4)*KVARDI,2),""))</f>
        <v/>
      </c>
      <c r="CT52" s="66" t="n"/>
      <c r="CU52" s="78">
        <f>IF(OR(CT$4=0,CT52=""),"",IFERROR(ROUND(CT52/INDEX(Undirviðmið!$F$6:$F$205,CT$4)*INDEX(Undirviðmið!$E$6:$E$205,CT$4)*KVARDI,2),""))</f>
        <v/>
      </c>
      <c r="CV52" s="66" t="n"/>
      <c r="CW52" s="78">
        <f>IF(OR(CV$4=0,CV52=""),"",IFERROR(ROUND(CV52/INDEX(Undirviðmið!$F$6:$F$205,CV$4)*INDEX(Undirviðmið!$E$6:$E$205,CV$4)*KVARDI,2),""))</f>
        <v/>
      </c>
      <c r="CX52" s="66" t="n"/>
      <c r="CY52" s="78">
        <f>IF(OR(CX$4=0,CX52=""),"",IFERROR(ROUND(CX52/INDEX(Undirviðmið!$F$6:$F$205,CX$4)*INDEX(Undirviðmið!$E$6:$E$205,CX$4)*KVARDI,2),""))</f>
        <v/>
      </c>
      <c r="CZ52" s="66" t="n"/>
      <c r="DA52" s="78">
        <f>IF(OR(CZ$4=0,CZ52=""),"",IFERROR(ROUND(CZ52/INDEX(Undirviðmið!$F$6:$F$205,CZ$4)*INDEX(Undirviðmið!$E$6:$E$205,CZ$4)*KVARDI,2),""))</f>
        <v/>
      </c>
      <c r="DB52" s="66" t="n"/>
      <c r="DC52" s="78">
        <f>IF(OR(DB$4=0,DB52=""),"",IFERROR(ROUND(DB52/INDEX(Undirviðmið!$F$6:$F$205,DB$4)*INDEX(Undirviðmið!$E$6:$E$205,DB$4)*KVARDI,2),""))</f>
        <v/>
      </c>
      <c r="DD52" s="66" t="n"/>
      <c r="DE52" s="78">
        <f>IF(OR(DD$4=0,DD52=""),"",IFERROR(ROUND(DD52/INDEX(Undirviðmið!$F$6:$F$205,DD$4)*INDEX(Undirviðmið!$E$6:$E$205,DD$4)*KVARDI,2),""))</f>
        <v/>
      </c>
      <c r="DF52" s="66" t="n"/>
      <c r="DG52" s="78">
        <f>IF(OR(DF$4=0,DF52=""),"",IFERROR(ROUND(DF52/INDEX(Undirviðmið!$F$6:$F$205,DF$4)*INDEX(Undirviðmið!$E$6:$E$205,DF$4)*KVARDI,2),""))</f>
        <v/>
      </c>
      <c r="DH52" s="66" t="n"/>
      <c r="DI52" s="78">
        <f>IF(OR(DH$4=0,DH52=""),"",IFERROR(ROUND(DH52/INDEX(Undirviðmið!$F$6:$F$205,DH$4)*INDEX(Undirviðmið!$E$6:$E$205,DH$4)*KVARDI,2),""))</f>
        <v/>
      </c>
      <c r="DJ52" s="66" t="n"/>
      <c r="DK52" s="78">
        <f>IF(OR(DJ$4=0,DJ52=""),"",IFERROR(ROUND(DJ52/INDEX(Undirviðmið!$F$6:$F$205,DJ$4)*INDEX(Undirviðmið!$E$6:$E$205,DJ$4)*KVARDI,2),""))</f>
        <v/>
      </c>
      <c r="DL52" s="66" t="n"/>
      <c r="DM52" s="78">
        <f>IF(OR(DL$4=0,DL52=""),"",IFERROR(ROUND(DL52/INDEX(Undirviðmið!$F$6:$F$205,DL$4)*INDEX(Undirviðmið!$E$6:$E$205,DL$4)*KVARDI,2),""))</f>
        <v/>
      </c>
      <c r="DN52" s="66" t="n"/>
      <c r="DO52" s="78">
        <f>IF(OR(DN$4=0,DN52=""),"",IFERROR(ROUND(DN52/INDEX(Undirviðmið!$F$6:$F$205,DN$4)*INDEX(Undirviðmið!$E$6:$E$205,DN$4)*KVARDI,2),""))</f>
        <v/>
      </c>
      <c r="DP52" s="66" t="n"/>
      <c r="DQ52" s="78">
        <f>IF(OR(DP$4=0,DP52=""),"",IFERROR(ROUND(DP52/INDEX(Undirviðmið!$F$6:$F$205,DP$4)*INDEX(Undirviðmið!$E$6:$E$205,DP$4)*KVARDI,2),""))</f>
        <v/>
      </c>
      <c r="DR52" s="66" t="n"/>
      <c r="DS52" s="78">
        <f>IF(OR(DR$4=0,DR52=""),"",IFERROR(ROUND(DR52/INDEX(Undirviðmið!$F$6:$F$205,DR$4)*INDEX(Undirviðmið!$E$6:$E$205,DR$4)*KVARDI,2),""))</f>
        <v/>
      </c>
      <c r="DT52" s="66" t="n"/>
      <c r="DU52" s="78">
        <f>IF(OR(DT$4=0,DT52=""),"",IFERROR(ROUND(DT52/INDEX(Undirviðmið!$F$6:$F$205,DT$4)*INDEX(Undirviðmið!$E$6:$E$205,DT$4)*KVARDI,2),""))</f>
        <v/>
      </c>
      <c r="DV52" s="66" t="n"/>
      <c r="DW52" s="78">
        <f>IF(OR(DV$4=0,DV52=""),"",IFERROR(ROUND(DV52/INDEX(Undirviðmið!$F$6:$F$205,DV$4)*INDEX(Undirviðmið!$E$6:$E$205,DV$4)*KVARDI,2),""))</f>
        <v/>
      </c>
      <c r="DX52" s="66" t="n"/>
      <c r="DY52" s="78">
        <f>IF(OR(DX$4=0,DX52=""),"",IFERROR(ROUND(DX52/INDEX(Undirviðmið!$F$6:$F$205,DX$4)*INDEX(Undirviðmið!$E$6:$E$205,DX$4)*KVARDI,2),""))</f>
        <v/>
      </c>
      <c r="DZ52" s="66" t="n"/>
      <c r="EA52" s="78">
        <f>IF(OR(DZ$4=0,DZ52=""),"",IFERROR(ROUND(DZ52/INDEX(Undirviðmið!$F$6:$F$205,DZ$4)*INDEX(Undirviðmið!$E$6:$E$205,DZ$4)*KVARDI,2),""))</f>
        <v/>
      </c>
      <c r="EB52" s="66" t="n"/>
      <c r="EC52" s="78">
        <f>IF(OR(EB$4=0,EB52=""),"",IFERROR(ROUND(EB52/INDEX(Undirviðmið!$F$6:$F$205,EB$4)*INDEX(Undirviðmið!$E$6:$E$205,EB$4)*KVARDI,2),""))</f>
        <v/>
      </c>
      <c r="ED52" s="66" t="n"/>
      <c r="EE52" s="78">
        <f>IF(OR(ED$4=0,ED52=""),"",IFERROR(ROUND(ED52/INDEX(Undirviðmið!$F$6:$F$205,ED$4)*INDEX(Undirviðmið!$E$6:$E$205,ED$4)*KVARDI,2),""))</f>
        <v/>
      </c>
      <c r="EF52" s="66" t="n"/>
      <c r="EG52" s="78">
        <f>IF(OR(EF$4=0,EF52=""),"",IFERROR(ROUND(EF52/INDEX(Undirviðmið!$F$6:$F$205,EF$4)*INDEX(Undirviðmið!$E$6:$E$205,EF$4)*KVARDI,2),""))</f>
        <v/>
      </c>
      <c r="EH52" s="66" t="n"/>
      <c r="EI52" s="78">
        <f>IF(OR(EH$4=0,EH52=""),"",IFERROR(ROUND(EH52/INDEX(Undirviðmið!$F$6:$F$205,EH$4)*INDEX(Undirviðmið!$E$6:$E$205,EH$4)*KVARDI,2),""))</f>
        <v/>
      </c>
      <c r="EJ52" s="66" t="n"/>
      <c r="EK52" s="78">
        <f>IF(OR(EJ$4=0,EJ52=""),"",IFERROR(ROUND(EJ52/INDEX(Undirviðmið!$F$6:$F$205,EJ$4)*INDEX(Undirviðmið!$E$6:$E$205,EJ$4)*KVARDI,2),""))</f>
        <v/>
      </c>
      <c r="EL52" s="66" t="n"/>
      <c r="EM52" s="78">
        <f>IF(OR(EL$4=0,EL52=""),"",IFERROR(ROUND(EL52/INDEX(Undirviðmið!$F$6:$F$205,EL$4)*INDEX(Undirviðmið!$E$6:$E$205,EL$4)*KVARDI,2),""))</f>
        <v/>
      </c>
      <c r="EN52" s="66" t="n"/>
      <c r="EO52" s="78">
        <f>IF(OR(EN$4=0,EN52=""),"",IFERROR(ROUND(EN52/INDEX(Undirviðmið!$F$6:$F$205,EN$4)*INDEX(Undirviðmið!$E$6:$E$205,EN$4)*KVARDI,2),""))</f>
        <v/>
      </c>
      <c r="EP52" s="66" t="n"/>
      <c r="EQ52" s="78">
        <f>IF(OR(EP$4=0,EP52=""),"",IFERROR(ROUND(EP52/INDEX(Undirviðmið!$F$6:$F$205,EP$4)*INDEX(Undirviðmið!$E$6:$E$205,EP$4)*KVARDI,2),""))</f>
        <v/>
      </c>
      <c r="ER52" s="66" t="n"/>
      <c r="ES52" s="78">
        <f>IF(OR(ER$4=0,ER52=""),"",IFERROR(ROUND(ER52/INDEX(Undirviðmið!$F$6:$F$205,ER$4)*INDEX(Undirviðmið!$E$6:$E$205,ER$4)*KVARDI,2),""))</f>
        <v/>
      </c>
      <c r="ET52" s="66" t="n"/>
      <c r="EU52" s="78">
        <f>IF(OR(ET$4=0,ET52=""),"",IFERROR(ROUND(ET52/INDEX(Undirviðmið!$F$6:$F$205,ET$4)*INDEX(Undirviðmið!$E$6:$E$205,ET$4)*KVARDI,2),""))</f>
        <v/>
      </c>
      <c r="EV52" s="66" t="n"/>
      <c r="EW52" s="78">
        <f>IF(OR(EV$4=0,EV52=""),"",IFERROR(ROUND(EV52/INDEX(Undirviðmið!$F$6:$F$205,EV$4)*INDEX(Undirviðmið!$E$6:$E$205,EV$4)*KVARDI,2),""))</f>
        <v/>
      </c>
      <c r="EX52" s="66" t="n"/>
      <c r="EY52" s="78">
        <f>IF(OR(EX$4=0,EX52=""),"",IFERROR(ROUND(EX52/INDEX(Undirviðmið!$F$6:$F$205,EX$4)*INDEX(Undirviðmið!$E$6:$E$205,EX$4)*KVARDI,2),""))</f>
        <v/>
      </c>
      <c r="EZ52" s="66" t="n"/>
      <c r="FA52" s="78">
        <f>IF(OR(EZ$4=0,EZ52=""),"",IFERROR(ROUND(EZ52/INDEX(Undirviðmið!$F$6:$F$205,EZ$4)*INDEX(Undirviðmið!$E$6:$E$205,EZ$4)*KVARDI,2),""))</f>
        <v/>
      </c>
      <c r="FB52" s="66" t="n"/>
      <c r="FC52" s="78">
        <f>IF(OR(FB$4=0,FB52=""),"",IFERROR(ROUND(FB52/INDEX(Undirviðmið!$F$6:$F$205,FB$4)*INDEX(Undirviðmið!$E$6:$E$205,FB$4)*KVARDI,2),""))</f>
        <v/>
      </c>
      <c r="FD52" s="66" t="n"/>
      <c r="FE52" s="78">
        <f>IF(OR(FD$4=0,FD52=""),"",IFERROR(ROUND(FD52/INDEX(Undirviðmið!$F$6:$F$205,FD$4)*INDEX(Undirviðmið!$E$6:$E$205,FD$4)*KVARDI,2),""))</f>
        <v/>
      </c>
      <c r="FF52" s="66" t="n"/>
      <c r="FG52" s="78">
        <f>IF(OR(FF$4=0,FF52=""),"",IFERROR(ROUND(FF52/INDEX(Undirviðmið!$F$6:$F$205,FF$4)*INDEX(Undirviðmið!$E$6:$E$205,FF$4)*KVARDI,2),""))</f>
        <v/>
      </c>
      <c r="FH52" s="66" t="n"/>
      <c r="FI52" s="78">
        <f>IF(OR(FH$4=0,FH52=""),"",IFERROR(ROUND(FH52/INDEX(Undirviðmið!$F$6:$F$205,FH$4)*INDEX(Undirviðmið!$E$6:$E$205,FH$4)*KVARDI,2),""))</f>
        <v/>
      </c>
      <c r="FJ52" s="66" t="n"/>
      <c r="FK52" s="78">
        <f>IF(OR(FJ$4=0,FJ52=""),"",IFERROR(ROUND(FJ52/INDEX(Undirviðmið!$F$6:$F$205,FJ$4)*INDEX(Undirviðmið!$E$6:$E$205,FJ$4)*KVARDI,2),""))</f>
        <v/>
      </c>
      <c r="FL52" s="66" t="n"/>
      <c r="FM52" s="78">
        <f>IF(OR(FL$4=0,FL52=""),"",IFERROR(ROUND(FL52/INDEX(Undirviðmið!$F$6:$F$205,FL$4)*INDEX(Undirviðmið!$E$6:$E$205,FL$4)*KVARDI,2),""))</f>
        <v/>
      </c>
      <c r="FN52" s="66" t="n"/>
      <c r="FO52" s="78">
        <f>IF(OR(FN$4=0,FN52=""),"",IFERROR(ROUND(FN52/INDEX(Undirviðmið!$F$6:$F$205,FN$4)*INDEX(Undirviðmið!$E$6:$E$205,FN$4)*KVARDI,2),""))</f>
        <v/>
      </c>
      <c r="FP52" s="66" t="n"/>
      <c r="FQ52" s="78">
        <f>IF(OR(FP$4=0,FP52=""),"",IFERROR(ROUND(FP52/INDEX(Undirviðmið!$F$6:$F$205,FP$4)*INDEX(Undirviðmið!$E$6:$E$205,FP$4)*KVARDI,2),""))</f>
        <v/>
      </c>
      <c r="FR52" s="66" t="n"/>
      <c r="FS52" s="78">
        <f>IF(OR(FR$4=0,FR52=""),"",IFERROR(ROUND(FR52/INDEX(Undirviðmið!$F$6:$F$205,FR$4)*INDEX(Undirviðmið!$E$6:$E$205,FR$4)*KVARDI,2),""))</f>
        <v/>
      </c>
      <c r="FT52" s="66" t="n"/>
      <c r="FU52" s="78">
        <f>IF(OR(FT$4=0,FT52=""),"",IFERROR(ROUND(FT52/INDEX(Undirviðmið!$F$6:$F$205,FT$4)*INDEX(Undirviðmið!$E$6:$E$205,FT$4)*KVARDI,2),""))</f>
        <v/>
      </c>
      <c r="FV52" s="66" t="n"/>
      <c r="FW52" s="78">
        <f>IF(OR(FV$4=0,FV52=""),"",IFERROR(ROUND(FV52/INDEX(Undirviðmið!$F$6:$F$205,FV$4)*INDEX(Undirviðmið!$E$6:$E$205,FV$4)*KVARDI,2),""))</f>
        <v/>
      </c>
      <c r="FX52" s="66" t="n"/>
      <c r="FY52" s="78">
        <f>IF(OR(FX$4=0,FX52=""),"",IFERROR(ROUND(FX52/INDEX(Undirviðmið!$F$6:$F$205,FX$4)*INDEX(Undirviðmið!$E$6:$E$205,FX$4)*KVARDI,2),""))</f>
        <v/>
      </c>
      <c r="FZ52" s="66" t="n"/>
      <c r="GA52" s="78">
        <f>IF(OR(FZ$4=0,FZ52=""),"",IFERROR(ROUND(FZ52/INDEX(Undirviðmið!$F$6:$F$205,FZ$4)*INDEX(Undirviðmið!$E$6:$E$205,FZ$4)*KVARDI,2),""))</f>
        <v/>
      </c>
      <c r="GB52" s="66" t="n"/>
      <c r="GC52" s="78">
        <f>IF(OR(GB$4=0,GB52=""),"",IFERROR(ROUND(GB52/INDEX(Undirviðmið!$F$6:$F$205,GB$4)*INDEX(Undirviðmið!$E$6:$E$205,GB$4)*KVARDI,2),""))</f>
        <v/>
      </c>
      <c r="GD52" s="66" t="n"/>
      <c r="GE52" s="78">
        <f>IF(OR(GD$4=0,GD52=""),"",IFERROR(ROUND(GD52/INDEX(Undirviðmið!$F$6:$F$205,GD$4)*INDEX(Undirviðmið!$E$6:$E$205,GD$4)*KVARDI,2),""))</f>
        <v/>
      </c>
      <c r="GF52" s="66" t="n"/>
      <c r="GG52" s="78">
        <f>IF(OR(GF$4=0,GF52=""),"",IFERROR(ROUND(GF52/INDEX(Undirviðmið!$F$6:$F$205,GF$4)*INDEX(Undirviðmið!$E$6:$E$205,GF$4)*KVARDI,2),""))</f>
        <v/>
      </c>
      <c r="GH52" s="66" t="n"/>
      <c r="GI52" s="78">
        <f>IF(OR(GH$4=0,GH52=""),"",IFERROR(ROUND(GH52/INDEX(Undirviðmið!$F$6:$F$205,GH$4)*INDEX(Undirviðmið!$E$6:$E$205,GH$4)*KVARDI,2),""))</f>
        <v/>
      </c>
      <c r="GJ52" s="66" t="n"/>
      <c r="GK52" s="78">
        <f>IF(OR(GJ$4=0,GJ52=""),"",IFERROR(ROUND(GJ52/INDEX(Undirviðmið!$F$6:$F$205,GJ$4)*INDEX(Undirviðmið!$E$6:$E$205,GJ$4)*KVARDI,2),""))</f>
        <v/>
      </c>
      <c r="GL52" s="66" t="n"/>
      <c r="GM52" s="78">
        <f>IF(OR(GL$4=0,GL52=""),"",IFERROR(ROUND(GL52/INDEX(Undirviðmið!$F$6:$F$205,GL$4)*INDEX(Undirviðmið!$E$6:$E$205,GL$4)*KVARDI,2),""))</f>
        <v/>
      </c>
      <c r="GN52" s="66" t="n"/>
      <c r="GO52" s="78">
        <f>IF(OR(GN$4=0,GN52=""),"",IFERROR(ROUND(GN52/INDEX(Undirviðmið!$F$6:$F$205,GN$4)*INDEX(Undirviðmið!$E$6:$E$205,GN$4)*KVARDI,2),""))</f>
        <v/>
      </c>
      <c r="GP52" s="66" t="n"/>
      <c r="GQ52" s="78">
        <f>IF(OR(GP$4=0,GP52=""),"",IFERROR(ROUND(GP52/INDEX(Undirviðmið!$F$6:$F$205,GP$4)*INDEX(Undirviðmið!$E$6:$E$205,GP$4)*KVARDI,2),""))</f>
        <v/>
      </c>
      <c r="GR52" s="66" t="n"/>
      <c r="GS52" s="78">
        <f>IF(OR(GR$4=0,GR52=""),"",IFERROR(ROUND(GR52/INDEX(Undirviðmið!$F$6:$F$205,GR$4)*INDEX(Undirviðmið!$E$6:$E$205,GR$4)*KVARDI,2),""))</f>
        <v/>
      </c>
      <c r="GT52" s="66" t="n"/>
      <c r="GU52" s="78">
        <f>IF(OR(GT$4=0,GT52=""),"",IFERROR(ROUND(GT52/INDEX(Undirviðmið!$F$6:$F$205,GT$4)*INDEX(Undirviðmið!$E$6:$E$205,GT$4)*KVARDI,2),""))</f>
        <v/>
      </c>
      <c r="GV52" s="63">
        <f>IFERROR(SUMIF($D$6:GU$6,"Stig",$D52:GU52),0)</f>
        <v/>
      </c>
    </row>
    <row r="53" ht="15" customHeight="1" s="47">
      <c r="A53" s="65">
        <f>ROW()-6</f>
        <v/>
      </c>
      <c r="B53" s="67">
        <f>IF(INDEX(Starfsmenn!$B$6:$B$10005,ROW()-6)="","",INDEX(Starfsmenn!$B$6:$B$10005,ROW()-6))</f>
        <v/>
      </c>
      <c r="C53" s="67">
        <f>IF(INDEX(Starfsmenn!$C$6:$C$10005,ROW()-6)="","",INDEX(Starfsmenn!$C$6:$C$10005,ROW()-6))</f>
        <v/>
      </c>
      <c r="D53" s="66" t="n"/>
      <c r="E53" s="78">
        <f>IF(OR(D$4=0,D53=""),"",IFERROR(ROUND(D53/INDEX(Undirviðmið!$F$6:$F$205,D$4)*INDEX(Undirviðmið!$E$6:$E$205,D$4)*KVARDI,2),""))</f>
        <v/>
      </c>
      <c r="F53" s="66" t="n"/>
      <c r="G53" s="78">
        <f>IF(OR(F$4=0,F53=""),"",IFERROR(ROUND(F53/INDEX(Undirviðmið!$F$6:$F$205,F$4)*INDEX(Undirviðmið!$E$6:$E$205,F$4)*KVARDI,2),""))</f>
        <v/>
      </c>
      <c r="H53" s="66" t="n"/>
      <c r="I53" s="78">
        <f>IF(OR(H$4=0,H53=""),"",IFERROR(ROUND(H53/INDEX(Undirviðmið!$F$6:$F$205,H$4)*INDEX(Undirviðmið!$E$6:$E$205,H$4)*KVARDI,2),""))</f>
        <v/>
      </c>
      <c r="J53" s="66" t="n"/>
      <c r="K53" s="78">
        <f>IF(OR(J$4=0,J53=""),"",IFERROR(ROUND(J53/INDEX(Undirviðmið!$F$6:$F$205,J$4)*INDEX(Undirviðmið!$E$6:$E$205,J$4)*KVARDI,2),""))</f>
        <v/>
      </c>
      <c r="L53" s="66" t="n"/>
      <c r="M53" s="78">
        <f>IF(OR(L$4=0,L53=""),"",IFERROR(ROUND(L53/INDEX(Undirviðmið!$F$6:$F$205,L$4)*INDEX(Undirviðmið!$E$6:$E$205,L$4)*KVARDI,2),""))</f>
        <v/>
      </c>
      <c r="N53" s="66" t="n"/>
      <c r="O53" s="78">
        <f>IF(OR(N$4=0,N53=""),"",IFERROR(ROUND(N53/INDEX(Undirviðmið!$F$6:$F$205,N$4)*INDEX(Undirviðmið!$E$6:$E$205,N$4)*KVARDI,2),""))</f>
        <v/>
      </c>
      <c r="P53" s="66" t="n"/>
      <c r="Q53" s="78">
        <f>IF(OR(P$4=0,P53=""),"",IFERROR(ROUND(P53/INDEX(Undirviðmið!$F$6:$F$205,P$4)*INDEX(Undirviðmið!$E$6:$E$205,P$4)*KVARDI,2),""))</f>
        <v/>
      </c>
      <c r="R53" s="66" t="n"/>
      <c r="S53" s="78">
        <f>IF(OR(R$4=0,R53=""),"",IFERROR(ROUND(R53/INDEX(Undirviðmið!$F$6:$F$205,R$4)*INDEX(Undirviðmið!$E$6:$E$205,R$4)*KVARDI,2),""))</f>
        <v/>
      </c>
      <c r="T53" s="66" t="n"/>
      <c r="U53" s="78">
        <f>IF(OR(T$4=0,T53=""),"",IFERROR(ROUND(T53/INDEX(Undirviðmið!$F$6:$F$205,T$4)*INDEX(Undirviðmið!$E$6:$E$205,T$4)*KVARDI,2),""))</f>
        <v/>
      </c>
      <c r="V53" s="66" t="n"/>
      <c r="W53" s="78">
        <f>IF(OR(V$4=0,V53=""),"",IFERROR(ROUND(V53/INDEX(Undirviðmið!$F$6:$F$205,V$4)*INDEX(Undirviðmið!$E$6:$E$205,V$4)*KVARDI,2),""))</f>
        <v/>
      </c>
      <c r="X53" s="66" t="n"/>
      <c r="Y53" s="78">
        <f>IF(OR(X$4=0,X53=""),"",IFERROR(ROUND(X53/INDEX(Undirviðmið!$F$6:$F$205,X$4)*INDEX(Undirviðmið!$E$6:$E$205,X$4)*KVARDI,2),""))</f>
        <v/>
      </c>
      <c r="Z53" s="66" t="n"/>
      <c r="AA53" s="78">
        <f>IF(OR(Z$4=0,Z53=""),"",IFERROR(ROUND(Z53/INDEX(Undirviðmið!$F$6:$F$205,Z$4)*INDEX(Undirviðmið!$E$6:$E$205,Z$4)*KVARDI,2),""))</f>
        <v/>
      </c>
      <c r="AB53" s="66" t="n"/>
      <c r="AC53" s="78">
        <f>IF(OR(AB$4=0,AB53=""),"",IFERROR(ROUND(AB53/INDEX(Undirviðmið!$F$6:$F$205,AB$4)*INDEX(Undirviðmið!$E$6:$E$205,AB$4)*KVARDI,2),""))</f>
        <v/>
      </c>
      <c r="AD53" s="66" t="n"/>
      <c r="AE53" s="78">
        <f>IF(OR(AD$4=0,AD53=""),"",IFERROR(ROUND(AD53/INDEX(Undirviðmið!$F$6:$F$205,AD$4)*INDEX(Undirviðmið!$E$6:$E$205,AD$4)*KVARDI,2),""))</f>
        <v/>
      </c>
      <c r="AF53" s="66" t="n"/>
      <c r="AG53" s="78">
        <f>IF(OR(AF$4=0,AF53=""),"",IFERROR(ROUND(AF53/INDEX(Undirviðmið!$F$6:$F$205,AF$4)*INDEX(Undirviðmið!$E$6:$E$205,AF$4)*KVARDI,2),""))</f>
        <v/>
      </c>
      <c r="AH53" s="66" t="n"/>
      <c r="AI53" s="78">
        <f>IF(OR(AH$4=0,AH53=""),"",IFERROR(ROUND(AH53/INDEX(Undirviðmið!$F$6:$F$205,AH$4)*INDEX(Undirviðmið!$E$6:$E$205,AH$4)*KVARDI,2),""))</f>
        <v/>
      </c>
      <c r="AJ53" s="66" t="n"/>
      <c r="AK53" s="78">
        <f>IF(OR(AJ$4=0,AJ53=""),"",IFERROR(ROUND(AJ53/INDEX(Undirviðmið!$F$6:$F$205,AJ$4)*INDEX(Undirviðmið!$E$6:$E$205,AJ$4)*KVARDI,2),""))</f>
        <v/>
      </c>
      <c r="AL53" s="66" t="n"/>
      <c r="AM53" s="78">
        <f>IF(OR(AL$4=0,AL53=""),"",IFERROR(ROUND(AL53/INDEX(Undirviðmið!$F$6:$F$205,AL$4)*INDEX(Undirviðmið!$E$6:$E$205,AL$4)*KVARDI,2),""))</f>
        <v/>
      </c>
      <c r="AN53" s="66" t="n"/>
      <c r="AO53" s="78">
        <f>IF(OR(AN$4=0,AN53=""),"",IFERROR(ROUND(AN53/INDEX(Undirviðmið!$F$6:$F$205,AN$4)*INDEX(Undirviðmið!$E$6:$E$205,AN$4)*KVARDI,2),""))</f>
        <v/>
      </c>
      <c r="AP53" s="66" t="n"/>
      <c r="AQ53" s="78">
        <f>IF(OR(AP$4=0,AP53=""),"",IFERROR(ROUND(AP53/INDEX(Undirviðmið!$F$6:$F$205,AP$4)*INDEX(Undirviðmið!$E$6:$E$205,AP$4)*KVARDI,2),""))</f>
        <v/>
      </c>
      <c r="AR53" s="66" t="n"/>
      <c r="AS53" s="78">
        <f>IF(OR(AR$4=0,AR53=""),"",IFERROR(ROUND(AR53/INDEX(Undirviðmið!$F$6:$F$205,AR$4)*INDEX(Undirviðmið!$E$6:$E$205,AR$4)*KVARDI,2),""))</f>
        <v/>
      </c>
      <c r="AT53" s="66" t="n"/>
      <c r="AU53" s="78">
        <f>IF(OR(AT$4=0,AT53=""),"",IFERROR(ROUND(AT53/INDEX(Undirviðmið!$F$6:$F$205,AT$4)*INDEX(Undirviðmið!$E$6:$E$205,AT$4)*KVARDI,2),""))</f>
        <v/>
      </c>
      <c r="AV53" s="66" t="n"/>
      <c r="AW53" s="78">
        <f>IF(OR(AV$4=0,AV53=""),"",IFERROR(ROUND(AV53/INDEX(Undirviðmið!$F$6:$F$205,AV$4)*INDEX(Undirviðmið!$E$6:$E$205,AV$4)*KVARDI,2),""))</f>
        <v/>
      </c>
      <c r="AX53" s="66" t="n"/>
      <c r="AY53" s="78">
        <f>IF(OR(AX$4=0,AX53=""),"",IFERROR(ROUND(AX53/INDEX(Undirviðmið!$F$6:$F$205,AX$4)*INDEX(Undirviðmið!$E$6:$E$205,AX$4)*KVARDI,2),""))</f>
        <v/>
      </c>
      <c r="AZ53" s="66" t="n"/>
      <c r="BA53" s="78">
        <f>IF(OR(AZ$4=0,AZ53=""),"",IFERROR(ROUND(AZ53/INDEX(Undirviðmið!$F$6:$F$205,AZ$4)*INDEX(Undirviðmið!$E$6:$E$205,AZ$4)*KVARDI,2),""))</f>
        <v/>
      </c>
      <c r="BB53" s="66" t="n"/>
      <c r="BC53" s="78">
        <f>IF(OR(BB$4=0,BB53=""),"",IFERROR(ROUND(BB53/INDEX(Undirviðmið!$F$6:$F$205,BB$4)*INDEX(Undirviðmið!$E$6:$E$205,BB$4)*KVARDI,2),""))</f>
        <v/>
      </c>
      <c r="BD53" s="66" t="n"/>
      <c r="BE53" s="78">
        <f>IF(OR(BD$4=0,BD53=""),"",IFERROR(ROUND(BD53/INDEX(Undirviðmið!$F$6:$F$205,BD$4)*INDEX(Undirviðmið!$E$6:$E$205,BD$4)*KVARDI,2),""))</f>
        <v/>
      </c>
      <c r="BF53" s="66" t="n"/>
      <c r="BG53" s="78">
        <f>IF(OR(BF$4=0,BF53=""),"",IFERROR(ROUND(BF53/INDEX(Undirviðmið!$F$6:$F$205,BF$4)*INDEX(Undirviðmið!$E$6:$E$205,BF$4)*KVARDI,2),""))</f>
        <v/>
      </c>
      <c r="BH53" s="66" t="n"/>
      <c r="BI53" s="78">
        <f>IF(OR(BH$4=0,BH53=""),"",IFERROR(ROUND(BH53/INDEX(Undirviðmið!$F$6:$F$205,BH$4)*INDEX(Undirviðmið!$E$6:$E$205,BH$4)*KVARDI,2),""))</f>
        <v/>
      </c>
      <c r="BJ53" s="66" t="n"/>
      <c r="BK53" s="78">
        <f>IF(OR(BJ$4=0,BJ53=""),"",IFERROR(ROUND(BJ53/INDEX(Undirviðmið!$F$6:$F$205,BJ$4)*INDEX(Undirviðmið!$E$6:$E$205,BJ$4)*KVARDI,2),""))</f>
        <v/>
      </c>
      <c r="BL53" s="66" t="n"/>
      <c r="BM53" s="78">
        <f>IF(OR(BL$4=0,BL53=""),"",IFERROR(ROUND(BL53/INDEX(Undirviðmið!$F$6:$F$205,BL$4)*INDEX(Undirviðmið!$E$6:$E$205,BL$4)*KVARDI,2),""))</f>
        <v/>
      </c>
      <c r="BN53" s="66" t="n"/>
      <c r="BO53" s="78">
        <f>IF(OR(BN$4=0,BN53=""),"",IFERROR(ROUND(BN53/INDEX(Undirviðmið!$F$6:$F$205,BN$4)*INDEX(Undirviðmið!$E$6:$E$205,BN$4)*KVARDI,2),""))</f>
        <v/>
      </c>
      <c r="BP53" s="66" t="n"/>
      <c r="BQ53" s="78">
        <f>IF(OR(BP$4=0,BP53=""),"",IFERROR(ROUND(BP53/INDEX(Undirviðmið!$F$6:$F$205,BP$4)*INDEX(Undirviðmið!$E$6:$E$205,BP$4)*KVARDI,2),""))</f>
        <v/>
      </c>
      <c r="BR53" s="66" t="n"/>
      <c r="BS53" s="78">
        <f>IF(OR(BR$4=0,BR53=""),"",IFERROR(ROUND(BR53/INDEX(Undirviðmið!$F$6:$F$205,BR$4)*INDEX(Undirviðmið!$E$6:$E$205,BR$4)*KVARDI,2),""))</f>
        <v/>
      </c>
      <c r="BT53" s="66" t="n"/>
      <c r="BU53" s="78">
        <f>IF(OR(BT$4=0,BT53=""),"",IFERROR(ROUND(BT53/INDEX(Undirviðmið!$F$6:$F$205,BT$4)*INDEX(Undirviðmið!$E$6:$E$205,BT$4)*KVARDI,2),""))</f>
        <v/>
      </c>
      <c r="BV53" s="66" t="n"/>
      <c r="BW53" s="78">
        <f>IF(OR(BV$4=0,BV53=""),"",IFERROR(ROUND(BV53/INDEX(Undirviðmið!$F$6:$F$205,BV$4)*INDEX(Undirviðmið!$E$6:$E$205,BV$4)*KVARDI,2),""))</f>
        <v/>
      </c>
      <c r="BX53" s="66" t="n"/>
      <c r="BY53" s="78">
        <f>IF(OR(BX$4=0,BX53=""),"",IFERROR(ROUND(BX53/INDEX(Undirviðmið!$F$6:$F$205,BX$4)*INDEX(Undirviðmið!$E$6:$E$205,BX$4)*KVARDI,2),""))</f>
        <v/>
      </c>
      <c r="BZ53" s="66" t="n"/>
      <c r="CA53" s="78">
        <f>IF(OR(BZ$4=0,BZ53=""),"",IFERROR(ROUND(BZ53/INDEX(Undirviðmið!$F$6:$F$205,BZ$4)*INDEX(Undirviðmið!$E$6:$E$205,BZ$4)*KVARDI,2),""))</f>
        <v/>
      </c>
      <c r="CB53" s="66" t="n"/>
      <c r="CC53" s="78">
        <f>IF(OR(CB$4=0,CB53=""),"",IFERROR(ROUND(CB53/INDEX(Undirviðmið!$F$6:$F$205,CB$4)*INDEX(Undirviðmið!$E$6:$E$205,CB$4)*KVARDI,2),""))</f>
        <v/>
      </c>
      <c r="CD53" s="66" t="n"/>
      <c r="CE53" s="78">
        <f>IF(OR(CD$4=0,CD53=""),"",IFERROR(ROUND(CD53/INDEX(Undirviðmið!$F$6:$F$205,CD$4)*INDEX(Undirviðmið!$E$6:$E$205,CD$4)*KVARDI,2),""))</f>
        <v/>
      </c>
      <c r="CF53" s="66" t="n"/>
      <c r="CG53" s="78">
        <f>IF(OR(CF$4=0,CF53=""),"",IFERROR(ROUND(CF53/INDEX(Undirviðmið!$F$6:$F$205,CF$4)*INDEX(Undirviðmið!$E$6:$E$205,CF$4)*KVARDI,2),""))</f>
        <v/>
      </c>
      <c r="CH53" s="66" t="n"/>
      <c r="CI53" s="78">
        <f>IF(OR(CH$4=0,CH53=""),"",IFERROR(ROUND(CH53/INDEX(Undirviðmið!$F$6:$F$205,CH$4)*INDEX(Undirviðmið!$E$6:$E$205,CH$4)*KVARDI,2),""))</f>
        <v/>
      </c>
      <c r="CJ53" s="66" t="n"/>
      <c r="CK53" s="78">
        <f>IF(OR(CJ$4=0,CJ53=""),"",IFERROR(ROUND(CJ53/INDEX(Undirviðmið!$F$6:$F$205,CJ$4)*INDEX(Undirviðmið!$E$6:$E$205,CJ$4)*KVARDI,2),""))</f>
        <v/>
      </c>
      <c r="CL53" s="66" t="n"/>
      <c r="CM53" s="78">
        <f>IF(OR(CL$4=0,CL53=""),"",IFERROR(ROUND(CL53/INDEX(Undirviðmið!$F$6:$F$205,CL$4)*INDEX(Undirviðmið!$E$6:$E$205,CL$4)*KVARDI,2),""))</f>
        <v/>
      </c>
      <c r="CN53" s="66" t="n"/>
      <c r="CO53" s="78">
        <f>IF(OR(CN$4=0,CN53=""),"",IFERROR(ROUND(CN53/INDEX(Undirviðmið!$F$6:$F$205,CN$4)*INDEX(Undirviðmið!$E$6:$E$205,CN$4)*KVARDI,2),""))</f>
        <v/>
      </c>
      <c r="CP53" s="66" t="n"/>
      <c r="CQ53" s="78">
        <f>IF(OR(CP$4=0,CP53=""),"",IFERROR(ROUND(CP53/INDEX(Undirviðmið!$F$6:$F$205,CP$4)*INDEX(Undirviðmið!$E$6:$E$205,CP$4)*KVARDI,2),""))</f>
        <v/>
      </c>
      <c r="CR53" s="66" t="n"/>
      <c r="CS53" s="78">
        <f>IF(OR(CR$4=0,CR53=""),"",IFERROR(ROUND(CR53/INDEX(Undirviðmið!$F$6:$F$205,CR$4)*INDEX(Undirviðmið!$E$6:$E$205,CR$4)*KVARDI,2),""))</f>
        <v/>
      </c>
      <c r="CT53" s="66" t="n"/>
      <c r="CU53" s="78">
        <f>IF(OR(CT$4=0,CT53=""),"",IFERROR(ROUND(CT53/INDEX(Undirviðmið!$F$6:$F$205,CT$4)*INDEX(Undirviðmið!$E$6:$E$205,CT$4)*KVARDI,2),""))</f>
        <v/>
      </c>
      <c r="CV53" s="66" t="n"/>
      <c r="CW53" s="78">
        <f>IF(OR(CV$4=0,CV53=""),"",IFERROR(ROUND(CV53/INDEX(Undirviðmið!$F$6:$F$205,CV$4)*INDEX(Undirviðmið!$E$6:$E$205,CV$4)*KVARDI,2),""))</f>
        <v/>
      </c>
      <c r="CX53" s="66" t="n"/>
      <c r="CY53" s="78">
        <f>IF(OR(CX$4=0,CX53=""),"",IFERROR(ROUND(CX53/INDEX(Undirviðmið!$F$6:$F$205,CX$4)*INDEX(Undirviðmið!$E$6:$E$205,CX$4)*KVARDI,2),""))</f>
        <v/>
      </c>
      <c r="CZ53" s="66" t="n"/>
      <c r="DA53" s="78">
        <f>IF(OR(CZ$4=0,CZ53=""),"",IFERROR(ROUND(CZ53/INDEX(Undirviðmið!$F$6:$F$205,CZ$4)*INDEX(Undirviðmið!$E$6:$E$205,CZ$4)*KVARDI,2),""))</f>
        <v/>
      </c>
      <c r="DB53" s="66" t="n"/>
      <c r="DC53" s="78">
        <f>IF(OR(DB$4=0,DB53=""),"",IFERROR(ROUND(DB53/INDEX(Undirviðmið!$F$6:$F$205,DB$4)*INDEX(Undirviðmið!$E$6:$E$205,DB$4)*KVARDI,2),""))</f>
        <v/>
      </c>
      <c r="DD53" s="66" t="n"/>
      <c r="DE53" s="78">
        <f>IF(OR(DD$4=0,DD53=""),"",IFERROR(ROUND(DD53/INDEX(Undirviðmið!$F$6:$F$205,DD$4)*INDEX(Undirviðmið!$E$6:$E$205,DD$4)*KVARDI,2),""))</f>
        <v/>
      </c>
      <c r="DF53" s="66" t="n"/>
      <c r="DG53" s="78">
        <f>IF(OR(DF$4=0,DF53=""),"",IFERROR(ROUND(DF53/INDEX(Undirviðmið!$F$6:$F$205,DF$4)*INDEX(Undirviðmið!$E$6:$E$205,DF$4)*KVARDI,2),""))</f>
        <v/>
      </c>
      <c r="DH53" s="66" t="n"/>
      <c r="DI53" s="78">
        <f>IF(OR(DH$4=0,DH53=""),"",IFERROR(ROUND(DH53/INDEX(Undirviðmið!$F$6:$F$205,DH$4)*INDEX(Undirviðmið!$E$6:$E$205,DH$4)*KVARDI,2),""))</f>
        <v/>
      </c>
      <c r="DJ53" s="66" t="n"/>
      <c r="DK53" s="78">
        <f>IF(OR(DJ$4=0,DJ53=""),"",IFERROR(ROUND(DJ53/INDEX(Undirviðmið!$F$6:$F$205,DJ$4)*INDEX(Undirviðmið!$E$6:$E$205,DJ$4)*KVARDI,2),""))</f>
        <v/>
      </c>
      <c r="DL53" s="66" t="n"/>
      <c r="DM53" s="78">
        <f>IF(OR(DL$4=0,DL53=""),"",IFERROR(ROUND(DL53/INDEX(Undirviðmið!$F$6:$F$205,DL$4)*INDEX(Undirviðmið!$E$6:$E$205,DL$4)*KVARDI,2),""))</f>
        <v/>
      </c>
      <c r="DN53" s="66" t="n"/>
      <c r="DO53" s="78">
        <f>IF(OR(DN$4=0,DN53=""),"",IFERROR(ROUND(DN53/INDEX(Undirviðmið!$F$6:$F$205,DN$4)*INDEX(Undirviðmið!$E$6:$E$205,DN$4)*KVARDI,2),""))</f>
        <v/>
      </c>
      <c r="DP53" s="66" t="n"/>
      <c r="DQ53" s="78">
        <f>IF(OR(DP$4=0,DP53=""),"",IFERROR(ROUND(DP53/INDEX(Undirviðmið!$F$6:$F$205,DP$4)*INDEX(Undirviðmið!$E$6:$E$205,DP$4)*KVARDI,2),""))</f>
        <v/>
      </c>
      <c r="DR53" s="66" t="n"/>
      <c r="DS53" s="78">
        <f>IF(OR(DR$4=0,DR53=""),"",IFERROR(ROUND(DR53/INDEX(Undirviðmið!$F$6:$F$205,DR$4)*INDEX(Undirviðmið!$E$6:$E$205,DR$4)*KVARDI,2),""))</f>
        <v/>
      </c>
      <c r="DT53" s="66" t="n"/>
      <c r="DU53" s="78">
        <f>IF(OR(DT$4=0,DT53=""),"",IFERROR(ROUND(DT53/INDEX(Undirviðmið!$F$6:$F$205,DT$4)*INDEX(Undirviðmið!$E$6:$E$205,DT$4)*KVARDI,2),""))</f>
        <v/>
      </c>
      <c r="DV53" s="66" t="n"/>
      <c r="DW53" s="78">
        <f>IF(OR(DV$4=0,DV53=""),"",IFERROR(ROUND(DV53/INDEX(Undirviðmið!$F$6:$F$205,DV$4)*INDEX(Undirviðmið!$E$6:$E$205,DV$4)*KVARDI,2),""))</f>
        <v/>
      </c>
      <c r="DX53" s="66" t="n"/>
      <c r="DY53" s="78">
        <f>IF(OR(DX$4=0,DX53=""),"",IFERROR(ROUND(DX53/INDEX(Undirviðmið!$F$6:$F$205,DX$4)*INDEX(Undirviðmið!$E$6:$E$205,DX$4)*KVARDI,2),""))</f>
        <v/>
      </c>
      <c r="DZ53" s="66" t="n"/>
      <c r="EA53" s="78">
        <f>IF(OR(DZ$4=0,DZ53=""),"",IFERROR(ROUND(DZ53/INDEX(Undirviðmið!$F$6:$F$205,DZ$4)*INDEX(Undirviðmið!$E$6:$E$205,DZ$4)*KVARDI,2),""))</f>
        <v/>
      </c>
      <c r="EB53" s="66" t="n"/>
      <c r="EC53" s="78">
        <f>IF(OR(EB$4=0,EB53=""),"",IFERROR(ROUND(EB53/INDEX(Undirviðmið!$F$6:$F$205,EB$4)*INDEX(Undirviðmið!$E$6:$E$205,EB$4)*KVARDI,2),""))</f>
        <v/>
      </c>
      <c r="ED53" s="66" t="n"/>
      <c r="EE53" s="78">
        <f>IF(OR(ED$4=0,ED53=""),"",IFERROR(ROUND(ED53/INDEX(Undirviðmið!$F$6:$F$205,ED$4)*INDEX(Undirviðmið!$E$6:$E$205,ED$4)*KVARDI,2),""))</f>
        <v/>
      </c>
      <c r="EF53" s="66" t="n"/>
      <c r="EG53" s="78">
        <f>IF(OR(EF$4=0,EF53=""),"",IFERROR(ROUND(EF53/INDEX(Undirviðmið!$F$6:$F$205,EF$4)*INDEX(Undirviðmið!$E$6:$E$205,EF$4)*KVARDI,2),""))</f>
        <v/>
      </c>
      <c r="EH53" s="66" t="n"/>
      <c r="EI53" s="78">
        <f>IF(OR(EH$4=0,EH53=""),"",IFERROR(ROUND(EH53/INDEX(Undirviðmið!$F$6:$F$205,EH$4)*INDEX(Undirviðmið!$E$6:$E$205,EH$4)*KVARDI,2),""))</f>
        <v/>
      </c>
      <c r="EJ53" s="66" t="n"/>
      <c r="EK53" s="78">
        <f>IF(OR(EJ$4=0,EJ53=""),"",IFERROR(ROUND(EJ53/INDEX(Undirviðmið!$F$6:$F$205,EJ$4)*INDEX(Undirviðmið!$E$6:$E$205,EJ$4)*KVARDI,2),""))</f>
        <v/>
      </c>
      <c r="EL53" s="66" t="n"/>
      <c r="EM53" s="78">
        <f>IF(OR(EL$4=0,EL53=""),"",IFERROR(ROUND(EL53/INDEX(Undirviðmið!$F$6:$F$205,EL$4)*INDEX(Undirviðmið!$E$6:$E$205,EL$4)*KVARDI,2),""))</f>
        <v/>
      </c>
      <c r="EN53" s="66" t="n"/>
      <c r="EO53" s="78">
        <f>IF(OR(EN$4=0,EN53=""),"",IFERROR(ROUND(EN53/INDEX(Undirviðmið!$F$6:$F$205,EN$4)*INDEX(Undirviðmið!$E$6:$E$205,EN$4)*KVARDI,2),""))</f>
        <v/>
      </c>
      <c r="EP53" s="66" t="n"/>
      <c r="EQ53" s="78">
        <f>IF(OR(EP$4=0,EP53=""),"",IFERROR(ROUND(EP53/INDEX(Undirviðmið!$F$6:$F$205,EP$4)*INDEX(Undirviðmið!$E$6:$E$205,EP$4)*KVARDI,2),""))</f>
        <v/>
      </c>
      <c r="ER53" s="66" t="n"/>
      <c r="ES53" s="78">
        <f>IF(OR(ER$4=0,ER53=""),"",IFERROR(ROUND(ER53/INDEX(Undirviðmið!$F$6:$F$205,ER$4)*INDEX(Undirviðmið!$E$6:$E$205,ER$4)*KVARDI,2),""))</f>
        <v/>
      </c>
      <c r="ET53" s="66" t="n"/>
      <c r="EU53" s="78">
        <f>IF(OR(ET$4=0,ET53=""),"",IFERROR(ROUND(ET53/INDEX(Undirviðmið!$F$6:$F$205,ET$4)*INDEX(Undirviðmið!$E$6:$E$205,ET$4)*KVARDI,2),""))</f>
        <v/>
      </c>
      <c r="EV53" s="66" t="n"/>
      <c r="EW53" s="78">
        <f>IF(OR(EV$4=0,EV53=""),"",IFERROR(ROUND(EV53/INDEX(Undirviðmið!$F$6:$F$205,EV$4)*INDEX(Undirviðmið!$E$6:$E$205,EV$4)*KVARDI,2),""))</f>
        <v/>
      </c>
      <c r="EX53" s="66" t="n"/>
      <c r="EY53" s="78">
        <f>IF(OR(EX$4=0,EX53=""),"",IFERROR(ROUND(EX53/INDEX(Undirviðmið!$F$6:$F$205,EX$4)*INDEX(Undirviðmið!$E$6:$E$205,EX$4)*KVARDI,2),""))</f>
        <v/>
      </c>
      <c r="EZ53" s="66" t="n"/>
      <c r="FA53" s="78">
        <f>IF(OR(EZ$4=0,EZ53=""),"",IFERROR(ROUND(EZ53/INDEX(Undirviðmið!$F$6:$F$205,EZ$4)*INDEX(Undirviðmið!$E$6:$E$205,EZ$4)*KVARDI,2),""))</f>
        <v/>
      </c>
      <c r="FB53" s="66" t="n"/>
      <c r="FC53" s="78">
        <f>IF(OR(FB$4=0,FB53=""),"",IFERROR(ROUND(FB53/INDEX(Undirviðmið!$F$6:$F$205,FB$4)*INDEX(Undirviðmið!$E$6:$E$205,FB$4)*KVARDI,2),""))</f>
        <v/>
      </c>
      <c r="FD53" s="66" t="n"/>
      <c r="FE53" s="78">
        <f>IF(OR(FD$4=0,FD53=""),"",IFERROR(ROUND(FD53/INDEX(Undirviðmið!$F$6:$F$205,FD$4)*INDEX(Undirviðmið!$E$6:$E$205,FD$4)*KVARDI,2),""))</f>
        <v/>
      </c>
      <c r="FF53" s="66" t="n"/>
      <c r="FG53" s="78">
        <f>IF(OR(FF$4=0,FF53=""),"",IFERROR(ROUND(FF53/INDEX(Undirviðmið!$F$6:$F$205,FF$4)*INDEX(Undirviðmið!$E$6:$E$205,FF$4)*KVARDI,2),""))</f>
        <v/>
      </c>
      <c r="FH53" s="66" t="n"/>
      <c r="FI53" s="78">
        <f>IF(OR(FH$4=0,FH53=""),"",IFERROR(ROUND(FH53/INDEX(Undirviðmið!$F$6:$F$205,FH$4)*INDEX(Undirviðmið!$E$6:$E$205,FH$4)*KVARDI,2),""))</f>
        <v/>
      </c>
      <c r="FJ53" s="66" t="n"/>
      <c r="FK53" s="78">
        <f>IF(OR(FJ$4=0,FJ53=""),"",IFERROR(ROUND(FJ53/INDEX(Undirviðmið!$F$6:$F$205,FJ$4)*INDEX(Undirviðmið!$E$6:$E$205,FJ$4)*KVARDI,2),""))</f>
        <v/>
      </c>
      <c r="FL53" s="66" t="n"/>
      <c r="FM53" s="78">
        <f>IF(OR(FL$4=0,FL53=""),"",IFERROR(ROUND(FL53/INDEX(Undirviðmið!$F$6:$F$205,FL$4)*INDEX(Undirviðmið!$E$6:$E$205,FL$4)*KVARDI,2),""))</f>
        <v/>
      </c>
      <c r="FN53" s="66" t="n"/>
      <c r="FO53" s="78">
        <f>IF(OR(FN$4=0,FN53=""),"",IFERROR(ROUND(FN53/INDEX(Undirviðmið!$F$6:$F$205,FN$4)*INDEX(Undirviðmið!$E$6:$E$205,FN$4)*KVARDI,2),""))</f>
        <v/>
      </c>
      <c r="FP53" s="66" t="n"/>
      <c r="FQ53" s="78">
        <f>IF(OR(FP$4=0,FP53=""),"",IFERROR(ROUND(FP53/INDEX(Undirviðmið!$F$6:$F$205,FP$4)*INDEX(Undirviðmið!$E$6:$E$205,FP$4)*KVARDI,2),""))</f>
        <v/>
      </c>
      <c r="FR53" s="66" t="n"/>
      <c r="FS53" s="78">
        <f>IF(OR(FR$4=0,FR53=""),"",IFERROR(ROUND(FR53/INDEX(Undirviðmið!$F$6:$F$205,FR$4)*INDEX(Undirviðmið!$E$6:$E$205,FR$4)*KVARDI,2),""))</f>
        <v/>
      </c>
      <c r="FT53" s="66" t="n"/>
      <c r="FU53" s="78">
        <f>IF(OR(FT$4=0,FT53=""),"",IFERROR(ROUND(FT53/INDEX(Undirviðmið!$F$6:$F$205,FT$4)*INDEX(Undirviðmið!$E$6:$E$205,FT$4)*KVARDI,2),""))</f>
        <v/>
      </c>
      <c r="FV53" s="66" t="n"/>
      <c r="FW53" s="78">
        <f>IF(OR(FV$4=0,FV53=""),"",IFERROR(ROUND(FV53/INDEX(Undirviðmið!$F$6:$F$205,FV$4)*INDEX(Undirviðmið!$E$6:$E$205,FV$4)*KVARDI,2),""))</f>
        <v/>
      </c>
      <c r="FX53" s="66" t="n"/>
      <c r="FY53" s="78">
        <f>IF(OR(FX$4=0,FX53=""),"",IFERROR(ROUND(FX53/INDEX(Undirviðmið!$F$6:$F$205,FX$4)*INDEX(Undirviðmið!$E$6:$E$205,FX$4)*KVARDI,2),""))</f>
        <v/>
      </c>
      <c r="FZ53" s="66" t="n"/>
      <c r="GA53" s="78">
        <f>IF(OR(FZ$4=0,FZ53=""),"",IFERROR(ROUND(FZ53/INDEX(Undirviðmið!$F$6:$F$205,FZ$4)*INDEX(Undirviðmið!$E$6:$E$205,FZ$4)*KVARDI,2),""))</f>
        <v/>
      </c>
      <c r="GB53" s="66" t="n"/>
      <c r="GC53" s="78">
        <f>IF(OR(GB$4=0,GB53=""),"",IFERROR(ROUND(GB53/INDEX(Undirviðmið!$F$6:$F$205,GB$4)*INDEX(Undirviðmið!$E$6:$E$205,GB$4)*KVARDI,2),""))</f>
        <v/>
      </c>
      <c r="GD53" s="66" t="n"/>
      <c r="GE53" s="78">
        <f>IF(OR(GD$4=0,GD53=""),"",IFERROR(ROUND(GD53/INDEX(Undirviðmið!$F$6:$F$205,GD$4)*INDEX(Undirviðmið!$E$6:$E$205,GD$4)*KVARDI,2),""))</f>
        <v/>
      </c>
      <c r="GF53" s="66" t="n"/>
      <c r="GG53" s="78">
        <f>IF(OR(GF$4=0,GF53=""),"",IFERROR(ROUND(GF53/INDEX(Undirviðmið!$F$6:$F$205,GF$4)*INDEX(Undirviðmið!$E$6:$E$205,GF$4)*KVARDI,2),""))</f>
        <v/>
      </c>
      <c r="GH53" s="66" t="n"/>
      <c r="GI53" s="78">
        <f>IF(OR(GH$4=0,GH53=""),"",IFERROR(ROUND(GH53/INDEX(Undirviðmið!$F$6:$F$205,GH$4)*INDEX(Undirviðmið!$E$6:$E$205,GH$4)*KVARDI,2),""))</f>
        <v/>
      </c>
      <c r="GJ53" s="66" t="n"/>
      <c r="GK53" s="78">
        <f>IF(OR(GJ$4=0,GJ53=""),"",IFERROR(ROUND(GJ53/INDEX(Undirviðmið!$F$6:$F$205,GJ$4)*INDEX(Undirviðmið!$E$6:$E$205,GJ$4)*KVARDI,2),""))</f>
        <v/>
      </c>
      <c r="GL53" s="66" t="n"/>
      <c r="GM53" s="78">
        <f>IF(OR(GL$4=0,GL53=""),"",IFERROR(ROUND(GL53/INDEX(Undirviðmið!$F$6:$F$205,GL$4)*INDEX(Undirviðmið!$E$6:$E$205,GL$4)*KVARDI,2),""))</f>
        <v/>
      </c>
      <c r="GN53" s="66" t="n"/>
      <c r="GO53" s="78">
        <f>IF(OR(GN$4=0,GN53=""),"",IFERROR(ROUND(GN53/INDEX(Undirviðmið!$F$6:$F$205,GN$4)*INDEX(Undirviðmið!$E$6:$E$205,GN$4)*KVARDI,2),""))</f>
        <v/>
      </c>
      <c r="GP53" s="66" t="n"/>
      <c r="GQ53" s="78">
        <f>IF(OR(GP$4=0,GP53=""),"",IFERROR(ROUND(GP53/INDEX(Undirviðmið!$F$6:$F$205,GP$4)*INDEX(Undirviðmið!$E$6:$E$205,GP$4)*KVARDI,2),""))</f>
        <v/>
      </c>
      <c r="GR53" s="66" t="n"/>
      <c r="GS53" s="78">
        <f>IF(OR(GR$4=0,GR53=""),"",IFERROR(ROUND(GR53/INDEX(Undirviðmið!$F$6:$F$205,GR$4)*INDEX(Undirviðmið!$E$6:$E$205,GR$4)*KVARDI,2),""))</f>
        <v/>
      </c>
      <c r="GT53" s="66" t="n"/>
      <c r="GU53" s="78">
        <f>IF(OR(GT$4=0,GT53=""),"",IFERROR(ROUND(GT53/INDEX(Undirviðmið!$F$6:$F$205,GT$4)*INDEX(Undirviðmið!$E$6:$E$205,GT$4)*KVARDI,2),""))</f>
        <v/>
      </c>
      <c r="GV53" s="63">
        <f>IFERROR(SUMIF($D$6:GU$6,"Stig",$D53:GU53),0)</f>
        <v/>
      </c>
    </row>
    <row r="54" ht="15" customHeight="1" s="47">
      <c r="A54" s="65">
        <f>ROW()-6</f>
        <v/>
      </c>
      <c r="B54" s="67">
        <f>IF(INDEX(Starfsmenn!$B$6:$B$10005,ROW()-6)="","",INDEX(Starfsmenn!$B$6:$B$10005,ROW()-6))</f>
        <v/>
      </c>
      <c r="C54" s="67">
        <f>IF(INDEX(Starfsmenn!$C$6:$C$10005,ROW()-6)="","",INDEX(Starfsmenn!$C$6:$C$10005,ROW()-6))</f>
        <v/>
      </c>
      <c r="D54" s="66" t="n"/>
      <c r="E54" s="78">
        <f>IF(OR(D$4=0,D54=""),"",IFERROR(ROUND(D54/INDEX(Undirviðmið!$F$6:$F$205,D$4)*INDEX(Undirviðmið!$E$6:$E$205,D$4)*KVARDI,2),""))</f>
        <v/>
      </c>
      <c r="F54" s="66" t="n"/>
      <c r="G54" s="78">
        <f>IF(OR(F$4=0,F54=""),"",IFERROR(ROUND(F54/INDEX(Undirviðmið!$F$6:$F$205,F$4)*INDEX(Undirviðmið!$E$6:$E$205,F$4)*KVARDI,2),""))</f>
        <v/>
      </c>
      <c r="H54" s="66" t="n"/>
      <c r="I54" s="78">
        <f>IF(OR(H$4=0,H54=""),"",IFERROR(ROUND(H54/INDEX(Undirviðmið!$F$6:$F$205,H$4)*INDEX(Undirviðmið!$E$6:$E$205,H$4)*KVARDI,2),""))</f>
        <v/>
      </c>
      <c r="J54" s="66" t="n"/>
      <c r="K54" s="78">
        <f>IF(OR(J$4=0,J54=""),"",IFERROR(ROUND(J54/INDEX(Undirviðmið!$F$6:$F$205,J$4)*INDEX(Undirviðmið!$E$6:$E$205,J$4)*KVARDI,2),""))</f>
        <v/>
      </c>
      <c r="L54" s="66" t="n"/>
      <c r="M54" s="78">
        <f>IF(OR(L$4=0,L54=""),"",IFERROR(ROUND(L54/INDEX(Undirviðmið!$F$6:$F$205,L$4)*INDEX(Undirviðmið!$E$6:$E$205,L$4)*KVARDI,2),""))</f>
        <v/>
      </c>
      <c r="N54" s="66" t="n"/>
      <c r="O54" s="78">
        <f>IF(OR(N$4=0,N54=""),"",IFERROR(ROUND(N54/INDEX(Undirviðmið!$F$6:$F$205,N$4)*INDEX(Undirviðmið!$E$6:$E$205,N$4)*KVARDI,2),""))</f>
        <v/>
      </c>
      <c r="P54" s="66" t="n"/>
      <c r="Q54" s="78">
        <f>IF(OR(P$4=0,P54=""),"",IFERROR(ROUND(P54/INDEX(Undirviðmið!$F$6:$F$205,P$4)*INDEX(Undirviðmið!$E$6:$E$205,P$4)*KVARDI,2),""))</f>
        <v/>
      </c>
      <c r="R54" s="66" t="n"/>
      <c r="S54" s="78">
        <f>IF(OR(R$4=0,R54=""),"",IFERROR(ROUND(R54/INDEX(Undirviðmið!$F$6:$F$205,R$4)*INDEX(Undirviðmið!$E$6:$E$205,R$4)*KVARDI,2),""))</f>
        <v/>
      </c>
      <c r="T54" s="66" t="n"/>
      <c r="U54" s="78">
        <f>IF(OR(T$4=0,T54=""),"",IFERROR(ROUND(T54/INDEX(Undirviðmið!$F$6:$F$205,T$4)*INDEX(Undirviðmið!$E$6:$E$205,T$4)*KVARDI,2),""))</f>
        <v/>
      </c>
      <c r="V54" s="66" t="n"/>
      <c r="W54" s="78">
        <f>IF(OR(V$4=0,V54=""),"",IFERROR(ROUND(V54/INDEX(Undirviðmið!$F$6:$F$205,V$4)*INDEX(Undirviðmið!$E$6:$E$205,V$4)*KVARDI,2),""))</f>
        <v/>
      </c>
      <c r="X54" s="66" t="n"/>
      <c r="Y54" s="78">
        <f>IF(OR(X$4=0,X54=""),"",IFERROR(ROUND(X54/INDEX(Undirviðmið!$F$6:$F$205,X$4)*INDEX(Undirviðmið!$E$6:$E$205,X$4)*KVARDI,2),""))</f>
        <v/>
      </c>
      <c r="Z54" s="66" t="n"/>
      <c r="AA54" s="78">
        <f>IF(OR(Z$4=0,Z54=""),"",IFERROR(ROUND(Z54/INDEX(Undirviðmið!$F$6:$F$205,Z$4)*INDEX(Undirviðmið!$E$6:$E$205,Z$4)*KVARDI,2),""))</f>
        <v/>
      </c>
      <c r="AB54" s="66" t="n"/>
      <c r="AC54" s="78">
        <f>IF(OR(AB$4=0,AB54=""),"",IFERROR(ROUND(AB54/INDEX(Undirviðmið!$F$6:$F$205,AB$4)*INDEX(Undirviðmið!$E$6:$E$205,AB$4)*KVARDI,2),""))</f>
        <v/>
      </c>
      <c r="AD54" s="66" t="n"/>
      <c r="AE54" s="78">
        <f>IF(OR(AD$4=0,AD54=""),"",IFERROR(ROUND(AD54/INDEX(Undirviðmið!$F$6:$F$205,AD$4)*INDEX(Undirviðmið!$E$6:$E$205,AD$4)*KVARDI,2),""))</f>
        <v/>
      </c>
      <c r="AF54" s="66" t="n"/>
      <c r="AG54" s="78">
        <f>IF(OR(AF$4=0,AF54=""),"",IFERROR(ROUND(AF54/INDEX(Undirviðmið!$F$6:$F$205,AF$4)*INDEX(Undirviðmið!$E$6:$E$205,AF$4)*KVARDI,2),""))</f>
        <v/>
      </c>
      <c r="AH54" s="66" t="n"/>
      <c r="AI54" s="78">
        <f>IF(OR(AH$4=0,AH54=""),"",IFERROR(ROUND(AH54/INDEX(Undirviðmið!$F$6:$F$205,AH$4)*INDEX(Undirviðmið!$E$6:$E$205,AH$4)*KVARDI,2),""))</f>
        <v/>
      </c>
      <c r="AJ54" s="66" t="n"/>
      <c r="AK54" s="78">
        <f>IF(OR(AJ$4=0,AJ54=""),"",IFERROR(ROUND(AJ54/INDEX(Undirviðmið!$F$6:$F$205,AJ$4)*INDEX(Undirviðmið!$E$6:$E$205,AJ$4)*KVARDI,2),""))</f>
        <v/>
      </c>
      <c r="AL54" s="66" t="n"/>
      <c r="AM54" s="78">
        <f>IF(OR(AL$4=0,AL54=""),"",IFERROR(ROUND(AL54/INDEX(Undirviðmið!$F$6:$F$205,AL$4)*INDEX(Undirviðmið!$E$6:$E$205,AL$4)*KVARDI,2),""))</f>
        <v/>
      </c>
      <c r="AN54" s="66" t="n"/>
      <c r="AO54" s="78">
        <f>IF(OR(AN$4=0,AN54=""),"",IFERROR(ROUND(AN54/INDEX(Undirviðmið!$F$6:$F$205,AN$4)*INDEX(Undirviðmið!$E$6:$E$205,AN$4)*KVARDI,2),""))</f>
        <v/>
      </c>
      <c r="AP54" s="66" t="n"/>
      <c r="AQ54" s="78">
        <f>IF(OR(AP$4=0,AP54=""),"",IFERROR(ROUND(AP54/INDEX(Undirviðmið!$F$6:$F$205,AP$4)*INDEX(Undirviðmið!$E$6:$E$205,AP$4)*KVARDI,2),""))</f>
        <v/>
      </c>
      <c r="AR54" s="66" t="n"/>
      <c r="AS54" s="78">
        <f>IF(OR(AR$4=0,AR54=""),"",IFERROR(ROUND(AR54/INDEX(Undirviðmið!$F$6:$F$205,AR$4)*INDEX(Undirviðmið!$E$6:$E$205,AR$4)*KVARDI,2),""))</f>
        <v/>
      </c>
      <c r="AT54" s="66" t="n"/>
      <c r="AU54" s="78">
        <f>IF(OR(AT$4=0,AT54=""),"",IFERROR(ROUND(AT54/INDEX(Undirviðmið!$F$6:$F$205,AT$4)*INDEX(Undirviðmið!$E$6:$E$205,AT$4)*KVARDI,2),""))</f>
        <v/>
      </c>
      <c r="AV54" s="66" t="n"/>
      <c r="AW54" s="78">
        <f>IF(OR(AV$4=0,AV54=""),"",IFERROR(ROUND(AV54/INDEX(Undirviðmið!$F$6:$F$205,AV$4)*INDEX(Undirviðmið!$E$6:$E$205,AV$4)*KVARDI,2),""))</f>
        <v/>
      </c>
      <c r="AX54" s="66" t="n"/>
      <c r="AY54" s="78">
        <f>IF(OR(AX$4=0,AX54=""),"",IFERROR(ROUND(AX54/INDEX(Undirviðmið!$F$6:$F$205,AX$4)*INDEX(Undirviðmið!$E$6:$E$205,AX$4)*KVARDI,2),""))</f>
        <v/>
      </c>
      <c r="AZ54" s="66" t="n"/>
      <c r="BA54" s="78">
        <f>IF(OR(AZ$4=0,AZ54=""),"",IFERROR(ROUND(AZ54/INDEX(Undirviðmið!$F$6:$F$205,AZ$4)*INDEX(Undirviðmið!$E$6:$E$205,AZ$4)*KVARDI,2),""))</f>
        <v/>
      </c>
      <c r="BB54" s="66" t="n"/>
      <c r="BC54" s="78">
        <f>IF(OR(BB$4=0,BB54=""),"",IFERROR(ROUND(BB54/INDEX(Undirviðmið!$F$6:$F$205,BB$4)*INDEX(Undirviðmið!$E$6:$E$205,BB$4)*KVARDI,2),""))</f>
        <v/>
      </c>
      <c r="BD54" s="66" t="n"/>
      <c r="BE54" s="78">
        <f>IF(OR(BD$4=0,BD54=""),"",IFERROR(ROUND(BD54/INDEX(Undirviðmið!$F$6:$F$205,BD$4)*INDEX(Undirviðmið!$E$6:$E$205,BD$4)*KVARDI,2),""))</f>
        <v/>
      </c>
      <c r="BF54" s="66" t="n"/>
      <c r="BG54" s="78">
        <f>IF(OR(BF$4=0,BF54=""),"",IFERROR(ROUND(BF54/INDEX(Undirviðmið!$F$6:$F$205,BF$4)*INDEX(Undirviðmið!$E$6:$E$205,BF$4)*KVARDI,2),""))</f>
        <v/>
      </c>
      <c r="BH54" s="66" t="n"/>
      <c r="BI54" s="78">
        <f>IF(OR(BH$4=0,BH54=""),"",IFERROR(ROUND(BH54/INDEX(Undirviðmið!$F$6:$F$205,BH$4)*INDEX(Undirviðmið!$E$6:$E$205,BH$4)*KVARDI,2),""))</f>
        <v/>
      </c>
      <c r="BJ54" s="66" t="n"/>
      <c r="BK54" s="78">
        <f>IF(OR(BJ$4=0,BJ54=""),"",IFERROR(ROUND(BJ54/INDEX(Undirviðmið!$F$6:$F$205,BJ$4)*INDEX(Undirviðmið!$E$6:$E$205,BJ$4)*KVARDI,2),""))</f>
        <v/>
      </c>
      <c r="BL54" s="66" t="n"/>
      <c r="BM54" s="78">
        <f>IF(OR(BL$4=0,BL54=""),"",IFERROR(ROUND(BL54/INDEX(Undirviðmið!$F$6:$F$205,BL$4)*INDEX(Undirviðmið!$E$6:$E$205,BL$4)*KVARDI,2),""))</f>
        <v/>
      </c>
      <c r="BN54" s="66" t="n"/>
      <c r="BO54" s="78">
        <f>IF(OR(BN$4=0,BN54=""),"",IFERROR(ROUND(BN54/INDEX(Undirviðmið!$F$6:$F$205,BN$4)*INDEX(Undirviðmið!$E$6:$E$205,BN$4)*KVARDI,2),""))</f>
        <v/>
      </c>
      <c r="BP54" s="66" t="n"/>
      <c r="BQ54" s="78">
        <f>IF(OR(BP$4=0,BP54=""),"",IFERROR(ROUND(BP54/INDEX(Undirviðmið!$F$6:$F$205,BP$4)*INDEX(Undirviðmið!$E$6:$E$205,BP$4)*KVARDI,2),""))</f>
        <v/>
      </c>
      <c r="BR54" s="66" t="n"/>
      <c r="BS54" s="78">
        <f>IF(OR(BR$4=0,BR54=""),"",IFERROR(ROUND(BR54/INDEX(Undirviðmið!$F$6:$F$205,BR$4)*INDEX(Undirviðmið!$E$6:$E$205,BR$4)*KVARDI,2),""))</f>
        <v/>
      </c>
      <c r="BT54" s="66" t="n"/>
      <c r="BU54" s="78">
        <f>IF(OR(BT$4=0,BT54=""),"",IFERROR(ROUND(BT54/INDEX(Undirviðmið!$F$6:$F$205,BT$4)*INDEX(Undirviðmið!$E$6:$E$205,BT$4)*KVARDI,2),""))</f>
        <v/>
      </c>
      <c r="BV54" s="66" t="n"/>
      <c r="BW54" s="78">
        <f>IF(OR(BV$4=0,BV54=""),"",IFERROR(ROUND(BV54/INDEX(Undirviðmið!$F$6:$F$205,BV$4)*INDEX(Undirviðmið!$E$6:$E$205,BV$4)*KVARDI,2),""))</f>
        <v/>
      </c>
      <c r="BX54" s="66" t="n"/>
      <c r="BY54" s="78">
        <f>IF(OR(BX$4=0,BX54=""),"",IFERROR(ROUND(BX54/INDEX(Undirviðmið!$F$6:$F$205,BX$4)*INDEX(Undirviðmið!$E$6:$E$205,BX$4)*KVARDI,2),""))</f>
        <v/>
      </c>
      <c r="BZ54" s="66" t="n"/>
      <c r="CA54" s="78">
        <f>IF(OR(BZ$4=0,BZ54=""),"",IFERROR(ROUND(BZ54/INDEX(Undirviðmið!$F$6:$F$205,BZ$4)*INDEX(Undirviðmið!$E$6:$E$205,BZ$4)*KVARDI,2),""))</f>
        <v/>
      </c>
      <c r="CB54" s="66" t="n"/>
      <c r="CC54" s="78">
        <f>IF(OR(CB$4=0,CB54=""),"",IFERROR(ROUND(CB54/INDEX(Undirviðmið!$F$6:$F$205,CB$4)*INDEX(Undirviðmið!$E$6:$E$205,CB$4)*KVARDI,2),""))</f>
        <v/>
      </c>
      <c r="CD54" s="66" t="n"/>
      <c r="CE54" s="78">
        <f>IF(OR(CD$4=0,CD54=""),"",IFERROR(ROUND(CD54/INDEX(Undirviðmið!$F$6:$F$205,CD$4)*INDEX(Undirviðmið!$E$6:$E$205,CD$4)*KVARDI,2),""))</f>
        <v/>
      </c>
      <c r="CF54" s="66" t="n"/>
      <c r="CG54" s="78">
        <f>IF(OR(CF$4=0,CF54=""),"",IFERROR(ROUND(CF54/INDEX(Undirviðmið!$F$6:$F$205,CF$4)*INDEX(Undirviðmið!$E$6:$E$205,CF$4)*KVARDI,2),""))</f>
        <v/>
      </c>
      <c r="CH54" s="66" t="n"/>
      <c r="CI54" s="78">
        <f>IF(OR(CH$4=0,CH54=""),"",IFERROR(ROUND(CH54/INDEX(Undirviðmið!$F$6:$F$205,CH$4)*INDEX(Undirviðmið!$E$6:$E$205,CH$4)*KVARDI,2),""))</f>
        <v/>
      </c>
      <c r="CJ54" s="66" t="n"/>
      <c r="CK54" s="78">
        <f>IF(OR(CJ$4=0,CJ54=""),"",IFERROR(ROUND(CJ54/INDEX(Undirviðmið!$F$6:$F$205,CJ$4)*INDEX(Undirviðmið!$E$6:$E$205,CJ$4)*KVARDI,2),""))</f>
        <v/>
      </c>
      <c r="CL54" s="66" t="n"/>
      <c r="CM54" s="78">
        <f>IF(OR(CL$4=0,CL54=""),"",IFERROR(ROUND(CL54/INDEX(Undirviðmið!$F$6:$F$205,CL$4)*INDEX(Undirviðmið!$E$6:$E$205,CL$4)*KVARDI,2),""))</f>
        <v/>
      </c>
      <c r="CN54" s="66" t="n"/>
      <c r="CO54" s="78">
        <f>IF(OR(CN$4=0,CN54=""),"",IFERROR(ROUND(CN54/INDEX(Undirviðmið!$F$6:$F$205,CN$4)*INDEX(Undirviðmið!$E$6:$E$205,CN$4)*KVARDI,2),""))</f>
        <v/>
      </c>
      <c r="CP54" s="66" t="n"/>
      <c r="CQ54" s="78">
        <f>IF(OR(CP$4=0,CP54=""),"",IFERROR(ROUND(CP54/INDEX(Undirviðmið!$F$6:$F$205,CP$4)*INDEX(Undirviðmið!$E$6:$E$205,CP$4)*KVARDI,2),""))</f>
        <v/>
      </c>
      <c r="CR54" s="66" t="n"/>
      <c r="CS54" s="78">
        <f>IF(OR(CR$4=0,CR54=""),"",IFERROR(ROUND(CR54/INDEX(Undirviðmið!$F$6:$F$205,CR$4)*INDEX(Undirviðmið!$E$6:$E$205,CR$4)*KVARDI,2),""))</f>
        <v/>
      </c>
      <c r="CT54" s="66" t="n"/>
      <c r="CU54" s="78">
        <f>IF(OR(CT$4=0,CT54=""),"",IFERROR(ROUND(CT54/INDEX(Undirviðmið!$F$6:$F$205,CT$4)*INDEX(Undirviðmið!$E$6:$E$205,CT$4)*KVARDI,2),""))</f>
        <v/>
      </c>
      <c r="CV54" s="66" t="n"/>
      <c r="CW54" s="78">
        <f>IF(OR(CV$4=0,CV54=""),"",IFERROR(ROUND(CV54/INDEX(Undirviðmið!$F$6:$F$205,CV$4)*INDEX(Undirviðmið!$E$6:$E$205,CV$4)*KVARDI,2),""))</f>
        <v/>
      </c>
      <c r="CX54" s="66" t="n"/>
      <c r="CY54" s="78">
        <f>IF(OR(CX$4=0,CX54=""),"",IFERROR(ROUND(CX54/INDEX(Undirviðmið!$F$6:$F$205,CX$4)*INDEX(Undirviðmið!$E$6:$E$205,CX$4)*KVARDI,2),""))</f>
        <v/>
      </c>
      <c r="CZ54" s="66" t="n"/>
      <c r="DA54" s="78">
        <f>IF(OR(CZ$4=0,CZ54=""),"",IFERROR(ROUND(CZ54/INDEX(Undirviðmið!$F$6:$F$205,CZ$4)*INDEX(Undirviðmið!$E$6:$E$205,CZ$4)*KVARDI,2),""))</f>
        <v/>
      </c>
      <c r="DB54" s="66" t="n"/>
      <c r="DC54" s="78">
        <f>IF(OR(DB$4=0,DB54=""),"",IFERROR(ROUND(DB54/INDEX(Undirviðmið!$F$6:$F$205,DB$4)*INDEX(Undirviðmið!$E$6:$E$205,DB$4)*KVARDI,2),""))</f>
        <v/>
      </c>
      <c r="DD54" s="66" t="n"/>
      <c r="DE54" s="78">
        <f>IF(OR(DD$4=0,DD54=""),"",IFERROR(ROUND(DD54/INDEX(Undirviðmið!$F$6:$F$205,DD$4)*INDEX(Undirviðmið!$E$6:$E$205,DD$4)*KVARDI,2),""))</f>
        <v/>
      </c>
      <c r="DF54" s="66" t="n"/>
      <c r="DG54" s="78">
        <f>IF(OR(DF$4=0,DF54=""),"",IFERROR(ROUND(DF54/INDEX(Undirviðmið!$F$6:$F$205,DF$4)*INDEX(Undirviðmið!$E$6:$E$205,DF$4)*KVARDI,2),""))</f>
        <v/>
      </c>
      <c r="DH54" s="66" t="n"/>
      <c r="DI54" s="78">
        <f>IF(OR(DH$4=0,DH54=""),"",IFERROR(ROUND(DH54/INDEX(Undirviðmið!$F$6:$F$205,DH$4)*INDEX(Undirviðmið!$E$6:$E$205,DH$4)*KVARDI,2),""))</f>
        <v/>
      </c>
      <c r="DJ54" s="66" t="n"/>
      <c r="DK54" s="78">
        <f>IF(OR(DJ$4=0,DJ54=""),"",IFERROR(ROUND(DJ54/INDEX(Undirviðmið!$F$6:$F$205,DJ$4)*INDEX(Undirviðmið!$E$6:$E$205,DJ$4)*KVARDI,2),""))</f>
        <v/>
      </c>
      <c r="DL54" s="66" t="n"/>
      <c r="DM54" s="78">
        <f>IF(OR(DL$4=0,DL54=""),"",IFERROR(ROUND(DL54/INDEX(Undirviðmið!$F$6:$F$205,DL$4)*INDEX(Undirviðmið!$E$6:$E$205,DL$4)*KVARDI,2),""))</f>
        <v/>
      </c>
      <c r="DN54" s="66" t="n"/>
      <c r="DO54" s="78">
        <f>IF(OR(DN$4=0,DN54=""),"",IFERROR(ROUND(DN54/INDEX(Undirviðmið!$F$6:$F$205,DN$4)*INDEX(Undirviðmið!$E$6:$E$205,DN$4)*KVARDI,2),""))</f>
        <v/>
      </c>
      <c r="DP54" s="66" t="n"/>
      <c r="DQ54" s="78">
        <f>IF(OR(DP$4=0,DP54=""),"",IFERROR(ROUND(DP54/INDEX(Undirviðmið!$F$6:$F$205,DP$4)*INDEX(Undirviðmið!$E$6:$E$205,DP$4)*KVARDI,2),""))</f>
        <v/>
      </c>
      <c r="DR54" s="66" t="n"/>
      <c r="DS54" s="78">
        <f>IF(OR(DR$4=0,DR54=""),"",IFERROR(ROUND(DR54/INDEX(Undirviðmið!$F$6:$F$205,DR$4)*INDEX(Undirviðmið!$E$6:$E$205,DR$4)*KVARDI,2),""))</f>
        <v/>
      </c>
      <c r="DT54" s="66" t="n"/>
      <c r="DU54" s="78">
        <f>IF(OR(DT$4=0,DT54=""),"",IFERROR(ROUND(DT54/INDEX(Undirviðmið!$F$6:$F$205,DT$4)*INDEX(Undirviðmið!$E$6:$E$205,DT$4)*KVARDI,2),""))</f>
        <v/>
      </c>
      <c r="DV54" s="66" t="n"/>
      <c r="DW54" s="78">
        <f>IF(OR(DV$4=0,DV54=""),"",IFERROR(ROUND(DV54/INDEX(Undirviðmið!$F$6:$F$205,DV$4)*INDEX(Undirviðmið!$E$6:$E$205,DV$4)*KVARDI,2),""))</f>
        <v/>
      </c>
      <c r="DX54" s="66" t="n"/>
      <c r="DY54" s="78">
        <f>IF(OR(DX$4=0,DX54=""),"",IFERROR(ROUND(DX54/INDEX(Undirviðmið!$F$6:$F$205,DX$4)*INDEX(Undirviðmið!$E$6:$E$205,DX$4)*KVARDI,2),""))</f>
        <v/>
      </c>
      <c r="DZ54" s="66" t="n"/>
      <c r="EA54" s="78">
        <f>IF(OR(DZ$4=0,DZ54=""),"",IFERROR(ROUND(DZ54/INDEX(Undirviðmið!$F$6:$F$205,DZ$4)*INDEX(Undirviðmið!$E$6:$E$205,DZ$4)*KVARDI,2),""))</f>
        <v/>
      </c>
      <c r="EB54" s="66" t="n"/>
      <c r="EC54" s="78">
        <f>IF(OR(EB$4=0,EB54=""),"",IFERROR(ROUND(EB54/INDEX(Undirviðmið!$F$6:$F$205,EB$4)*INDEX(Undirviðmið!$E$6:$E$205,EB$4)*KVARDI,2),""))</f>
        <v/>
      </c>
      <c r="ED54" s="66" t="n"/>
      <c r="EE54" s="78">
        <f>IF(OR(ED$4=0,ED54=""),"",IFERROR(ROUND(ED54/INDEX(Undirviðmið!$F$6:$F$205,ED$4)*INDEX(Undirviðmið!$E$6:$E$205,ED$4)*KVARDI,2),""))</f>
        <v/>
      </c>
      <c r="EF54" s="66" t="n"/>
      <c r="EG54" s="78">
        <f>IF(OR(EF$4=0,EF54=""),"",IFERROR(ROUND(EF54/INDEX(Undirviðmið!$F$6:$F$205,EF$4)*INDEX(Undirviðmið!$E$6:$E$205,EF$4)*KVARDI,2),""))</f>
        <v/>
      </c>
      <c r="EH54" s="66" t="n"/>
      <c r="EI54" s="78">
        <f>IF(OR(EH$4=0,EH54=""),"",IFERROR(ROUND(EH54/INDEX(Undirviðmið!$F$6:$F$205,EH$4)*INDEX(Undirviðmið!$E$6:$E$205,EH$4)*KVARDI,2),""))</f>
        <v/>
      </c>
      <c r="EJ54" s="66" t="n"/>
      <c r="EK54" s="78">
        <f>IF(OR(EJ$4=0,EJ54=""),"",IFERROR(ROUND(EJ54/INDEX(Undirviðmið!$F$6:$F$205,EJ$4)*INDEX(Undirviðmið!$E$6:$E$205,EJ$4)*KVARDI,2),""))</f>
        <v/>
      </c>
      <c r="EL54" s="66" t="n"/>
      <c r="EM54" s="78">
        <f>IF(OR(EL$4=0,EL54=""),"",IFERROR(ROUND(EL54/INDEX(Undirviðmið!$F$6:$F$205,EL$4)*INDEX(Undirviðmið!$E$6:$E$205,EL$4)*KVARDI,2),""))</f>
        <v/>
      </c>
      <c r="EN54" s="66" t="n"/>
      <c r="EO54" s="78">
        <f>IF(OR(EN$4=0,EN54=""),"",IFERROR(ROUND(EN54/INDEX(Undirviðmið!$F$6:$F$205,EN$4)*INDEX(Undirviðmið!$E$6:$E$205,EN$4)*KVARDI,2),""))</f>
        <v/>
      </c>
      <c r="EP54" s="66" t="n"/>
      <c r="EQ54" s="78">
        <f>IF(OR(EP$4=0,EP54=""),"",IFERROR(ROUND(EP54/INDEX(Undirviðmið!$F$6:$F$205,EP$4)*INDEX(Undirviðmið!$E$6:$E$205,EP$4)*KVARDI,2),""))</f>
        <v/>
      </c>
      <c r="ER54" s="66" t="n"/>
      <c r="ES54" s="78">
        <f>IF(OR(ER$4=0,ER54=""),"",IFERROR(ROUND(ER54/INDEX(Undirviðmið!$F$6:$F$205,ER$4)*INDEX(Undirviðmið!$E$6:$E$205,ER$4)*KVARDI,2),""))</f>
        <v/>
      </c>
      <c r="ET54" s="66" t="n"/>
      <c r="EU54" s="78">
        <f>IF(OR(ET$4=0,ET54=""),"",IFERROR(ROUND(ET54/INDEX(Undirviðmið!$F$6:$F$205,ET$4)*INDEX(Undirviðmið!$E$6:$E$205,ET$4)*KVARDI,2),""))</f>
        <v/>
      </c>
      <c r="EV54" s="66" t="n"/>
      <c r="EW54" s="78">
        <f>IF(OR(EV$4=0,EV54=""),"",IFERROR(ROUND(EV54/INDEX(Undirviðmið!$F$6:$F$205,EV$4)*INDEX(Undirviðmið!$E$6:$E$205,EV$4)*KVARDI,2),""))</f>
        <v/>
      </c>
      <c r="EX54" s="66" t="n"/>
      <c r="EY54" s="78">
        <f>IF(OR(EX$4=0,EX54=""),"",IFERROR(ROUND(EX54/INDEX(Undirviðmið!$F$6:$F$205,EX$4)*INDEX(Undirviðmið!$E$6:$E$205,EX$4)*KVARDI,2),""))</f>
        <v/>
      </c>
      <c r="EZ54" s="66" t="n"/>
      <c r="FA54" s="78">
        <f>IF(OR(EZ$4=0,EZ54=""),"",IFERROR(ROUND(EZ54/INDEX(Undirviðmið!$F$6:$F$205,EZ$4)*INDEX(Undirviðmið!$E$6:$E$205,EZ$4)*KVARDI,2),""))</f>
        <v/>
      </c>
      <c r="FB54" s="66" t="n"/>
      <c r="FC54" s="78">
        <f>IF(OR(FB$4=0,FB54=""),"",IFERROR(ROUND(FB54/INDEX(Undirviðmið!$F$6:$F$205,FB$4)*INDEX(Undirviðmið!$E$6:$E$205,FB$4)*KVARDI,2),""))</f>
        <v/>
      </c>
      <c r="FD54" s="66" t="n"/>
      <c r="FE54" s="78">
        <f>IF(OR(FD$4=0,FD54=""),"",IFERROR(ROUND(FD54/INDEX(Undirviðmið!$F$6:$F$205,FD$4)*INDEX(Undirviðmið!$E$6:$E$205,FD$4)*KVARDI,2),""))</f>
        <v/>
      </c>
      <c r="FF54" s="66" t="n"/>
      <c r="FG54" s="78">
        <f>IF(OR(FF$4=0,FF54=""),"",IFERROR(ROUND(FF54/INDEX(Undirviðmið!$F$6:$F$205,FF$4)*INDEX(Undirviðmið!$E$6:$E$205,FF$4)*KVARDI,2),""))</f>
        <v/>
      </c>
      <c r="FH54" s="66" t="n"/>
      <c r="FI54" s="78">
        <f>IF(OR(FH$4=0,FH54=""),"",IFERROR(ROUND(FH54/INDEX(Undirviðmið!$F$6:$F$205,FH$4)*INDEX(Undirviðmið!$E$6:$E$205,FH$4)*KVARDI,2),""))</f>
        <v/>
      </c>
      <c r="FJ54" s="66" t="n"/>
      <c r="FK54" s="78">
        <f>IF(OR(FJ$4=0,FJ54=""),"",IFERROR(ROUND(FJ54/INDEX(Undirviðmið!$F$6:$F$205,FJ$4)*INDEX(Undirviðmið!$E$6:$E$205,FJ$4)*KVARDI,2),""))</f>
        <v/>
      </c>
      <c r="FL54" s="66" t="n"/>
      <c r="FM54" s="78">
        <f>IF(OR(FL$4=0,FL54=""),"",IFERROR(ROUND(FL54/INDEX(Undirviðmið!$F$6:$F$205,FL$4)*INDEX(Undirviðmið!$E$6:$E$205,FL$4)*KVARDI,2),""))</f>
        <v/>
      </c>
      <c r="FN54" s="66" t="n"/>
      <c r="FO54" s="78">
        <f>IF(OR(FN$4=0,FN54=""),"",IFERROR(ROUND(FN54/INDEX(Undirviðmið!$F$6:$F$205,FN$4)*INDEX(Undirviðmið!$E$6:$E$205,FN$4)*KVARDI,2),""))</f>
        <v/>
      </c>
      <c r="FP54" s="66" t="n"/>
      <c r="FQ54" s="78">
        <f>IF(OR(FP$4=0,FP54=""),"",IFERROR(ROUND(FP54/INDEX(Undirviðmið!$F$6:$F$205,FP$4)*INDEX(Undirviðmið!$E$6:$E$205,FP$4)*KVARDI,2),""))</f>
        <v/>
      </c>
      <c r="FR54" s="66" t="n"/>
      <c r="FS54" s="78">
        <f>IF(OR(FR$4=0,FR54=""),"",IFERROR(ROUND(FR54/INDEX(Undirviðmið!$F$6:$F$205,FR$4)*INDEX(Undirviðmið!$E$6:$E$205,FR$4)*KVARDI,2),""))</f>
        <v/>
      </c>
      <c r="FT54" s="66" t="n"/>
      <c r="FU54" s="78">
        <f>IF(OR(FT$4=0,FT54=""),"",IFERROR(ROUND(FT54/INDEX(Undirviðmið!$F$6:$F$205,FT$4)*INDEX(Undirviðmið!$E$6:$E$205,FT$4)*KVARDI,2),""))</f>
        <v/>
      </c>
      <c r="FV54" s="66" t="n"/>
      <c r="FW54" s="78">
        <f>IF(OR(FV$4=0,FV54=""),"",IFERROR(ROUND(FV54/INDEX(Undirviðmið!$F$6:$F$205,FV$4)*INDEX(Undirviðmið!$E$6:$E$205,FV$4)*KVARDI,2),""))</f>
        <v/>
      </c>
      <c r="FX54" s="66" t="n"/>
      <c r="FY54" s="78">
        <f>IF(OR(FX$4=0,FX54=""),"",IFERROR(ROUND(FX54/INDEX(Undirviðmið!$F$6:$F$205,FX$4)*INDEX(Undirviðmið!$E$6:$E$205,FX$4)*KVARDI,2),""))</f>
        <v/>
      </c>
      <c r="FZ54" s="66" t="n"/>
      <c r="GA54" s="78">
        <f>IF(OR(FZ$4=0,FZ54=""),"",IFERROR(ROUND(FZ54/INDEX(Undirviðmið!$F$6:$F$205,FZ$4)*INDEX(Undirviðmið!$E$6:$E$205,FZ$4)*KVARDI,2),""))</f>
        <v/>
      </c>
      <c r="GB54" s="66" t="n"/>
      <c r="GC54" s="78">
        <f>IF(OR(GB$4=0,GB54=""),"",IFERROR(ROUND(GB54/INDEX(Undirviðmið!$F$6:$F$205,GB$4)*INDEX(Undirviðmið!$E$6:$E$205,GB$4)*KVARDI,2),""))</f>
        <v/>
      </c>
      <c r="GD54" s="66" t="n"/>
      <c r="GE54" s="78">
        <f>IF(OR(GD$4=0,GD54=""),"",IFERROR(ROUND(GD54/INDEX(Undirviðmið!$F$6:$F$205,GD$4)*INDEX(Undirviðmið!$E$6:$E$205,GD$4)*KVARDI,2),""))</f>
        <v/>
      </c>
      <c r="GF54" s="66" t="n"/>
      <c r="GG54" s="78">
        <f>IF(OR(GF$4=0,GF54=""),"",IFERROR(ROUND(GF54/INDEX(Undirviðmið!$F$6:$F$205,GF$4)*INDEX(Undirviðmið!$E$6:$E$205,GF$4)*KVARDI,2),""))</f>
        <v/>
      </c>
      <c r="GH54" s="66" t="n"/>
      <c r="GI54" s="78">
        <f>IF(OR(GH$4=0,GH54=""),"",IFERROR(ROUND(GH54/INDEX(Undirviðmið!$F$6:$F$205,GH$4)*INDEX(Undirviðmið!$E$6:$E$205,GH$4)*KVARDI,2),""))</f>
        <v/>
      </c>
      <c r="GJ54" s="66" t="n"/>
      <c r="GK54" s="78">
        <f>IF(OR(GJ$4=0,GJ54=""),"",IFERROR(ROUND(GJ54/INDEX(Undirviðmið!$F$6:$F$205,GJ$4)*INDEX(Undirviðmið!$E$6:$E$205,GJ$4)*KVARDI,2),""))</f>
        <v/>
      </c>
      <c r="GL54" s="66" t="n"/>
      <c r="GM54" s="78">
        <f>IF(OR(GL$4=0,GL54=""),"",IFERROR(ROUND(GL54/INDEX(Undirviðmið!$F$6:$F$205,GL$4)*INDEX(Undirviðmið!$E$6:$E$205,GL$4)*KVARDI,2),""))</f>
        <v/>
      </c>
      <c r="GN54" s="66" t="n"/>
      <c r="GO54" s="78">
        <f>IF(OR(GN$4=0,GN54=""),"",IFERROR(ROUND(GN54/INDEX(Undirviðmið!$F$6:$F$205,GN$4)*INDEX(Undirviðmið!$E$6:$E$205,GN$4)*KVARDI,2),""))</f>
        <v/>
      </c>
      <c r="GP54" s="66" t="n"/>
      <c r="GQ54" s="78">
        <f>IF(OR(GP$4=0,GP54=""),"",IFERROR(ROUND(GP54/INDEX(Undirviðmið!$F$6:$F$205,GP$4)*INDEX(Undirviðmið!$E$6:$E$205,GP$4)*KVARDI,2),""))</f>
        <v/>
      </c>
      <c r="GR54" s="66" t="n"/>
      <c r="GS54" s="78">
        <f>IF(OR(GR$4=0,GR54=""),"",IFERROR(ROUND(GR54/INDEX(Undirviðmið!$F$6:$F$205,GR$4)*INDEX(Undirviðmið!$E$6:$E$205,GR$4)*KVARDI,2),""))</f>
        <v/>
      </c>
      <c r="GT54" s="66" t="n"/>
      <c r="GU54" s="78">
        <f>IF(OR(GT$4=0,GT54=""),"",IFERROR(ROUND(GT54/INDEX(Undirviðmið!$F$6:$F$205,GT$4)*INDEX(Undirviðmið!$E$6:$E$205,GT$4)*KVARDI,2),""))</f>
        <v/>
      </c>
      <c r="GV54" s="63">
        <f>IFERROR(SUMIF($D$6:GU$6,"Stig",$D54:GU54),0)</f>
        <v/>
      </c>
    </row>
    <row r="55" ht="15" customHeight="1" s="47">
      <c r="A55" s="65">
        <f>ROW()-6</f>
        <v/>
      </c>
      <c r="B55" s="67">
        <f>IF(INDEX(Starfsmenn!$B$6:$B$10005,ROW()-6)="","",INDEX(Starfsmenn!$B$6:$B$10005,ROW()-6))</f>
        <v/>
      </c>
      <c r="C55" s="67">
        <f>IF(INDEX(Starfsmenn!$C$6:$C$10005,ROW()-6)="","",INDEX(Starfsmenn!$C$6:$C$10005,ROW()-6))</f>
        <v/>
      </c>
      <c r="D55" s="66" t="n"/>
      <c r="E55" s="78">
        <f>IF(OR(D$4=0,D55=""),"",IFERROR(ROUND(D55/INDEX(Undirviðmið!$F$6:$F$205,D$4)*INDEX(Undirviðmið!$E$6:$E$205,D$4)*KVARDI,2),""))</f>
        <v/>
      </c>
      <c r="F55" s="66" t="n"/>
      <c r="G55" s="78">
        <f>IF(OR(F$4=0,F55=""),"",IFERROR(ROUND(F55/INDEX(Undirviðmið!$F$6:$F$205,F$4)*INDEX(Undirviðmið!$E$6:$E$205,F$4)*KVARDI,2),""))</f>
        <v/>
      </c>
      <c r="H55" s="66" t="n"/>
      <c r="I55" s="78">
        <f>IF(OR(H$4=0,H55=""),"",IFERROR(ROUND(H55/INDEX(Undirviðmið!$F$6:$F$205,H$4)*INDEX(Undirviðmið!$E$6:$E$205,H$4)*KVARDI,2),""))</f>
        <v/>
      </c>
      <c r="J55" s="66" t="n"/>
      <c r="K55" s="78">
        <f>IF(OR(J$4=0,J55=""),"",IFERROR(ROUND(J55/INDEX(Undirviðmið!$F$6:$F$205,J$4)*INDEX(Undirviðmið!$E$6:$E$205,J$4)*KVARDI,2),""))</f>
        <v/>
      </c>
      <c r="L55" s="66" t="n"/>
      <c r="M55" s="78">
        <f>IF(OR(L$4=0,L55=""),"",IFERROR(ROUND(L55/INDEX(Undirviðmið!$F$6:$F$205,L$4)*INDEX(Undirviðmið!$E$6:$E$205,L$4)*KVARDI,2),""))</f>
        <v/>
      </c>
      <c r="N55" s="66" t="n"/>
      <c r="O55" s="78">
        <f>IF(OR(N$4=0,N55=""),"",IFERROR(ROUND(N55/INDEX(Undirviðmið!$F$6:$F$205,N$4)*INDEX(Undirviðmið!$E$6:$E$205,N$4)*KVARDI,2),""))</f>
        <v/>
      </c>
      <c r="P55" s="66" t="n"/>
      <c r="Q55" s="78">
        <f>IF(OR(P$4=0,P55=""),"",IFERROR(ROUND(P55/INDEX(Undirviðmið!$F$6:$F$205,P$4)*INDEX(Undirviðmið!$E$6:$E$205,P$4)*KVARDI,2),""))</f>
        <v/>
      </c>
      <c r="R55" s="66" t="n"/>
      <c r="S55" s="78">
        <f>IF(OR(R$4=0,R55=""),"",IFERROR(ROUND(R55/INDEX(Undirviðmið!$F$6:$F$205,R$4)*INDEX(Undirviðmið!$E$6:$E$205,R$4)*KVARDI,2),""))</f>
        <v/>
      </c>
      <c r="T55" s="66" t="n"/>
      <c r="U55" s="78">
        <f>IF(OR(T$4=0,T55=""),"",IFERROR(ROUND(T55/INDEX(Undirviðmið!$F$6:$F$205,T$4)*INDEX(Undirviðmið!$E$6:$E$205,T$4)*KVARDI,2),""))</f>
        <v/>
      </c>
      <c r="V55" s="66" t="n"/>
      <c r="W55" s="78">
        <f>IF(OR(V$4=0,V55=""),"",IFERROR(ROUND(V55/INDEX(Undirviðmið!$F$6:$F$205,V$4)*INDEX(Undirviðmið!$E$6:$E$205,V$4)*KVARDI,2),""))</f>
        <v/>
      </c>
      <c r="X55" s="66" t="n"/>
      <c r="Y55" s="78">
        <f>IF(OR(X$4=0,X55=""),"",IFERROR(ROUND(X55/INDEX(Undirviðmið!$F$6:$F$205,X$4)*INDEX(Undirviðmið!$E$6:$E$205,X$4)*KVARDI,2),""))</f>
        <v/>
      </c>
      <c r="Z55" s="66" t="n"/>
      <c r="AA55" s="78">
        <f>IF(OR(Z$4=0,Z55=""),"",IFERROR(ROUND(Z55/INDEX(Undirviðmið!$F$6:$F$205,Z$4)*INDEX(Undirviðmið!$E$6:$E$205,Z$4)*KVARDI,2),""))</f>
        <v/>
      </c>
      <c r="AB55" s="66" t="n"/>
      <c r="AC55" s="78">
        <f>IF(OR(AB$4=0,AB55=""),"",IFERROR(ROUND(AB55/INDEX(Undirviðmið!$F$6:$F$205,AB$4)*INDEX(Undirviðmið!$E$6:$E$205,AB$4)*KVARDI,2),""))</f>
        <v/>
      </c>
      <c r="AD55" s="66" t="n"/>
      <c r="AE55" s="78">
        <f>IF(OR(AD$4=0,AD55=""),"",IFERROR(ROUND(AD55/INDEX(Undirviðmið!$F$6:$F$205,AD$4)*INDEX(Undirviðmið!$E$6:$E$205,AD$4)*KVARDI,2),""))</f>
        <v/>
      </c>
      <c r="AF55" s="66" t="n"/>
      <c r="AG55" s="78">
        <f>IF(OR(AF$4=0,AF55=""),"",IFERROR(ROUND(AF55/INDEX(Undirviðmið!$F$6:$F$205,AF$4)*INDEX(Undirviðmið!$E$6:$E$205,AF$4)*KVARDI,2),""))</f>
        <v/>
      </c>
      <c r="AH55" s="66" t="n"/>
      <c r="AI55" s="78">
        <f>IF(OR(AH$4=0,AH55=""),"",IFERROR(ROUND(AH55/INDEX(Undirviðmið!$F$6:$F$205,AH$4)*INDEX(Undirviðmið!$E$6:$E$205,AH$4)*KVARDI,2),""))</f>
        <v/>
      </c>
      <c r="AJ55" s="66" t="n"/>
      <c r="AK55" s="78">
        <f>IF(OR(AJ$4=0,AJ55=""),"",IFERROR(ROUND(AJ55/INDEX(Undirviðmið!$F$6:$F$205,AJ$4)*INDEX(Undirviðmið!$E$6:$E$205,AJ$4)*KVARDI,2),""))</f>
        <v/>
      </c>
      <c r="AL55" s="66" t="n"/>
      <c r="AM55" s="78">
        <f>IF(OR(AL$4=0,AL55=""),"",IFERROR(ROUND(AL55/INDEX(Undirviðmið!$F$6:$F$205,AL$4)*INDEX(Undirviðmið!$E$6:$E$205,AL$4)*KVARDI,2),""))</f>
        <v/>
      </c>
      <c r="AN55" s="66" t="n"/>
      <c r="AO55" s="78">
        <f>IF(OR(AN$4=0,AN55=""),"",IFERROR(ROUND(AN55/INDEX(Undirviðmið!$F$6:$F$205,AN$4)*INDEX(Undirviðmið!$E$6:$E$205,AN$4)*KVARDI,2),""))</f>
        <v/>
      </c>
      <c r="AP55" s="66" t="n"/>
      <c r="AQ55" s="78">
        <f>IF(OR(AP$4=0,AP55=""),"",IFERROR(ROUND(AP55/INDEX(Undirviðmið!$F$6:$F$205,AP$4)*INDEX(Undirviðmið!$E$6:$E$205,AP$4)*KVARDI,2),""))</f>
        <v/>
      </c>
      <c r="AR55" s="66" t="n"/>
      <c r="AS55" s="78">
        <f>IF(OR(AR$4=0,AR55=""),"",IFERROR(ROUND(AR55/INDEX(Undirviðmið!$F$6:$F$205,AR$4)*INDEX(Undirviðmið!$E$6:$E$205,AR$4)*KVARDI,2),""))</f>
        <v/>
      </c>
      <c r="AT55" s="66" t="n"/>
      <c r="AU55" s="78">
        <f>IF(OR(AT$4=0,AT55=""),"",IFERROR(ROUND(AT55/INDEX(Undirviðmið!$F$6:$F$205,AT$4)*INDEX(Undirviðmið!$E$6:$E$205,AT$4)*KVARDI,2),""))</f>
        <v/>
      </c>
      <c r="AV55" s="66" t="n"/>
      <c r="AW55" s="78">
        <f>IF(OR(AV$4=0,AV55=""),"",IFERROR(ROUND(AV55/INDEX(Undirviðmið!$F$6:$F$205,AV$4)*INDEX(Undirviðmið!$E$6:$E$205,AV$4)*KVARDI,2),""))</f>
        <v/>
      </c>
      <c r="AX55" s="66" t="n"/>
      <c r="AY55" s="78">
        <f>IF(OR(AX$4=0,AX55=""),"",IFERROR(ROUND(AX55/INDEX(Undirviðmið!$F$6:$F$205,AX$4)*INDEX(Undirviðmið!$E$6:$E$205,AX$4)*KVARDI,2),""))</f>
        <v/>
      </c>
      <c r="AZ55" s="66" t="n"/>
      <c r="BA55" s="78">
        <f>IF(OR(AZ$4=0,AZ55=""),"",IFERROR(ROUND(AZ55/INDEX(Undirviðmið!$F$6:$F$205,AZ$4)*INDEX(Undirviðmið!$E$6:$E$205,AZ$4)*KVARDI,2),""))</f>
        <v/>
      </c>
      <c r="BB55" s="66" t="n"/>
      <c r="BC55" s="78">
        <f>IF(OR(BB$4=0,BB55=""),"",IFERROR(ROUND(BB55/INDEX(Undirviðmið!$F$6:$F$205,BB$4)*INDEX(Undirviðmið!$E$6:$E$205,BB$4)*KVARDI,2),""))</f>
        <v/>
      </c>
      <c r="BD55" s="66" t="n"/>
      <c r="BE55" s="78">
        <f>IF(OR(BD$4=0,BD55=""),"",IFERROR(ROUND(BD55/INDEX(Undirviðmið!$F$6:$F$205,BD$4)*INDEX(Undirviðmið!$E$6:$E$205,BD$4)*KVARDI,2),""))</f>
        <v/>
      </c>
      <c r="BF55" s="66" t="n"/>
      <c r="BG55" s="78">
        <f>IF(OR(BF$4=0,BF55=""),"",IFERROR(ROUND(BF55/INDEX(Undirviðmið!$F$6:$F$205,BF$4)*INDEX(Undirviðmið!$E$6:$E$205,BF$4)*KVARDI,2),""))</f>
        <v/>
      </c>
      <c r="BH55" s="66" t="n"/>
      <c r="BI55" s="78">
        <f>IF(OR(BH$4=0,BH55=""),"",IFERROR(ROUND(BH55/INDEX(Undirviðmið!$F$6:$F$205,BH$4)*INDEX(Undirviðmið!$E$6:$E$205,BH$4)*KVARDI,2),""))</f>
        <v/>
      </c>
      <c r="BJ55" s="66" t="n"/>
      <c r="BK55" s="78">
        <f>IF(OR(BJ$4=0,BJ55=""),"",IFERROR(ROUND(BJ55/INDEX(Undirviðmið!$F$6:$F$205,BJ$4)*INDEX(Undirviðmið!$E$6:$E$205,BJ$4)*KVARDI,2),""))</f>
        <v/>
      </c>
      <c r="BL55" s="66" t="n"/>
      <c r="BM55" s="78">
        <f>IF(OR(BL$4=0,BL55=""),"",IFERROR(ROUND(BL55/INDEX(Undirviðmið!$F$6:$F$205,BL$4)*INDEX(Undirviðmið!$E$6:$E$205,BL$4)*KVARDI,2),""))</f>
        <v/>
      </c>
      <c r="BN55" s="66" t="n"/>
      <c r="BO55" s="78">
        <f>IF(OR(BN$4=0,BN55=""),"",IFERROR(ROUND(BN55/INDEX(Undirviðmið!$F$6:$F$205,BN$4)*INDEX(Undirviðmið!$E$6:$E$205,BN$4)*KVARDI,2),""))</f>
        <v/>
      </c>
      <c r="BP55" s="66" t="n"/>
      <c r="BQ55" s="78">
        <f>IF(OR(BP$4=0,BP55=""),"",IFERROR(ROUND(BP55/INDEX(Undirviðmið!$F$6:$F$205,BP$4)*INDEX(Undirviðmið!$E$6:$E$205,BP$4)*KVARDI,2),""))</f>
        <v/>
      </c>
      <c r="BR55" s="66" t="n"/>
      <c r="BS55" s="78">
        <f>IF(OR(BR$4=0,BR55=""),"",IFERROR(ROUND(BR55/INDEX(Undirviðmið!$F$6:$F$205,BR$4)*INDEX(Undirviðmið!$E$6:$E$205,BR$4)*KVARDI,2),""))</f>
        <v/>
      </c>
      <c r="BT55" s="66" t="n"/>
      <c r="BU55" s="78">
        <f>IF(OR(BT$4=0,BT55=""),"",IFERROR(ROUND(BT55/INDEX(Undirviðmið!$F$6:$F$205,BT$4)*INDEX(Undirviðmið!$E$6:$E$205,BT$4)*KVARDI,2),""))</f>
        <v/>
      </c>
      <c r="BV55" s="66" t="n"/>
      <c r="BW55" s="78">
        <f>IF(OR(BV$4=0,BV55=""),"",IFERROR(ROUND(BV55/INDEX(Undirviðmið!$F$6:$F$205,BV$4)*INDEX(Undirviðmið!$E$6:$E$205,BV$4)*KVARDI,2),""))</f>
        <v/>
      </c>
      <c r="BX55" s="66" t="n"/>
      <c r="BY55" s="78">
        <f>IF(OR(BX$4=0,BX55=""),"",IFERROR(ROUND(BX55/INDEX(Undirviðmið!$F$6:$F$205,BX$4)*INDEX(Undirviðmið!$E$6:$E$205,BX$4)*KVARDI,2),""))</f>
        <v/>
      </c>
      <c r="BZ55" s="66" t="n"/>
      <c r="CA55" s="78">
        <f>IF(OR(BZ$4=0,BZ55=""),"",IFERROR(ROUND(BZ55/INDEX(Undirviðmið!$F$6:$F$205,BZ$4)*INDEX(Undirviðmið!$E$6:$E$205,BZ$4)*KVARDI,2),""))</f>
        <v/>
      </c>
      <c r="CB55" s="66" t="n"/>
      <c r="CC55" s="78">
        <f>IF(OR(CB$4=0,CB55=""),"",IFERROR(ROUND(CB55/INDEX(Undirviðmið!$F$6:$F$205,CB$4)*INDEX(Undirviðmið!$E$6:$E$205,CB$4)*KVARDI,2),""))</f>
        <v/>
      </c>
      <c r="CD55" s="66" t="n"/>
      <c r="CE55" s="78">
        <f>IF(OR(CD$4=0,CD55=""),"",IFERROR(ROUND(CD55/INDEX(Undirviðmið!$F$6:$F$205,CD$4)*INDEX(Undirviðmið!$E$6:$E$205,CD$4)*KVARDI,2),""))</f>
        <v/>
      </c>
      <c r="CF55" s="66" t="n"/>
      <c r="CG55" s="78">
        <f>IF(OR(CF$4=0,CF55=""),"",IFERROR(ROUND(CF55/INDEX(Undirviðmið!$F$6:$F$205,CF$4)*INDEX(Undirviðmið!$E$6:$E$205,CF$4)*KVARDI,2),""))</f>
        <v/>
      </c>
      <c r="CH55" s="66" t="n"/>
      <c r="CI55" s="78">
        <f>IF(OR(CH$4=0,CH55=""),"",IFERROR(ROUND(CH55/INDEX(Undirviðmið!$F$6:$F$205,CH$4)*INDEX(Undirviðmið!$E$6:$E$205,CH$4)*KVARDI,2),""))</f>
        <v/>
      </c>
      <c r="CJ55" s="66" t="n"/>
      <c r="CK55" s="78">
        <f>IF(OR(CJ$4=0,CJ55=""),"",IFERROR(ROUND(CJ55/INDEX(Undirviðmið!$F$6:$F$205,CJ$4)*INDEX(Undirviðmið!$E$6:$E$205,CJ$4)*KVARDI,2),""))</f>
        <v/>
      </c>
      <c r="CL55" s="66" t="n"/>
      <c r="CM55" s="78">
        <f>IF(OR(CL$4=0,CL55=""),"",IFERROR(ROUND(CL55/INDEX(Undirviðmið!$F$6:$F$205,CL$4)*INDEX(Undirviðmið!$E$6:$E$205,CL$4)*KVARDI,2),""))</f>
        <v/>
      </c>
      <c r="CN55" s="66" t="n"/>
      <c r="CO55" s="78">
        <f>IF(OR(CN$4=0,CN55=""),"",IFERROR(ROUND(CN55/INDEX(Undirviðmið!$F$6:$F$205,CN$4)*INDEX(Undirviðmið!$E$6:$E$205,CN$4)*KVARDI,2),""))</f>
        <v/>
      </c>
      <c r="CP55" s="66" t="n"/>
      <c r="CQ55" s="78">
        <f>IF(OR(CP$4=0,CP55=""),"",IFERROR(ROUND(CP55/INDEX(Undirviðmið!$F$6:$F$205,CP$4)*INDEX(Undirviðmið!$E$6:$E$205,CP$4)*KVARDI,2),""))</f>
        <v/>
      </c>
      <c r="CR55" s="66" t="n"/>
      <c r="CS55" s="78">
        <f>IF(OR(CR$4=0,CR55=""),"",IFERROR(ROUND(CR55/INDEX(Undirviðmið!$F$6:$F$205,CR$4)*INDEX(Undirviðmið!$E$6:$E$205,CR$4)*KVARDI,2),""))</f>
        <v/>
      </c>
      <c r="CT55" s="66" t="n"/>
      <c r="CU55" s="78">
        <f>IF(OR(CT$4=0,CT55=""),"",IFERROR(ROUND(CT55/INDEX(Undirviðmið!$F$6:$F$205,CT$4)*INDEX(Undirviðmið!$E$6:$E$205,CT$4)*KVARDI,2),""))</f>
        <v/>
      </c>
      <c r="CV55" s="66" t="n"/>
      <c r="CW55" s="78">
        <f>IF(OR(CV$4=0,CV55=""),"",IFERROR(ROUND(CV55/INDEX(Undirviðmið!$F$6:$F$205,CV$4)*INDEX(Undirviðmið!$E$6:$E$205,CV$4)*KVARDI,2),""))</f>
        <v/>
      </c>
      <c r="CX55" s="66" t="n"/>
      <c r="CY55" s="78">
        <f>IF(OR(CX$4=0,CX55=""),"",IFERROR(ROUND(CX55/INDEX(Undirviðmið!$F$6:$F$205,CX$4)*INDEX(Undirviðmið!$E$6:$E$205,CX$4)*KVARDI,2),""))</f>
        <v/>
      </c>
      <c r="CZ55" s="66" t="n"/>
      <c r="DA55" s="78">
        <f>IF(OR(CZ$4=0,CZ55=""),"",IFERROR(ROUND(CZ55/INDEX(Undirviðmið!$F$6:$F$205,CZ$4)*INDEX(Undirviðmið!$E$6:$E$205,CZ$4)*KVARDI,2),""))</f>
        <v/>
      </c>
      <c r="DB55" s="66" t="n"/>
      <c r="DC55" s="78">
        <f>IF(OR(DB$4=0,DB55=""),"",IFERROR(ROUND(DB55/INDEX(Undirviðmið!$F$6:$F$205,DB$4)*INDEX(Undirviðmið!$E$6:$E$205,DB$4)*KVARDI,2),""))</f>
        <v/>
      </c>
      <c r="DD55" s="66" t="n"/>
      <c r="DE55" s="78">
        <f>IF(OR(DD$4=0,DD55=""),"",IFERROR(ROUND(DD55/INDEX(Undirviðmið!$F$6:$F$205,DD$4)*INDEX(Undirviðmið!$E$6:$E$205,DD$4)*KVARDI,2),""))</f>
        <v/>
      </c>
      <c r="DF55" s="66" t="n"/>
      <c r="DG55" s="78">
        <f>IF(OR(DF$4=0,DF55=""),"",IFERROR(ROUND(DF55/INDEX(Undirviðmið!$F$6:$F$205,DF$4)*INDEX(Undirviðmið!$E$6:$E$205,DF$4)*KVARDI,2),""))</f>
        <v/>
      </c>
      <c r="DH55" s="66" t="n"/>
      <c r="DI55" s="78">
        <f>IF(OR(DH$4=0,DH55=""),"",IFERROR(ROUND(DH55/INDEX(Undirviðmið!$F$6:$F$205,DH$4)*INDEX(Undirviðmið!$E$6:$E$205,DH$4)*KVARDI,2),""))</f>
        <v/>
      </c>
      <c r="DJ55" s="66" t="n"/>
      <c r="DK55" s="78">
        <f>IF(OR(DJ$4=0,DJ55=""),"",IFERROR(ROUND(DJ55/INDEX(Undirviðmið!$F$6:$F$205,DJ$4)*INDEX(Undirviðmið!$E$6:$E$205,DJ$4)*KVARDI,2),""))</f>
        <v/>
      </c>
      <c r="DL55" s="66" t="n"/>
      <c r="DM55" s="78">
        <f>IF(OR(DL$4=0,DL55=""),"",IFERROR(ROUND(DL55/INDEX(Undirviðmið!$F$6:$F$205,DL$4)*INDEX(Undirviðmið!$E$6:$E$205,DL$4)*KVARDI,2),""))</f>
        <v/>
      </c>
      <c r="DN55" s="66" t="n"/>
      <c r="DO55" s="78">
        <f>IF(OR(DN$4=0,DN55=""),"",IFERROR(ROUND(DN55/INDEX(Undirviðmið!$F$6:$F$205,DN$4)*INDEX(Undirviðmið!$E$6:$E$205,DN$4)*KVARDI,2),""))</f>
        <v/>
      </c>
      <c r="DP55" s="66" t="n"/>
      <c r="DQ55" s="78">
        <f>IF(OR(DP$4=0,DP55=""),"",IFERROR(ROUND(DP55/INDEX(Undirviðmið!$F$6:$F$205,DP$4)*INDEX(Undirviðmið!$E$6:$E$205,DP$4)*KVARDI,2),""))</f>
        <v/>
      </c>
      <c r="DR55" s="66" t="n"/>
      <c r="DS55" s="78">
        <f>IF(OR(DR$4=0,DR55=""),"",IFERROR(ROUND(DR55/INDEX(Undirviðmið!$F$6:$F$205,DR$4)*INDEX(Undirviðmið!$E$6:$E$205,DR$4)*KVARDI,2),""))</f>
        <v/>
      </c>
      <c r="DT55" s="66" t="n"/>
      <c r="DU55" s="78">
        <f>IF(OR(DT$4=0,DT55=""),"",IFERROR(ROUND(DT55/INDEX(Undirviðmið!$F$6:$F$205,DT$4)*INDEX(Undirviðmið!$E$6:$E$205,DT$4)*KVARDI,2),""))</f>
        <v/>
      </c>
      <c r="DV55" s="66" t="n"/>
      <c r="DW55" s="78">
        <f>IF(OR(DV$4=0,DV55=""),"",IFERROR(ROUND(DV55/INDEX(Undirviðmið!$F$6:$F$205,DV$4)*INDEX(Undirviðmið!$E$6:$E$205,DV$4)*KVARDI,2),""))</f>
        <v/>
      </c>
      <c r="DX55" s="66" t="n"/>
      <c r="DY55" s="78">
        <f>IF(OR(DX$4=0,DX55=""),"",IFERROR(ROUND(DX55/INDEX(Undirviðmið!$F$6:$F$205,DX$4)*INDEX(Undirviðmið!$E$6:$E$205,DX$4)*KVARDI,2),""))</f>
        <v/>
      </c>
      <c r="DZ55" s="66" t="n"/>
      <c r="EA55" s="78">
        <f>IF(OR(DZ$4=0,DZ55=""),"",IFERROR(ROUND(DZ55/INDEX(Undirviðmið!$F$6:$F$205,DZ$4)*INDEX(Undirviðmið!$E$6:$E$205,DZ$4)*KVARDI,2),""))</f>
        <v/>
      </c>
      <c r="EB55" s="66" t="n"/>
      <c r="EC55" s="78">
        <f>IF(OR(EB$4=0,EB55=""),"",IFERROR(ROUND(EB55/INDEX(Undirviðmið!$F$6:$F$205,EB$4)*INDEX(Undirviðmið!$E$6:$E$205,EB$4)*KVARDI,2),""))</f>
        <v/>
      </c>
      <c r="ED55" s="66" t="n"/>
      <c r="EE55" s="78">
        <f>IF(OR(ED$4=0,ED55=""),"",IFERROR(ROUND(ED55/INDEX(Undirviðmið!$F$6:$F$205,ED$4)*INDEX(Undirviðmið!$E$6:$E$205,ED$4)*KVARDI,2),""))</f>
        <v/>
      </c>
      <c r="EF55" s="66" t="n"/>
      <c r="EG55" s="78">
        <f>IF(OR(EF$4=0,EF55=""),"",IFERROR(ROUND(EF55/INDEX(Undirviðmið!$F$6:$F$205,EF$4)*INDEX(Undirviðmið!$E$6:$E$205,EF$4)*KVARDI,2),""))</f>
        <v/>
      </c>
      <c r="EH55" s="66" t="n"/>
      <c r="EI55" s="78">
        <f>IF(OR(EH$4=0,EH55=""),"",IFERROR(ROUND(EH55/INDEX(Undirviðmið!$F$6:$F$205,EH$4)*INDEX(Undirviðmið!$E$6:$E$205,EH$4)*KVARDI,2),""))</f>
        <v/>
      </c>
      <c r="EJ55" s="66" t="n"/>
      <c r="EK55" s="78">
        <f>IF(OR(EJ$4=0,EJ55=""),"",IFERROR(ROUND(EJ55/INDEX(Undirviðmið!$F$6:$F$205,EJ$4)*INDEX(Undirviðmið!$E$6:$E$205,EJ$4)*KVARDI,2),""))</f>
        <v/>
      </c>
      <c r="EL55" s="66" t="n"/>
      <c r="EM55" s="78">
        <f>IF(OR(EL$4=0,EL55=""),"",IFERROR(ROUND(EL55/INDEX(Undirviðmið!$F$6:$F$205,EL$4)*INDEX(Undirviðmið!$E$6:$E$205,EL$4)*KVARDI,2),""))</f>
        <v/>
      </c>
      <c r="EN55" s="66" t="n"/>
      <c r="EO55" s="78">
        <f>IF(OR(EN$4=0,EN55=""),"",IFERROR(ROUND(EN55/INDEX(Undirviðmið!$F$6:$F$205,EN$4)*INDEX(Undirviðmið!$E$6:$E$205,EN$4)*KVARDI,2),""))</f>
        <v/>
      </c>
      <c r="EP55" s="66" t="n"/>
      <c r="EQ55" s="78">
        <f>IF(OR(EP$4=0,EP55=""),"",IFERROR(ROUND(EP55/INDEX(Undirviðmið!$F$6:$F$205,EP$4)*INDEX(Undirviðmið!$E$6:$E$205,EP$4)*KVARDI,2),""))</f>
        <v/>
      </c>
      <c r="ER55" s="66" t="n"/>
      <c r="ES55" s="78">
        <f>IF(OR(ER$4=0,ER55=""),"",IFERROR(ROUND(ER55/INDEX(Undirviðmið!$F$6:$F$205,ER$4)*INDEX(Undirviðmið!$E$6:$E$205,ER$4)*KVARDI,2),""))</f>
        <v/>
      </c>
      <c r="ET55" s="66" t="n"/>
      <c r="EU55" s="78">
        <f>IF(OR(ET$4=0,ET55=""),"",IFERROR(ROUND(ET55/INDEX(Undirviðmið!$F$6:$F$205,ET$4)*INDEX(Undirviðmið!$E$6:$E$205,ET$4)*KVARDI,2),""))</f>
        <v/>
      </c>
      <c r="EV55" s="66" t="n"/>
      <c r="EW55" s="78">
        <f>IF(OR(EV$4=0,EV55=""),"",IFERROR(ROUND(EV55/INDEX(Undirviðmið!$F$6:$F$205,EV$4)*INDEX(Undirviðmið!$E$6:$E$205,EV$4)*KVARDI,2),""))</f>
        <v/>
      </c>
      <c r="EX55" s="66" t="n"/>
      <c r="EY55" s="78">
        <f>IF(OR(EX$4=0,EX55=""),"",IFERROR(ROUND(EX55/INDEX(Undirviðmið!$F$6:$F$205,EX$4)*INDEX(Undirviðmið!$E$6:$E$205,EX$4)*KVARDI,2),""))</f>
        <v/>
      </c>
      <c r="EZ55" s="66" t="n"/>
      <c r="FA55" s="78">
        <f>IF(OR(EZ$4=0,EZ55=""),"",IFERROR(ROUND(EZ55/INDEX(Undirviðmið!$F$6:$F$205,EZ$4)*INDEX(Undirviðmið!$E$6:$E$205,EZ$4)*KVARDI,2),""))</f>
        <v/>
      </c>
      <c r="FB55" s="66" t="n"/>
      <c r="FC55" s="78">
        <f>IF(OR(FB$4=0,FB55=""),"",IFERROR(ROUND(FB55/INDEX(Undirviðmið!$F$6:$F$205,FB$4)*INDEX(Undirviðmið!$E$6:$E$205,FB$4)*KVARDI,2),""))</f>
        <v/>
      </c>
      <c r="FD55" s="66" t="n"/>
      <c r="FE55" s="78">
        <f>IF(OR(FD$4=0,FD55=""),"",IFERROR(ROUND(FD55/INDEX(Undirviðmið!$F$6:$F$205,FD$4)*INDEX(Undirviðmið!$E$6:$E$205,FD$4)*KVARDI,2),""))</f>
        <v/>
      </c>
      <c r="FF55" s="66" t="n"/>
      <c r="FG55" s="78">
        <f>IF(OR(FF$4=0,FF55=""),"",IFERROR(ROUND(FF55/INDEX(Undirviðmið!$F$6:$F$205,FF$4)*INDEX(Undirviðmið!$E$6:$E$205,FF$4)*KVARDI,2),""))</f>
        <v/>
      </c>
      <c r="FH55" s="66" t="n"/>
      <c r="FI55" s="78">
        <f>IF(OR(FH$4=0,FH55=""),"",IFERROR(ROUND(FH55/INDEX(Undirviðmið!$F$6:$F$205,FH$4)*INDEX(Undirviðmið!$E$6:$E$205,FH$4)*KVARDI,2),""))</f>
        <v/>
      </c>
      <c r="FJ55" s="66" t="n"/>
      <c r="FK55" s="78">
        <f>IF(OR(FJ$4=0,FJ55=""),"",IFERROR(ROUND(FJ55/INDEX(Undirviðmið!$F$6:$F$205,FJ$4)*INDEX(Undirviðmið!$E$6:$E$205,FJ$4)*KVARDI,2),""))</f>
        <v/>
      </c>
      <c r="FL55" s="66" t="n"/>
      <c r="FM55" s="78">
        <f>IF(OR(FL$4=0,FL55=""),"",IFERROR(ROUND(FL55/INDEX(Undirviðmið!$F$6:$F$205,FL$4)*INDEX(Undirviðmið!$E$6:$E$205,FL$4)*KVARDI,2),""))</f>
        <v/>
      </c>
      <c r="FN55" s="66" t="n"/>
      <c r="FO55" s="78">
        <f>IF(OR(FN$4=0,FN55=""),"",IFERROR(ROUND(FN55/INDEX(Undirviðmið!$F$6:$F$205,FN$4)*INDEX(Undirviðmið!$E$6:$E$205,FN$4)*KVARDI,2),""))</f>
        <v/>
      </c>
      <c r="FP55" s="66" t="n"/>
      <c r="FQ55" s="78">
        <f>IF(OR(FP$4=0,FP55=""),"",IFERROR(ROUND(FP55/INDEX(Undirviðmið!$F$6:$F$205,FP$4)*INDEX(Undirviðmið!$E$6:$E$205,FP$4)*KVARDI,2),""))</f>
        <v/>
      </c>
      <c r="FR55" s="66" t="n"/>
      <c r="FS55" s="78">
        <f>IF(OR(FR$4=0,FR55=""),"",IFERROR(ROUND(FR55/INDEX(Undirviðmið!$F$6:$F$205,FR$4)*INDEX(Undirviðmið!$E$6:$E$205,FR$4)*KVARDI,2),""))</f>
        <v/>
      </c>
      <c r="FT55" s="66" t="n"/>
      <c r="FU55" s="78">
        <f>IF(OR(FT$4=0,FT55=""),"",IFERROR(ROUND(FT55/INDEX(Undirviðmið!$F$6:$F$205,FT$4)*INDEX(Undirviðmið!$E$6:$E$205,FT$4)*KVARDI,2),""))</f>
        <v/>
      </c>
      <c r="FV55" s="66" t="n"/>
      <c r="FW55" s="78">
        <f>IF(OR(FV$4=0,FV55=""),"",IFERROR(ROUND(FV55/INDEX(Undirviðmið!$F$6:$F$205,FV$4)*INDEX(Undirviðmið!$E$6:$E$205,FV$4)*KVARDI,2),""))</f>
        <v/>
      </c>
      <c r="FX55" s="66" t="n"/>
      <c r="FY55" s="78">
        <f>IF(OR(FX$4=0,FX55=""),"",IFERROR(ROUND(FX55/INDEX(Undirviðmið!$F$6:$F$205,FX$4)*INDEX(Undirviðmið!$E$6:$E$205,FX$4)*KVARDI,2),""))</f>
        <v/>
      </c>
      <c r="FZ55" s="66" t="n"/>
      <c r="GA55" s="78">
        <f>IF(OR(FZ$4=0,FZ55=""),"",IFERROR(ROUND(FZ55/INDEX(Undirviðmið!$F$6:$F$205,FZ$4)*INDEX(Undirviðmið!$E$6:$E$205,FZ$4)*KVARDI,2),""))</f>
        <v/>
      </c>
      <c r="GB55" s="66" t="n"/>
      <c r="GC55" s="78">
        <f>IF(OR(GB$4=0,GB55=""),"",IFERROR(ROUND(GB55/INDEX(Undirviðmið!$F$6:$F$205,GB$4)*INDEX(Undirviðmið!$E$6:$E$205,GB$4)*KVARDI,2),""))</f>
        <v/>
      </c>
      <c r="GD55" s="66" t="n"/>
      <c r="GE55" s="78">
        <f>IF(OR(GD$4=0,GD55=""),"",IFERROR(ROUND(GD55/INDEX(Undirviðmið!$F$6:$F$205,GD$4)*INDEX(Undirviðmið!$E$6:$E$205,GD$4)*KVARDI,2),""))</f>
        <v/>
      </c>
      <c r="GF55" s="66" t="n"/>
      <c r="GG55" s="78">
        <f>IF(OR(GF$4=0,GF55=""),"",IFERROR(ROUND(GF55/INDEX(Undirviðmið!$F$6:$F$205,GF$4)*INDEX(Undirviðmið!$E$6:$E$205,GF$4)*KVARDI,2),""))</f>
        <v/>
      </c>
      <c r="GH55" s="66" t="n"/>
      <c r="GI55" s="78">
        <f>IF(OR(GH$4=0,GH55=""),"",IFERROR(ROUND(GH55/INDEX(Undirviðmið!$F$6:$F$205,GH$4)*INDEX(Undirviðmið!$E$6:$E$205,GH$4)*KVARDI,2),""))</f>
        <v/>
      </c>
      <c r="GJ55" s="66" t="n"/>
      <c r="GK55" s="78">
        <f>IF(OR(GJ$4=0,GJ55=""),"",IFERROR(ROUND(GJ55/INDEX(Undirviðmið!$F$6:$F$205,GJ$4)*INDEX(Undirviðmið!$E$6:$E$205,GJ$4)*KVARDI,2),""))</f>
        <v/>
      </c>
      <c r="GL55" s="66" t="n"/>
      <c r="GM55" s="78">
        <f>IF(OR(GL$4=0,GL55=""),"",IFERROR(ROUND(GL55/INDEX(Undirviðmið!$F$6:$F$205,GL$4)*INDEX(Undirviðmið!$E$6:$E$205,GL$4)*KVARDI,2),""))</f>
        <v/>
      </c>
      <c r="GN55" s="66" t="n"/>
      <c r="GO55" s="78">
        <f>IF(OR(GN$4=0,GN55=""),"",IFERROR(ROUND(GN55/INDEX(Undirviðmið!$F$6:$F$205,GN$4)*INDEX(Undirviðmið!$E$6:$E$205,GN$4)*KVARDI,2),""))</f>
        <v/>
      </c>
      <c r="GP55" s="66" t="n"/>
      <c r="GQ55" s="78">
        <f>IF(OR(GP$4=0,GP55=""),"",IFERROR(ROUND(GP55/INDEX(Undirviðmið!$F$6:$F$205,GP$4)*INDEX(Undirviðmið!$E$6:$E$205,GP$4)*KVARDI,2),""))</f>
        <v/>
      </c>
      <c r="GR55" s="66" t="n"/>
      <c r="GS55" s="78">
        <f>IF(OR(GR$4=0,GR55=""),"",IFERROR(ROUND(GR55/INDEX(Undirviðmið!$F$6:$F$205,GR$4)*INDEX(Undirviðmið!$E$6:$E$205,GR$4)*KVARDI,2),""))</f>
        <v/>
      </c>
      <c r="GT55" s="66" t="n"/>
      <c r="GU55" s="78">
        <f>IF(OR(GT$4=0,GT55=""),"",IFERROR(ROUND(GT55/INDEX(Undirviðmið!$F$6:$F$205,GT$4)*INDEX(Undirviðmið!$E$6:$E$205,GT$4)*KVARDI,2),""))</f>
        <v/>
      </c>
      <c r="GV55" s="63">
        <f>IFERROR(SUMIF($D$6:GU$6,"Stig",$D55:GU55),0)</f>
        <v/>
      </c>
    </row>
    <row r="56" ht="15" customHeight="1" s="47">
      <c r="A56" s="65">
        <f>ROW()-6</f>
        <v/>
      </c>
      <c r="B56" s="67">
        <f>IF(INDEX(Starfsmenn!$B$6:$B$10005,ROW()-6)="","",INDEX(Starfsmenn!$B$6:$B$10005,ROW()-6))</f>
        <v/>
      </c>
      <c r="C56" s="67">
        <f>IF(INDEX(Starfsmenn!$C$6:$C$10005,ROW()-6)="","",INDEX(Starfsmenn!$C$6:$C$10005,ROW()-6))</f>
        <v/>
      </c>
      <c r="D56" s="66" t="n"/>
      <c r="E56" s="78">
        <f>IF(OR(D$4=0,D56=""),"",IFERROR(ROUND(D56/INDEX(Undirviðmið!$F$6:$F$205,D$4)*INDEX(Undirviðmið!$E$6:$E$205,D$4)*KVARDI,2),""))</f>
        <v/>
      </c>
      <c r="F56" s="66" t="n"/>
      <c r="G56" s="78">
        <f>IF(OR(F$4=0,F56=""),"",IFERROR(ROUND(F56/INDEX(Undirviðmið!$F$6:$F$205,F$4)*INDEX(Undirviðmið!$E$6:$E$205,F$4)*KVARDI,2),""))</f>
        <v/>
      </c>
      <c r="H56" s="66" t="n"/>
      <c r="I56" s="78">
        <f>IF(OR(H$4=0,H56=""),"",IFERROR(ROUND(H56/INDEX(Undirviðmið!$F$6:$F$205,H$4)*INDEX(Undirviðmið!$E$6:$E$205,H$4)*KVARDI,2),""))</f>
        <v/>
      </c>
      <c r="J56" s="66" t="n"/>
      <c r="K56" s="78">
        <f>IF(OR(J$4=0,J56=""),"",IFERROR(ROUND(J56/INDEX(Undirviðmið!$F$6:$F$205,J$4)*INDEX(Undirviðmið!$E$6:$E$205,J$4)*KVARDI,2),""))</f>
        <v/>
      </c>
      <c r="L56" s="66" t="n"/>
      <c r="M56" s="78">
        <f>IF(OR(L$4=0,L56=""),"",IFERROR(ROUND(L56/INDEX(Undirviðmið!$F$6:$F$205,L$4)*INDEX(Undirviðmið!$E$6:$E$205,L$4)*KVARDI,2),""))</f>
        <v/>
      </c>
      <c r="N56" s="66" t="n"/>
      <c r="O56" s="78">
        <f>IF(OR(N$4=0,N56=""),"",IFERROR(ROUND(N56/INDEX(Undirviðmið!$F$6:$F$205,N$4)*INDEX(Undirviðmið!$E$6:$E$205,N$4)*KVARDI,2),""))</f>
        <v/>
      </c>
      <c r="P56" s="66" t="n"/>
      <c r="Q56" s="78">
        <f>IF(OR(P$4=0,P56=""),"",IFERROR(ROUND(P56/INDEX(Undirviðmið!$F$6:$F$205,P$4)*INDEX(Undirviðmið!$E$6:$E$205,P$4)*KVARDI,2),""))</f>
        <v/>
      </c>
      <c r="R56" s="66" t="n"/>
      <c r="S56" s="78">
        <f>IF(OR(R$4=0,R56=""),"",IFERROR(ROUND(R56/INDEX(Undirviðmið!$F$6:$F$205,R$4)*INDEX(Undirviðmið!$E$6:$E$205,R$4)*KVARDI,2),""))</f>
        <v/>
      </c>
      <c r="T56" s="66" t="n"/>
      <c r="U56" s="78">
        <f>IF(OR(T$4=0,T56=""),"",IFERROR(ROUND(T56/INDEX(Undirviðmið!$F$6:$F$205,T$4)*INDEX(Undirviðmið!$E$6:$E$205,T$4)*KVARDI,2),""))</f>
        <v/>
      </c>
      <c r="V56" s="66" t="n"/>
      <c r="W56" s="78">
        <f>IF(OR(V$4=0,V56=""),"",IFERROR(ROUND(V56/INDEX(Undirviðmið!$F$6:$F$205,V$4)*INDEX(Undirviðmið!$E$6:$E$205,V$4)*KVARDI,2),""))</f>
        <v/>
      </c>
      <c r="X56" s="66" t="n"/>
      <c r="Y56" s="78">
        <f>IF(OR(X$4=0,X56=""),"",IFERROR(ROUND(X56/INDEX(Undirviðmið!$F$6:$F$205,X$4)*INDEX(Undirviðmið!$E$6:$E$205,X$4)*KVARDI,2),""))</f>
        <v/>
      </c>
      <c r="Z56" s="66" t="n"/>
      <c r="AA56" s="78">
        <f>IF(OR(Z$4=0,Z56=""),"",IFERROR(ROUND(Z56/INDEX(Undirviðmið!$F$6:$F$205,Z$4)*INDEX(Undirviðmið!$E$6:$E$205,Z$4)*KVARDI,2),""))</f>
        <v/>
      </c>
      <c r="AB56" s="66" t="n"/>
      <c r="AC56" s="78">
        <f>IF(OR(AB$4=0,AB56=""),"",IFERROR(ROUND(AB56/INDEX(Undirviðmið!$F$6:$F$205,AB$4)*INDEX(Undirviðmið!$E$6:$E$205,AB$4)*KVARDI,2),""))</f>
        <v/>
      </c>
      <c r="AD56" s="66" t="n"/>
      <c r="AE56" s="78">
        <f>IF(OR(AD$4=0,AD56=""),"",IFERROR(ROUND(AD56/INDEX(Undirviðmið!$F$6:$F$205,AD$4)*INDEX(Undirviðmið!$E$6:$E$205,AD$4)*KVARDI,2),""))</f>
        <v/>
      </c>
      <c r="AF56" s="66" t="n"/>
      <c r="AG56" s="78">
        <f>IF(OR(AF$4=0,AF56=""),"",IFERROR(ROUND(AF56/INDEX(Undirviðmið!$F$6:$F$205,AF$4)*INDEX(Undirviðmið!$E$6:$E$205,AF$4)*KVARDI,2),""))</f>
        <v/>
      </c>
      <c r="AH56" s="66" t="n"/>
      <c r="AI56" s="78">
        <f>IF(OR(AH$4=0,AH56=""),"",IFERROR(ROUND(AH56/INDEX(Undirviðmið!$F$6:$F$205,AH$4)*INDEX(Undirviðmið!$E$6:$E$205,AH$4)*KVARDI,2),""))</f>
        <v/>
      </c>
      <c r="AJ56" s="66" t="n"/>
      <c r="AK56" s="78">
        <f>IF(OR(AJ$4=0,AJ56=""),"",IFERROR(ROUND(AJ56/INDEX(Undirviðmið!$F$6:$F$205,AJ$4)*INDEX(Undirviðmið!$E$6:$E$205,AJ$4)*KVARDI,2),""))</f>
        <v/>
      </c>
      <c r="AL56" s="66" t="n"/>
      <c r="AM56" s="78">
        <f>IF(OR(AL$4=0,AL56=""),"",IFERROR(ROUND(AL56/INDEX(Undirviðmið!$F$6:$F$205,AL$4)*INDEX(Undirviðmið!$E$6:$E$205,AL$4)*KVARDI,2),""))</f>
        <v/>
      </c>
      <c r="AN56" s="66" t="n"/>
      <c r="AO56" s="78">
        <f>IF(OR(AN$4=0,AN56=""),"",IFERROR(ROUND(AN56/INDEX(Undirviðmið!$F$6:$F$205,AN$4)*INDEX(Undirviðmið!$E$6:$E$205,AN$4)*KVARDI,2),""))</f>
        <v/>
      </c>
      <c r="AP56" s="66" t="n"/>
      <c r="AQ56" s="78">
        <f>IF(OR(AP$4=0,AP56=""),"",IFERROR(ROUND(AP56/INDEX(Undirviðmið!$F$6:$F$205,AP$4)*INDEX(Undirviðmið!$E$6:$E$205,AP$4)*KVARDI,2),""))</f>
        <v/>
      </c>
      <c r="AR56" s="66" t="n"/>
      <c r="AS56" s="78">
        <f>IF(OR(AR$4=0,AR56=""),"",IFERROR(ROUND(AR56/INDEX(Undirviðmið!$F$6:$F$205,AR$4)*INDEX(Undirviðmið!$E$6:$E$205,AR$4)*KVARDI,2),""))</f>
        <v/>
      </c>
      <c r="AT56" s="66" t="n"/>
      <c r="AU56" s="78">
        <f>IF(OR(AT$4=0,AT56=""),"",IFERROR(ROUND(AT56/INDEX(Undirviðmið!$F$6:$F$205,AT$4)*INDEX(Undirviðmið!$E$6:$E$205,AT$4)*KVARDI,2),""))</f>
        <v/>
      </c>
      <c r="AV56" s="66" t="n"/>
      <c r="AW56" s="78">
        <f>IF(OR(AV$4=0,AV56=""),"",IFERROR(ROUND(AV56/INDEX(Undirviðmið!$F$6:$F$205,AV$4)*INDEX(Undirviðmið!$E$6:$E$205,AV$4)*KVARDI,2),""))</f>
        <v/>
      </c>
      <c r="AX56" s="66" t="n"/>
      <c r="AY56" s="78">
        <f>IF(OR(AX$4=0,AX56=""),"",IFERROR(ROUND(AX56/INDEX(Undirviðmið!$F$6:$F$205,AX$4)*INDEX(Undirviðmið!$E$6:$E$205,AX$4)*KVARDI,2),""))</f>
        <v/>
      </c>
      <c r="AZ56" s="66" t="n"/>
      <c r="BA56" s="78">
        <f>IF(OR(AZ$4=0,AZ56=""),"",IFERROR(ROUND(AZ56/INDEX(Undirviðmið!$F$6:$F$205,AZ$4)*INDEX(Undirviðmið!$E$6:$E$205,AZ$4)*KVARDI,2),""))</f>
        <v/>
      </c>
      <c r="BB56" s="66" t="n"/>
      <c r="BC56" s="78">
        <f>IF(OR(BB$4=0,BB56=""),"",IFERROR(ROUND(BB56/INDEX(Undirviðmið!$F$6:$F$205,BB$4)*INDEX(Undirviðmið!$E$6:$E$205,BB$4)*KVARDI,2),""))</f>
        <v/>
      </c>
      <c r="BD56" s="66" t="n"/>
      <c r="BE56" s="78">
        <f>IF(OR(BD$4=0,BD56=""),"",IFERROR(ROUND(BD56/INDEX(Undirviðmið!$F$6:$F$205,BD$4)*INDEX(Undirviðmið!$E$6:$E$205,BD$4)*KVARDI,2),""))</f>
        <v/>
      </c>
      <c r="BF56" s="66" t="n"/>
      <c r="BG56" s="78">
        <f>IF(OR(BF$4=0,BF56=""),"",IFERROR(ROUND(BF56/INDEX(Undirviðmið!$F$6:$F$205,BF$4)*INDEX(Undirviðmið!$E$6:$E$205,BF$4)*KVARDI,2),""))</f>
        <v/>
      </c>
      <c r="BH56" s="66" t="n"/>
      <c r="BI56" s="78">
        <f>IF(OR(BH$4=0,BH56=""),"",IFERROR(ROUND(BH56/INDEX(Undirviðmið!$F$6:$F$205,BH$4)*INDEX(Undirviðmið!$E$6:$E$205,BH$4)*KVARDI,2),""))</f>
        <v/>
      </c>
      <c r="BJ56" s="66" t="n"/>
      <c r="BK56" s="78">
        <f>IF(OR(BJ$4=0,BJ56=""),"",IFERROR(ROUND(BJ56/INDEX(Undirviðmið!$F$6:$F$205,BJ$4)*INDEX(Undirviðmið!$E$6:$E$205,BJ$4)*KVARDI,2),""))</f>
        <v/>
      </c>
      <c r="BL56" s="66" t="n"/>
      <c r="BM56" s="78">
        <f>IF(OR(BL$4=0,BL56=""),"",IFERROR(ROUND(BL56/INDEX(Undirviðmið!$F$6:$F$205,BL$4)*INDEX(Undirviðmið!$E$6:$E$205,BL$4)*KVARDI,2),""))</f>
        <v/>
      </c>
      <c r="BN56" s="66" t="n"/>
      <c r="BO56" s="78">
        <f>IF(OR(BN$4=0,BN56=""),"",IFERROR(ROUND(BN56/INDEX(Undirviðmið!$F$6:$F$205,BN$4)*INDEX(Undirviðmið!$E$6:$E$205,BN$4)*KVARDI,2),""))</f>
        <v/>
      </c>
      <c r="BP56" s="66" t="n"/>
      <c r="BQ56" s="78">
        <f>IF(OR(BP$4=0,BP56=""),"",IFERROR(ROUND(BP56/INDEX(Undirviðmið!$F$6:$F$205,BP$4)*INDEX(Undirviðmið!$E$6:$E$205,BP$4)*KVARDI,2),""))</f>
        <v/>
      </c>
      <c r="BR56" s="66" t="n"/>
      <c r="BS56" s="78">
        <f>IF(OR(BR$4=0,BR56=""),"",IFERROR(ROUND(BR56/INDEX(Undirviðmið!$F$6:$F$205,BR$4)*INDEX(Undirviðmið!$E$6:$E$205,BR$4)*KVARDI,2),""))</f>
        <v/>
      </c>
      <c r="BT56" s="66" t="n"/>
      <c r="BU56" s="78">
        <f>IF(OR(BT$4=0,BT56=""),"",IFERROR(ROUND(BT56/INDEX(Undirviðmið!$F$6:$F$205,BT$4)*INDEX(Undirviðmið!$E$6:$E$205,BT$4)*KVARDI,2),""))</f>
        <v/>
      </c>
      <c r="BV56" s="66" t="n"/>
      <c r="BW56" s="78">
        <f>IF(OR(BV$4=0,BV56=""),"",IFERROR(ROUND(BV56/INDEX(Undirviðmið!$F$6:$F$205,BV$4)*INDEX(Undirviðmið!$E$6:$E$205,BV$4)*KVARDI,2),""))</f>
        <v/>
      </c>
      <c r="BX56" s="66" t="n"/>
      <c r="BY56" s="78">
        <f>IF(OR(BX$4=0,BX56=""),"",IFERROR(ROUND(BX56/INDEX(Undirviðmið!$F$6:$F$205,BX$4)*INDEX(Undirviðmið!$E$6:$E$205,BX$4)*KVARDI,2),""))</f>
        <v/>
      </c>
      <c r="BZ56" s="66" t="n"/>
      <c r="CA56" s="78">
        <f>IF(OR(BZ$4=0,BZ56=""),"",IFERROR(ROUND(BZ56/INDEX(Undirviðmið!$F$6:$F$205,BZ$4)*INDEX(Undirviðmið!$E$6:$E$205,BZ$4)*KVARDI,2),""))</f>
        <v/>
      </c>
      <c r="CB56" s="66" t="n"/>
      <c r="CC56" s="78">
        <f>IF(OR(CB$4=0,CB56=""),"",IFERROR(ROUND(CB56/INDEX(Undirviðmið!$F$6:$F$205,CB$4)*INDEX(Undirviðmið!$E$6:$E$205,CB$4)*KVARDI,2),""))</f>
        <v/>
      </c>
      <c r="CD56" s="66" t="n"/>
      <c r="CE56" s="78">
        <f>IF(OR(CD$4=0,CD56=""),"",IFERROR(ROUND(CD56/INDEX(Undirviðmið!$F$6:$F$205,CD$4)*INDEX(Undirviðmið!$E$6:$E$205,CD$4)*KVARDI,2),""))</f>
        <v/>
      </c>
      <c r="CF56" s="66" t="n"/>
      <c r="CG56" s="78">
        <f>IF(OR(CF$4=0,CF56=""),"",IFERROR(ROUND(CF56/INDEX(Undirviðmið!$F$6:$F$205,CF$4)*INDEX(Undirviðmið!$E$6:$E$205,CF$4)*KVARDI,2),""))</f>
        <v/>
      </c>
      <c r="CH56" s="66" t="n"/>
      <c r="CI56" s="78">
        <f>IF(OR(CH$4=0,CH56=""),"",IFERROR(ROUND(CH56/INDEX(Undirviðmið!$F$6:$F$205,CH$4)*INDEX(Undirviðmið!$E$6:$E$205,CH$4)*KVARDI,2),""))</f>
        <v/>
      </c>
      <c r="CJ56" s="66" t="n"/>
      <c r="CK56" s="78">
        <f>IF(OR(CJ$4=0,CJ56=""),"",IFERROR(ROUND(CJ56/INDEX(Undirviðmið!$F$6:$F$205,CJ$4)*INDEX(Undirviðmið!$E$6:$E$205,CJ$4)*KVARDI,2),""))</f>
        <v/>
      </c>
      <c r="CL56" s="66" t="n"/>
      <c r="CM56" s="78">
        <f>IF(OR(CL$4=0,CL56=""),"",IFERROR(ROUND(CL56/INDEX(Undirviðmið!$F$6:$F$205,CL$4)*INDEX(Undirviðmið!$E$6:$E$205,CL$4)*KVARDI,2),""))</f>
        <v/>
      </c>
      <c r="CN56" s="66" t="n"/>
      <c r="CO56" s="78">
        <f>IF(OR(CN$4=0,CN56=""),"",IFERROR(ROUND(CN56/INDEX(Undirviðmið!$F$6:$F$205,CN$4)*INDEX(Undirviðmið!$E$6:$E$205,CN$4)*KVARDI,2),""))</f>
        <v/>
      </c>
      <c r="CP56" s="66" t="n"/>
      <c r="CQ56" s="78">
        <f>IF(OR(CP$4=0,CP56=""),"",IFERROR(ROUND(CP56/INDEX(Undirviðmið!$F$6:$F$205,CP$4)*INDEX(Undirviðmið!$E$6:$E$205,CP$4)*KVARDI,2),""))</f>
        <v/>
      </c>
      <c r="CR56" s="66" t="n"/>
      <c r="CS56" s="78">
        <f>IF(OR(CR$4=0,CR56=""),"",IFERROR(ROUND(CR56/INDEX(Undirviðmið!$F$6:$F$205,CR$4)*INDEX(Undirviðmið!$E$6:$E$205,CR$4)*KVARDI,2),""))</f>
        <v/>
      </c>
      <c r="CT56" s="66" t="n"/>
      <c r="CU56" s="78">
        <f>IF(OR(CT$4=0,CT56=""),"",IFERROR(ROUND(CT56/INDEX(Undirviðmið!$F$6:$F$205,CT$4)*INDEX(Undirviðmið!$E$6:$E$205,CT$4)*KVARDI,2),""))</f>
        <v/>
      </c>
      <c r="CV56" s="66" t="n"/>
      <c r="CW56" s="78">
        <f>IF(OR(CV$4=0,CV56=""),"",IFERROR(ROUND(CV56/INDEX(Undirviðmið!$F$6:$F$205,CV$4)*INDEX(Undirviðmið!$E$6:$E$205,CV$4)*KVARDI,2),""))</f>
        <v/>
      </c>
      <c r="CX56" s="66" t="n"/>
      <c r="CY56" s="78">
        <f>IF(OR(CX$4=0,CX56=""),"",IFERROR(ROUND(CX56/INDEX(Undirviðmið!$F$6:$F$205,CX$4)*INDEX(Undirviðmið!$E$6:$E$205,CX$4)*KVARDI,2),""))</f>
        <v/>
      </c>
      <c r="CZ56" s="66" t="n"/>
      <c r="DA56" s="78">
        <f>IF(OR(CZ$4=0,CZ56=""),"",IFERROR(ROUND(CZ56/INDEX(Undirviðmið!$F$6:$F$205,CZ$4)*INDEX(Undirviðmið!$E$6:$E$205,CZ$4)*KVARDI,2),""))</f>
        <v/>
      </c>
      <c r="DB56" s="66" t="n"/>
      <c r="DC56" s="78">
        <f>IF(OR(DB$4=0,DB56=""),"",IFERROR(ROUND(DB56/INDEX(Undirviðmið!$F$6:$F$205,DB$4)*INDEX(Undirviðmið!$E$6:$E$205,DB$4)*KVARDI,2),""))</f>
        <v/>
      </c>
      <c r="DD56" s="66" t="n"/>
      <c r="DE56" s="78">
        <f>IF(OR(DD$4=0,DD56=""),"",IFERROR(ROUND(DD56/INDEX(Undirviðmið!$F$6:$F$205,DD$4)*INDEX(Undirviðmið!$E$6:$E$205,DD$4)*KVARDI,2),""))</f>
        <v/>
      </c>
      <c r="DF56" s="66" t="n"/>
      <c r="DG56" s="78">
        <f>IF(OR(DF$4=0,DF56=""),"",IFERROR(ROUND(DF56/INDEX(Undirviðmið!$F$6:$F$205,DF$4)*INDEX(Undirviðmið!$E$6:$E$205,DF$4)*KVARDI,2),""))</f>
        <v/>
      </c>
      <c r="DH56" s="66" t="n"/>
      <c r="DI56" s="78">
        <f>IF(OR(DH$4=0,DH56=""),"",IFERROR(ROUND(DH56/INDEX(Undirviðmið!$F$6:$F$205,DH$4)*INDEX(Undirviðmið!$E$6:$E$205,DH$4)*KVARDI,2),""))</f>
        <v/>
      </c>
      <c r="DJ56" s="66" t="n"/>
      <c r="DK56" s="78">
        <f>IF(OR(DJ$4=0,DJ56=""),"",IFERROR(ROUND(DJ56/INDEX(Undirviðmið!$F$6:$F$205,DJ$4)*INDEX(Undirviðmið!$E$6:$E$205,DJ$4)*KVARDI,2),""))</f>
        <v/>
      </c>
      <c r="DL56" s="66" t="n"/>
      <c r="DM56" s="78">
        <f>IF(OR(DL$4=0,DL56=""),"",IFERROR(ROUND(DL56/INDEX(Undirviðmið!$F$6:$F$205,DL$4)*INDEX(Undirviðmið!$E$6:$E$205,DL$4)*KVARDI,2),""))</f>
        <v/>
      </c>
      <c r="DN56" s="66" t="n"/>
      <c r="DO56" s="78">
        <f>IF(OR(DN$4=0,DN56=""),"",IFERROR(ROUND(DN56/INDEX(Undirviðmið!$F$6:$F$205,DN$4)*INDEX(Undirviðmið!$E$6:$E$205,DN$4)*KVARDI,2),""))</f>
        <v/>
      </c>
      <c r="DP56" s="66" t="n"/>
      <c r="DQ56" s="78">
        <f>IF(OR(DP$4=0,DP56=""),"",IFERROR(ROUND(DP56/INDEX(Undirviðmið!$F$6:$F$205,DP$4)*INDEX(Undirviðmið!$E$6:$E$205,DP$4)*KVARDI,2),""))</f>
        <v/>
      </c>
      <c r="DR56" s="66" t="n"/>
      <c r="DS56" s="78">
        <f>IF(OR(DR$4=0,DR56=""),"",IFERROR(ROUND(DR56/INDEX(Undirviðmið!$F$6:$F$205,DR$4)*INDEX(Undirviðmið!$E$6:$E$205,DR$4)*KVARDI,2),""))</f>
        <v/>
      </c>
      <c r="DT56" s="66" t="n"/>
      <c r="DU56" s="78">
        <f>IF(OR(DT$4=0,DT56=""),"",IFERROR(ROUND(DT56/INDEX(Undirviðmið!$F$6:$F$205,DT$4)*INDEX(Undirviðmið!$E$6:$E$205,DT$4)*KVARDI,2),""))</f>
        <v/>
      </c>
      <c r="DV56" s="66" t="n"/>
      <c r="DW56" s="78">
        <f>IF(OR(DV$4=0,DV56=""),"",IFERROR(ROUND(DV56/INDEX(Undirviðmið!$F$6:$F$205,DV$4)*INDEX(Undirviðmið!$E$6:$E$205,DV$4)*KVARDI,2),""))</f>
        <v/>
      </c>
      <c r="DX56" s="66" t="n"/>
      <c r="DY56" s="78">
        <f>IF(OR(DX$4=0,DX56=""),"",IFERROR(ROUND(DX56/INDEX(Undirviðmið!$F$6:$F$205,DX$4)*INDEX(Undirviðmið!$E$6:$E$205,DX$4)*KVARDI,2),""))</f>
        <v/>
      </c>
      <c r="DZ56" s="66" t="n"/>
      <c r="EA56" s="78">
        <f>IF(OR(DZ$4=0,DZ56=""),"",IFERROR(ROUND(DZ56/INDEX(Undirviðmið!$F$6:$F$205,DZ$4)*INDEX(Undirviðmið!$E$6:$E$205,DZ$4)*KVARDI,2),""))</f>
        <v/>
      </c>
      <c r="EB56" s="66" t="n"/>
      <c r="EC56" s="78">
        <f>IF(OR(EB$4=0,EB56=""),"",IFERROR(ROUND(EB56/INDEX(Undirviðmið!$F$6:$F$205,EB$4)*INDEX(Undirviðmið!$E$6:$E$205,EB$4)*KVARDI,2),""))</f>
        <v/>
      </c>
      <c r="ED56" s="66" t="n"/>
      <c r="EE56" s="78">
        <f>IF(OR(ED$4=0,ED56=""),"",IFERROR(ROUND(ED56/INDEX(Undirviðmið!$F$6:$F$205,ED$4)*INDEX(Undirviðmið!$E$6:$E$205,ED$4)*KVARDI,2),""))</f>
        <v/>
      </c>
      <c r="EF56" s="66" t="n"/>
      <c r="EG56" s="78">
        <f>IF(OR(EF$4=0,EF56=""),"",IFERROR(ROUND(EF56/INDEX(Undirviðmið!$F$6:$F$205,EF$4)*INDEX(Undirviðmið!$E$6:$E$205,EF$4)*KVARDI,2),""))</f>
        <v/>
      </c>
      <c r="EH56" s="66" t="n"/>
      <c r="EI56" s="78">
        <f>IF(OR(EH$4=0,EH56=""),"",IFERROR(ROUND(EH56/INDEX(Undirviðmið!$F$6:$F$205,EH$4)*INDEX(Undirviðmið!$E$6:$E$205,EH$4)*KVARDI,2),""))</f>
        <v/>
      </c>
      <c r="EJ56" s="66" t="n"/>
      <c r="EK56" s="78">
        <f>IF(OR(EJ$4=0,EJ56=""),"",IFERROR(ROUND(EJ56/INDEX(Undirviðmið!$F$6:$F$205,EJ$4)*INDEX(Undirviðmið!$E$6:$E$205,EJ$4)*KVARDI,2),""))</f>
        <v/>
      </c>
      <c r="EL56" s="66" t="n"/>
      <c r="EM56" s="78">
        <f>IF(OR(EL$4=0,EL56=""),"",IFERROR(ROUND(EL56/INDEX(Undirviðmið!$F$6:$F$205,EL$4)*INDEX(Undirviðmið!$E$6:$E$205,EL$4)*KVARDI,2),""))</f>
        <v/>
      </c>
      <c r="EN56" s="66" t="n"/>
      <c r="EO56" s="78">
        <f>IF(OR(EN$4=0,EN56=""),"",IFERROR(ROUND(EN56/INDEX(Undirviðmið!$F$6:$F$205,EN$4)*INDEX(Undirviðmið!$E$6:$E$205,EN$4)*KVARDI,2),""))</f>
        <v/>
      </c>
      <c r="EP56" s="66" t="n"/>
      <c r="EQ56" s="78">
        <f>IF(OR(EP$4=0,EP56=""),"",IFERROR(ROUND(EP56/INDEX(Undirviðmið!$F$6:$F$205,EP$4)*INDEX(Undirviðmið!$E$6:$E$205,EP$4)*KVARDI,2),""))</f>
        <v/>
      </c>
      <c r="ER56" s="66" t="n"/>
      <c r="ES56" s="78">
        <f>IF(OR(ER$4=0,ER56=""),"",IFERROR(ROUND(ER56/INDEX(Undirviðmið!$F$6:$F$205,ER$4)*INDEX(Undirviðmið!$E$6:$E$205,ER$4)*KVARDI,2),""))</f>
        <v/>
      </c>
      <c r="ET56" s="66" t="n"/>
      <c r="EU56" s="78">
        <f>IF(OR(ET$4=0,ET56=""),"",IFERROR(ROUND(ET56/INDEX(Undirviðmið!$F$6:$F$205,ET$4)*INDEX(Undirviðmið!$E$6:$E$205,ET$4)*KVARDI,2),""))</f>
        <v/>
      </c>
      <c r="EV56" s="66" t="n"/>
      <c r="EW56" s="78">
        <f>IF(OR(EV$4=0,EV56=""),"",IFERROR(ROUND(EV56/INDEX(Undirviðmið!$F$6:$F$205,EV$4)*INDEX(Undirviðmið!$E$6:$E$205,EV$4)*KVARDI,2),""))</f>
        <v/>
      </c>
      <c r="EX56" s="66" t="n"/>
      <c r="EY56" s="78">
        <f>IF(OR(EX$4=0,EX56=""),"",IFERROR(ROUND(EX56/INDEX(Undirviðmið!$F$6:$F$205,EX$4)*INDEX(Undirviðmið!$E$6:$E$205,EX$4)*KVARDI,2),""))</f>
        <v/>
      </c>
      <c r="EZ56" s="66" t="n"/>
      <c r="FA56" s="78">
        <f>IF(OR(EZ$4=0,EZ56=""),"",IFERROR(ROUND(EZ56/INDEX(Undirviðmið!$F$6:$F$205,EZ$4)*INDEX(Undirviðmið!$E$6:$E$205,EZ$4)*KVARDI,2),""))</f>
        <v/>
      </c>
      <c r="FB56" s="66" t="n"/>
      <c r="FC56" s="78">
        <f>IF(OR(FB$4=0,FB56=""),"",IFERROR(ROUND(FB56/INDEX(Undirviðmið!$F$6:$F$205,FB$4)*INDEX(Undirviðmið!$E$6:$E$205,FB$4)*KVARDI,2),""))</f>
        <v/>
      </c>
      <c r="FD56" s="66" t="n"/>
      <c r="FE56" s="78">
        <f>IF(OR(FD$4=0,FD56=""),"",IFERROR(ROUND(FD56/INDEX(Undirviðmið!$F$6:$F$205,FD$4)*INDEX(Undirviðmið!$E$6:$E$205,FD$4)*KVARDI,2),""))</f>
        <v/>
      </c>
      <c r="FF56" s="66" t="n"/>
      <c r="FG56" s="78">
        <f>IF(OR(FF$4=0,FF56=""),"",IFERROR(ROUND(FF56/INDEX(Undirviðmið!$F$6:$F$205,FF$4)*INDEX(Undirviðmið!$E$6:$E$205,FF$4)*KVARDI,2),""))</f>
        <v/>
      </c>
      <c r="FH56" s="66" t="n"/>
      <c r="FI56" s="78">
        <f>IF(OR(FH$4=0,FH56=""),"",IFERROR(ROUND(FH56/INDEX(Undirviðmið!$F$6:$F$205,FH$4)*INDEX(Undirviðmið!$E$6:$E$205,FH$4)*KVARDI,2),""))</f>
        <v/>
      </c>
      <c r="FJ56" s="66" t="n"/>
      <c r="FK56" s="78">
        <f>IF(OR(FJ$4=0,FJ56=""),"",IFERROR(ROUND(FJ56/INDEX(Undirviðmið!$F$6:$F$205,FJ$4)*INDEX(Undirviðmið!$E$6:$E$205,FJ$4)*KVARDI,2),""))</f>
        <v/>
      </c>
      <c r="FL56" s="66" t="n"/>
      <c r="FM56" s="78">
        <f>IF(OR(FL$4=0,FL56=""),"",IFERROR(ROUND(FL56/INDEX(Undirviðmið!$F$6:$F$205,FL$4)*INDEX(Undirviðmið!$E$6:$E$205,FL$4)*KVARDI,2),""))</f>
        <v/>
      </c>
      <c r="FN56" s="66" t="n"/>
      <c r="FO56" s="78">
        <f>IF(OR(FN$4=0,FN56=""),"",IFERROR(ROUND(FN56/INDEX(Undirviðmið!$F$6:$F$205,FN$4)*INDEX(Undirviðmið!$E$6:$E$205,FN$4)*KVARDI,2),""))</f>
        <v/>
      </c>
      <c r="FP56" s="66" t="n"/>
      <c r="FQ56" s="78">
        <f>IF(OR(FP$4=0,FP56=""),"",IFERROR(ROUND(FP56/INDEX(Undirviðmið!$F$6:$F$205,FP$4)*INDEX(Undirviðmið!$E$6:$E$205,FP$4)*KVARDI,2),""))</f>
        <v/>
      </c>
      <c r="FR56" s="66" t="n"/>
      <c r="FS56" s="78">
        <f>IF(OR(FR$4=0,FR56=""),"",IFERROR(ROUND(FR56/INDEX(Undirviðmið!$F$6:$F$205,FR$4)*INDEX(Undirviðmið!$E$6:$E$205,FR$4)*KVARDI,2),""))</f>
        <v/>
      </c>
      <c r="FT56" s="66" t="n"/>
      <c r="FU56" s="78">
        <f>IF(OR(FT$4=0,FT56=""),"",IFERROR(ROUND(FT56/INDEX(Undirviðmið!$F$6:$F$205,FT$4)*INDEX(Undirviðmið!$E$6:$E$205,FT$4)*KVARDI,2),""))</f>
        <v/>
      </c>
      <c r="FV56" s="66" t="n"/>
      <c r="FW56" s="78">
        <f>IF(OR(FV$4=0,FV56=""),"",IFERROR(ROUND(FV56/INDEX(Undirviðmið!$F$6:$F$205,FV$4)*INDEX(Undirviðmið!$E$6:$E$205,FV$4)*KVARDI,2),""))</f>
        <v/>
      </c>
      <c r="FX56" s="66" t="n"/>
      <c r="FY56" s="78">
        <f>IF(OR(FX$4=0,FX56=""),"",IFERROR(ROUND(FX56/INDEX(Undirviðmið!$F$6:$F$205,FX$4)*INDEX(Undirviðmið!$E$6:$E$205,FX$4)*KVARDI,2),""))</f>
        <v/>
      </c>
      <c r="FZ56" s="66" t="n"/>
      <c r="GA56" s="78">
        <f>IF(OR(FZ$4=0,FZ56=""),"",IFERROR(ROUND(FZ56/INDEX(Undirviðmið!$F$6:$F$205,FZ$4)*INDEX(Undirviðmið!$E$6:$E$205,FZ$4)*KVARDI,2),""))</f>
        <v/>
      </c>
      <c r="GB56" s="66" t="n"/>
      <c r="GC56" s="78">
        <f>IF(OR(GB$4=0,GB56=""),"",IFERROR(ROUND(GB56/INDEX(Undirviðmið!$F$6:$F$205,GB$4)*INDEX(Undirviðmið!$E$6:$E$205,GB$4)*KVARDI,2),""))</f>
        <v/>
      </c>
      <c r="GD56" s="66" t="n"/>
      <c r="GE56" s="78">
        <f>IF(OR(GD$4=0,GD56=""),"",IFERROR(ROUND(GD56/INDEX(Undirviðmið!$F$6:$F$205,GD$4)*INDEX(Undirviðmið!$E$6:$E$205,GD$4)*KVARDI,2),""))</f>
        <v/>
      </c>
      <c r="GF56" s="66" t="n"/>
      <c r="GG56" s="78">
        <f>IF(OR(GF$4=0,GF56=""),"",IFERROR(ROUND(GF56/INDEX(Undirviðmið!$F$6:$F$205,GF$4)*INDEX(Undirviðmið!$E$6:$E$205,GF$4)*KVARDI,2),""))</f>
        <v/>
      </c>
      <c r="GH56" s="66" t="n"/>
      <c r="GI56" s="78">
        <f>IF(OR(GH$4=0,GH56=""),"",IFERROR(ROUND(GH56/INDEX(Undirviðmið!$F$6:$F$205,GH$4)*INDEX(Undirviðmið!$E$6:$E$205,GH$4)*KVARDI,2),""))</f>
        <v/>
      </c>
      <c r="GJ56" s="66" t="n"/>
      <c r="GK56" s="78">
        <f>IF(OR(GJ$4=0,GJ56=""),"",IFERROR(ROUND(GJ56/INDEX(Undirviðmið!$F$6:$F$205,GJ$4)*INDEX(Undirviðmið!$E$6:$E$205,GJ$4)*KVARDI,2),""))</f>
        <v/>
      </c>
      <c r="GL56" s="66" t="n"/>
      <c r="GM56" s="78">
        <f>IF(OR(GL$4=0,GL56=""),"",IFERROR(ROUND(GL56/INDEX(Undirviðmið!$F$6:$F$205,GL$4)*INDEX(Undirviðmið!$E$6:$E$205,GL$4)*KVARDI,2),""))</f>
        <v/>
      </c>
      <c r="GN56" s="66" t="n"/>
      <c r="GO56" s="78">
        <f>IF(OR(GN$4=0,GN56=""),"",IFERROR(ROUND(GN56/INDEX(Undirviðmið!$F$6:$F$205,GN$4)*INDEX(Undirviðmið!$E$6:$E$205,GN$4)*KVARDI,2),""))</f>
        <v/>
      </c>
      <c r="GP56" s="66" t="n"/>
      <c r="GQ56" s="78">
        <f>IF(OR(GP$4=0,GP56=""),"",IFERROR(ROUND(GP56/INDEX(Undirviðmið!$F$6:$F$205,GP$4)*INDEX(Undirviðmið!$E$6:$E$205,GP$4)*KVARDI,2),""))</f>
        <v/>
      </c>
      <c r="GR56" s="66" t="n"/>
      <c r="GS56" s="78">
        <f>IF(OR(GR$4=0,GR56=""),"",IFERROR(ROUND(GR56/INDEX(Undirviðmið!$F$6:$F$205,GR$4)*INDEX(Undirviðmið!$E$6:$E$205,GR$4)*KVARDI,2),""))</f>
        <v/>
      </c>
      <c r="GT56" s="66" t="n"/>
      <c r="GU56" s="78">
        <f>IF(OR(GT$4=0,GT56=""),"",IFERROR(ROUND(GT56/INDEX(Undirviðmið!$F$6:$F$205,GT$4)*INDEX(Undirviðmið!$E$6:$E$205,GT$4)*KVARDI,2),""))</f>
        <v/>
      </c>
      <c r="GV56" s="63">
        <f>IFERROR(SUMIF($D$6:GU$6,"Stig",$D56:GU56),0)</f>
        <v/>
      </c>
    </row>
  </sheetData>
  <mergeCells count="103">
    <mergeCell ref="AB5:AC5"/>
    <mergeCell ref="AD5:AE5"/>
    <mergeCell ref="CD5:CE5"/>
    <mergeCell ref="AN5:AO5"/>
    <mergeCell ref="CF5:CG5"/>
    <mergeCell ref="AP5:AQ5"/>
    <mergeCell ref="CP5:CQ5"/>
    <mergeCell ref="CR5:CS5"/>
    <mergeCell ref="ER5:ES5"/>
    <mergeCell ref="B2:F2"/>
    <mergeCell ref="AZ5:BA5"/>
    <mergeCell ref="BB5:BC5"/>
    <mergeCell ref="L5:M5"/>
    <mergeCell ref="AT5:AU5"/>
    <mergeCell ref="BD5:BE5"/>
    <mergeCell ref="N5:O5"/>
    <mergeCell ref="CV5:CW5"/>
    <mergeCell ref="BN5:BO5"/>
    <mergeCell ref="BP5:BQ5"/>
    <mergeCell ref="DP5:DQ5"/>
    <mergeCell ref="DR5:DS5"/>
    <mergeCell ref="FR5:FS5"/>
    <mergeCell ref="EB5:EC5"/>
    <mergeCell ref="FJ5:FK5"/>
    <mergeCell ref="ED5:EE5"/>
    <mergeCell ref="FL5:FM5"/>
    <mergeCell ref="GD5:GE5"/>
    <mergeCell ref="BT5:BU5"/>
    <mergeCell ref="DV5:DW5"/>
    <mergeCell ref="CX5:CY5"/>
    <mergeCell ref="EF5:EG5"/>
    <mergeCell ref="EH5:EI5"/>
    <mergeCell ref="FB5:FC5"/>
    <mergeCell ref="GJ5:GK5"/>
    <mergeCell ref="ET5:EU5"/>
    <mergeCell ref="FD5:FE5"/>
    <mergeCell ref="EV5:EW5"/>
    <mergeCell ref="FT5:FU5"/>
    <mergeCell ref="F5:G5"/>
    <mergeCell ref="GR5:GS5"/>
    <mergeCell ref="X5:Y5"/>
    <mergeCell ref="Z5:AA5"/>
    <mergeCell ref="AR5:AS5"/>
    <mergeCell ref="BZ5:CA5"/>
    <mergeCell ref="AJ5:AK5"/>
    <mergeCell ref="CB5:CC5"/>
    <mergeCell ref="AL5:AM5"/>
    <mergeCell ref="CL5:CM5"/>
    <mergeCell ref="CN5:CO5"/>
    <mergeCell ref="EN5:EO5"/>
    <mergeCell ref="EP5:EQ5"/>
    <mergeCell ref="H5:I5"/>
    <mergeCell ref="BJ5:BK5"/>
    <mergeCell ref="BL5:BM5"/>
    <mergeCell ref="DL5:DM5"/>
    <mergeCell ref="DN5:DO5"/>
    <mergeCell ref="DF5:DG5"/>
    <mergeCell ref="FN5:FO5"/>
    <mergeCell ref="DX5:DY5"/>
    <mergeCell ref="FF5:FG5"/>
    <mergeCell ref="FP5:FQ5"/>
    <mergeCell ref="DZ5:EA5"/>
    <mergeCell ref="FH5:FI5"/>
    <mergeCell ref="FZ5:GA5"/>
    <mergeCell ref="GB5:GC5"/>
    <mergeCell ref="GF5:GG5"/>
    <mergeCell ref="GT5:GU5"/>
    <mergeCell ref="AF5:AG5"/>
    <mergeCell ref="D5:E5"/>
    <mergeCell ref="AV5:AW5"/>
    <mergeCell ref="BF5:BG5"/>
    <mergeCell ref="P5:Q5"/>
    <mergeCell ref="AX5:AY5"/>
    <mergeCell ref="R5:S5"/>
    <mergeCell ref="CZ5:DA5"/>
    <mergeCell ref="BR5:BS5"/>
    <mergeCell ref="DB5:DC5"/>
    <mergeCell ref="J5:K5"/>
    <mergeCell ref="T5:U5"/>
    <mergeCell ref="V5:W5"/>
    <mergeCell ref="BV5:BW5"/>
    <mergeCell ref="BX5:BY5"/>
    <mergeCell ref="AH5:AI5"/>
    <mergeCell ref="CH5:CI5"/>
    <mergeCell ref="CJ5:CK5"/>
    <mergeCell ref="EJ5:EK5"/>
    <mergeCell ref="CT5:CU5"/>
    <mergeCell ref="DD5:DE5"/>
    <mergeCell ref="EL5:EM5"/>
    <mergeCell ref="GL5:GM5"/>
    <mergeCell ref="GN5:GO5"/>
    <mergeCell ref="EX5:EY5"/>
    <mergeCell ref="GP5:GQ5"/>
    <mergeCell ref="EZ5:FA5"/>
    <mergeCell ref="BH5:BI5"/>
    <mergeCell ref="DH5:DI5"/>
    <mergeCell ref="DJ5:DK5"/>
    <mergeCell ref="DT5:DU5"/>
    <mergeCell ref="FV5:FW5"/>
    <mergeCell ref="FX5:FY5"/>
    <mergeCell ref="B3:M3"/>
    <mergeCell ref="GV5:GV6"/>
    <mergeCell ref="GH5:GI5"/>
  </mergeCells>
  <conditionalFormatting sqref="D7:D10006">
    <cfRule type="expression" rank="0" priority="2" equalAverage="0" aboveAverage="0" dxfId="2" text="" percent="0" bottom="0">
      <formula>D$4=0</formula>
    </cfRule>
    <cfRule type="expression" rank="0" priority="3" equalAverage="0" aboveAverage="0" dxfId="1" text="" percent="0" bottom="0">
      <formula>AND(D7&lt;&gt;"",D$4&lt;&gt;0,D7&gt;INDEX(Undirviðmið!$F$6:$F$205,D$4))</formula>
    </cfRule>
  </conditionalFormatting>
  <conditionalFormatting sqref="E7:E10006">
    <cfRule type="expression" rank="0" priority="4" equalAverage="0" aboveAverage="0" dxfId="2" text="" percent="0" bottom="0">
      <formula>D$4=0</formula>
    </cfRule>
  </conditionalFormatting>
  <conditionalFormatting sqref="F7:F10006">
    <cfRule type="expression" rank="0" priority="5" equalAverage="0" aboveAverage="0" dxfId="2" text="" percent="0" bottom="0">
      <formula>F$4=0</formula>
    </cfRule>
    <cfRule type="expression" rank="0" priority="6" equalAverage="0" aboveAverage="0" dxfId="1" text="" percent="0" bottom="0">
      <formula>AND(F7&lt;&gt;"",F$4&lt;&gt;0,F7&gt;INDEX(Undirviðmið!$F$6:$F$205,F$4))</formula>
    </cfRule>
  </conditionalFormatting>
  <conditionalFormatting sqref="G7:G10006">
    <cfRule type="expression" rank="0" priority="7" equalAverage="0" aboveAverage="0" dxfId="2" text="" percent="0" bottom="0">
      <formula>F$4=0</formula>
    </cfRule>
  </conditionalFormatting>
  <conditionalFormatting sqref="H7:H10006">
    <cfRule type="expression" rank="0" priority="8" equalAverage="0" aboveAverage="0" dxfId="2" text="" percent="0" bottom="0">
      <formula>H$4=0</formula>
    </cfRule>
    <cfRule type="expression" rank="0" priority="9" equalAverage="0" aboveAverage="0" dxfId="1" text="" percent="0" bottom="0">
      <formula>AND(H7&lt;&gt;"",H$4&lt;&gt;0,H7&gt;INDEX(Undirviðmið!$F$6:$F$205,H$4))</formula>
    </cfRule>
  </conditionalFormatting>
  <conditionalFormatting sqref="I7:I10006">
    <cfRule type="expression" rank="0" priority="10" equalAverage="0" aboveAverage="0" dxfId="2" text="" percent="0" bottom="0">
      <formula>H$4=0</formula>
    </cfRule>
  </conditionalFormatting>
  <conditionalFormatting sqref="J7:J10006">
    <cfRule type="expression" rank="0" priority="11" equalAverage="0" aboveAverage="0" dxfId="2" text="" percent="0" bottom="0">
      <formula>J$4=0</formula>
    </cfRule>
    <cfRule type="expression" rank="0" priority="12" equalAverage="0" aboveAverage="0" dxfId="1" text="" percent="0" bottom="0">
      <formula>AND(J7&lt;&gt;"",J$4&lt;&gt;0,J7&gt;INDEX(Undirviðmið!$F$6:$F$205,J$4))</formula>
    </cfRule>
  </conditionalFormatting>
  <conditionalFormatting sqref="K7:K10006">
    <cfRule type="expression" rank="0" priority="13" equalAverage="0" aboveAverage="0" dxfId="2" text="" percent="0" bottom="0">
      <formula>J$4=0</formula>
    </cfRule>
  </conditionalFormatting>
  <conditionalFormatting sqref="L7:L10006">
    <cfRule type="expression" rank="0" priority="14" equalAverage="0" aboveAverage="0" dxfId="2" text="" percent="0" bottom="0">
      <formula>L$4=0</formula>
    </cfRule>
    <cfRule type="expression" rank="0" priority="15" equalAverage="0" aboveAverage="0" dxfId="1" text="" percent="0" bottom="0">
      <formula>AND(L7&lt;&gt;"",L$4&lt;&gt;0,L7&gt;INDEX(Undirviðmið!$F$6:$F$205,L$4))</formula>
    </cfRule>
  </conditionalFormatting>
  <conditionalFormatting sqref="M7:M10006">
    <cfRule type="expression" rank="0" priority="16" equalAverage="0" aboveAverage="0" dxfId="2" text="" percent="0" bottom="0">
      <formula>L$4=0</formula>
    </cfRule>
  </conditionalFormatting>
  <conditionalFormatting sqref="N7:N10006">
    <cfRule type="expression" rank="0" priority="17" equalAverage="0" aboveAverage="0" dxfId="2" text="" percent="0" bottom="0">
      <formula>N$4=0</formula>
    </cfRule>
    <cfRule type="expression" rank="0" priority="18" equalAverage="0" aboveAverage="0" dxfId="1" text="" percent="0" bottom="0">
      <formula>AND(N7&lt;&gt;"",N$4&lt;&gt;0,N7&gt;INDEX(Undirviðmið!$F$6:$F$205,N$4))</formula>
    </cfRule>
  </conditionalFormatting>
  <conditionalFormatting sqref="O7:O10006">
    <cfRule type="expression" rank="0" priority="19" equalAverage="0" aboveAverage="0" dxfId="2" text="" percent="0" bottom="0">
      <formula>N$4=0</formula>
    </cfRule>
  </conditionalFormatting>
  <conditionalFormatting sqref="P7:P10006">
    <cfRule type="expression" rank="0" priority="20" equalAverage="0" aboveAverage="0" dxfId="2" text="" percent="0" bottom="0">
      <formula>P$4=0</formula>
    </cfRule>
    <cfRule type="expression" rank="0" priority="21" equalAverage="0" aboveAverage="0" dxfId="1" text="" percent="0" bottom="0">
      <formula>AND(P7&lt;&gt;"",P$4&lt;&gt;0,P7&gt;INDEX(Undirviðmið!$F$6:$F$205,P$4))</formula>
    </cfRule>
  </conditionalFormatting>
  <conditionalFormatting sqref="Q7:Q10006">
    <cfRule type="expression" rank="0" priority="22" equalAverage="0" aboveAverage="0" dxfId="2" text="" percent="0" bottom="0">
      <formula>P$4=0</formula>
    </cfRule>
  </conditionalFormatting>
  <conditionalFormatting sqref="R7:R10006">
    <cfRule type="expression" rank="0" priority="23" equalAverage="0" aboveAverage="0" dxfId="2" text="" percent="0" bottom="0">
      <formula>R$4=0</formula>
    </cfRule>
    <cfRule type="expression" rank="0" priority="24" equalAverage="0" aboveAverage="0" dxfId="1" text="" percent="0" bottom="0">
      <formula>AND(R7&lt;&gt;"",R$4&lt;&gt;0,R7&gt;INDEX(Undirviðmið!$F$6:$F$205,R$4))</formula>
    </cfRule>
  </conditionalFormatting>
  <conditionalFormatting sqref="S7:S10006">
    <cfRule type="expression" rank="0" priority="25" equalAverage="0" aboveAverage="0" dxfId="2" text="" percent="0" bottom="0">
      <formula>R$4=0</formula>
    </cfRule>
  </conditionalFormatting>
  <conditionalFormatting sqref="T7:T10006">
    <cfRule type="expression" rank="0" priority="26" equalAverage="0" aboveAverage="0" dxfId="2" text="" percent="0" bottom="0">
      <formula>T$4=0</formula>
    </cfRule>
    <cfRule type="expression" rank="0" priority="27" equalAverage="0" aboveAverage="0" dxfId="1" text="" percent="0" bottom="0">
      <formula>AND(T7&lt;&gt;"",T$4&lt;&gt;0,T7&gt;INDEX(Undirviðmið!$F$6:$F$205,T$4))</formula>
    </cfRule>
  </conditionalFormatting>
  <conditionalFormatting sqref="U7:U10006">
    <cfRule type="expression" rank="0" priority="28" equalAverage="0" aboveAverage="0" dxfId="2" text="" percent="0" bottom="0">
      <formula>T$4=0</formula>
    </cfRule>
  </conditionalFormatting>
  <conditionalFormatting sqref="V7:V10006">
    <cfRule type="expression" rank="0" priority="29" equalAverage="0" aboveAverage="0" dxfId="2" text="" percent="0" bottom="0">
      <formula>V$4=0</formula>
    </cfRule>
    <cfRule type="expression" rank="0" priority="30" equalAverage="0" aboveAverage="0" dxfId="1" text="" percent="0" bottom="0">
      <formula>AND(V7&lt;&gt;"",V$4&lt;&gt;0,V7&gt;INDEX(Undirviðmið!$F$6:$F$205,V$4))</formula>
    </cfRule>
  </conditionalFormatting>
  <conditionalFormatting sqref="W7:W10006">
    <cfRule type="expression" rank="0" priority="31" equalAverage="0" aboveAverage="0" dxfId="2" text="" percent="0" bottom="0">
      <formula>V$4=0</formula>
    </cfRule>
  </conditionalFormatting>
  <conditionalFormatting sqref="X7:X10006">
    <cfRule type="expression" rank="0" priority="32" equalAverage="0" aboveAverage="0" dxfId="2" text="" percent="0" bottom="0">
      <formula>X$4=0</formula>
    </cfRule>
    <cfRule type="expression" rank="0" priority="33" equalAverage="0" aboveAverage="0" dxfId="1" text="" percent="0" bottom="0">
      <formula>AND(X7&lt;&gt;"",X$4&lt;&gt;0,X7&gt;INDEX(Undirviðmið!$F$6:$F$205,X$4))</formula>
    </cfRule>
  </conditionalFormatting>
  <conditionalFormatting sqref="Y7:Y10006">
    <cfRule type="expression" rank="0" priority="34" equalAverage="0" aboveAverage="0" dxfId="2" text="" percent="0" bottom="0">
      <formula>X$4=0</formula>
    </cfRule>
  </conditionalFormatting>
  <conditionalFormatting sqref="Z7:Z10006">
    <cfRule type="expression" rank="0" priority="35" equalAverage="0" aboveAverage="0" dxfId="2" text="" percent="0" bottom="0">
      <formula>Z$4=0</formula>
    </cfRule>
    <cfRule type="expression" rank="0" priority="36" equalAverage="0" aboveAverage="0" dxfId="1" text="" percent="0" bottom="0">
      <formula>AND(Z7&lt;&gt;"",Z$4&lt;&gt;0,Z7&gt;INDEX(Undirviðmið!$F$6:$F$205,Z$4))</formula>
    </cfRule>
  </conditionalFormatting>
  <conditionalFormatting sqref="AA7:AA10006">
    <cfRule type="expression" rank="0" priority="37" equalAverage="0" aboveAverage="0" dxfId="2" text="" percent="0" bottom="0">
      <formula>Z$4=0</formula>
    </cfRule>
  </conditionalFormatting>
  <conditionalFormatting sqref="AB7:AB10006">
    <cfRule type="expression" rank="0" priority="38" equalAverage="0" aboveAverage="0" dxfId="2" text="" percent="0" bottom="0">
      <formula>AB$4=0</formula>
    </cfRule>
    <cfRule type="expression" rank="0" priority="39" equalAverage="0" aboveAverage="0" dxfId="1" text="" percent="0" bottom="0">
      <formula>AND(AB7&lt;&gt;"",AB$4&lt;&gt;0,AB7&gt;INDEX(Undirviðmið!$F$6:$F$205,AB$4))</formula>
    </cfRule>
  </conditionalFormatting>
  <conditionalFormatting sqref="AC7:AC10006">
    <cfRule type="expression" rank="0" priority="40" equalAverage="0" aboveAverage="0" dxfId="2" text="" percent="0" bottom="0">
      <formula>AB$4=0</formula>
    </cfRule>
  </conditionalFormatting>
  <conditionalFormatting sqref="AD7:AD10006">
    <cfRule type="expression" rank="0" priority="41" equalAverage="0" aboveAverage="0" dxfId="2" text="" percent="0" bottom="0">
      <formula>AD$4=0</formula>
    </cfRule>
    <cfRule type="expression" rank="0" priority="42" equalAverage="0" aboveAverage="0" dxfId="1" text="" percent="0" bottom="0">
      <formula>AND(AD7&lt;&gt;"",AD$4&lt;&gt;0,AD7&gt;INDEX(Undirviðmið!$F$6:$F$205,AD$4))</formula>
    </cfRule>
  </conditionalFormatting>
  <conditionalFormatting sqref="AE7:AE10006">
    <cfRule type="expression" rank="0" priority="43" equalAverage="0" aboveAverage="0" dxfId="2" text="" percent="0" bottom="0">
      <formula>AD$4=0</formula>
    </cfRule>
  </conditionalFormatting>
  <conditionalFormatting sqref="AF7:AF10006">
    <cfRule type="expression" rank="0" priority="44" equalAverage="0" aboveAverage="0" dxfId="2" text="" percent="0" bottom="0">
      <formula>AF$4=0</formula>
    </cfRule>
    <cfRule type="expression" rank="0" priority="45" equalAverage="0" aboveAverage="0" dxfId="1" text="" percent="0" bottom="0">
      <formula>AND(AF7&lt;&gt;"",AF$4&lt;&gt;0,AF7&gt;INDEX(Undirviðmið!$F$6:$F$205,AF$4))</formula>
    </cfRule>
  </conditionalFormatting>
  <conditionalFormatting sqref="AG7:AG10006">
    <cfRule type="expression" rank="0" priority="46" equalAverage="0" aboveAverage="0" dxfId="2" text="" percent="0" bottom="0">
      <formula>AF$4=0</formula>
    </cfRule>
  </conditionalFormatting>
  <conditionalFormatting sqref="AH7:AH10006 AJ7:AJ10006 AL7:AL10006 AN7:AN10006 AP7:AP10006 AR7:AR10006 AT7:AT10006 AV7:AV10006 AX7:AX10006 AZ7:AZ10006 BB7:BB10006 BD7:BD10006 BF7:BF10006 BH7:BH10006 BJ7:BJ10006 BL7:BL10006 BN7:BN10006 BP7:BP10006 BR7:BR10006 BT7:BT10006 BV7:BV10006 BX7:BX10006 BZ7:BZ10006 CB7:CB10006 CD7:CD10006 CF7:CF10006 CH7:CH10006 CJ7:CJ10006 CL7:CL10006 CN7:CN10006 CP7:CP10006 CR7:CR10006 CT7:CT10006 CV7:CV10006 CX7:CX10006 CZ7:CZ10006 DB7:DB10006 DD7:DD10006 DF7:DF10006 DH7:DH10006 DJ7:DJ10006 DL7:DL10006 DN7:DN10006 DP7:DP10006 DR7:DR10006 DT7:DT10006 DV7:DV10006 DX7:DX10006 DZ7:DZ10006 EB7:EB10006 ED7:ED10006 EF7:EF10006 EH7:EH10006 EJ7:EJ10006 EL7:EL10006 EN7:EN10006 EP7:EP10006 ER7:ER10006 ET7:ET10006 EV7:EV10006 EX7:EX10006 EZ7:EZ10006 FB7:FB10006 FD7:FD10006 FF7:FF10006 FH7:FH10006 FJ7:FJ10006 FL7:FL10006 FN7:FN10006 FP7:FP10006 FR7:FR10006 FT7:FT10006 FV7:FV10006 FX7:FX10006 FZ7:FZ10006 GB7:GB10006 GD7:GD10006 GF7:GF10006 GH7:GH10006 GJ7:GJ10006 GL7:GL10006 GN7:GN10006 GP7:GP10006 GR7:GR10006 GT7:GT10006">
    <cfRule type="expression" priority="44" dxfId="2">
      <formula>AH$4=0</formula>
    </cfRule>
    <cfRule type="expression" priority="45" dxfId="1">
      <formula>AND(AH7&lt;&gt;"",AH$4&lt;&gt;0,AH7&gt;INDEX(Undirviðmið!$F$6:$F$205,AH$4))</formula>
    </cfRule>
  </conditionalFormatting>
  <conditionalFormatting sqref="AI7:AI10006 AK7:AK10006 AM7:AM10006 AO7:AO10006 AQ7:AQ10006 AS7:AS10006 AU7:AU10006 AW7:AW10006 AY7:AY10006 BA7:BA10006 BC7:BC10006 BE7:BE10006 BG7:BG10006 BI7:BI10006 BK7:BK10006 BM7:BM10006 BO7:BO10006 BQ7:BQ10006 BS7:BS10006 BU7:BU10006 BW7:BW10006 BY7:BY10006 CA7:CA10006 CC7:CC10006 CE7:CE10006 CG7:CG10006 CI7:CI10006 CK7:CK10006 CM7:CM10006 CO7:CO10006 CQ7:CQ10006 CS7:CS10006 CU7:CU10006 CW7:CW10006 CY7:CY10006 DA7:DA10006 DC7:DC10006 DE7:DE10006 DG7:DG10006 DI7:DI10006 DK7:DK10006 DM7:DM10006 DO7:DO10006 DQ7:DQ10006 DS7:DS10006 DU7:DU10006 DW7:DW10006 DY7:DY10006 EA7:EA10006 EC7:EC10006 EE7:EE10006 EG7:EG10006 EI7:EI10006 EK7:EK10006 EM7:EM10006 EO7:EO10006 EQ7:EQ10006 ES7:ES10006 EU7:EU10006 EW7:EW10006 EY7:EY10006 FA7:FA10006 FC7:FC10006 FE7:FE10006 FG7:FG10006 FI7:FI10006 FK7:FK10006 FM7:FM10006 FO7:FO10006 FQ7:FQ10006 FS7:FS10006 FU7:FU10006 FW7:FW10006 FY7:FY10006 GA7:GA10006 GC7:GC10006 GE7:GE10006 GG7:GG10006 GI7:GI10006 GK7:GK10006 GM7:GM10006 GO7:GO10006 GQ7:GQ10006 GS7:GS10006 GU7:GU10006">
    <cfRule type="expression" priority="46" dxfId="2">
      <formula>AH$4=0</formula>
    </cfRule>
  </conditionalFormatting>
  <dataValidations count="16">
    <dataValidation sqref="D7:D56" showDropDown="0" showInputMessage="0" showErrorMessage="1" allowBlank="1" errorTitle="Ógilt þrep" error="Þrep verður að vera heil tala milli 1 og fjölda þrepa fyrir viðkomandi undirviðmið." type="whole" errorStyle="stop" operator="between">
      <formula1>1</formula1>
      <formula2>8</formula2>
    </dataValidation>
    <dataValidation sqref="F7:F56" showDropDown="0" showInputMessage="0" showErrorMessage="1" allowBlank="1" errorTitle="Ógilt þrep" error="Þrep verður að vera heil tala milli 1 og fjölda þrepa fyrir viðkomandi undirviðmið." type="whole" errorStyle="stop" operator="between">
      <formula1>1</formula1>
      <formula2>8</formula2>
    </dataValidation>
    <dataValidation sqref="H7:H56" showDropDown="0" showInputMessage="0" showErrorMessage="1" allowBlank="1" errorTitle="Ógilt þrep" error="Þrep verður að vera heil tala milli 1 og fjölda þrepa fyrir viðkomandi undirviðmið." type="whole" errorStyle="stop" operator="between">
      <formula1>1</formula1>
      <formula2>8</formula2>
    </dataValidation>
    <dataValidation sqref="J7:J56" showDropDown="0" showInputMessage="0" showErrorMessage="1" allowBlank="1" errorTitle="Ógilt þrep" error="Þrep verður að vera heil tala milli 1 og fjölda þrepa fyrir viðkomandi undirviðmið." type="whole" errorStyle="stop" operator="between">
      <formula1>1</formula1>
      <formula2>8</formula2>
    </dataValidation>
    <dataValidation sqref="L7:L56" showDropDown="0" showInputMessage="0" showErrorMessage="1" allowBlank="1" errorTitle="Ógilt þrep" error="Þrep verður að vera heil tala milli 1 og fjölda þrepa fyrir viðkomandi undirviðmið." type="whole" errorStyle="stop" operator="between">
      <formula1>1</formula1>
      <formula2>8</formula2>
    </dataValidation>
    <dataValidation sqref="N7:N56" showDropDown="0" showInputMessage="0" showErrorMessage="1" allowBlank="1" errorTitle="Ógilt þrep" error="Þrep verður að vera heil tala milli 1 og fjölda þrepa fyrir viðkomandi undirviðmið." type="whole" errorStyle="stop" operator="between">
      <formula1>1</formula1>
      <formula2>8</formula2>
    </dataValidation>
    <dataValidation sqref="P7:P56" showDropDown="0" showInputMessage="0" showErrorMessage="1" allowBlank="1" errorTitle="Ógilt þrep" error="Þrep verður að vera heil tala milli 1 og fjölda þrepa fyrir viðkomandi undirviðmið." type="whole" errorStyle="stop" operator="between">
      <formula1>1</formula1>
      <formula2>8</formula2>
    </dataValidation>
    <dataValidation sqref="R7:R56" showDropDown="0" showInputMessage="0" showErrorMessage="1" allowBlank="1" errorTitle="Ógilt þrep" error="Þrep verður að vera heil tala milli 1 og fjölda þrepa fyrir viðkomandi undirviðmið." type="whole" errorStyle="stop" operator="between">
      <formula1>1</formula1>
      <formula2>8</formula2>
    </dataValidation>
    <dataValidation sqref="T7:T56" showDropDown="0" showInputMessage="0" showErrorMessage="1" allowBlank="1" errorTitle="Ógilt þrep" error="Þrep verður að vera heil tala milli 1 og fjölda þrepa fyrir viðkomandi undirviðmið." type="whole" errorStyle="stop" operator="between">
      <formula1>1</formula1>
      <formula2>8</formula2>
    </dataValidation>
    <dataValidation sqref="V7:V56" showDropDown="0" showInputMessage="0" showErrorMessage="1" allowBlank="1" errorTitle="Ógilt þrep" error="Þrep verður að vera heil tala milli 1 og fjölda þrepa fyrir viðkomandi undirviðmið." type="whole" errorStyle="stop" operator="between">
      <formula1>1</formula1>
      <formula2>8</formula2>
    </dataValidation>
    <dataValidation sqref="X7:X56" showDropDown="0" showInputMessage="0" showErrorMessage="1" allowBlank="1" errorTitle="Ógilt þrep" error="Þrep verður að vera heil tala milli 1 og fjölda þrepa fyrir viðkomandi undirviðmið." type="whole" errorStyle="stop" operator="between">
      <formula1>1</formula1>
      <formula2>8</formula2>
    </dataValidation>
    <dataValidation sqref="Z7:Z56" showDropDown="0" showInputMessage="0" showErrorMessage="1" allowBlank="1" errorTitle="Ógilt þrep" error="Þrep verður að vera heil tala milli 1 og fjölda þrepa fyrir viðkomandi undirviðmið." type="whole" errorStyle="stop" operator="between">
      <formula1>1</formula1>
      <formula2>8</formula2>
    </dataValidation>
    <dataValidation sqref="AB7:AB56" showDropDown="0" showInputMessage="0" showErrorMessage="1" allowBlank="1" errorTitle="Ógilt þrep" error="Þrep verður að vera heil tala milli 1 og fjölda þrepa fyrir viðkomandi undirviðmið." type="whole" errorStyle="stop" operator="between">
      <formula1>1</formula1>
      <formula2>8</formula2>
    </dataValidation>
    <dataValidation sqref="AD7:AD56" showDropDown="0" showInputMessage="0" showErrorMessage="1" allowBlank="1" errorTitle="Ógilt þrep" error="Þrep verður að vera heil tala milli 1 og fjölda þrepa fyrir viðkomandi undirviðmið." type="whole" errorStyle="stop" operator="between">
      <formula1>1</formula1>
      <formula2>8</formula2>
    </dataValidation>
    <dataValidation sqref="AF7:AF56" showDropDown="0" showInputMessage="0" showErrorMessage="1" allowBlank="1" errorTitle="Ógilt þrep" error="Þrep verður að vera heil tala milli 1 og fjölda þrepa fyrir viðkomandi undirviðmið." type="whole" errorStyle="stop" operator="between">
      <formula1>1</formula1>
      <formula2>8</formula2>
    </dataValidation>
    <dataValidation sqref="AH7:AH56 AJ7:AJ56 AL7:AL56 AN7:AN56 AP7:AP56 AR7:AR56 AT7:AT56 AV7:AV56 AX7:AX56 AZ7:AZ56 BB7:BB56 BD7:BD56 BF7:BF56 BH7:BH56 BJ7:BJ56 BL7:BL56 BN7:BN56 BP7:BP56 BR7:BR56 BT7:BT56 BV7:BV56 BX7:BX56 BZ7:BZ56 CB7:CB56 CD7:CD56 CF7:CF56 CH7:CH56 CJ7:CJ56 CL7:CL56 CN7:CN56 CP7:CP56 CR7:CR56 CT7:CT56 CV7:CV56 CX7:CX56 CZ7:CZ56 DB7:DB56 DD7:DD56 DF7:DF56 DH7:DH56 DJ7:DJ56 DL7:DL56 DN7:DN56 DP7:DP56 DR7:DR56 DT7:DT56 DV7:DV56 DX7:DX56 DZ7:DZ56 EB7:EB56 ED7:ED56 EF7:EF56 EH7:EH56 EJ7:EJ56 EL7:EL56 EN7:EN56 EP7:EP56 ER7:ER56 ET7:ET56 EV7:EV56 EX7:EX56 EZ7:EZ56 FB7:FB56 FD7:FD56 FF7:FF56 FH7:FH56 FJ7:FJ56 FL7:FL56 FN7:FN56 FP7:FP56 FR7:FR56 FT7:FT56 FV7:FV56 FX7:FX56 FZ7:FZ56 GB7:GB56 GD7:GD56 GF7:GF56 GH7:GH56 GJ7:GJ56 GL7:GL56 GN7:GN56 GP7:GP56 GR7:GR56 GT7:GT56" showDropDown="0" showInputMessage="0" showErrorMessage="0" allowBlank="1" type="whole" operator="between">
      <formula1>1</formula1>
      <formula2>8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tabColor rgb="FF6A4C93"/>
    <outlinePr summaryBelow="1" summaryRight="1"/>
    <pageSetUpPr fitToPage="0"/>
  </sheetPr>
  <dimension ref="A2:N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4" customWidth="1" style="46" min="1" max="1"/>
    <col width="22" customWidth="1" style="46" min="2" max="2"/>
    <col width="20" customWidth="1" style="46" min="3" max="3"/>
    <col width="8" customWidth="1" style="46" min="4" max="4"/>
    <col width="12" customWidth="1" style="46" min="5" max="5"/>
    <col width="14" customWidth="1" style="46" min="6" max="7"/>
    <col width="12" customWidth="1" style="46" min="8" max="8"/>
    <col width="14" customWidth="1" style="46" min="9" max="12"/>
    <col width="18" customWidth="1" style="46" min="13" max="14"/>
  </cols>
  <sheetData>
    <row r="2" ht="19.5" customHeight="1" s="47">
      <c r="B2" s="55" t="s">
        <v>184</v>
      </c>
    </row>
    <row r="3" ht="15" customHeight="1" s="47">
      <c r="B3" s="56" t="s">
        <v>185</v>
      </c>
    </row>
    <row r="4" ht="15.75" customHeight="1" s="47">
      <c r="E4" s="83" t="s">
        <v>186</v>
      </c>
      <c r="F4" s="84">
        <f>SUMIF(Viðmið!$B$6:$B$17,"Starfsbundinn",Viðmið!$E$6:$E$17)*KVARDI</f>
        <v/>
      </c>
      <c r="G4" s="84">
        <f>SUMIF(Viðmið!$B$6:$B$17,"Persónubundinn",Viðmið!$E$6:$E$17)*KVARDI</f>
        <v/>
      </c>
      <c r="H4" s="84">
        <f>SUM(Viðmið!$E$6:$E$17)*KVARDI</f>
        <v/>
      </c>
    </row>
    <row r="5" ht="30" customHeight="1" s="47">
      <c r="A5" s="57" t="s">
        <v>95</v>
      </c>
      <c r="B5" s="57" t="s">
        <v>51</v>
      </c>
      <c r="C5" s="57" t="s">
        <v>160</v>
      </c>
      <c r="D5" s="57" t="s">
        <v>161</v>
      </c>
      <c r="E5" s="57" t="s">
        <v>42</v>
      </c>
      <c r="F5" s="57" t="s">
        <v>187</v>
      </c>
      <c r="G5" s="57" t="s">
        <v>188</v>
      </c>
      <c r="H5" s="57" t="s">
        <v>189</v>
      </c>
      <c r="I5" s="57" t="s">
        <v>190</v>
      </c>
      <c r="J5" s="57" t="s">
        <v>191</v>
      </c>
      <c r="K5" s="57" t="s">
        <v>44</v>
      </c>
      <c r="L5" s="57" t="s">
        <v>192</v>
      </c>
      <c r="M5" s="57" t="s">
        <v>193</v>
      </c>
      <c r="N5" s="57" t="s">
        <v>194</v>
      </c>
    </row>
    <row r="6" ht="15" customHeight="1" s="47">
      <c r="A6" s="65">
        <f>ROW()-5</f>
        <v/>
      </c>
      <c r="B6" s="67">
        <f>IF(INDEX(Starfsmenn!$B$6:$B$10005,ROW()-5)="","",INDEX(Starfsmenn!$B$6:$B$10005,ROW()-5))</f>
        <v/>
      </c>
      <c r="C6" s="67">
        <f>IF(INDEX(Starfsmenn!$C$6:$C$10005,ROW()-5)="","",INDEX(Starfsmenn!$C$6:$C$10005,ROW()-5))</f>
        <v/>
      </c>
      <c r="D6" s="85">
        <f>IF(INDEX(Starfsmenn!$D$6:$D$10005,ROW()-5)="","",INDEX(Starfsmenn!$D$6:$D$10005,ROW()-5))</f>
        <v/>
      </c>
      <c r="E6" s="77">
        <f>IF(INDEX(Starfsmenn!$E$6:$E$10005,ROW()-5)="","",INDEX(Starfsmenn!$E$6:$E$10005,ROW()-5))</f>
        <v/>
      </c>
      <c r="F6" s="68">
        <f>IFERROR(IF(INDEX(Starfsmenn!$C$6:$C$10005,ROW()-5)="","",INDEX('Flokkun starfa'!$G$108:$GX$108,MATCH(INDEX(Starfsmenn!$C$6:$C$10005,ROW()-5),'Flokkun starfa'!$G$5:$GX$5,0)+1)),"")</f>
        <v/>
      </c>
      <c r="G6" s="77">
        <f>IFERROR(INDEX('Flokkun starfsmanna'!$GV$7:$GV$10006,ROW()-5),0)</f>
        <v/>
      </c>
      <c r="H6" s="63">
        <f>IFERROR(IF(AND(F6="",G6=""),"",IF(F6="",0,F6)+IF(G6="",0,G6)),"")</f>
        <v/>
      </c>
      <c r="I6" s="86">
        <f>IF(INDEX(Starfsmenn!$G$6:$G$10005,ROW()-5)="","",INDEX(Starfsmenn!$G$6:$G$10005,ROW()-5))</f>
        <v/>
      </c>
      <c r="J6" s="86">
        <f>IF(INDEX(Starfsmenn!$I$6:$I$10005,ROW()-5)="","",INDEX(Starfsmenn!$I$6:$I$10005,ROW()-5))</f>
        <v/>
      </c>
      <c r="K6" s="86">
        <f>IF(INDEX(Starfsmenn!$K$6:$K$10005,ROW()-5)="","",INDEX(Starfsmenn!$K$6:$K$10005,ROW()-5))</f>
        <v/>
      </c>
      <c r="L6" s="87">
        <f>IFERROR(IF(AND(I6="",J6="",K6=""),"",IF(I6="",0,I6)+IF(J6="",0,J6)+IF(K6="",0,K6)),"")</f>
        <v/>
      </c>
      <c r="M6" s="86">
        <f>IF(INDEX(Starfsmenn!$M$6:$M$10005,ROW()-5)="","",INDEX(Starfsmenn!$M$6:$M$10005,ROW()-5))</f>
        <v/>
      </c>
      <c r="N6" s="87">
        <f>IF(INDEX(Starfsmenn!$N$6:$N$10005,ROW()-5)="","",INDEX(Starfsmenn!$N$6:$N$10005,ROW()-5))</f>
        <v/>
      </c>
    </row>
    <row r="7" ht="15" customHeight="1" s="47">
      <c r="A7" s="65">
        <f>ROW()-5</f>
        <v/>
      </c>
      <c r="B7" s="67">
        <f>IF(INDEX(Starfsmenn!$B$6:$B$10005,ROW()-5)="","",INDEX(Starfsmenn!$B$6:$B$10005,ROW()-5))</f>
        <v/>
      </c>
      <c r="C7" s="67">
        <f>IF(INDEX(Starfsmenn!$C$6:$C$10005,ROW()-5)="","",INDEX(Starfsmenn!$C$6:$C$10005,ROW()-5))</f>
        <v/>
      </c>
      <c r="D7" s="85">
        <f>IF(INDEX(Starfsmenn!$D$6:$D$10005,ROW()-5)="","",INDEX(Starfsmenn!$D$6:$D$10005,ROW()-5))</f>
        <v/>
      </c>
      <c r="E7" s="77">
        <f>IF(INDEX(Starfsmenn!$E$6:$E$10005,ROW()-5)="","",INDEX(Starfsmenn!$E$6:$E$10005,ROW()-5))</f>
        <v/>
      </c>
      <c r="F7" s="68">
        <f>IFERROR(IF(INDEX(Starfsmenn!$C$6:$C$10005,ROW()-5)="","",INDEX('Flokkun starfa'!$G$108:$GX$108,MATCH(INDEX(Starfsmenn!$C$6:$C$10005,ROW()-5),'Flokkun starfa'!$G$5:$GX$5,0)+1)),"")</f>
        <v/>
      </c>
      <c r="G7" s="77">
        <f>IFERROR(INDEX('Flokkun starfsmanna'!$GV$7:$GV$10006,ROW()-5),0)</f>
        <v/>
      </c>
      <c r="H7" s="63">
        <f>IFERROR(IF(AND(F7="",G7=""),"",IF(F7="",0,F7)+IF(G7="",0,G7)),"")</f>
        <v/>
      </c>
      <c r="I7" s="86">
        <f>IF(INDEX(Starfsmenn!$G$6:$G$10005,ROW()-5)="","",INDEX(Starfsmenn!$G$6:$G$10005,ROW()-5))</f>
        <v/>
      </c>
      <c r="J7" s="86">
        <f>IF(INDEX(Starfsmenn!$I$6:$I$10005,ROW()-5)="","",INDEX(Starfsmenn!$I$6:$I$10005,ROW()-5))</f>
        <v/>
      </c>
      <c r="K7" s="86">
        <f>IF(INDEX(Starfsmenn!$K$6:$K$10005,ROW()-5)="","",INDEX(Starfsmenn!$K$6:$K$10005,ROW()-5))</f>
        <v/>
      </c>
      <c r="L7" s="87">
        <f>IFERROR(IF(AND(I7="",J7="",K7=""),"",IF(I7="",0,I7)+IF(J7="",0,J7)+IF(K7="",0,K7)),"")</f>
        <v/>
      </c>
      <c r="M7" s="86">
        <f>IF(INDEX(Starfsmenn!$M$6:$M$10005,ROW()-5)="","",INDEX(Starfsmenn!$M$6:$M$10005,ROW()-5))</f>
        <v/>
      </c>
      <c r="N7" s="87">
        <f>IF(INDEX(Starfsmenn!$N$6:$N$10005,ROW()-5)="","",INDEX(Starfsmenn!$N$6:$N$10005,ROW()-5))</f>
        <v/>
      </c>
    </row>
    <row r="8" ht="15" customHeight="1" s="47">
      <c r="A8" s="65">
        <f>ROW()-5</f>
        <v/>
      </c>
      <c r="B8" s="67">
        <f>IF(INDEX(Starfsmenn!$B$6:$B$10005,ROW()-5)="","",INDEX(Starfsmenn!$B$6:$B$10005,ROW()-5))</f>
        <v/>
      </c>
      <c r="C8" s="67">
        <f>IF(INDEX(Starfsmenn!$C$6:$C$10005,ROW()-5)="","",INDEX(Starfsmenn!$C$6:$C$10005,ROW()-5))</f>
        <v/>
      </c>
      <c r="D8" s="85">
        <f>IF(INDEX(Starfsmenn!$D$6:$D$10005,ROW()-5)="","",INDEX(Starfsmenn!$D$6:$D$10005,ROW()-5))</f>
        <v/>
      </c>
      <c r="E8" s="77">
        <f>IF(INDEX(Starfsmenn!$E$6:$E$10005,ROW()-5)="","",INDEX(Starfsmenn!$E$6:$E$10005,ROW()-5))</f>
        <v/>
      </c>
      <c r="F8" s="68">
        <f>IFERROR(IF(INDEX(Starfsmenn!$C$6:$C$10005,ROW()-5)="","",INDEX('Flokkun starfa'!$G$108:$GX$108,MATCH(INDEX(Starfsmenn!$C$6:$C$10005,ROW()-5),'Flokkun starfa'!$G$5:$GX$5,0)+1)),"")</f>
        <v/>
      </c>
      <c r="G8" s="77">
        <f>IFERROR(INDEX('Flokkun starfsmanna'!$GV$7:$GV$10006,ROW()-5),0)</f>
        <v/>
      </c>
      <c r="H8" s="63">
        <f>IFERROR(IF(AND(F8="",G8=""),"",IF(F8="",0,F8)+IF(G8="",0,G8)),"")</f>
        <v/>
      </c>
      <c r="I8" s="86">
        <f>IF(INDEX(Starfsmenn!$G$6:$G$10005,ROW()-5)="","",INDEX(Starfsmenn!$G$6:$G$10005,ROW()-5))</f>
        <v/>
      </c>
      <c r="J8" s="86">
        <f>IF(INDEX(Starfsmenn!$I$6:$I$10005,ROW()-5)="","",INDEX(Starfsmenn!$I$6:$I$10005,ROW()-5))</f>
        <v/>
      </c>
      <c r="K8" s="86">
        <f>IF(INDEX(Starfsmenn!$K$6:$K$10005,ROW()-5)="","",INDEX(Starfsmenn!$K$6:$K$10005,ROW()-5))</f>
        <v/>
      </c>
      <c r="L8" s="87">
        <f>IFERROR(IF(AND(I8="",J8="",K8=""),"",IF(I8="",0,I8)+IF(J8="",0,J8)+IF(K8="",0,K8)),"")</f>
        <v/>
      </c>
      <c r="M8" s="86">
        <f>IF(INDEX(Starfsmenn!$M$6:$M$10005,ROW()-5)="","",INDEX(Starfsmenn!$M$6:$M$10005,ROW()-5))</f>
        <v/>
      </c>
      <c r="N8" s="87">
        <f>IF(INDEX(Starfsmenn!$N$6:$N$10005,ROW()-5)="","",INDEX(Starfsmenn!$N$6:$N$10005,ROW()-5))</f>
        <v/>
      </c>
    </row>
    <row r="9" ht="15" customHeight="1" s="47">
      <c r="A9" s="65">
        <f>ROW()-5</f>
        <v/>
      </c>
      <c r="B9" s="67">
        <f>IF(INDEX(Starfsmenn!$B$6:$B$10005,ROW()-5)="","",INDEX(Starfsmenn!$B$6:$B$10005,ROW()-5))</f>
        <v/>
      </c>
      <c r="C9" s="67">
        <f>IF(INDEX(Starfsmenn!$C$6:$C$10005,ROW()-5)="","",INDEX(Starfsmenn!$C$6:$C$10005,ROW()-5))</f>
        <v/>
      </c>
      <c r="D9" s="85">
        <f>IF(INDEX(Starfsmenn!$D$6:$D$10005,ROW()-5)="","",INDEX(Starfsmenn!$D$6:$D$10005,ROW()-5))</f>
        <v/>
      </c>
      <c r="E9" s="77">
        <f>IF(INDEX(Starfsmenn!$E$6:$E$10005,ROW()-5)="","",INDEX(Starfsmenn!$E$6:$E$10005,ROW()-5))</f>
        <v/>
      </c>
      <c r="F9" s="68">
        <f>IFERROR(IF(INDEX(Starfsmenn!$C$6:$C$10005,ROW()-5)="","",INDEX('Flokkun starfa'!$G$108:$GX$108,MATCH(INDEX(Starfsmenn!$C$6:$C$10005,ROW()-5),'Flokkun starfa'!$G$5:$GX$5,0)+1)),"")</f>
        <v/>
      </c>
      <c r="G9" s="77">
        <f>IFERROR(INDEX('Flokkun starfsmanna'!$GV$7:$GV$10006,ROW()-5),0)</f>
        <v/>
      </c>
      <c r="H9" s="63">
        <f>IFERROR(IF(AND(F9="",G9=""),"",IF(F9="",0,F9)+IF(G9="",0,G9)),"")</f>
        <v/>
      </c>
      <c r="I9" s="86">
        <f>IF(INDEX(Starfsmenn!$G$6:$G$10005,ROW()-5)="","",INDEX(Starfsmenn!$G$6:$G$10005,ROW()-5))</f>
        <v/>
      </c>
      <c r="J9" s="86">
        <f>IF(INDEX(Starfsmenn!$I$6:$I$10005,ROW()-5)="","",INDEX(Starfsmenn!$I$6:$I$10005,ROW()-5))</f>
        <v/>
      </c>
      <c r="K9" s="86">
        <f>IF(INDEX(Starfsmenn!$K$6:$K$10005,ROW()-5)="","",INDEX(Starfsmenn!$K$6:$K$10005,ROW()-5))</f>
        <v/>
      </c>
      <c r="L9" s="87">
        <f>IFERROR(IF(AND(I9="",J9="",K9=""),"",IF(I9="",0,I9)+IF(J9="",0,J9)+IF(K9="",0,K9)),"")</f>
        <v/>
      </c>
      <c r="M9" s="86">
        <f>IF(INDEX(Starfsmenn!$M$6:$M$10005,ROW()-5)="","",INDEX(Starfsmenn!$M$6:$M$10005,ROW()-5))</f>
        <v/>
      </c>
      <c r="N9" s="87">
        <f>IF(INDEX(Starfsmenn!$N$6:$N$10005,ROW()-5)="","",INDEX(Starfsmenn!$N$6:$N$10005,ROW()-5))</f>
        <v/>
      </c>
    </row>
    <row r="10" ht="15" customHeight="1" s="47">
      <c r="A10" s="65">
        <f>ROW()-5</f>
        <v/>
      </c>
      <c r="B10" s="67">
        <f>IF(INDEX(Starfsmenn!$B$6:$B$10005,ROW()-5)="","",INDEX(Starfsmenn!$B$6:$B$10005,ROW()-5))</f>
        <v/>
      </c>
      <c r="C10" s="67">
        <f>IF(INDEX(Starfsmenn!$C$6:$C$10005,ROW()-5)="","",INDEX(Starfsmenn!$C$6:$C$10005,ROW()-5))</f>
        <v/>
      </c>
      <c r="D10" s="85">
        <f>IF(INDEX(Starfsmenn!$D$6:$D$10005,ROW()-5)="","",INDEX(Starfsmenn!$D$6:$D$10005,ROW()-5))</f>
        <v/>
      </c>
      <c r="E10" s="77">
        <f>IF(INDEX(Starfsmenn!$E$6:$E$10005,ROW()-5)="","",INDEX(Starfsmenn!$E$6:$E$10005,ROW()-5))</f>
        <v/>
      </c>
      <c r="F10" s="68">
        <f>IFERROR(IF(INDEX(Starfsmenn!$C$6:$C$10005,ROW()-5)="","",INDEX('Flokkun starfa'!$G$108:$GX$108,MATCH(INDEX(Starfsmenn!$C$6:$C$10005,ROW()-5),'Flokkun starfa'!$G$5:$GX$5,0)+1)),"")</f>
        <v/>
      </c>
      <c r="G10" s="77">
        <f>IFERROR(INDEX('Flokkun starfsmanna'!$GV$7:$GV$10006,ROW()-5),0)</f>
        <v/>
      </c>
      <c r="H10" s="63">
        <f>IFERROR(IF(AND(F10="",G10=""),"",IF(F10="",0,F10)+IF(G10="",0,G10)),"")</f>
        <v/>
      </c>
      <c r="I10" s="86">
        <f>IF(INDEX(Starfsmenn!$G$6:$G$10005,ROW()-5)="","",INDEX(Starfsmenn!$G$6:$G$10005,ROW()-5))</f>
        <v/>
      </c>
      <c r="J10" s="86">
        <f>IF(INDEX(Starfsmenn!$I$6:$I$10005,ROW()-5)="","",INDEX(Starfsmenn!$I$6:$I$10005,ROW()-5))</f>
        <v/>
      </c>
      <c r="K10" s="86">
        <f>IF(INDEX(Starfsmenn!$K$6:$K$10005,ROW()-5)="","",INDEX(Starfsmenn!$K$6:$K$10005,ROW()-5))</f>
        <v/>
      </c>
      <c r="L10" s="87">
        <f>IFERROR(IF(AND(I10="",J10="",K10=""),"",IF(I10="",0,I10)+IF(J10="",0,J10)+IF(K10="",0,K10)),"")</f>
        <v/>
      </c>
      <c r="M10" s="86">
        <f>IF(INDEX(Starfsmenn!$M$6:$M$10005,ROW()-5)="","",INDEX(Starfsmenn!$M$6:$M$10005,ROW()-5))</f>
        <v/>
      </c>
      <c r="N10" s="87">
        <f>IF(INDEX(Starfsmenn!$N$6:$N$10005,ROW()-5)="","",INDEX(Starfsmenn!$N$6:$N$10005,ROW()-5))</f>
        <v/>
      </c>
    </row>
    <row r="11" ht="15" customHeight="1" s="47">
      <c r="A11" s="65">
        <f>ROW()-5</f>
        <v/>
      </c>
      <c r="B11" s="67">
        <f>IF(INDEX(Starfsmenn!$B$6:$B$10005,ROW()-5)="","",INDEX(Starfsmenn!$B$6:$B$10005,ROW()-5))</f>
        <v/>
      </c>
      <c r="C11" s="67">
        <f>IF(INDEX(Starfsmenn!$C$6:$C$10005,ROW()-5)="","",INDEX(Starfsmenn!$C$6:$C$10005,ROW()-5))</f>
        <v/>
      </c>
      <c r="D11" s="85">
        <f>IF(INDEX(Starfsmenn!$D$6:$D$10005,ROW()-5)="","",INDEX(Starfsmenn!$D$6:$D$10005,ROW()-5))</f>
        <v/>
      </c>
      <c r="E11" s="77">
        <f>IF(INDEX(Starfsmenn!$E$6:$E$10005,ROW()-5)="","",INDEX(Starfsmenn!$E$6:$E$10005,ROW()-5))</f>
        <v/>
      </c>
      <c r="F11" s="68">
        <f>IFERROR(IF(INDEX(Starfsmenn!$C$6:$C$10005,ROW()-5)="","",INDEX('Flokkun starfa'!$G$108:$GX$108,MATCH(INDEX(Starfsmenn!$C$6:$C$10005,ROW()-5),'Flokkun starfa'!$G$5:$GX$5,0)+1)),"")</f>
        <v/>
      </c>
      <c r="G11" s="77">
        <f>IFERROR(INDEX('Flokkun starfsmanna'!$GV$7:$GV$10006,ROW()-5),0)</f>
        <v/>
      </c>
      <c r="H11" s="63">
        <f>IFERROR(IF(AND(F11="",G11=""),"",IF(F11="",0,F11)+IF(G11="",0,G11)),"")</f>
        <v/>
      </c>
      <c r="I11" s="86">
        <f>IF(INDEX(Starfsmenn!$G$6:$G$10005,ROW()-5)="","",INDEX(Starfsmenn!$G$6:$G$10005,ROW()-5))</f>
        <v/>
      </c>
      <c r="J11" s="86">
        <f>IF(INDEX(Starfsmenn!$I$6:$I$10005,ROW()-5)="","",INDEX(Starfsmenn!$I$6:$I$10005,ROW()-5))</f>
        <v/>
      </c>
      <c r="K11" s="86">
        <f>IF(INDEX(Starfsmenn!$K$6:$K$10005,ROW()-5)="","",INDEX(Starfsmenn!$K$6:$K$10005,ROW()-5))</f>
        <v/>
      </c>
      <c r="L11" s="87">
        <f>IFERROR(IF(AND(I11="",J11="",K11=""),"",IF(I11="",0,I11)+IF(J11="",0,J11)+IF(K11="",0,K11)),"")</f>
        <v/>
      </c>
      <c r="M11" s="86">
        <f>IF(INDEX(Starfsmenn!$M$6:$M$10005,ROW()-5)="","",INDEX(Starfsmenn!$M$6:$M$10005,ROW()-5))</f>
        <v/>
      </c>
      <c r="N11" s="87">
        <f>IF(INDEX(Starfsmenn!$N$6:$N$10005,ROW()-5)="","",INDEX(Starfsmenn!$N$6:$N$10005,ROW()-5))</f>
        <v/>
      </c>
    </row>
    <row r="12" ht="15" customHeight="1" s="47">
      <c r="A12" s="65">
        <f>ROW()-5</f>
        <v/>
      </c>
      <c r="B12" s="67">
        <f>IF(INDEX(Starfsmenn!$B$6:$B$10005,ROW()-5)="","",INDEX(Starfsmenn!$B$6:$B$10005,ROW()-5))</f>
        <v/>
      </c>
      <c r="C12" s="67">
        <f>IF(INDEX(Starfsmenn!$C$6:$C$10005,ROW()-5)="","",INDEX(Starfsmenn!$C$6:$C$10005,ROW()-5))</f>
        <v/>
      </c>
      <c r="D12" s="85">
        <f>IF(INDEX(Starfsmenn!$D$6:$D$10005,ROW()-5)="","",INDEX(Starfsmenn!$D$6:$D$10005,ROW()-5))</f>
        <v/>
      </c>
      <c r="E12" s="77">
        <f>IF(INDEX(Starfsmenn!$E$6:$E$10005,ROW()-5)="","",INDEX(Starfsmenn!$E$6:$E$10005,ROW()-5))</f>
        <v/>
      </c>
      <c r="F12" s="68">
        <f>IFERROR(IF(INDEX(Starfsmenn!$C$6:$C$10005,ROW()-5)="","",INDEX('Flokkun starfa'!$G$108:$GX$108,MATCH(INDEX(Starfsmenn!$C$6:$C$10005,ROW()-5),'Flokkun starfa'!$G$5:$GX$5,0)+1)),"")</f>
        <v/>
      </c>
      <c r="G12" s="77">
        <f>IFERROR(INDEX('Flokkun starfsmanna'!$GV$7:$GV$10006,ROW()-5),0)</f>
        <v/>
      </c>
      <c r="H12" s="63">
        <f>IFERROR(IF(AND(F12="",G12=""),"",IF(F12="",0,F12)+IF(G12="",0,G12)),"")</f>
        <v/>
      </c>
      <c r="I12" s="86">
        <f>IF(INDEX(Starfsmenn!$G$6:$G$10005,ROW()-5)="","",INDEX(Starfsmenn!$G$6:$G$10005,ROW()-5))</f>
        <v/>
      </c>
      <c r="J12" s="86">
        <f>IF(INDEX(Starfsmenn!$I$6:$I$10005,ROW()-5)="","",INDEX(Starfsmenn!$I$6:$I$10005,ROW()-5))</f>
        <v/>
      </c>
      <c r="K12" s="86">
        <f>IF(INDEX(Starfsmenn!$K$6:$K$10005,ROW()-5)="","",INDEX(Starfsmenn!$K$6:$K$10005,ROW()-5))</f>
        <v/>
      </c>
      <c r="L12" s="87">
        <f>IFERROR(IF(AND(I12="",J12="",K12=""),"",IF(I12="",0,I12)+IF(J12="",0,J12)+IF(K12="",0,K12)),"")</f>
        <v/>
      </c>
      <c r="M12" s="86">
        <f>IF(INDEX(Starfsmenn!$M$6:$M$10005,ROW()-5)="","",INDEX(Starfsmenn!$M$6:$M$10005,ROW()-5))</f>
        <v/>
      </c>
      <c r="N12" s="87">
        <f>IF(INDEX(Starfsmenn!$N$6:$N$10005,ROW()-5)="","",INDEX(Starfsmenn!$N$6:$N$10005,ROW()-5))</f>
        <v/>
      </c>
    </row>
    <row r="13" ht="15" customHeight="1" s="47">
      <c r="A13" s="65">
        <f>ROW()-5</f>
        <v/>
      </c>
      <c r="B13" s="67">
        <f>IF(INDEX(Starfsmenn!$B$6:$B$10005,ROW()-5)="","",INDEX(Starfsmenn!$B$6:$B$10005,ROW()-5))</f>
        <v/>
      </c>
      <c r="C13" s="67">
        <f>IF(INDEX(Starfsmenn!$C$6:$C$10005,ROW()-5)="","",INDEX(Starfsmenn!$C$6:$C$10005,ROW()-5))</f>
        <v/>
      </c>
      <c r="D13" s="85">
        <f>IF(INDEX(Starfsmenn!$D$6:$D$10005,ROW()-5)="","",INDEX(Starfsmenn!$D$6:$D$10005,ROW()-5))</f>
        <v/>
      </c>
      <c r="E13" s="77">
        <f>IF(INDEX(Starfsmenn!$E$6:$E$10005,ROW()-5)="","",INDEX(Starfsmenn!$E$6:$E$10005,ROW()-5))</f>
        <v/>
      </c>
      <c r="F13" s="68">
        <f>IFERROR(IF(INDEX(Starfsmenn!$C$6:$C$10005,ROW()-5)="","",INDEX('Flokkun starfa'!$G$108:$GX$108,MATCH(INDEX(Starfsmenn!$C$6:$C$10005,ROW()-5),'Flokkun starfa'!$G$5:$GX$5,0)+1)),"")</f>
        <v/>
      </c>
      <c r="G13" s="77">
        <f>IFERROR(INDEX('Flokkun starfsmanna'!$GV$7:$GV$10006,ROW()-5),0)</f>
        <v/>
      </c>
      <c r="H13" s="63">
        <f>IFERROR(IF(AND(F13="",G13=""),"",IF(F13="",0,F13)+IF(G13="",0,G13)),"")</f>
        <v/>
      </c>
      <c r="I13" s="86">
        <f>IF(INDEX(Starfsmenn!$G$6:$G$10005,ROW()-5)="","",INDEX(Starfsmenn!$G$6:$G$10005,ROW()-5))</f>
        <v/>
      </c>
      <c r="J13" s="86">
        <f>IF(INDEX(Starfsmenn!$I$6:$I$10005,ROW()-5)="","",INDEX(Starfsmenn!$I$6:$I$10005,ROW()-5))</f>
        <v/>
      </c>
      <c r="K13" s="86">
        <f>IF(INDEX(Starfsmenn!$K$6:$K$10005,ROW()-5)="","",INDEX(Starfsmenn!$K$6:$K$10005,ROW()-5))</f>
        <v/>
      </c>
      <c r="L13" s="87">
        <f>IFERROR(IF(AND(I13="",J13="",K13=""),"",IF(I13="",0,I13)+IF(J13="",0,J13)+IF(K13="",0,K13)),"")</f>
        <v/>
      </c>
      <c r="M13" s="86">
        <f>IF(INDEX(Starfsmenn!$M$6:$M$10005,ROW()-5)="","",INDEX(Starfsmenn!$M$6:$M$10005,ROW()-5))</f>
        <v/>
      </c>
      <c r="N13" s="87">
        <f>IF(INDEX(Starfsmenn!$N$6:$N$10005,ROW()-5)="","",INDEX(Starfsmenn!$N$6:$N$10005,ROW()-5))</f>
        <v/>
      </c>
    </row>
    <row r="14" ht="15" customHeight="1" s="47">
      <c r="A14" s="65">
        <f>ROW()-5</f>
        <v/>
      </c>
      <c r="B14" s="67">
        <f>IF(INDEX(Starfsmenn!$B$6:$B$10005,ROW()-5)="","",INDEX(Starfsmenn!$B$6:$B$10005,ROW()-5))</f>
        <v/>
      </c>
      <c r="C14" s="67">
        <f>IF(INDEX(Starfsmenn!$C$6:$C$10005,ROW()-5)="","",INDEX(Starfsmenn!$C$6:$C$10005,ROW()-5))</f>
        <v/>
      </c>
      <c r="D14" s="85">
        <f>IF(INDEX(Starfsmenn!$D$6:$D$10005,ROW()-5)="","",INDEX(Starfsmenn!$D$6:$D$10005,ROW()-5))</f>
        <v/>
      </c>
      <c r="E14" s="77">
        <f>IF(INDEX(Starfsmenn!$E$6:$E$10005,ROW()-5)="","",INDEX(Starfsmenn!$E$6:$E$10005,ROW()-5))</f>
        <v/>
      </c>
      <c r="F14" s="68">
        <f>IFERROR(IF(INDEX(Starfsmenn!$C$6:$C$10005,ROW()-5)="","",INDEX('Flokkun starfa'!$G$108:$GX$108,MATCH(INDEX(Starfsmenn!$C$6:$C$10005,ROW()-5),'Flokkun starfa'!$G$5:$GX$5,0)+1)),"")</f>
        <v/>
      </c>
      <c r="G14" s="77">
        <f>IFERROR(INDEX('Flokkun starfsmanna'!$GV$7:$GV$10006,ROW()-5),0)</f>
        <v/>
      </c>
      <c r="H14" s="63">
        <f>IFERROR(IF(AND(F14="",G14=""),"",IF(F14="",0,F14)+IF(G14="",0,G14)),"")</f>
        <v/>
      </c>
      <c r="I14" s="86">
        <f>IF(INDEX(Starfsmenn!$G$6:$G$10005,ROW()-5)="","",INDEX(Starfsmenn!$G$6:$G$10005,ROW()-5))</f>
        <v/>
      </c>
      <c r="J14" s="86">
        <f>IF(INDEX(Starfsmenn!$I$6:$I$10005,ROW()-5)="","",INDEX(Starfsmenn!$I$6:$I$10005,ROW()-5))</f>
        <v/>
      </c>
      <c r="K14" s="86">
        <f>IF(INDEX(Starfsmenn!$K$6:$K$10005,ROW()-5)="","",INDEX(Starfsmenn!$K$6:$K$10005,ROW()-5))</f>
        <v/>
      </c>
      <c r="L14" s="87">
        <f>IFERROR(IF(AND(I14="",J14="",K14=""),"",IF(I14="",0,I14)+IF(J14="",0,J14)+IF(K14="",0,K14)),"")</f>
        <v/>
      </c>
      <c r="M14" s="86">
        <f>IF(INDEX(Starfsmenn!$M$6:$M$10005,ROW()-5)="","",INDEX(Starfsmenn!$M$6:$M$10005,ROW()-5))</f>
        <v/>
      </c>
      <c r="N14" s="87">
        <f>IF(INDEX(Starfsmenn!$N$6:$N$10005,ROW()-5)="","",INDEX(Starfsmenn!$N$6:$N$10005,ROW()-5))</f>
        <v/>
      </c>
    </row>
    <row r="15" ht="15" customHeight="1" s="47">
      <c r="A15" s="65">
        <f>ROW()-5</f>
        <v/>
      </c>
      <c r="B15" s="67">
        <f>IF(INDEX(Starfsmenn!$B$6:$B$10005,ROW()-5)="","",INDEX(Starfsmenn!$B$6:$B$10005,ROW()-5))</f>
        <v/>
      </c>
      <c r="C15" s="67">
        <f>IF(INDEX(Starfsmenn!$C$6:$C$10005,ROW()-5)="","",INDEX(Starfsmenn!$C$6:$C$10005,ROW()-5))</f>
        <v/>
      </c>
      <c r="D15" s="85">
        <f>IF(INDEX(Starfsmenn!$D$6:$D$10005,ROW()-5)="","",INDEX(Starfsmenn!$D$6:$D$10005,ROW()-5))</f>
        <v/>
      </c>
      <c r="E15" s="77">
        <f>IF(INDEX(Starfsmenn!$E$6:$E$10005,ROW()-5)="","",INDEX(Starfsmenn!$E$6:$E$10005,ROW()-5))</f>
        <v/>
      </c>
      <c r="F15" s="68">
        <f>IFERROR(IF(INDEX(Starfsmenn!$C$6:$C$10005,ROW()-5)="","",INDEX('Flokkun starfa'!$G$108:$GX$108,MATCH(INDEX(Starfsmenn!$C$6:$C$10005,ROW()-5),'Flokkun starfa'!$G$5:$GX$5,0)+1)),"")</f>
        <v/>
      </c>
      <c r="G15" s="77">
        <f>IFERROR(INDEX('Flokkun starfsmanna'!$GV$7:$GV$10006,ROW()-5),0)</f>
        <v/>
      </c>
      <c r="H15" s="63">
        <f>IFERROR(IF(AND(F15="",G15=""),"",IF(F15="",0,F15)+IF(G15="",0,G15)),"")</f>
        <v/>
      </c>
      <c r="I15" s="86">
        <f>IF(INDEX(Starfsmenn!$G$6:$G$10005,ROW()-5)="","",INDEX(Starfsmenn!$G$6:$G$10005,ROW()-5))</f>
        <v/>
      </c>
      <c r="J15" s="86">
        <f>IF(INDEX(Starfsmenn!$I$6:$I$10005,ROW()-5)="","",INDEX(Starfsmenn!$I$6:$I$10005,ROW()-5))</f>
        <v/>
      </c>
      <c r="K15" s="86">
        <f>IF(INDEX(Starfsmenn!$K$6:$K$10005,ROW()-5)="","",INDEX(Starfsmenn!$K$6:$K$10005,ROW()-5))</f>
        <v/>
      </c>
      <c r="L15" s="87">
        <f>IFERROR(IF(AND(I15="",J15="",K15=""),"",IF(I15="",0,I15)+IF(J15="",0,J15)+IF(K15="",0,K15)),"")</f>
        <v/>
      </c>
      <c r="M15" s="86">
        <f>IF(INDEX(Starfsmenn!$M$6:$M$10005,ROW()-5)="","",INDEX(Starfsmenn!$M$6:$M$10005,ROW()-5))</f>
        <v/>
      </c>
      <c r="N15" s="87">
        <f>IF(INDEX(Starfsmenn!$N$6:$N$10005,ROW()-5)="","",INDEX(Starfsmenn!$N$6:$N$10005,ROW()-5))</f>
        <v/>
      </c>
    </row>
    <row r="16" ht="15" customHeight="1" s="47">
      <c r="A16" s="65">
        <f>ROW()-5</f>
        <v/>
      </c>
      <c r="B16" s="67">
        <f>IF(INDEX(Starfsmenn!$B$6:$B$10005,ROW()-5)="","",INDEX(Starfsmenn!$B$6:$B$10005,ROW()-5))</f>
        <v/>
      </c>
      <c r="C16" s="67">
        <f>IF(INDEX(Starfsmenn!$C$6:$C$10005,ROW()-5)="","",INDEX(Starfsmenn!$C$6:$C$10005,ROW()-5))</f>
        <v/>
      </c>
      <c r="D16" s="85">
        <f>IF(INDEX(Starfsmenn!$D$6:$D$10005,ROW()-5)="","",INDEX(Starfsmenn!$D$6:$D$10005,ROW()-5))</f>
        <v/>
      </c>
      <c r="E16" s="77">
        <f>IF(INDEX(Starfsmenn!$E$6:$E$10005,ROW()-5)="","",INDEX(Starfsmenn!$E$6:$E$10005,ROW()-5))</f>
        <v/>
      </c>
      <c r="F16" s="68">
        <f>IFERROR(IF(INDEX(Starfsmenn!$C$6:$C$10005,ROW()-5)="","",INDEX('Flokkun starfa'!$G$108:$GX$108,MATCH(INDEX(Starfsmenn!$C$6:$C$10005,ROW()-5),'Flokkun starfa'!$G$5:$GX$5,0)+1)),"")</f>
        <v/>
      </c>
      <c r="G16" s="77">
        <f>IFERROR(INDEX('Flokkun starfsmanna'!$GV$7:$GV$10006,ROW()-5),0)</f>
        <v/>
      </c>
      <c r="H16" s="63">
        <f>IFERROR(IF(AND(F16="",G16=""),"",IF(F16="",0,F16)+IF(G16="",0,G16)),"")</f>
        <v/>
      </c>
      <c r="I16" s="86">
        <f>IF(INDEX(Starfsmenn!$G$6:$G$10005,ROW()-5)="","",INDEX(Starfsmenn!$G$6:$G$10005,ROW()-5))</f>
        <v/>
      </c>
      <c r="J16" s="86">
        <f>IF(INDEX(Starfsmenn!$I$6:$I$10005,ROW()-5)="","",INDEX(Starfsmenn!$I$6:$I$10005,ROW()-5))</f>
        <v/>
      </c>
      <c r="K16" s="86">
        <f>IF(INDEX(Starfsmenn!$K$6:$K$10005,ROW()-5)="","",INDEX(Starfsmenn!$K$6:$K$10005,ROW()-5))</f>
        <v/>
      </c>
      <c r="L16" s="87">
        <f>IFERROR(IF(AND(I16="",J16="",K16=""),"",IF(I16="",0,I16)+IF(J16="",0,J16)+IF(K16="",0,K16)),"")</f>
        <v/>
      </c>
      <c r="M16" s="86">
        <f>IF(INDEX(Starfsmenn!$M$6:$M$10005,ROW()-5)="","",INDEX(Starfsmenn!$M$6:$M$10005,ROW()-5))</f>
        <v/>
      </c>
      <c r="N16" s="87">
        <f>IF(INDEX(Starfsmenn!$N$6:$N$10005,ROW()-5)="","",INDEX(Starfsmenn!$N$6:$N$10005,ROW()-5))</f>
        <v/>
      </c>
    </row>
    <row r="17" ht="15" customHeight="1" s="47">
      <c r="A17" s="65">
        <f>ROW()-5</f>
        <v/>
      </c>
      <c r="B17" s="67">
        <f>IF(INDEX(Starfsmenn!$B$6:$B$10005,ROW()-5)="","",INDEX(Starfsmenn!$B$6:$B$10005,ROW()-5))</f>
        <v/>
      </c>
      <c r="C17" s="67">
        <f>IF(INDEX(Starfsmenn!$C$6:$C$10005,ROW()-5)="","",INDEX(Starfsmenn!$C$6:$C$10005,ROW()-5))</f>
        <v/>
      </c>
      <c r="D17" s="85">
        <f>IF(INDEX(Starfsmenn!$D$6:$D$10005,ROW()-5)="","",INDEX(Starfsmenn!$D$6:$D$10005,ROW()-5))</f>
        <v/>
      </c>
      <c r="E17" s="77">
        <f>IF(INDEX(Starfsmenn!$E$6:$E$10005,ROW()-5)="","",INDEX(Starfsmenn!$E$6:$E$10005,ROW()-5))</f>
        <v/>
      </c>
      <c r="F17" s="68">
        <f>IFERROR(IF(INDEX(Starfsmenn!$C$6:$C$10005,ROW()-5)="","",INDEX('Flokkun starfa'!$G$108:$GX$108,MATCH(INDEX(Starfsmenn!$C$6:$C$10005,ROW()-5),'Flokkun starfa'!$G$5:$GX$5,0)+1)),"")</f>
        <v/>
      </c>
      <c r="G17" s="77">
        <f>IFERROR(INDEX('Flokkun starfsmanna'!$GV$7:$GV$10006,ROW()-5),0)</f>
        <v/>
      </c>
      <c r="H17" s="63">
        <f>IFERROR(IF(AND(F17="",G17=""),"",IF(F17="",0,F17)+IF(G17="",0,G17)),"")</f>
        <v/>
      </c>
      <c r="I17" s="86">
        <f>IF(INDEX(Starfsmenn!$G$6:$G$10005,ROW()-5)="","",INDEX(Starfsmenn!$G$6:$G$10005,ROW()-5))</f>
        <v/>
      </c>
      <c r="J17" s="86">
        <f>IF(INDEX(Starfsmenn!$I$6:$I$10005,ROW()-5)="","",INDEX(Starfsmenn!$I$6:$I$10005,ROW()-5))</f>
        <v/>
      </c>
      <c r="K17" s="86">
        <f>IF(INDEX(Starfsmenn!$K$6:$K$10005,ROW()-5)="","",INDEX(Starfsmenn!$K$6:$K$10005,ROW()-5))</f>
        <v/>
      </c>
      <c r="L17" s="87">
        <f>IFERROR(IF(AND(I17="",J17="",K17=""),"",IF(I17="",0,I17)+IF(J17="",0,J17)+IF(K17="",0,K17)),"")</f>
        <v/>
      </c>
      <c r="M17" s="86">
        <f>IF(INDEX(Starfsmenn!$M$6:$M$10005,ROW()-5)="","",INDEX(Starfsmenn!$M$6:$M$10005,ROW()-5))</f>
        <v/>
      </c>
      <c r="N17" s="87">
        <f>IF(INDEX(Starfsmenn!$N$6:$N$10005,ROW()-5)="","",INDEX(Starfsmenn!$N$6:$N$10005,ROW()-5))</f>
        <v/>
      </c>
    </row>
    <row r="18" ht="15" customHeight="1" s="47">
      <c r="A18" s="65">
        <f>ROW()-5</f>
        <v/>
      </c>
      <c r="B18" s="67">
        <f>IF(INDEX(Starfsmenn!$B$6:$B$10005,ROW()-5)="","",INDEX(Starfsmenn!$B$6:$B$10005,ROW()-5))</f>
        <v/>
      </c>
      <c r="C18" s="67">
        <f>IF(INDEX(Starfsmenn!$C$6:$C$10005,ROW()-5)="","",INDEX(Starfsmenn!$C$6:$C$10005,ROW()-5))</f>
        <v/>
      </c>
      <c r="D18" s="85">
        <f>IF(INDEX(Starfsmenn!$D$6:$D$10005,ROW()-5)="","",INDEX(Starfsmenn!$D$6:$D$10005,ROW()-5))</f>
        <v/>
      </c>
      <c r="E18" s="77">
        <f>IF(INDEX(Starfsmenn!$E$6:$E$10005,ROW()-5)="","",INDEX(Starfsmenn!$E$6:$E$10005,ROW()-5))</f>
        <v/>
      </c>
      <c r="F18" s="68">
        <f>IFERROR(IF(INDEX(Starfsmenn!$C$6:$C$10005,ROW()-5)="","",INDEX('Flokkun starfa'!$G$108:$GX$108,MATCH(INDEX(Starfsmenn!$C$6:$C$10005,ROW()-5),'Flokkun starfa'!$G$5:$GX$5,0)+1)),"")</f>
        <v/>
      </c>
      <c r="G18" s="77">
        <f>IFERROR(INDEX('Flokkun starfsmanna'!$GV$7:$GV$10006,ROW()-5),0)</f>
        <v/>
      </c>
      <c r="H18" s="63">
        <f>IFERROR(IF(AND(F18="",G18=""),"",IF(F18="",0,F18)+IF(G18="",0,G18)),"")</f>
        <v/>
      </c>
      <c r="I18" s="86">
        <f>IF(INDEX(Starfsmenn!$G$6:$G$10005,ROW()-5)="","",INDEX(Starfsmenn!$G$6:$G$10005,ROW()-5))</f>
        <v/>
      </c>
      <c r="J18" s="86">
        <f>IF(INDEX(Starfsmenn!$I$6:$I$10005,ROW()-5)="","",INDEX(Starfsmenn!$I$6:$I$10005,ROW()-5))</f>
        <v/>
      </c>
      <c r="K18" s="86">
        <f>IF(INDEX(Starfsmenn!$K$6:$K$10005,ROW()-5)="","",INDEX(Starfsmenn!$K$6:$K$10005,ROW()-5))</f>
        <v/>
      </c>
      <c r="L18" s="87">
        <f>IFERROR(IF(AND(I18="",J18="",K18=""),"",IF(I18="",0,I18)+IF(J18="",0,J18)+IF(K18="",0,K18)),"")</f>
        <v/>
      </c>
      <c r="M18" s="86">
        <f>IF(INDEX(Starfsmenn!$M$6:$M$10005,ROW()-5)="","",INDEX(Starfsmenn!$M$6:$M$10005,ROW()-5))</f>
        <v/>
      </c>
      <c r="N18" s="87">
        <f>IF(INDEX(Starfsmenn!$N$6:$N$10005,ROW()-5)="","",INDEX(Starfsmenn!$N$6:$N$10005,ROW()-5))</f>
        <v/>
      </c>
    </row>
    <row r="19" ht="15" customHeight="1" s="47">
      <c r="A19" s="65">
        <f>ROW()-5</f>
        <v/>
      </c>
      <c r="B19" s="67">
        <f>IF(INDEX(Starfsmenn!$B$6:$B$10005,ROW()-5)="","",INDEX(Starfsmenn!$B$6:$B$10005,ROW()-5))</f>
        <v/>
      </c>
      <c r="C19" s="67">
        <f>IF(INDEX(Starfsmenn!$C$6:$C$10005,ROW()-5)="","",INDEX(Starfsmenn!$C$6:$C$10005,ROW()-5))</f>
        <v/>
      </c>
      <c r="D19" s="85">
        <f>IF(INDEX(Starfsmenn!$D$6:$D$10005,ROW()-5)="","",INDEX(Starfsmenn!$D$6:$D$10005,ROW()-5))</f>
        <v/>
      </c>
      <c r="E19" s="77">
        <f>IF(INDEX(Starfsmenn!$E$6:$E$10005,ROW()-5)="","",INDEX(Starfsmenn!$E$6:$E$10005,ROW()-5))</f>
        <v/>
      </c>
      <c r="F19" s="68">
        <f>IFERROR(IF(INDEX(Starfsmenn!$C$6:$C$10005,ROW()-5)="","",INDEX('Flokkun starfa'!$G$108:$GX$108,MATCH(INDEX(Starfsmenn!$C$6:$C$10005,ROW()-5),'Flokkun starfa'!$G$5:$GX$5,0)+1)),"")</f>
        <v/>
      </c>
      <c r="G19" s="77">
        <f>IFERROR(INDEX('Flokkun starfsmanna'!$GV$7:$GV$10006,ROW()-5),0)</f>
        <v/>
      </c>
      <c r="H19" s="63">
        <f>IFERROR(IF(AND(F19="",G19=""),"",IF(F19="",0,F19)+IF(G19="",0,G19)),"")</f>
        <v/>
      </c>
      <c r="I19" s="86">
        <f>IF(INDEX(Starfsmenn!$G$6:$G$10005,ROW()-5)="","",INDEX(Starfsmenn!$G$6:$G$10005,ROW()-5))</f>
        <v/>
      </c>
      <c r="J19" s="86">
        <f>IF(INDEX(Starfsmenn!$I$6:$I$10005,ROW()-5)="","",INDEX(Starfsmenn!$I$6:$I$10005,ROW()-5))</f>
        <v/>
      </c>
      <c r="K19" s="86">
        <f>IF(INDEX(Starfsmenn!$K$6:$K$10005,ROW()-5)="","",INDEX(Starfsmenn!$K$6:$K$10005,ROW()-5))</f>
        <v/>
      </c>
      <c r="L19" s="87">
        <f>IFERROR(IF(AND(I19="",J19="",K19=""),"",IF(I19="",0,I19)+IF(J19="",0,J19)+IF(K19="",0,K19)),"")</f>
        <v/>
      </c>
      <c r="M19" s="86">
        <f>IF(INDEX(Starfsmenn!$M$6:$M$10005,ROW()-5)="","",INDEX(Starfsmenn!$M$6:$M$10005,ROW()-5))</f>
        <v/>
      </c>
      <c r="N19" s="87">
        <f>IF(INDEX(Starfsmenn!$N$6:$N$10005,ROW()-5)="","",INDEX(Starfsmenn!$N$6:$N$10005,ROW()-5))</f>
        <v/>
      </c>
    </row>
    <row r="20" ht="15" customHeight="1" s="47">
      <c r="A20" s="65">
        <f>ROW()-5</f>
        <v/>
      </c>
      <c r="B20" s="67">
        <f>IF(INDEX(Starfsmenn!$B$6:$B$10005,ROW()-5)="","",INDEX(Starfsmenn!$B$6:$B$10005,ROW()-5))</f>
        <v/>
      </c>
      <c r="C20" s="67">
        <f>IF(INDEX(Starfsmenn!$C$6:$C$10005,ROW()-5)="","",INDEX(Starfsmenn!$C$6:$C$10005,ROW()-5))</f>
        <v/>
      </c>
      <c r="D20" s="85">
        <f>IF(INDEX(Starfsmenn!$D$6:$D$10005,ROW()-5)="","",INDEX(Starfsmenn!$D$6:$D$10005,ROW()-5))</f>
        <v/>
      </c>
      <c r="E20" s="77">
        <f>IF(INDEX(Starfsmenn!$E$6:$E$10005,ROW()-5)="","",INDEX(Starfsmenn!$E$6:$E$10005,ROW()-5))</f>
        <v/>
      </c>
      <c r="F20" s="68">
        <f>IFERROR(IF(INDEX(Starfsmenn!$C$6:$C$10005,ROW()-5)="","",INDEX('Flokkun starfa'!$G$108:$GX$108,MATCH(INDEX(Starfsmenn!$C$6:$C$10005,ROW()-5),'Flokkun starfa'!$G$5:$GX$5,0)+1)),"")</f>
        <v/>
      </c>
      <c r="G20" s="77">
        <f>IFERROR(INDEX('Flokkun starfsmanna'!$GV$7:$GV$10006,ROW()-5),0)</f>
        <v/>
      </c>
      <c r="H20" s="63">
        <f>IFERROR(IF(AND(F20="",G20=""),"",IF(F20="",0,F20)+IF(G20="",0,G20)),"")</f>
        <v/>
      </c>
      <c r="I20" s="86">
        <f>IF(INDEX(Starfsmenn!$G$6:$G$10005,ROW()-5)="","",INDEX(Starfsmenn!$G$6:$G$10005,ROW()-5))</f>
        <v/>
      </c>
      <c r="J20" s="86">
        <f>IF(INDEX(Starfsmenn!$I$6:$I$10005,ROW()-5)="","",INDEX(Starfsmenn!$I$6:$I$10005,ROW()-5))</f>
        <v/>
      </c>
      <c r="K20" s="86">
        <f>IF(INDEX(Starfsmenn!$K$6:$K$10005,ROW()-5)="","",INDEX(Starfsmenn!$K$6:$K$10005,ROW()-5))</f>
        <v/>
      </c>
      <c r="L20" s="87">
        <f>IFERROR(IF(AND(I20="",J20="",K20=""),"",IF(I20="",0,I20)+IF(J20="",0,J20)+IF(K20="",0,K20)),"")</f>
        <v/>
      </c>
      <c r="M20" s="86">
        <f>IF(INDEX(Starfsmenn!$M$6:$M$10005,ROW()-5)="","",INDEX(Starfsmenn!$M$6:$M$10005,ROW()-5))</f>
        <v/>
      </c>
      <c r="N20" s="87">
        <f>IF(INDEX(Starfsmenn!$N$6:$N$10005,ROW()-5)="","",INDEX(Starfsmenn!$N$6:$N$10005,ROW()-5))</f>
        <v/>
      </c>
    </row>
    <row r="21" ht="15" customHeight="1" s="47">
      <c r="A21" s="65">
        <f>ROW()-5</f>
        <v/>
      </c>
      <c r="B21" s="67">
        <f>IF(INDEX(Starfsmenn!$B$6:$B$10005,ROW()-5)="","",INDEX(Starfsmenn!$B$6:$B$10005,ROW()-5))</f>
        <v/>
      </c>
      <c r="C21" s="67">
        <f>IF(INDEX(Starfsmenn!$C$6:$C$10005,ROW()-5)="","",INDEX(Starfsmenn!$C$6:$C$10005,ROW()-5))</f>
        <v/>
      </c>
      <c r="D21" s="85">
        <f>IF(INDEX(Starfsmenn!$D$6:$D$10005,ROW()-5)="","",INDEX(Starfsmenn!$D$6:$D$10005,ROW()-5))</f>
        <v/>
      </c>
      <c r="E21" s="77">
        <f>IF(INDEX(Starfsmenn!$E$6:$E$10005,ROW()-5)="","",INDEX(Starfsmenn!$E$6:$E$10005,ROW()-5))</f>
        <v/>
      </c>
      <c r="F21" s="68">
        <f>IFERROR(IF(INDEX(Starfsmenn!$C$6:$C$10005,ROW()-5)="","",INDEX('Flokkun starfa'!$G$108:$GX$108,MATCH(INDEX(Starfsmenn!$C$6:$C$10005,ROW()-5),'Flokkun starfa'!$G$5:$GX$5,0)+1)),"")</f>
        <v/>
      </c>
      <c r="G21" s="77">
        <f>IFERROR(INDEX('Flokkun starfsmanna'!$GV$7:$GV$10006,ROW()-5),0)</f>
        <v/>
      </c>
      <c r="H21" s="63">
        <f>IFERROR(IF(AND(F21="",G21=""),"",IF(F21="",0,F21)+IF(G21="",0,G21)),"")</f>
        <v/>
      </c>
      <c r="I21" s="86">
        <f>IF(INDEX(Starfsmenn!$G$6:$G$10005,ROW()-5)="","",INDEX(Starfsmenn!$G$6:$G$10005,ROW()-5))</f>
        <v/>
      </c>
      <c r="J21" s="86">
        <f>IF(INDEX(Starfsmenn!$I$6:$I$10005,ROW()-5)="","",INDEX(Starfsmenn!$I$6:$I$10005,ROW()-5))</f>
        <v/>
      </c>
      <c r="K21" s="86">
        <f>IF(INDEX(Starfsmenn!$K$6:$K$10005,ROW()-5)="","",INDEX(Starfsmenn!$K$6:$K$10005,ROW()-5))</f>
        <v/>
      </c>
      <c r="L21" s="87">
        <f>IFERROR(IF(AND(I21="",J21="",K21=""),"",IF(I21="",0,I21)+IF(J21="",0,J21)+IF(K21="",0,K21)),"")</f>
        <v/>
      </c>
      <c r="M21" s="86">
        <f>IF(INDEX(Starfsmenn!$M$6:$M$10005,ROW()-5)="","",INDEX(Starfsmenn!$M$6:$M$10005,ROW()-5))</f>
        <v/>
      </c>
      <c r="N21" s="87">
        <f>IF(INDEX(Starfsmenn!$N$6:$N$10005,ROW()-5)="","",INDEX(Starfsmenn!$N$6:$N$10005,ROW()-5))</f>
        <v/>
      </c>
    </row>
    <row r="22" ht="15" customHeight="1" s="47">
      <c r="A22" s="65">
        <f>ROW()-5</f>
        <v/>
      </c>
      <c r="B22" s="67">
        <f>IF(INDEX(Starfsmenn!$B$6:$B$10005,ROW()-5)="","",INDEX(Starfsmenn!$B$6:$B$10005,ROW()-5))</f>
        <v/>
      </c>
      <c r="C22" s="67">
        <f>IF(INDEX(Starfsmenn!$C$6:$C$10005,ROW()-5)="","",INDEX(Starfsmenn!$C$6:$C$10005,ROW()-5))</f>
        <v/>
      </c>
      <c r="D22" s="85">
        <f>IF(INDEX(Starfsmenn!$D$6:$D$10005,ROW()-5)="","",INDEX(Starfsmenn!$D$6:$D$10005,ROW()-5))</f>
        <v/>
      </c>
      <c r="E22" s="77">
        <f>IF(INDEX(Starfsmenn!$E$6:$E$10005,ROW()-5)="","",INDEX(Starfsmenn!$E$6:$E$10005,ROW()-5))</f>
        <v/>
      </c>
      <c r="F22" s="68">
        <f>IFERROR(IF(INDEX(Starfsmenn!$C$6:$C$10005,ROW()-5)="","",INDEX('Flokkun starfa'!$G$108:$GX$108,MATCH(INDEX(Starfsmenn!$C$6:$C$10005,ROW()-5),'Flokkun starfa'!$G$5:$GX$5,0)+1)),"")</f>
        <v/>
      </c>
      <c r="G22" s="77">
        <f>IFERROR(INDEX('Flokkun starfsmanna'!$GV$7:$GV$10006,ROW()-5),0)</f>
        <v/>
      </c>
      <c r="H22" s="63">
        <f>IFERROR(IF(AND(F22="",G22=""),"",IF(F22="",0,F22)+IF(G22="",0,G22)),"")</f>
        <v/>
      </c>
      <c r="I22" s="86">
        <f>IF(INDEX(Starfsmenn!$G$6:$G$10005,ROW()-5)="","",INDEX(Starfsmenn!$G$6:$G$10005,ROW()-5))</f>
        <v/>
      </c>
      <c r="J22" s="86">
        <f>IF(INDEX(Starfsmenn!$I$6:$I$10005,ROW()-5)="","",INDEX(Starfsmenn!$I$6:$I$10005,ROW()-5))</f>
        <v/>
      </c>
      <c r="K22" s="86">
        <f>IF(INDEX(Starfsmenn!$K$6:$K$10005,ROW()-5)="","",INDEX(Starfsmenn!$K$6:$K$10005,ROW()-5))</f>
        <v/>
      </c>
      <c r="L22" s="87">
        <f>IFERROR(IF(AND(I22="",J22="",K22=""),"",IF(I22="",0,I22)+IF(J22="",0,J22)+IF(K22="",0,K22)),"")</f>
        <v/>
      </c>
      <c r="M22" s="86">
        <f>IF(INDEX(Starfsmenn!$M$6:$M$10005,ROW()-5)="","",INDEX(Starfsmenn!$M$6:$M$10005,ROW()-5))</f>
        <v/>
      </c>
      <c r="N22" s="87">
        <f>IF(INDEX(Starfsmenn!$N$6:$N$10005,ROW()-5)="","",INDEX(Starfsmenn!$N$6:$N$10005,ROW()-5))</f>
        <v/>
      </c>
    </row>
    <row r="23" ht="15" customHeight="1" s="47">
      <c r="A23" s="65">
        <f>ROW()-5</f>
        <v/>
      </c>
      <c r="B23" s="67">
        <f>IF(INDEX(Starfsmenn!$B$6:$B$10005,ROW()-5)="","",INDEX(Starfsmenn!$B$6:$B$10005,ROW()-5))</f>
        <v/>
      </c>
      <c r="C23" s="67">
        <f>IF(INDEX(Starfsmenn!$C$6:$C$10005,ROW()-5)="","",INDEX(Starfsmenn!$C$6:$C$10005,ROW()-5))</f>
        <v/>
      </c>
      <c r="D23" s="85">
        <f>IF(INDEX(Starfsmenn!$D$6:$D$10005,ROW()-5)="","",INDEX(Starfsmenn!$D$6:$D$10005,ROW()-5))</f>
        <v/>
      </c>
      <c r="E23" s="77">
        <f>IF(INDEX(Starfsmenn!$E$6:$E$10005,ROW()-5)="","",INDEX(Starfsmenn!$E$6:$E$10005,ROW()-5))</f>
        <v/>
      </c>
      <c r="F23" s="68">
        <f>IFERROR(IF(INDEX(Starfsmenn!$C$6:$C$10005,ROW()-5)="","",INDEX('Flokkun starfa'!$G$108:$GX$108,MATCH(INDEX(Starfsmenn!$C$6:$C$10005,ROW()-5),'Flokkun starfa'!$G$5:$GX$5,0)+1)),"")</f>
        <v/>
      </c>
      <c r="G23" s="77">
        <f>IFERROR(INDEX('Flokkun starfsmanna'!$GV$7:$GV$10006,ROW()-5),0)</f>
        <v/>
      </c>
      <c r="H23" s="63">
        <f>IFERROR(IF(AND(F23="",G23=""),"",IF(F23="",0,F23)+IF(G23="",0,G23)),"")</f>
        <v/>
      </c>
      <c r="I23" s="86">
        <f>IF(INDEX(Starfsmenn!$G$6:$G$10005,ROW()-5)="","",INDEX(Starfsmenn!$G$6:$G$10005,ROW()-5))</f>
        <v/>
      </c>
      <c r="J23" s="86">
        <f>IF(INDEX(Starfsmenn!$I$6:$I$10005,ROW()-5)="","",INDEX(Starfsmenn!$I$6:$I$10005,ROW()-5))</f>
        <v/>
      </c>
      <c r="K23" s="86">
        <f>IF(INDEX(Starfsmenn!$K$6:$K$10005,ROW()-5)="","",INDEX(Starfsmenn!$K$6:$K$10005,ROW()-5))</f>
        <v/>
      </c>
      <c r="L23" s="87">
        <f>IFERROR(IF(AND(I23="",J23="",K23=""),"",IF(I23="",0,I23)+IF(J23="",0,J23)+IF(K23="",0,K23)),"")</f>
        <v/>
      </c>
      <c r="M23" s="86">
        <f>IF(INDEX(Starfsmenn!$M$6:$M$10005,ROW()-5)="","",INDEX(Starfsmenn!$M$6:$M$10005,ROW()-5))</f>
        <v/>
      </c>
      <c r="N23" s="87">
        <f>IF(INDEX(Starfsmenn!$N$6:$N$10005,ROW()-5)="","",INDEX(Starfsmenn!$N$6:$N$10005,ROW()-5))</f>
        <v/>
      </c>
    </row>
    <row r="24" ht="15" customHeight="1" s="47">
      <c r="A24" s="65">
        <f>ROW()-5</f>
        <v/>
      </c>
      <c r="B24" s="67">
        <f>IF(INDEX(Starfsmenn!$B$6:$B$10005,ROW()-5)="","",INDEX(Starfsmenn!$B$6:$B$10005,ROW()-5))</f>
        <v/>
      </c>
      <c r="C24" s="67">
        <f>IF(INDEX(Starfsmenn!$C$6:$C$10005,ROW()-5)="","",INDEX(Starfsmenn!$C$6:$C$10005,ROW()-5))</f>
        <v/>
      </c>
      <c r="D24" s="85">
        <f>IF(INDEX(Starfsmenn!$D$6:$D$10005,ROW()-5)="","",INDEX(Starfsmenn!$D$6:$D$10005,ROW()-5))</f>
        <v/>
      </c>
      <c r="E24" s="77">
        <f>IF(INDEX(Starfsmenn!$E$6:$E$10005,ROW()-5)="","",INDEX(Starfsmenn!$E$6:$E$10005,ROW()-5))</f>
        <v/>
      </c>
      <c r="F24" s="68">
        <f>IFERROR(IF(INDEX(Starfsmenn!$C$6:$C$10005,ROW()-5)="","",INDEX('Flokkun starfa'!$G$108:$GX$108,MATCH(INDEX(Starfsmenn!$C$6:$C$10005,ROW()-5),'Flokkun starfa'!$G$5:$GX$5,0)+1)),"")</f>
        <v/>
      </c>
      <c r="G24" s="77">
        <f>IFERROR(INDEX('Flokkun starfsmanna'!$GV$7:$GV$10006,ROW()-5),0)</f>
        <v/>
      </c>
      <c r="H24" s="63">
        <f>IFERROR(IF(AND(F24="",G24=""),"",IF(F24="",0,F24)+IF(G24="",0,G24)),"")</f>
        <v/>
      </c>
      <c r="I24" s="86">
        <f>IF(INDEX(Starfsmenn!$G$6:$G$10005,ROW()-5)="","",INDEX(Starfsmenn!$G$6:$G$10005,ROW()-5))</f>
        <v/>
      </c>
      <c r="J24" s="86">
        <f>IF(INDEX(Starfsmenn!$I$6:$I$10005,ROW()-5)="","",INDEX(Starfsmenn!$I$6:$I$10005,ROW()-5))</f>
        <v/>
      </c>
      <c r="K24" s="86">
        <f>IF(INDEX(Starfsmenn!$K$6:$K$10005,ROW()-5)="","",INDEX(Starfsmenn!$K$6:$K$10005,ROW()-5))</f>
        <v/>
      </c>
      <c r="L24" s="87">
        <f>IFERROR(IF(AND(I24="",J24="",K24=""),"",IF(I24="",0,I24)+IF(J24="",0,J24)+IF(K24="",0,K24)),"")</f>
        <v/>
      </c>
      <c r="M24" s="86">
        <f>IF(INDEX(Starfsmenn!$M$6:$M$10005,ROW()-5)="","",INDEX(Starfsmenn!$M$6:$M$10005,ROW()-5))</f>
        <v/>
      </c>
      <c r="N24" s="87">
        <f>IF(INDEX(Starfsmenn!$N$6:$N$10005,ROW()-5)="","",INDEX(Starfsmenn!$N$6:$N$10005,ROW()-5))</f>
        <v/>
      </c>
    </row>
    <row r="25" ht="15" customHeight="1" s="47">
      <c r="A25" s="65">
        <f>ROW()-5</f>
        <v/>
      </c>
      <c r="B25" s="67">
        <f>IF(INDEX(Starfsmenn!$B$6:$B$10005,ROW()-5)="","",INDEX(Starfsmenn!$B$6:$B$10005,ROW()-5))</f>
        <v/>
      </c>
      <c r="C25" s="67">
        <f>IF(INDEX(Starfsmenn!$C$6:$C$10005,ROW()-5)="","",INDEX(Starfsmenn!$C$6:$C$10005,ROW()-5))</f>
        <v/>
      </c>
      <c r="D25" s="85">
        <f>IF(INDEX(Starfsmenn!$D$6:$D$10005,ROW()-5)="","",INDEX(Starfsmenn!$D$6:$D$10005,ROW()-5))</f>
        <v/>
      </c>
      <c r="E25" s="77">
        <f>IF(INDEX(Starfsmenn!$E$6:$E$10005,ROW()-5)="","",INDEX(Starfsmenn!$E$6:$E$10005,ROW()-5))</f>
        <v/>
      </c>
      <c r="F25" s="68">
        <f>IFERROR(IF(INDEX(Starfsmenn!$C$6:$C$10005,ROW()-5)="","",INDEX('Flokkun starfa'!$G$108:$GX$108,MATCH(INDEX(Starfsmenn!$C$6:$C$10005,ROW()-5),'Flokkun starfa'!$G$5:$GX$5,0)+1)),"")</f>
        <v/>
      </c>
      <c r="G25" s="77">
        <f>IFERROR(INDEX('Flokkun starfsmanna'!$GV$7:$GV$10006,ROW()-5),0)</f>
        <v/>
      </c>
      <c r="H25" s="63">
        <f>IFERROR(IF(AND(F25="",G25=""),"",IF(F25="",0,F25)+IF(G25="",0,G25)),"")</f>
        <v/>
      </c>
      <c r="I25" s="86">
        <f>IF(INDEX(Starfsmenn!$G$6:$G$10005,ROW()-5)="","",INDEX(Starfsmenn!$G$6:$G$10005,ROW()-5))</f>
        <v/>
      </c>
      <c r="J25" s="86">
        <f>IF(INDEX(Starfsmenn!$I$6:$I$10005,ROW()-5)="","",INDEX(Starfsmenn!$I$6:$I$10005,ROW()-5))</f>
        <v/>
      </c>
      <c r="K25" s="86">
        <f>IF(INDEX(Starfsmenn!$K$6:$K$10005,ROW()-5)="","",INDEX(Starfsmenn!$K$6:$K$10005,ROW()-5))</f>
        <v/>
      </c>
      <c r="L25" s="87">
        <f>IFERROR(IF(AND(I25="",J25="",K25=""),"",IF(I25="",0,I25)+IF(J25="",0,J25)+IF(K25="",0,K25)),"")</f>
        <v/>
      </c>
      <c r="M25" s="86">
        <f>IF(INDEX(Starfsmenn!$M$6:$M$10005,ROW()-5)="","",INDEX(Starfsmenn!$M$6:$M$10005,ROW()-5))</f>
        <v/>
      </c>
      <c r="N25" s="87">
        <f>IF(INDEX(Starfsmenn!$N$6:$N$10005,ROW()-5)="","",INDEX(Starfsmenn!$N$6:$N$10005,ROW()-5))</f>
        <v/>
      </c>
    </row>
    <row r="26" ht="15" customHeight="1" s="47">
      <c r="A26" s="65">
        <f>ROW()-5</f>
        <v/>
      </c>
      <c r="B26" s="67">
        <f>IF(INDEX(Starfsmenn!$B$6:$B$10005,ROW()-5)="","",INDEX(Starfsmenn!$B$6:$B$10005,ROW()-5))</f>
        <v/>
      </c>
      <c r="C26" s="67">
        <f>IF(INDEX(Starfsmenn!$C$6:$C$10005,ROW()-5)="","",INDEX(Starfsmenn!$C$6:$C$10005,ROW()-5))</f>
        <v/>
      </c>
      <c r="D26" s="85">
        <f>IF(INDEX(Starfsmenn!$D$6:$D$10005,ROW()-5)="","",INDEX(Starfsmenn!$D$6:$D$10005,ROW()-5))</f>
        <v/>
      </c>
      <c r="E26" s="77">
        <f>IF(INDEX(Starfsmenn!$E$6:$E$10005,ROW()-5)="","",INDEX(Starfsmenn!$E$6:$E$10005,ROW()-5))</f>
        <v/>
      </c>
      <c r="F26" s="68">
        <f>IFERROR(IF(INDEX(Starfsmenn!$C$6:$C$10005,ROW()-5)="","",INDEX('Flokkun starfa'!$G$108:$GX$108,MATCH(INDEX(Starfsmenn!$C$6:$C$10005,ROW()-5),'Flokkun starfa'!$G$5:$GX$5,0)+1)),"")</f>
        <v/>
      </c>
      <c r="G26" s="77">
        <f>IFERROR(INDEX('Flokkun starfsmanna'!$GV$7:$GV$10006,ROW()-5),0)</f>
        <v/>
      </c>
      <c r="H26" s="63">
        <f>IFERROR(IF(AND(F26="",G26=""),"",IF(F26="",0,F26)+IF(G26="",0,G26)),"")</f>
        <v/>
      </c>
      <c r="I26" s="86">
        <f>IF(INDEX(Starfsmenn!$G$6:$G$10005,ROW()-5)="","",INDEX(Starfsmenn!$G$6:$G$10005,ROW()-5))</f>
        <v/>
      </c>
      <c r="J26" s="86">
        <f>IF(INDEX(Starfsmenn!$I$6:$I$10005,ROW()-5)="","",INDEX(Starfsmenn!$I$6:$I$10005,ROW()-5))</f>
        <v/>
      </c>
      <c r="K26" s="86">
        <f>IF(INDEX(Starfsmenn!$K$6:$K$10005,ROW()-5)="","",INDEX(Starfsmenn!$K$6:$K$10005,ROW()-5))</f>
        <v/>
      </c>
      <c r="L26" s="87">
        <f>IFERROR(IF(AND(I26="",J26="",K26=""),"",IF(I26="",0,I26)+IF(J26="",0,J26)+IF(K26="",0,K26)),"")</f>
        <v/>
      </c>
      <c r="M26" s="86">
        <f>IF(INDEX(Starfsmenn!$M$6:$M$10005,ROW()-5)="","",INDEX(Starfsmenn!$M$6:$M$10005,ROW()-5))</f>
        <v/>
      </c>
      <c r="N26" s="87">
        <f>IF(INDEX(Starfsmenn!$N$6:$N$10005,ROW()-5)="","",INDEX(Starfsmenn!$N$6:$N$10005,ROW()-5))</f>
        <v/>
      </c>
    </row>
    <row r="27" ht="15" customHeight="1" s="47">
      <c r="A27" s="65">
        <f>ROW()-5</f>
        <v/>
      </c>
      <c r="B27" s="67">
        <f>IF(INDEX(Starfsmenn!$B$6:$B$10005,ROW()-5)="","",INDEX(Starfsmenn!$B$6:$B$10005,ROW()-5))</f>
        <v/>
      </c>
      <c r="C27" s="67">
        <f>IF(INDEX(Starfsmenn!$C$6:$C$10005,ROW()-5)="","",INDEX(Starfsmenn!$C$6:$C$10005,ROW()-5))</f>
        <v/>
      </c>
      <c r="D27" s="85">
        <f>IF(INDEX(Starfsmenn!$D$6:$D$10005,ROW()-5)="","",INDEX(Starfsmenn!$D$6:$D$10005,ROW()-5))</f>
        <v/>
      </c>
      <c r="E27" s="77">
        <f>IF(INDEX(Starfsmenn!$E$6:$E$10005,ROW()-5)="","",INDEX(Starfsmenn!$E$6:$E$10005,ROW()-5))</f>
        <v/>
      </c>
      <c r="F27" s="68">
        <f>IFERROR(IF(INDEX(Starfsmenn!$C$6:$C$10005,ROW()-5)="","",INDEX('Flokkun starfa'!$G$108:$GX$108,MATCH(INDEX(Starfsmenn!$C$6:$C$10005,ROW()-5),'Flokkun starfa'!$G$5:$GX$5,0)+1)),"")</f>
        <v/>
      </c>
      <c r="G27" s="77">
        <f>IFERROR(INDEX('Flokkun starfsmanna'!$GV$7:$GV$10006,ROW()-5),0)</f>
        <v/>
      </c>
      <c r="H27" s="63">
        <f>IFERROR(IF(AND(F27="",G27=""),"",IF(F27="",0,F27)+IF(G27="",0,G27)),"")</f>
        <v/>
      </c>
      <c r="I27" s="86">
        <f>IF(INDEX(Starfsmenn!$G$6:$G$10005,ROW()-5)="","",INDEX(Starfsmenn!$G$6:$G$10005,ROW()-5))</f>
        <v/>
      </c>
      <c r="J27" s="86">
        <f>IF(INDEX(Starfsmenn!$I$6:$I$10005,ROW()-5)="","",INDEX(Starfsmenn!$I$6:$I$10005,ROW()-5))</f>
        <v/>
      </c>
      <c r="K27" s="86">
        <f>IF(INDEX(Starfsmenn!$K$6:$K$10005,ROW()-5)="","",INDEX(Starfsmenn!$K$6:$K$10005,ROW()-5))</f>
        <v/>
      </c>
      <c r="L27" s="87">
        <f>IFERROR(IF(AND(I27="",J27="",K27=""),"",IF(I27="",0,I27)+IF(J27="",0,J27)+IF(K27="",0,K27)),"")</f>
        <v/>
      </c>
      <c r="M27" s="86">
        <f>IF(INDEX(Starfsmenn!$M$6:$M$10005,ROW()-5)="","",INDEX(Starfsmenn!$M$6:$M$10005,ROW()-5))</f>
        <v/>
      </c>
      <c r="N27" s="87">
        <f>IF(INDEX(Starfsmenn!$N$6:$N$10005,ROW()-5)="","",INDEX(Starfsmenn!$N$6:$N$10005,ROW()-5))</f>
        <v/>
      </c>
    </row>
    <row r="28" ht="15" customHeight="1" s="47">
      <c r="A28" s="65">
        <f>ROW()-5</f>
        <v/>
      </c>
      <c r="B28" s="67">
        <f>IF(INDEX(Starfsmenn!$B$6:$B$10005,ROW()-5)="","",INDEX(Starfsmenn!$B$6:$B$10005,ROW()-5))</f>
        <v/>
      </c>
      <c r="C28" s="67">
        <f>IF(INDEX(Starfsmenn!$C$6:$C$10005,ROW()-5)="","",INDEX(Starfsmenn!$C$6:$C$10005,ROW()-5))</f>
        <v/>
      </c>
      <c r="D28" s="85">
        <f>IF(INDEX(Starfsmenn!$D$6:$D$10005,ROW()-5)="","",INDEX(Starfsmenn!$D$6:$D$10005,ROW()-5))</f>
        <v/>
      </c>
      <c r="E28" s="77">
        <f>IF(INDEX(Starfsmenn!$E$6:$E$10005,ROW()-5)="","",INDEX(Starfsmenn!$E$6:$E$10005,ROW()-5))</f>
        <v/>
      </c>
      <c r="F28" s="68">
        <f>IFERROR(IF(INDEX(Starfsmenn!$C$6:$C$10005,ROW()-5)="","",INDEX('Flokkun starfa'!$G$108:$GX$108,MATCH(INDEX(Starfsmenn!$C$6:$C$10005,ROW()-5),'Flokkun starfa'!$G$5:$GX$5,0)+1)),"")</f>
        <v/>
      </c>
      <c r="G28" s="77">
        <f>IFERROR(INDEX('Flokkun starfsmanna'!$GV$7:$GV$10006,ROW()-5),0)</f>
        <v/>
      </c>
      <c r="H28" s="63">
        <f>IFERROR(IF(AND(F28="",G28=""),"",IF(F28="",0,F28)+IF(G28="",0,G28)),"")</f>
        <v/>
      </c>
      <c r="I28" s="86">
        <f>IF(INDEX(Starfsmenn!$G$6:$G$10005,ROW()-5)="","",INDEX(Starfsmenn!$G$6:$G$10005,ROW()-5))</f>
        <v/>
      </c>
      <c r="J28" s="86">
        <f>IF(INDEX(Starfsmenn!$I$6:$I$10005,ROW()-5)="","",INDEX(Starfsmenn!$I$6:$I$10005,ROW()-5))</f>
        <v/>
      </c>
      <c r="K28" s="86">
        <f>IF(INDEX(Starfsmenn!$K$6:$K$10005,ROW()-5)="","",INDEX(Starfsmenn!$K$6:$K$10005,ROW()-5))</f>
        <v/>
      </c>
      <c r="L28" s="87">
        <f>IFERROR(IF(AND(I28="",J28="",K28=""),"",IF(I28="",0,I28)+IF(J28="",0,J28)+IF(K28="",0,K28)),"")</f>
        <v/>
      </c>
      <c r="M28" s="86">
        <f>IF(INDEX(Starfsmenn!$M$6:$M$10005,ROW()-5)="","",INDEX(Starfsmenn!$M$6:$M$10005,ROW()-5))</f>
        <v/>
      </c>
      <c r="N28" s="87">
        <f>IF(INDEX(Starfsmenn!$N$6:$N$10005,ROW()-5)="","",INDEX(Starfsmenn!$N$6:$N$10005,ROW()-5))</f>
        <v/>
      </c>
    </row>
    <row r="29" ht="15" customHeight="1" s="47">
      <c r="A29" s="65">
        <f>ROW()-5</f>
        <v/>
      </c>
      <c r="B29" s="67">
        <f>IF(INDEX(Starfsmenn!$B$6:$B$10005,ROW()-5)="","",INDEX(Starfsmenn!$B$6:$B$10005,ROW()-5))</f>
        <v/>
      </c>
      <c r="C29" s="67">
        <f>IF(INDEX(Starfsmenn!$C$6:$C$10005,ROW()-5)="","",INDEX(Starfsmenn!$C$6:$C$10005,ROW()-5))</f>
        <v/>
      </c>
      <c r="D29" s="85">
        <f>IF(INDEX(Starfsmenn!$D$6:$D$10005,ROW()-5)="","",INDEX(Starfsmenn!$D$6:$D$10005,ROW()-5))</f>
        <v/>
      </c>
      <c r="E29" s="77">
        <f>IF(INDEX(Starfsmenn!$E$6:$E$10005,ROW()-5)="","",INDEX(Starfsmenn!$E$6:$E$10005,ROW()-5))</f>
        <v/>
      </c>
      <c r="F29" s="68">
        <f>IFERROR(IF(INDEX(Starfsmenn!$C$6:$C$10005,ROW()-5)="","",INDEX('Flokkun starfa'!$G$108:$GX$108,MATCH(INDEX(Starfsmenn!$C$6:$C$10005,ROW()-5),'Flokkun starfa'!$G$5:$GX$5,0)+1)),"")</f>
        <v/>
      </c>
      <c r="G29" s="77">
        <f>IFERROR(INDEX('Flokkun starfsmanna'!$GV$7:$GV$10006,ROW()-5),0)</f>
        <v/>
      </c>
      <c r="H29" s="63">
        <f>IFERROR(IF(AND(F29="",G29=""),"",IF(F29="",0,F29)+IF(G29="",0,G29)),"")</f>
        <v/>
      </c>
      <c r="I29" s="86">
        <f>IF(INDEX(Starfsmenn!$G$6:$G$10005,ROW()-5)="","",INDEX(Starfsmenn!$G$6:$G$10005,ROW()-5))</f>
        <v/>
      </c>
      <c r="J29" s="86">
        <f>IF(INDEX(Starfsmenn!$I$6:$I$10005,ROW()-5)="","",INDEX(Starfsmenn!$I$6:$I$10005,ROW()-5))</f>
        <v/>
      </c>
      <c r="K29" s="86">
        <f>IF(INDEX(Starfsmenn!$K$6:$K$10005,ROW()-5)="","",INDEX(Starfsmenn!$K$6:$K$10005,ROW()-5))</f>
        <v/>
      </c>
      <c r="L29" s="87">
        <f>IFERROR(IF(AND(I29="",J29="",K29=""),"",IF(I29="",0,I29)+IF(J29="",0,J29)+IF(K29="",0,K29)),"")</f>
        <v/>
      </c>
      <c r="M29" s="86">
        <f>IF(INDEX(Starfsmenn!$M$6:$M$10005,ROW()-5)="","",INDEX(Starfsmenn!$M$6:$M$10005,ROW()-5))</f>
        <v/>
      </c>
      <c r="N29" s="87">
        <f>IF(INDEX(Starfsmenn!$N$6:$N$10005,ROW()-5)="","",INDEX(Starfsmenn!$N$6:$N$10005,ROW()-5))</f>
        <v/>
      </c>
    </row>
    <row r="30" ht="15" customHeight="1" s="47">
      <c r="A30" s="65">
        <f>ROW()-5</f>
        <v/>
      </c>
      <c r="B30" s="67">
        <f>IF(INDEX(Starfsmenn!$B$6:$B$10005,ROW()-5)="","",INDEX(Starfsmenn!$B$6:$B$10005,ROW()-5))</f>
        <v/>
      </c>
      <c r="C30" s="67">
        <f>IF(INDEX(Starfsmenn!$C$6:$C$10005,ROW()-5)="","",INDEX(Starfsmenn!$C$6:$C$10005,ROW()-5))</f>
        <v/>
      </c>
      <c r="D30" s="85">
        <f>IF(INDEX(Starfsmenn!$D$6:$D$10005,ROW()-5)="","",INDEX(Starfsmenn!$D$6:$D$10005,ROW()-5))</f>
        <v/>
      </c>
      <c r="E30" s="77">
        <f>IF(INDEX(Starfsmenn!$E$6:$E$10005,ROW()-5)="","",INDEX(Starfsmenn!$E$6:$E$10005,ROW()-5))</f>
        <v/>
      </c>
      <c r="F30" s="68">
        <f>IFERROR(IF(INDEX(Starfsmenn!$C$6:$C$10005,ROW()-5)="","",INDEX('Flokkun starfa'!$G$108:$GX$108,MATCH(INDEX(Starfsmenn!$C$6:$C$10005,ROW()-5),'Flokkun starfa'!$G$5:$GX$5,0)+1)),"")</f>
        <v/>
      </c>
      <c r="G30" s="77">
        <f>IFERROR(INDEX('Flokkun starfsmanna'!$GV$7:$GV$10006,ROW()-5),0)</f>
        <v/>
      </c>
      <c r="H30" s="63">
        <f>IFERROR(IF(AND(F30="",G30=""),"",IF(F30="",0,F30)+IF(G30="",0,G30)),"")</f>
        <v/>
      </c>
      <c r="I30" s="86">
        <f>IF(INDEX(Starfsmenn!$G$6:$G$10005,ROW()-5)="","",INDEX(Starfsmenn!$G$6:$G$10005,ROW()-5))</f>
        <v/>
      </c>
      <c r="J30" s="86">
        <f>IF(INDEX(Starfsmenn!$I$6:$I$10005,ROW()-5)="","",INDEX(Starfsmenn!$I$6:$I$10005,ROW()-5))</f>
        <v/>
      </c>
      <c r="K30" s="86">
        <f>IF(INDEX(Starfsmenn!$K$6:$K$10005,ROW()-5)="","",INDEX(Starfsmenn!$K$6:$K$10005,ROW()-5))</f>
        <v/>
      </c>
      <c r="L30" s="87">
        <f>IFERROR(IF(AND(I30="",J30="",K30=""),"",IF(I30="",0,I30)+IF(J30="",0,J30)+IF(K30="",0,K30)),"")</f>
        <v/>
      </c>
      <c r="M30" s="86">
        <f>IF(INDEX(Starfsmenn!$M$6:$M$10005,ROW()-5)="","",INDEX(Starfsmenn!$M$6:$M$10005,ROW()-5))</f>
        <v/>
      </c>
      <c r="N30" s="87">
        <f>IF(INDEX(Starfsmenn!$N$6:$N$10005,ROW()-5)="","",INDEX(Starfsmenn!$N$6:$N$10005,ROW()-5))</f>
        <v/>
      </c>
    </row>
    <row r="31" ht="15" customHeight="1" s="47">
      <c r="A31" s="65">
        <f>ROW()-5</f>
        <v/>
      </c>
      <c r="B31" s="67">
        <f>IF(INDEX(Starfsmenn!$B$6:$B$10005,ROW()-5)="","",INDEX(Starfsmenn!$B$6:$B$10005,ROW()-5))</f>
        <v/>
      </c>
      <c r="C31" s="67">
        <f>IF(INDEX(Starfsmenn!$C$6:$C$10005,ROW()-5)="","",INDEX(Starfsmenn!$C$6:$C$10005,ROW()-5))</f>
        <v/>
      </c>
      <c r="D31" s="85">
        <f>IF(INDEX(Starfsmenn!$D$6:$D$10005,ROW()-5)="","",INDEX(Starfsmenn!$D$6:$D$10005,ROW()-5))</f>
        <v/>
      </c>
      <c r="E31" s="77">
        <f>IF(INDEX(Starfsmenn!$E$6:$E$10005,ROW()-5)="","",INDEX(Starfsmenn!$E$6:$E$10005,ROW()-5))</f>
        <v/>
      </c>
      <c r="F31" s="68">
        <f>IFERROR(IF(INDEX(Starfsmenn!$C$6:$C$10005,ROW()-5)="","",INDEX('Flokkun starfa'!$G$108:$GX$108,MATCH(INDEX(Starfsmenn!$C$6:$C$10005,ROW()-5),'Flokkun starfa'!$G$5:$GX$5,0)+1)),"")</f>
        <v/>
      </c>
      <c r="G31" s="77">
        <f>IFERROR(INDEX('Flokkun starfsmanna'!$GV$7:$GV$10006,ROW()-5),0)</f>
        <v/>
      </c>
      <c r="H31" s="63">
        <f>IFERROR(IF(AND(F31="",G31=""),"",IF(F31="",0,F31)+IF(G31="",0,G31)),"")</f>
        <v/>
      </c>
      <c r="I31" s="86">
        <f>IF(INDEX(Starfsmenn!$G$6:$G$10005,ROW()-5)="","",INDEX(Starfsmenn!$G$6:$G$10005,ROW()-5))</f>
        <v/>
      </c>
      <c r="J31" s="86">
        <f>IF(INDEX(Starfsmenn!$I$6:$I$10005,ROW()-5)="","",INDEX(Starfsmenn!$I$6:$I$10005,ROW()-5))</f>
        <v/>
      </c>
      <c r="K31" s="86">
        <f>IF(INDEX(Starfsmenn!$K$6:$K$10005,ROW()-5)="","",INDEX(Starfsmenn!$K$6:$K$10005,ROW()-5))</f>
        <v/>
      </c>
      <c r="L31" s="87">
        <f>IFERROR(IF(AND(I31="",J31="",K31=""),"",IF(I31="",0,I31)+IF(J31="",0,J31)+IF(K31="",0,K31)),"")</f>
        <v/>
      </c>
      <c r="M31" s="86">
        <f>IF(INDEX(Starfsmenn!$M$6:$M$10005,ROW()-5)="","",INDEX(Starfsmenn!$M$6:$M$10005,ROW()-5))</f>
        <v/>
      </c>
      <c r="N31" s="87">
        <f>IF(INDEX(Starfsmenn!$N$6:$N$10005,ROW()-5)="","",INDEX(Starfsmenn!$N$6:$N$10005,ROW()-5))</f>
        <v/>
      </c>
    </row>
    <row r="32" ht="15" customHeight="1" s="47">
      <c r="A32" s="65">
        <f>ROW()-5</f>
        <v/>
      </c>
      <c r="B32" s="67">
        <f>IF(INDEX(Starfsmenn!$B$6:$B$10005,ROW()-5)="","",INDEX(Starfsmenn!$B$6:$B$10005,ROW()-5))</f>
        <v/>
      </c>
      <c r="C32" s="67">
        <f>IF(INDEX(Starfsmenn!$C$6:$C$10005,ROW()-5)="","",INDEX(Starfsmenn!$C$6:$C$10005,ROW()-5))</f>
        <v/>
      </c>
      <c r="D32" s="85">
        <f>IF(INDEX(Starfsmenn!$D$6:$D$10005,ROW()-5)="","",INDEX(Starfsmenn!$D$6:$D$10005,ROW()-5))</f>
        <v/>
      </c>
      <c r="E32" s="77">
        <f>IF(INDEX(Starfsmenn!$E$6:$E$10005,ROW()-5)="","",INDEX(Starfsmenn!$E$6:$E$10005,ROW()-5))</f>
        <v/>
      </c>
      <c r="F32" s="68">
        <f>IFERROR(IF(INDEX(Starfsmenn!$C$6:$C$10005,ROW()-5)="","",INDEX('Flokkun starfa'!$G$108:$GX$108,MATCH(INDEX(Starfsmenn!$C$6:$C$10005,ROW()-5),'Flokkun starfa'!$G$5:$GX$5,0)+1)),"")</f>
        <v/>
      </c>
      <c r="G32" s="77">
        <f>IFERROR(INDEX('Flokkun starfsmanna'!$GV$7:$GV$10006,ROW()-5),0)</f>
        <v/>
      </c>
      <c r="H32" s="63">
        <f>IFERROR(IF(AND(F32="",G32=""),"",IF(F32="",0,F32)+IF(G32="",0,G32)),"")</f>
        <v/>
      </c>
      <c r="I32" s="86">
        <f>IF(INDEX(Starfsmenn!$G$6:$G$10005,ROW()-5)="","",INDEX(Starfsmenn!$G$6:$G$10005,ROW()-5))</f>
        <v/>
      </c>
      <c r="J32" s="86">
        <f>IF(INDEX(Starfsmenn!$I$6:$I$10005,ROW()-5)="","",INDEX(Starfsmenn!$I$6:$I$10005,ROW()-5))</f>
        <v/>
      </c>
      <c r="K32" s="86">
        <f>IF(INDEX(Starfsmenn!$K$6:$K$10005,ROW()-5)="","",INDEX(Starfsmenn!$K$6:$K$10005,ROW()-5))</f>
        <v/>
      </c>
      <c r="L32" s="87">
        <f>IFERROR(IF(AND(I32="",J32="",K32=""),"",IF(I32="",0,I32)+IF(J32="",0,J32)+IF(K32="",0,K32)),"")</f>
        <v/>
      </c>
      <c r="M32" s="86">
        <f>IF(INDEX(Starfsmenn!$M$6:$M$10005,ROW()-5)="","",INDEX(Starfsmenn!$M$6:$M$10005,ROW()-5))</f>
        <v/>
      </c>
      <c r="N32" s="87">
        <f>IF(INDEX(Starfsmenn!$N$6:$N$10005,ROW()-5)="","",INDEX(Starfsmenn!$N$6:$N$10005,ROW()-5))</f>
        <v/>
      </c>
    </row>
    <row r="33" ht="15" customHeight="1" s="47">
      <c r="A33" s="65">
        <f>ROW()-5</f>
        <v/>
      </c>
      <c r="B33" s="67">
        <f>IF(INDEX(Starfsmenn!$B$6:$B$10005,ROW()-5)="","",INDEX(Starfsmenn!$B$6:$B$10005,ROW()-5))</f>
        <v/>
      </c>
      <c r="C33" s="67">
        <f>IF(INDEX(Starfsmenn!$C$6:$C$10005,ROW()-5)="","",INDEX(Starfsmenn!$C$6:$C$10005,ROW()-5))</f>
        <v/>
      </c>
      <c r="D33" s="85">
        <f>IF(INDEX(Starfsmenn!$D$6:$D$10005,ROW()-5)="","",INDEX(Starfsmenn!$D$6:$D$10005,ROW()-5))</f>
        <v/>
      </c>
      <c r="E33" s="77">
        <f>IF(INDEX(Starfsmenn!$E$6:$E$10005,ROW()-5)="","",INDEX(Starfsmenn!$E$6:$E$10005,ROW()-5))</f>
        <v/>
      </c>
      <c r="F33" s="68">
        <f>IFERROR(IF(INDEX(Starfsmenn!$C$6:$C$10005,ROW()-5)="","",INDEX('Flokkun starfa'!$G$108:$GX$108,MATCH(INDEX(Starfsmenn!$C$6:$C$10005,ROW()-5),'Flokkun starfa'!$G$5:$GX$5,0)+1)),"")</f>
        <v/>
      </c>
      <c r="G33" s="77">
        <f>IFERROR(INDEX('Flokkun starfsmanna'!$GV$7:$GV$10006,ROW()-5),0)</f>
        <v/>
      </c>
      <c r="H33" s="63">
        <f>IFERROR(IF(AND(F33="",G33=""),"",IF(F33="",0,F33)+IF(G33="",0,G33)),"")</f>
        <v/>
      </c>
      <c r="I33" s="86">
        <f>IF(INDEX(Starfsmenn!$G$6:$G$10005,ROW()-5)="","",INDEX(Starfsmenn!$G$6:$G$10005,ROW()-5))</f>
        <v/>
      </c>
      <c r="J33" s="86">
        <f>IF(INDEX(Starfsmenn!$I$6:$I$10005,ROW()-5)="","",INDEX(Starfsmenn!$I$6:$I$10005,ROW()-5))</f>
        <v/>
      </c>
      <c r="K33" s="86">
        <f>IF(INDEX(Starfsmenn!$K$6:$K$10005,ROW()-5)="","",INDEX(Starfsmenn!$K$6:$K$10005,ROW()-5))</f>
        <v/>
      </c>
      <c r="L33" s="87">
        <f>IFERROR(IF(AND(I33="",J33="",K33=""),"",IF(I33="",0,I33)+IF(J33="",0,J33)+IF(K33="",0,K33)),"")</f>
        <v/>
      </c>
      <c r="M33" s="86">
        <f>IF(INDEX(Starfsmenn!$M$6:$M$10005,ROW()-5)="","",INDEX(Starfsmenn!$M$6:$M$10005,ROW()-5))</f>
        <v/>
      </c>
      <c r="N33" s="87">
        <f>IF(INDEX(Starfsmenn!$N$6:$N$10005,ROW()-5)="","",INDEX(Starfsmenn!$N$6:$N$10005,ROW()-5))</f>
        <v/>
      </c>
    </row>
    <row r="34" ht="15" customHeight="1" s="47">
      <c r="A34" s="65">
        <f>ROW()-5</f>
        <v/>
      </c>
      <c r="B34" s="67">
        <f>IF(INDEX(Starfsmenn!$B$6:$B$10005,ROW()-5)="","",INDEX(Starfsmenn!$B$6:$B$10005,ROW()-5))</f>
        <v/>
      </c>
      <c r="C34" s="67">
        <f>IF(INDEX(Starfsmenn!$C$6:$C$10005,ROW()-5)="","",INDEX(Starfsmenn!$C$6:$C$10005,ROW()-5))</f>
        <v/>
      </c>
      <c r="D34" s="85">
        <f>IF(INDEX(Starfsmenn!$D$6:$D$10005,ROW()-5)="","",INDEX(Starfsmenn!$D$6:$D$10005,ROW()-5))</f>
        <v/>
      </c>
      <c r="E34" s="77">
        <f>IF(INDEX(Starfsmenn!$E$6:$E$10005,ROW()-5)="","",INDEX(Starfsmenn!$E$6:$E$10005,ROW()-5))</f>
        <v/>
      </c>
      <c r="F34" s="68">
        <f>IFERROR(IF(INDEX(Starfsmenn!$C$6:$C$10005,ROW()-5)="","",INDEX('Flokkun starfa'!$G$108:$GX$108,MATCH(INDEX(Starfsmenn!$C$6:$C$10005,ROW()-5),'Flokkun starfa'!$G$5:$GX$5,0)+1)),"")</f>
        <v/>
      </c>
      <c r="G34" s="77">
        <f>IFERROR(INDEX('Flokkun starfsmanna'!$GV$7:$GV$10006,ROW()-5),0)</f>
        <v/>
      </c>
      <c r="H34" s="63">
        <f>IFERROR(IF(AND(F34="",G34=""),"",IF(F34="",0,F34)+IF(G34="",0,G34)),"")</f>
        <v/>
      </c>
      <c r="I34" s="86">
        <f>IF(INDEX(Starfsmenn!$G$6:$G$10005,ROW()-5)="","",INDEX(Starfsmenn!$G$6:$G$10005,ROW()-5))</f>
        <v/>
      </c>
      <c r="J34" s="86">
        <f>IF(INDEX(Starfsmenn!$I$6:$I$10005,ROW()-5)="","",INDEX(Starfsmenn!$I$6:$I$10005,ROW()-5))</f>
        <v/>
      </c>
      <c r="K34" s="86">
        <f>IF(INDEX(Starfsmenn!$K$6:$K$10005,ROW()-5)="","",INDEX(Starfsmenn!$K$6:$K$10005,ROW()-5))</f>
        <v/>
      </c>
      <c r="L34" s="87">
        <f>IFERROR(IF(AND(I34="",J34="",K34=""),"",IF(I34="",0,I34)+IF(J34="",0,J34)+IF(K34="",0,K34)),"")</f>
        <v/>
      </c>
      <c r="M34" s="86">
        <f>IF(INDEX(Starfsmenn!$M$6:$M$10005,ROW()-5)="","",INDEX(Starfsmenn!$M$6:$M$10005,ROW()-5))</f>
        <v/>
      </c>
      <c r="N34" s="87">
        <f>IF(INDEX(Starfsmenn!$N$6:$N$10005,ROW()-5)="","",INDEX(Starfsmenn!$N$6:$N$10005,ROW()-5))</f>
        <v/>
      </c>
    </row>
    <row r="35" ht="15" customHeight="1" s="47">
      <c r="A35" s="65">
        <f>ROW()-5</f>
        <v/>
      </c>
      <c r="B35" s="67">
        <f>IF(INDEX(Starfsmenn!$B$6:$B$10005,ROW()-5)="","",INDEX(Starfsmenn!$B$6:$B$10005,ROW()-5))</f>
        <v/>
      </c>
      <c r="C35" s="67">
        <f>IF(INDEX(Starfsmenn!$C$6:$C$10005,ROW()-5)="","",INDEX(Starfsmenn!$C$6:$C$10005,ROW()-5))</f>
        <v/>
      </c>
      <c r="D35" s="85">
        <f>IF(INDEX(Starfsmenn!$D$6:$D$10005,ROW()-5)="","",INDEX(Starfsmenn!$D$6:$D$10005,ROW()-5))</f>
        <v/>
      </c>
      <c r="E35" s="77">
        <f>IF(INDEX(Starfsmenn!$E$6:$E$10005,ROW()-5)="","",INDEX(Starfsmenn!$E$6:$E$10005,ROW()-5))</f>
        <v/>
      </c>
      <c r="F35" s="68">
        <f>IFERROR(IF(INDEX(Starfsmenn!$C$6:$C$10005,ROW()-5)="","",INDEX('Flokkun starfa'!$G$108:$GX$108,MATCH(INDEX(Starfsmenn!$C$6:$C$10005,ROW()-5),'Flokkun starfa'!$G$5:$GX$5,0)+1)),"")</f>
        <v/>
      </c>
      <c r="G35" s="77">
        <f>IFERROR(INDEX('Flokkun starfsmanna'!$GV$7:$GV$10006,ROW()-5),0)</f>
        <v/>
      </c>
      <c r="H35" s="63">
        <f>IFERROR(IF(AND(F35="",G35=""),"",IF(F35="",0,F35)+IF(G35="",0,G35)),"")</f>
        <v/>
      </c>
      <c r="I35" s="86">
        <f>IF(INDEX(Starfsmenn!$G$6:$G$10005,ROW()-5)="","",INDEX(Starfsmenn!$G$6:$G$10005,ROW()-5))</f>
        <v/>
      </c>
      <c r="J35" s="86">
        <f>IF(INDEX(Starfsmenn!$I$6:$I$10005,ROW()-5)="","",INDEX(Starfsmenn!$I$6:$I$10005,ROW()-5))</f>
        <v/>
      </c>
      <c r="K35" s="86">
        <f>IF(INDEX(Starfsmenn!$K$6:$K$10005,ROW()-5)="","",INDEX(Starfsmenn!$K$6:$K$10005,ROW()-5))</f>
        <v/>
      </c>
      <c r="L35" s="87">
        <f>IFERROR(IF(AND(I35="",J35="",K35=""),"",IF(I35="",0,I35)+IF(J35="",0,J35)+IF(K35="",0,K35)),"")</f>
        <v/>
      </c>
      <c r="M35" s="86">
        <f>IF(INDEX(Starfsmenn!$M$6:$M$10005,ROW()-5)="","",INDEX(Starfsmenn!$M$6:$M$10005,ROW()-5))</f>
        <v/>
      </c>
      <c r="N35" s="87">
        <f>IF(INDEX(Starfsmenn!$N$6:$N$10005,ROW()-5)="","",INDEX(Starfsmenn!$N$6:$N$10005,ROW()-5))</f>
        <v/>
      </c>
    </row>
    <row r="36" ht="15" customHeight="1" s="47">
      <c r="A36" s="65">
        <f>ROW()-5</f>
        <v/>
      </c>
      <c r="B36" s="67">
        <f>IF(INDEX(Starfsmenn!$B$6:$B$10005,ROW()-5)="","",INDEX(Starfsmenn!$B$6:$B$10005,ROW()-5))</f>
        <v/>
      </c>
      <c r="C36" s="67">
        <f>IF(INDEX(Starfsmenn!$C$6:$C$10005,ROW()-5)="","",INDEX(Starfsmenn!$C$6:$C$10005,ROW()-5))</f>
        <v/>
      </c>
      <c r="D36" s="85">
        <f>IF(INDEX(Starfsmenn!$D$6:$D$10005,ROW()-5)="","",INDEX(Starfsmenn!$D$6:$D$10005,ROW()-5))</f>
        <v/>
      </c>
      <c r="E36" s="77">
        <f>IF(INDEX(Starfsmenn!$E$6:$E$10005,ROW()-5)="","",INDEX(Starfsmenn!$E$6:$E$10005,ROW()-5))</f>
        <v/>
      </c>
      <c r="F36" s="68">
        <f>IFERROR(IF(INDEX(Starfsmenn!$C$6:$C$10005,ROW()-5)="","",INDEX('Flokkun starfa'!$G$108:$GX$108,MATCH(INDEX(Starfsmenn!$C$6:$C$10005,ROW()-5),'Flokkun starfa'!$G$5:$GX$5,0)+1)),"")</f>
        <v/>
      </c>
      <c r="G36" s="77">
        <f>IFERROR(INDEX('Flokkun starfsmanna'!$GV$7:$GV$10006,ROW()-5),0)</f>
        <v/>
      </c>
      <c r="H36" s="63">
        <f>IFERROR(IF(AND(F36="",G36=""),"",IF(F36="",0,F36)+IF(G36="",0,G36)),"")</f>
        <v/>
      </c>
      <c r="I36" s="86">
        <f>IF(INDEX(Starfsmenn!$G$6:$G$10005,ROW()-5)="","",INDEX(Starfsmenn!$G$6:$G$10005,ROW()-5))</f>
        <v/>
      </c>
      <c r="J36" s="86">
        <f>IF(INDEX(Starfsmenn!$I$6:$I$10005,ROW()-5)="","",INDEX(Starfsmenn!$I$6:$I$10005,ROW()-5))</f>
        <v/>
      </c>
      <c r="K36" s="86">
        <f>IF(INDEX(Starfsmenn!$K$6:$K$10005,ROW()-5)="","",INDEX(Starfsmenn!$K$6:$K$10005,ROW()-5))</f>
        <v/>
      </c>
      <c r="L36" s="87">
        <f>IFERROR(IF(AND(I36="",J36="",K36=""),"",IF(I36="",0,I36)+IF(J36="",0,J36)+IF(K36="",0,K36)),"")</f>
        <v/>
      </c>
      <c r="M36" s="86">
        <f>IF(INDEX(Starfsmenn!$M$6:$M$10005,ROW()-5)="","",INDEX(Starfsmenn!$M$6:$M$10005,ROW()-5))</f>
        <v/>
      </c>
      <c r="N36" s="87">
        <f>IF(INDEX(Starfsmenn!$N$6:$N$10005,ROW()-5)="","",INDEX(Starfsmenn!$N$6:$N$10005,ROW()-5))</f>
        <v/>
      </c>
    </row>
    <row r="37" ht="15" customHeight="1" s="47">
      <c r="A37" s="65">
        <f>ROW()-5</f>
        <v/>
      </c>
      <c r="B37" s="67">
        <f>IF(INDEX(Starfsmenn!$B$6:$B$10005,ROW()-5)="","",INDEX(Starfsmenn!$B$6:$B$10005,ROW()-5))</f>
        <v/>
      </c>
      <c r="C37" s="67">
        <f>IF(INDEX(Starfsmenn!$C$6:$C$10005,ROW()-5)="","",INDEX(Starfsmenn!$C$6:$C$10005,ROW()-5))</f>
        <v/>
      </c>
      <c r="D37" s="85">
        <f>IF(INDEX(Starfsmenn!$D$6:$D$10005,ROW()-5)="","",INDEX(Starfsmenn!$D$6:$D$10005,ROW()-5))</f>
        <v/>
      </c>
      <c r="E37" s="77">
        <f>IF(INDEX(Starfsmenn!$E$6:$E$10005,ROW()-5)="","",INDEX(Starfsmenn!$E$6:$E$10005,ROW()-5))</f>
        <v/>
      </c>
      <c r="F37" s="68">
        <f>IFERROR(IF(INDEX(Starfsmenn!$C$6:$C$10005,ROW()-5)="","",INDEX('Flokkun starfa'!$G$108:$GX$108,MATCH(INDEX(Starfsmenn!$C$6:$C$10005,ROW()-5),'Flokkun starfa'!$G$5:$GX$5,0)+1)),"")</f>
        <v/>
      </c>
      <c r="G37" s="77">
        <f>IFERROR(INDEX('Flokkun starfsmanna'!$GV$7:$GV$10006,ROW()-5),0)</f>
        <v/>
      </c>
      <c r="H37" s="63">
        <f>IFERROR(IF(AND(F37="",G37=""),"",IF(F37="",0,F37)+IF(G37="",0,G37)),"")</f>
        <v/>
      </c>
      <c r="I37" s="86">
        <f>IF(INDEX(Starfsmenn!$G$6:$G$10005,ROW()-5)="","",INDEX(Starfsmenn!$G$6:$G$10005,ROW()-5))</f>
        <v/>
      </c>
      <c r="J37" s="86">
        <f>IF(INDEX(Starfsmenn!$I$6:$I$10005,ROW()-5)="","",INDEX(Starfsmenn!$I$6:$I$10005,ROW()-5))</f>
        <v/>
      </c>
      <c r="K37" s="86">
        <f>IF(INDEX(Starfsmenn!$K$6:$K$10005,ROW()-5)="","",INDEX(Starfsmenn!$K$6:$K$10005,ROW()-5))</f>
        <v/>
      </c>
      <c r="L37" s="87">
        <f>IFERROR(IF(AND(I37="",J37="",K37=""),"",IF(I37="",0,I37)+IF(J37="",0,J37)+IF(K37="",0,K37)),"")</f>
        <v/>
      </c>
      <c r="M37" s="86">
        <f>IF(INDEX(Starfsmenn!$M$6:$M$10005,ROW()-5)="","",INDEX(Starfsmenn!$M$6:$M$10005,ROW()-5))</f>
        <v/>
      </c>
      <c r="N37" s="87">
        <f>IF(INDEX(Starfsmenn!$N$6:$N$10005,ROW()-5)="","",INDEX(Starfsmenn!$N$6:$N$10005,ROW()-5))</f>
        <v/>
      </c>
    </row>
    <row r="38" ht="15" customHeight="1" s="47">
      <c r="A38" s="65">
        <f>ROW()-5</f>
        <v/>
      </c>
      <c r="B38" s="67">
        <f>IF(INDEX(Starfsmenn!$B$6:$B$10005,ROW()-5)="","",INDEX(Starfsmenn!$B$6:$B$10005,ROW()-5))</f>
        <v/>
      </c>
      <c r="C38" s="67">
        <f>IF(INDEX(Starfsmenn!$C$6:$C$10005,ROW()-5)="","",INDEX(Starfsmenn!$C$6:$C$10005,ROW()-5))</f>
        <v/>
      </c>
      <c r="D38" s="85">
        <f>IF(INDEX(Starfsmenn!$D$6:$D$10005,ROW()-5)="","",INDEX(Starfsmenn!$D$6:$D$10005,ROW()-5))</f>
        <v/>
      </c>
      <c r="E38" s="77">
        <f>IF(INDEX(Starfsmenn!$E$6:$E$10005,ROW()-5)="","",INDEX(Starfsmenn!$E$6:$E$10005,ROW()-5))</f>
        <v/>
      </c>
      <c r="F38" s="68">
        <f>IFERROR(IF(INDEX(Starfsmenn!$C$6:$C$10005,ROW()-5)="","",INDEX('Flokkun starfa'!$G$108:$GX$108,MATCH(INDEX(Starfsmenn!$C$6:$C$10005,ROW()-5),'Flokkun starfa'!$G$5:$GX$5,0)+1)),"")</f>
        <v/>
      </c>
      <c r="G38" s="77">
        <f>IFERROR(INDEX('Flokkun starfsmanna'!$GV$7:$GV$10006,ROW()-5),0)</f>
        <v/>
      </c>
      <c r="H38" s="63">
        <f>IFERROR(IF(AND(F38="",G38=""),"",IF(F38="",0,F38)+IF(G38="",0,G38)),"")</f>
        <v/>
      </c>
      <c r="I38" s="86">
        <f>IF(INDEX(Starfsmenn!$G$6:$G$10005,ROW()-5)="","",INDEX(Starfsmenn!$G$6:$G$10005,ROW()-5))</f>
        <v/>
      </c>
      <c r="J38" s="86">
        <f>IF(INDEX(Starfsmenn!$I$6:$I$10005,ROW()-5)="","",INDEX(Starfsmenn!$I$6:$I$10005,ROW()-5))</f>
        <v/>
      </c>
      <c r="K38" s="86">
        <f>IF(INDEX(Starfsmenn!$K$6:$K$10005,ROW()-5)="","",INDEX(Starfsmenn!$K$6:$K$10005,ROW()-5))</f>
        <v/>
      </c>
      <c r="L38" s="87">
        <f>IFERROR(IF(AND(I38="",J38="",K38=""),"",IF(I38="",0,I38)+IF(J38="",0,J38)+IF(K38="",0,K38)),"")</f>
        <v/>
      </c>
      <c r="M38" s="86">
        <f>IF(INDEX(Starfsmenn!$M$6:$M$10005,ROW()-5)="","",INDEX(Starfsmenn!$M$6:$M$10005,ROW()-5))</f>
        <v/>
      </c>
      <c r="N38" s="87">
        <f>IF(INDEX(Starfsmenn!$N$6:$N$10005,ROW()-5)="","",INDEX(Starfsmenn!$N$6:$N$10005,ROW()-5))</f>
        <v/>
      </c>
    </row>
    <row r="39" ht="15" customHeight="1" s="47">
      <c r="A39" s="65">
        <f>ROW()-5</f>
        <v/>
      </c>
      <c r="B39" s="67">
        <f>IF(INDEX(Starfsmenn!$B$6:$B$10005,ROW()-5)="","",INDEX(Starfsmenn!$B$6:$B$10005,ROW()-5))</f>
        <v/>
      </c>
      <c r="C39" s="67">
        <f>IF(INDEX(Starfsmenn!$C$6:$C$10005,ROW()-5)="","",INDEX(Starfsmenn!$C$6:$C$10005,ROW()-5))</f>
        <v/>
      </c>
      <c r="D39" s="85">
        <f>IF(INDEX(Starfsmenn!$D$6:$D$10005,ROW()-5)="","",INDEX(Starfsmenn!$D$6:$D$10005,ROW()-5))</f>
        <v/>
      </c>
      <c r="E39" s="77">
        <f>IF(INDEX(Starfsmenn!$E$6:$E$10005,ROW()-5)="","",INDEX(Starfsmenn!$E$6:$E$10005,ROW()-5))</f>
        <v/>
      </c>
      <c r="F39" s="68">
        <f>IFERROR(IF(INDEX(Starfsmenn!$C$6:$C$10005,ROW()-5)="","",INDEX('Flokkun starfa'!$G$108:$GX$108,MATCH(INDEX(Starfsmenn!$C$6:$C$10005,ROW()-5),'Flokkun starfa'!$G$5:$GX$5,0)+1)),"")</f>
        <v/>
      </c>
      <c r="G39" s="77">
        <f>IFERROR(INDEX('Flokkun starfsmanna'!$GV$7:$GV$10006,ROW()-5),0)</f>
        <v/>
      </c>
      <c r="H39" s="63">
        <f>IFERROR(IF(AND(F39="",G39=""),"",IF(F39="",0,F39)+IF(G39="",0,G39)),"")</f>
        <v/>
      </c>
      <c r="I39" s="86">
        <f>IF(INDEX(Starfsmenn!$G$6:$G$10005,ROW()-5)="","",INDEX(Starfsmenn!$G$6:$G$10005,ROW()-5))</f>
        <v/>
      </c>
      <c r="J39" s="86">
        <f>IF(INDEX(Starfsmenn!$I$6:$I$10005,ROW()-5)="","",INDEX(Starfsmenn!$I$6:$I$10005,ROW()-5))</f>
        <v/>
      </c>
      <c r="K39" s="86">
        <f>IF(INDEX(Starfsmenn!$K$6:$K$10005,ROW()-5)="","",INDEX(Starfsmenn!$K$6:$K$10005,ROW()-5))</f>
        <v/>
      </c>
      <c r="L39" s="87">
        <f>IFERROR(IF(AND(I39="",J39="",K39=""),"",IF(I39="",0,I39)+IF(J39="",0,J39)+IF(K39="",0,K39)),"")</f>
        <v/>
      </c>
      <c r="M39" s="86">
        <f>IF(INDEX(Starfsmenn!$M$6:$M$10005,ROW()-5)="","",INDEX(Starfsmenn!$M$6:$M$10005,ROW()-5))</f>
        <v/>
      </c>
      <c r="N39" s="87">
        <f>IF(INDEX(Starfsmenn!$N$6:$N$10005,ROW()-5)="","",INDEX(Starfsmenn!$N$6:$N$10005,ROW()-5))</f>
        <v/>
      </c>
    </row>
    <row r="40" ht="15" customHeight="1" s="47">
      <c r="A40" s="65">
        <f>ROW()-5</f>
        <v/>
      </c>
      <c r="B40" s="67">
        <f>IF(INDEX(Starfsmenn!$B$6:$B$10005,ROW()-5)="","",INDEX(Starfsmenn!$B$6:$B$10005,ROW()-5))</f>
        <v/>
      </c>
      <c r="C40" s="67">
        <f>IF(INDEX(Starfsmenn!$C$6:$C$10005,ROW()-5)="","",INDEX(Starfsmenn!$C$6:$C$10005,ROW()-5))</f>
        <v/>
      </c>
      <c r="D40" s="85">
        <f>IF(INDEX(Starfsmenn!$D$6:$D$10005,ROW()-5)="","",INDEX(Starfsmenn!$D$6:$D$10005,ROW()-5))</f>
        <v/>
      </c>
      <c r="E40" s="77">
        <f>IF(INDEX(Starfsmenn!$E$6:$E$10005,ROW()-5)="","",INDEX(Starfsmenn!$E$6:$E$10005,ROW()-5))</f>
        <v/>
      </c>
      <c r="F40" s="68">
        <f>IFERROR(IF(INDEX(Starfsmenn!$C$6:$C$10005,ROW()-5)="","",INDEX('Flokkun starfa'!$G$108:$GX$108,MATCH(INDEX(Starfsmenn!$C$6:$C$10005,ROW()-5),'Flokkun starfa'!$G$5:$GX$5,0)+1)),"")</f>
        <v/>
      </c>
      <c r="G40" s="77">
        <f>IFERROR(INDEX('Flokkun starfsmanna'!$GV$7:$GV$10006,ROW()-5),0)</f>
        <v/>
      </c>
      <c r="H40" s="63">
        <f>IFERROR(IF(AND(F40="",G40=""),"",IF(F40="",0,F40)+IF(G40="",0,G40)),"")</f>
        <v/>
      </c>
      <c r="I40" s="86">
        <f>IF(INDEX(Starfsmenn!$G$6:$G$10005,ROW()-5)="","",INDEX(Starfsmenn!$G$6:$G$10005,ROW()-5))</f>
        <v/>
      </c>
      <c r="J40" s="86">
        <f>IF(INDEX(Starfsmenn!$I$6:$I$10005,ROW()-5)="","",INDEX(Starfsmenn!$I$6:$I$10005,ROW()-5))</f>
        <v/>
      </c>
      <c r="K40" s="86">
        <f>IF(INDEX(Starfsmenn!$K$6:$K$10005,ROW()-5)="","",INDEX(Starfsmenn!$K$6:$K$10005,ROW()-5))</f>
        <v/>
      </c>
      <c r="L40" s="87">
        <f>IFERROR(IF(AND(I40="",J40="",K40=""),"",IF(I40="",0,I40)+IF(J40="",0,J40)+IF(K40="",0,K40)),"")</f>
        <v/>
      </c>
      <c r="M40" s="86">
        <f>IF(INDEX(Starfsmenn!$M$6:$M$10005,ROW()-5)="","",INDEX(Starfsmenn!$M$6:$M$10005,ROW()-5))</f>
        <v/>
      </c>
      <c r="N40" s="87">
        <f>IF(INDEX(Starfsmenn!$N$6:$N$10005,ROW()-5)="","",INDEX(Starfsmenn!$N$6:$N$10005,ROW()-5))</f>
        <v/>
      </c>
    </row>
    <row r="41" ht="15" customHeight="1" s="47">
      <c r="A41" s="65">
        <f>ROW()-5</f>
        <v/>
      </c>
      <c r="B41" s="67">
        <f>IF(INDEX(Starfsmenn!$B$6:$B$10005,ROW()-5)="","",INDEX(Starfsmenn!$B$6:$B$10005,ROW()-5))</f>
        <v/>
      </c>
      <c r="C41" s="67">
        <f>IF(INDEX(Starfsmenn!$C$6:$C$10005,ROW()-5)="","",INDEX(Starfsmenn!$C$6:$C$10005,ROW()-5))</f>
        <v/>
      </c>
      <c r="D41" s="85">
        <f>IF(INDEX(Starfsmenn!$D$6:$D$10005,ROW()-5)="","",INDEX(Starfsmenn!$D$6:$D$10005,ROW()-5))</f>
        <v/>
      </c>
      <c r="E41" s="77">
        <f>IF(INDEX(Starfsmenn!$E$6:$E$10005,ROW()-5)="","",INDEX(Starfsmenn!$E$6:$E$10005,ROW()-5))</f>
        <v/>
      </c>
      <c r="F41" s="68">
        <f>IFERROR(IF(INDEX(Starfsmenn!$C$6:$C$10005,ROW()-5)="","",INDEX('Flokkun starfa'!$G$108:$GX$108,MATCH(INDEX(Starfsmenn!$C$6:$C$10005,ROW()-5),'Flokkun starfa'!$G$5:$GX$5,0)+1)),"")</f>
        <v/>
      </c>
      <c r="G41" s="77">
        <f>IFERROR(INDEX('Flokkun starfsmanna'!$GV$7:$GV$10006,ROW()-5),0)</f>
        <v/>
      </c>
      <c r="H41" s="63">
        <f>IFERROR(IF(AND(F41="",G41=""),"",IF(F41="",0,F41)+IF(G41="",0,G41)),"")</f>
        <v/>
      </c>
      <c r="I41" s="86">
        <f>IF(INDEX(Starfsmenn!$G$6:$G$10005,ROW()-5)="","",INDEX(Starfsmenn!$G$6:$G$10005,ROW()-5))</f>
        <v/>
      </c>
      <c r="J41" s="86">
        <f>IF(INDEX(Starfsmenn!$I$6:$I$10005,ROW()-5)="","",INDEX(Starfsmenn!$I$6:$I$10005,ROW()-5))</f>
        <v/>
      </c>
      <c r="K41" s="86">
        <f>IF(INDEX(Starfsmenn!$K$6:$K$10005,ROW()-5)="","",INDEX(Starfsmenn!$K$6:$K$10005,ROW()-5))</f>
        <v/>
      </c>
      <c r="L41" s="87">
        <f>IFERROR(IF(AND(I41="",J41="",K41=""),"",IF(I41="",0,I41)+IF(J41="",0,J41)+IF(K41="",0,K41)),"")</f>
        <v/>
      </c>
      <c r="M41" s="86">
        <f>IF(INDEX(Starfsmenn!$M$6:$M$10005,ROW()-5)="","",INDEX(Starfsmenn!$M$6:$M$10005,ROW()-5))</f>
        <v/>
      </c>
      <c r="N41" s="87">
        <f>IF(INDEX(Starfsmenn!$N$6:$N$10005,ROW()-5)="","",INDEX(Starfsmenn!$N$6:$N$10005,ROW()-5))</f>
        <v/>
      </c>
    </row>
    <row r="42" ht="15" customHeight="1" s="47">
      <c r="A42" s="65">
        <f>ROW()-5</f>
        <v/>
      </c>
      <c r="B42" s="67">
        <f>IF(INDEX(Starfsmenn!$B$6:$B$10005,ROW()-5)="","",INDEX(Starfsmenn!$B$6:$B$10005,ROW()-5))</f>
        <v/>
      </c>
      <c r="C42" s="67">
        <f>IF(INDEX(Starfsmenn!$C$6:$C$10005,ROW()-5)="","",INDEX(Starfsmenn!$C$6:$C$10005,ROW()-5))</f>
        <v/>
      </c>
      <c r="D42" s="85">
        <f>IF(INDEX(Starfsmenn!$D$6:$D$10005,ROW()-5)="","",INDEX(Starfsmenn!$D$6:$D$10005,ROW()-5))</f>
        <v/>
      </c>
      <c r="E42" s="77">
        <f>IF(INDEX(Starfsmenn!$E$6:$E$10005,ROW()-5)="","",INDEX(Starfsmenn!$E$6:$E$10005,ROW()-5))</f>
        <v/>
      </c>
      <c r="F42" s="68">
        <f>IFERROR(IF(INDEX(Starfsmenn!$C$6:$C$10005,ROW()-5)="","",INDEX('Flokkun starfa'!$G$108:$GX$108,MATCH(INDEX(Starfsmenn!$C$6:$C$10005,ROW()-5),'Flokkun starfa'!$G$5:$GX$5,0)+1)),"")</f>
        <v/>
      </c>
      <c r="G42" s="77">
        <f>IFERROR(INDEX('Flokkun starfsmanna'!$GV$7:$GV$10006,ROW()-5),0)</f>
        <v/>
      </c>
      <c r="H42" s="63">
        <f>IFERROR(IF(AND(F42="",G42=""),"",IF(F42="",0,F42)+IF(G42="",0,G42)),"")</f>
        <v/>
      </c>
      <c r="I42" s="86">
        <f>IF(INDEX(Starfsmenn!$G$6:$G$10005,ROW()-5)="","",INDEX(Starfsmenn!$G$6:$G$10005,ROW()-5))</f>
        <v/>
      </c>
      <c r="J42" s="86">
        <f>IF(INDEX(Starfsmenn!$I$6:$I$10005,ROW()-5)="","",INDEX(Starfsmenn!$I$6:$I$10005,ROW()-5))</f>
        <v/>
      </c>
      <c r="K42" s="86">
        <f>IF(INDEX(Starfsmenn!$K$6:$K$10005,ROW()-5)="","",INDEX(Starfsmenn!$K$6:$K$10005,ROW()-5))</f>
        <v/>
      </c>
      <c r="L42" s="87">
        <f>IFERROR(IF(AND(I42="",J42="",K42=""),"",IF(I42="",0,I42)+IF(J42="",0,J42)+IF(K42="",0,K42)),"")</f>
        <v/>
      </c>
      <c r="M42" s="86">
        <f>IF(INDEX(Starfsmenn!$M$6:$M$10005,ROW()-5)="","",INDEX(Starfsmenn!$M$6:$M$10005,ROW()-5))</f>
        <v/>
      </c>
      <c r="N42" s="87">
        <f>IF(INDEX(Starfsmenn!$N$6:$N$10005,ROW()-5)="","",INDEX(Starfsmenn!$N$6:$N$10005,ROW()-5))</f>
        <v/>
      </c>
    </row>
    <row r="43" ht="15" customHeight="1" s="47">
      <c r="A43" s="65">
        <f>ROW()-5</f>
        <v/>
      </c>
      <c r="B43" s="67">
        <f>IF(INDEX(Starfsmenn!$B$6:$B$10005,ROW()-5)="","",INDEX(Starfsmenn!$B$6:$B$10005,ROW()-5))</f>
        <v/>
      </c>
      <c r="C43" s="67">
        <f>IF(INDEX(Starfsmenn!$C$6:$C$10005,ROW()-5)="","",INDEX(Starfsmenn!$C$6:$C$10005,ROW()-5))</f>
        <v/>
      </c>
      <c r="D43" s="85">
        <f>IF(INDEX(Starfsmenn!$D$6:$D$10005,ROW()-5)="","",INDEX(Starfsmenn!$D$6:$D$10005,ROW()-5))</f>
        <v/>
      </c>
      <c r="E43" s="77">
        <f>IF(INDEX(Starfsmenn!$E$6:$E$10005,ROW()-5)="","",INDEX(Starfsmenn!$E$6:$E$10005,ROW()-5))</f>
        <v/>
      </c>
      <c r="F43" s="68">
        <f>IFERROR(IF(INDEX(Starfsmenn!$C$6:$C$10005,ROW()-5)="","",INDEX('Flokkun starfa'!$G$108:$GX$108,MATCH(INDEX(Starfsmenn!$C$6:$C$10005,ROW()-5),'Flokkun starfa'!$G$5:$GX$5,0)+1)),"")</f>
        <v/>
      </c>
      <c r="G43" s="77">
        <f>IFERROR(INDEX('Flokkun starfsmanna'!$GV$7:$GV$10006,ROW()-5),0)</f>
        <v/>
      </c>
      <c r="H43" s="63">
        <f>IFERROR(IF(AND(F43="",G43=""),"",IF(F43="",0,F43)+IF(G43="",0,G43)),"")</f>
        <v/>
      </c>
      <c r="I43" s="86">
        <f>IF(INDEX(Starfsmenn!$G$6:$G$10005,ROW()-5)="","",INDEX(Starfsmenn!$G$6:$G$10005,ROW()-5))</f>
        <v/>
      </c>
      <c r="J43" s="86">
        <f>IF(INDEX(Starfsmenn!$I$6:$I$10005,ROW()-5)="","",INDEX(Starfsmenn!$I$6:$I$10005,ROW()-5))</f>
        <v/>
      </c>
      <c r="K43" s="86">
        <f>IF(INDEX(Starfsmenn!$K$6:$K$10005,ROW()-5)="","",INDEX(Starfsmenn!$K$6:$K$10005,ROW()-5))</f>
        <v/>
      </c>
      <c r="L43" s="87">
        <f>IFERROR(IF(AND(I43="",J43="",K43=""),"",IF(I43="",0,I43)+IF(J43="",0,J43)+IF(K43="",0,K43)),"")</f>
        <v/>
      </c>
      <c r="M43" s="86">
        <f>IF(INDEX(Starfsmenn!$M$6:$M$10005,ROW()-5)="","",INDEX(Starfsmenn!$M$6:$M$10005,ROW()-5))</f>
        <v/>
      </c>
      <c r="N43" s="87">
        <f>IF(INDEX(Starfsmenn!$N$6:$N$10005,ROW()-5)="","",INDEX(Starfsmenn!$N$6:$N$10005,ROW()-5))</f>
        <v/>
      </c>
    </row>
    <row r="44" ht="15" customHeight="1" s="47">
      <c r="A44" s="65">
        <f>ROW()-5</f>
        <v/>
      </c>
      <c r="B44" s="67">
        <f>IF(INDEX(Starfsmenn!$B$6:$B$10005,ROW()-5)="","",INDEX(Starfsmenn!$B$6:$B$10005,ROW()-5))</f>
        <v/>
      </c>
      <c r="C44" s="67">
        <f>IF(INDEX(Starfsmenn!$C$6:$C$10005,ROW()-5)="","",INDEX(Starfsmenn!$C$6:$C$10005,ROW()-5))</f>
        <v/>
      </c>
      <c r="D44" s="85">
        <f>IF(INDEX(Starfsmenn!$D$6:$D$10005,ROW()-5)="","",INDEX(Starfsmenn!$D$6:$D$10005,ROW()-5))</f>
        <v/>
      </c>
      <c r="E44" s="77">
        <f>IF(INDEX(Starfsmenn!$E$6:$E$10005,ROW()-5)="","",INDEX(Starfsmenn!$E$6:$E$10005,ROW()-5))</f>
        <v/>
      </c>
      <c r="F44" s="68">
        <f>IFERROR(IF(INDEX(Starfsmenn!$C$6:$C$10005,ROW()-5)="","",INDEX('Flokkun starfa'!$G$108:$GX$108,MATCH(INDEX(Starfsmenn!$C$6:$C$10005,ROW()-5),'Flokkun starfa'!$G$5:$GX$5,0)+1)),"")</f>
        <v/>
      </c>
      <c r="G44" s="77">
        <f>IFERROR(INDEX('Flokkun starfsmanna'!$GV$7:$GV$10006,ROW()-5),0)</f>
        <v/>
      </c>
      <c r="H44" s="63">
        <f>IFERROR(IF(AND(F44="",G44=""),"",IF(F44="",0,F44)+IF(G44="",0,G44)),"")</f>
        <v/>
      </c>
      <c r="I44" s="86">
        <f>IF(INDEX(Starfsmenn!$G$6:$G$10005,ROW()-5)="","",INDEX(Starfsmenn!$G$6:$G$10005,ROW()-5))</f>
        <v/>
      </c>
      <c r="J44" s="86">
        <f>IF(INDEX(Starfsmenn!$I$6:$I$10005,ROW()-5)="","",INDEX(Starfsmenn!$I$6:$I$10005,ROW()-5))</f>
        <v/>
      </c>
      <c r="K44" s="86">
        <f>IF(INDEX(Starfsmenn!$K$6:$K$10005,ROW()-5)="","",INDEX(Starfsmenn!$K$6:$K$10005,ROW()-5))</f>
        <v/>
      </c>
      <c r="L44" s="87">
        <f>IFERROR(IF(AND(I44="",J44="",K44=""),"",IF(I44="",0,I44)+IF(J44="",0,J44)+IF(K44="",0,K44)),"")</f>
        <v/>
      </c>
      <c r="M44" s="86">
        <f>IF(INDEX(Starfsmenn!$M$6:$M$10005,ROW()-5)="","",INDEX(Starfsmenn!$M$6:$M$10005,ROW()-5))</f>
        <v/>
      </c>
      <c r="N44" s="87">
        <f>IF(INDEX(Starfsmenn!$N$6:$N$10005,ROW()-5)="","",INDEX(Starfsmenn!$N$6:$N$10005,ROW()-5))</f>
        <v/>
      </c>
    </row>
    <row r="45" ht="15" customHeight="1" s="47">
      <c r="A45" s="65">
        <f>ROW()-5</f>
        <v/>
      </c>
      <c r="B45" s="67">
        <f>IF(INDEX(Starfsmenn!$B$6:$B$10005,ROW()-5)="","",INDEX(Starfsmenn!$B$6:$B$10005,ROW()-5))</f>
        <v/>
      </c>
      <c r="C45" s="67">
        <f>IF(INDEX(Starfsmenn!$C$6:$C$10005,ROW()-5)="","",INDEX(Starfsmenn!$C$6:$C$10005,ROW()-5))</f>
        <v/>
      </c>
      <c r="D45" s="85">
        <f>IF(INDEX(Starfsmenn!$D$6:$D$10005,ROW()-5)="","",INDEX(Starfsmenn!$D$6:$D$10005,ROW()-5))</f>
        <v/>
      </c>
      <c r="E45" s="77">
        <f>IF(INDEX(Starfsmenn!$E$6:$E$10005,ROW()-5)="","",INDEX(Starfsmenn!$E$6:$E$10005,ROW()-5))</f>
        <v/>
      </c>
      <c r="F45" s="68">
        <f>IFERROR(IF(INDEX(Starfsmenn!$C$6:$C$10005,ROW()-5)="","",INDEX('Flokkun starfa'!$G$108:$GX$108,MATCH(INDEX(Starfsmenn!$C$6:$C$10005,ROW()-5),'Flokkun starfa'!$G$5:$GX$5,0)+1)),"")</f>
        <v/>
      </c>
      <c r="G45" s="77">
        <f>IFERROR(INDEX('Flokkun starfsmanna'!$GV$7:$GV$10006,ROW()-5),0)</f>
        <v/>
      </c>
      <c r="H45" s="63">
        <f>IFERROR(IF(AND(F45="",G45=""),"",IF(F45="",0,F45)+IF(G45="",0,G45)),"")</f>
        <v/>
      </c>
      <c r="I45" s="86">
        <f>IF(INDEX(Starfsmenn!$G$6:$G$10005,ROW()-5)="","",INDEX(Starfsmenn!$G$6:$G$10005,ROW()-5))</f>
        <v/>
      </c>
      <c r="J45" s="86">
        <f>IF(INDEX(Starfsmenn!$I$6:$I$10005,ROW()-5)="","",INDEX(Starfsmenn!$I$6:$I$10005,ROW()-5))</f>
        <v/>
      </c>
      <c r="K45" s="86">
        <f>IF(INDEX(Starfsmenn!$K$6:$K$10005,ROW()-5)="","",INDEX(Starfsmenn!$K$6:$K$10005,ROW()-5))</f>
        <v/>
      </c>
      <c r="L45" s="87">
        <f>IFERROR(IF(AND(I45="",J45="",K45=""),"",IF(I45="",0,I45)+IF(J45="",0,J45)+IF(K45="",0,K45)),"")</f>
        <v/>
      </c>
      <c r="M45" s="86">
        <f>IF(INDEX(Starfsmenn!$M$6:$M$10005,ROW()-5)="","",INDEX(Starfsmenn!$M$6:$M$10005,ROW()-5))</f>
        <v/>
      </c>
      <c r="N45" s="87">
        <f>IF(INDEX(Starfsmenn!$N$6:$N$10005,ROW()-5)="","",INDEX(Starfsmenn!$N$6:$N$10005,ROW()-5))</f>
        <v/>
      </c>
    </row>
    <row r="46" ht="15" customHeight="1" s="47">
      <c r="A46" s="65">
        <f>ROW()-5</f>
        <v/>
      </c>
      <c r="B46" s="67">
        <f>IF(INDEX(Starfsmenn!$B$6:$B$10005,ROW()-5)="","",INDEX(Starfsmenn!$B$6:$B$10005,ROW()-5))</f>
        <v/>
      </c>
      <c r="C46" s="67">
        <f>IF(INDEX(Starfsmenn!$C$6:$C$10005,ROW()-5)="","",INDEX(Starfsmenn!$C$6:$C$10005,ROW()-5))</f>
        <v/>
      </c>
      <c r="D46" s="85">
        <f>IF(INDEX(Starfsmenn!$D$6:$D$10005,ROW()-5)="","",INDEX(Starfsmenn!$D$6:$D$10005,ROW()-5))</f>
        <v/>
      </c>
      <c r="E46" s="77">
        <f>IF(INDEX(Starfsmenn!$E$6:$E$10005,ROW()-5)="","",INDEX(Starfsmenn!$E$6:$E$10005,ROW()-5))</f>
        <v/>
      </c>
      <c r="F46" s="68">
        <f>IFERROR(IF(INDEX(Starfsmenn!$C$6:$C$10005,ROW()-5)="","",INDEX('Flokkun starfa'!$G$108:$GX$108,MATCH(INDEX(Starfsmenn!$C$6:$C$10005,ROW()-5),'Flokkun starfa'!$G$5:$GX$5,0)+1)),"")</f>
        <v/>
      </c>
      <c r="G46" s="77">
        <f>IFERROR(INDEX('Flokkun starfsmanna'!$GV$7:$GV$10006,ROW()-5),0)</f>
        <v/>
      </c>
      <c r="H46" s="63">
        <f>IFERROR(IF(AND(F46="",G46=""),"",IF(F46="",0,F46)+IF(G46="",0,G46)),"")</f>
        <v/>
      </c>
      <c r="I46" s="86">
        <f>IF(INDEX(Starfsmenn!$G$6:$G$10005,ROW()-5)="","",INDEX(Starfsmenn!$G$6:$G$10005,ROW()-5))</f>
        <v/>
      </c>
      <c r="J46" s="86">
        <f>IF(INDEX(Starfsmenn!$I$6:$I$10005,ROW()-5)="","",INDEX(Starfsmenn!$I$6:$I$10005,ROW()-5))</f>
        <v/>
      </c>
      <c r="K46" s="86">
        <f>IF(INDEX(Starfsmenn!$K$6:$K$10005,ROW()-5)="","",INDEX(Starfsmenn!$K$6:$K$10005,ROW()-5))</f>
        <v/>
      </c>
      <c r="L46" s="87">
        <f>IFERROR(IF(AND(I46="",J46="",K46=""),"",IF(I46="",0,I46)+IF(J46="",0,J46)+IF(K46="",0,K46)),"")</f>
        <v/>
      </c>
      <c r="M46" s="86">
        <f>IF(INDEX(Starfsmenn!$M$6:$M$10005,ROW()-5)="","",INDEX(Starfsmenn!$M$6:$M$10005,ROW()-5))</f>
        <v/>
      </c>
      <c r="N46" s="87">
        <f>IF(INDEX(Starfsmenn!$N$6:$N$10005,ROW()-5)="","",INDEX(Starfsmenn!$N$6:$N$10005,ROW()-5))</f>
        <v/>
      </c>
    </row>
    <row r="47" ht="15" customHeight="1" s="47">
      <c r="A47" s="65">
        <f>ROW()-5</f>
        <v/>
      </c>
      <c r="B47" s="67">
        <f>IF(INDEX(Starfsmenn!$B$6:$B$10005,ROW()-5)="","",INDEX(Starfsmenn!$B$6:$B$10005,ROW()-5))</f>
        <v/>
      </c>
      <c r="C47" s="67">
        <f>IF(INDEX(Starfsmenn!$C$6:$C$10005,ROW()-5)="","",INDEX(Starfsmenn!$C$6:$C$10005,ROW()-5))</f>
        <v/>
      </c>
      <c r="D47" s="85">
        <f>IF(INDEX(Starfsmenn!$D$6:$D$10005,ROW()-5)="","",INDEX(Starfsmenn!$D$6:$D$10005,ROW()-5))</f>
        <v/>
      </c>
      <c r="E47" s="77">
        <f>IF(INDEX(Starfsmenn!$E$6:$E$10005,ROW()-5)="","",INDEX(Starfsmenn!$E$6:$E$10005,ROW()-5))</f>
        <v/>
      </c>
      <c r="F47" s="68">
        <f>IFERROR(IF(INDEX(Starfsmenn!$C$6:$C$10005,ROW()-5)="","",INDEX('Flokkun starfa'!$G$108:$GX$108,MATCH(INDEX(Starfsmenn!$C$6:$C$10005,ROW()-5),'Flokkun starfa'!$G$5:$GX$5,0)+1)),"")</f>
        <v/>
      </c>
      <c r="G47" s="77">
        <f>IFERROR(INDEX('Flokkun starfsmanna'!$GV$7:$GV$10006,ROW()-5),0)</f>
        <v/>
      </c>
      <c r="H47" s="63">
        <f>IFERROR(IF(AND(F47="",G47=""),"",IF(F47="",0,F47)+IF(G47="",0,G47)),"")</f>
        <v/>
      </c>
      <c r="I47" s="86">
        <f>IF(INDEX(Starfsmenn!$G$6:$G$10005,ROW()-5)="","",INDEX(Starfsmenn!$G$6:$G$10005,ROW()-5))</f>
        <v/>
      </c>
      <c r="J47" s="86">
        <f>IF(INDEX(Starfsmenn!$I$6:$I$10005,ROW()-5)="","",INDEX(Starfsmenn!$I$6:$I$10005,ROW()-5))</f>
        <v/>
      </c>
      <c r="K47" s="86">
        <f>IF(INDEX(Starfsmenn!$K$6:$K$10005,ROW()-5)="","",INDEX(Starfsmenn!$K$6:$K$10005,ROW()-5))</f>
        <v/>
      </c>
      <c r="L47" s="87">
        <f>IFERROR(IF(AND(I47="",J47="",K47=""),"",IF(I47="",0,I47)+IF(J47="",0,J47)+IF(K47="",0,K47)),"")</f>
        <v/>
      </c>
      <c r="M47" s="86">
        <f>IF(INDEX(Starfsmenn!$M$6:$M$10005,ROW()-5)="","",INDEX(Starfsmenn!$M$6:$M$10005,ROW()-5))</f>
        <v/>
      </c>
      <c r="N47" s="87">
        <f>IF(INDEX(Starfsmenn!$N$6:$N$10005,ROW()-5)="","",INDEX(Starfsmenn!$N$6:$N$10005,ROW()-5))</f>
        <v/>
      </c>
    </row>
    <row r="48" ht="15" customHeight="1" s="47">
      <c r="A48" s="65">
        <f>ROW()-5</f>
        <v/>
      </c>
      <c r="B48" s="67">
        <f>IF(INDEX(Starfsmenn!$B$6:$B$10005,ROW()-5)="","",INDEX(Starfsmenn!$B$6:$B$10005,ROW()-5))</f>
        <v/>
      </c>
      <c r="C48" s="67">
        <f>IF(INDEX(Starfsmenn!$C$6:$C$10005,ROW()-5)="","",INDEX(Starfsmenn!$C$6:$C$10005,ROW()-5))</f>
        <v/>
      </c>
      <c r="D48" s="85">
        <f>IF(INDEX(Starfsmenn!$D$6:$D$10005,ROW()-5)="","",INDEX(Starfsmenn!$D$6:$D$10005,ROW()-5))</f>
        <v/>
      </c>
      <c r="E48" s="77">
        <f>IF(INDEX(Starfsmenn!$E$6:$E$10005,ROW()-5)="","",INDEX(Starfsmenn!$E$6:$E$10005,ROW()-5))</f>
        <v/>
      </c>
      <c r="F48" s="68">
        <f>IFERROR(IF(INDEX(Starfsmenn!$C$6:$C$10005,ROW()-5)="","",INDEX('Flokkun starfa'!$G$108:$GX$108,MATCH(INDEX(Starfsmenn!$C$6:$C$10005,ROW()-5),'Flokkun starfa'!$G$5:$GX$5,0)+1)),"")</f>
        <v/>
      </c>
      <c r="G48" s="77">
        <f>IFERROR(INDEX('Flokkun starfsmanna'!$GV$7:$GV$10006,ROW()-5),0)</f>
        <v/>
      </c>
      <c r="H48" s="63">
        <f>IFERROR(IF(AND(F48="",G48=""),"",IF(F48="",0,F48)+IF(G48="",0,G48)),"")</f>
        <v/>
      </c>
      <c r="I48" s="86">
        <f>IF(INDEX(Starfsmenn!$G$6:$G$10005,ROW()-5)="","",INDEX(Starfsmenn!$G$6:$G$10005,ROW()-5))</f>
        <v/>
      </c>
      <c r="J48" s="86">
        <f>IF(INDEX(Starfsmenn!$I$6:$I$10005,ROW()-5)="","",INDEX(Starfsmenn!$I$6:$I$10005,ROW()-5))</f>
        <v/>
      </c>
      <c r="K48" s="86">
        <f>IF(INDEX(Starfsmenn!$K$6:$K$10005,ROW()-5)="","",INDEX(Starfsmenn!$K$6:$K$10005,ROW()-5))</f>
        <v/>
      </c>
      <c r="L48" s="87">
        <f>IFERROR(IF(AND(I48="",J48="",K48=""),"",IF(I48="",0,I48)+IF(J48="",0,J48)+IF(K48="",0,K48)),"")</f>
        <v/>
      </c>
      <c r="M48" s="86">
        <f>IF(INDEX(Starfsmenn!$M$6:$M$10005,ROW()-5)="","",INDEX(Starfsmenn!$M$6:$M$10005,ROW()-5))</f>
        <v/>
      </c>
      <c r="N48" s="87">
        <f>IF(INDEX(Starfsmenn!$N$6:$N$10005,ROW()-5)="","",INDEX(Starfsmenn!$N$6:$N$10005,ROW()-5))</f>
        <v/>
      </c>
    </row>
    <row r="49" ht="15" customHeight="1" s="47">
      <c r="A49" s="65">
        <f>ROW()-5</f>
        <v/>
      </c>
      <c r="B49" s="67">
        <f>IF(INDEX(Starfsmenn!$B$6:$B$10005,ROW()-5)="","",INDEX(Starfsmenn!$B$6:$B$10005,ROW()-5))</f>
        <v/>
      </c>
      <c r="C49" s="67">
        <f>IF(INDEX(Starfsmenn!$C$6:$C$10005,ROW()-5)="","",INDEX(Starfsmenn!$C$6:$C$10005,ROW()-5))</f>
        <v/>
      </c>
      <c r="D49" s="85">
        <f>IF(INDEX(Starfsmenn!$D$6:$D$10005,ROW()-5)="","",INDEX(Starfsmenn!$D$6:$D$10005,ROW()-5))</f>
        <v/>
      </c>
      <c r="E49" s="77">
        <f>IF(INDEX(Starfsmenn!$E$6:$E$10005,ROW()-5)="","",INDEX(Starfsmenn!$E$6:$E$10005,ROW()-5))</f>
        <v/>
      </c>
      <c r="F49" s="68">
        <f>IFERROR(IF(INDEX(Starfsmenn!$C$6:$C$10005,ROW()-5)="","",INDEX('Flokkun starfa'!$G$108:$GX$108,MATCH(INDEX(Starfsmenn!$C$6:$C$10005,ROW()-5),'Flokkun starfa'!$G$5:$GX$5,0)+1)),"")</f>
        <v/>
      </c>
      <c r="G49" s="77">
        <f>IFERROR(INDEX('Flokkun starfsmanna'!$GV$7:$GV$10006,ROW()-5),0)</f>
        <v/>
      </c>
      <c r="H49" s="63">
        <f>IFERROR(IF(AND(F49="",G49=""),"",IF(F49="",0,F49)+IF(G49="",0,G49)),"")</f>
        <v/>
      </c>
      <c r="I49" s="86">
        <f>IF(INDEX(Starfsmenn!$G$6:$G$10005,ROW()-5)="","",INDEX(Starfsmenn!$G$6:$G$10005,ROW()-5))</f>
        <v/>
      </c>
      <c r="J49" s="86">
        <f>IF(INDEX(Starfsmenn!$I$6:$I$10005,ROW()-5)="","",INDEX(Starfsmenn!$I$6:$I$10005,ROW()-5))</f>
        <v/>
      </c>
      <c r="K49" s="86">
        <f>IF(INDEX(Starfsmenn!$K$6:$K$10005,ROW()-5)="","",INDEX(Starfsmenn!$K$6:$K$10005,ROW()-5))</f>
        <v/>
      </c>
      <c r="L49" s="87">
        <f>IFERROR(IF(AND(I49="",J49="",K49=""),"",IF(I49="",0,I49)+IF(J49="",0,J49)+IF(K49="",0,K49)),"")</f>
        <v/>
      </c>
      <c r="M49" s="86">
        <f>IF(INDEX(Starfsmenn!$M$6:$M$10005,ROW()-5)="","",INDEX(Starfsmenn!$M$6:$M$10005,ROW()-5))</f>
        <v/>
      </c>
      <c r="N49" s="87">
        <f>IF(INDEX(Starfsmenn!$N$6:$N$10005,ROW()-5)="","",INDEX(Starfsmenn!$N$6:$N$10005,ROW()-5))</f>
        <v/>
      </c>
    </row>
    <row r="50" ht="15" customHeight="1" s="47">
      <c r="A50" s="65">
        <f>ROW()-5</f>
        <v/>
      </c>
      <c r="B50" s="67">
        <f>IF(INDEX(Starfsmenn!$B$6:$B$10005,ROW()-5)="","",INDEX(Starfsmenn!$B$6:$B$10005,ROW()-5))</f>
        <v/>
      </c>
      <c r="C50" s="67">
        <f>IF(INDEX(Starfsmenn!$C$6:$C$10005,ROW()-5)="","",INDEX(Starfsmenn!$C$6:$C$10005,ROW()-5))</f>
        <v/>
      </c>
      <c r="D50" s="85">
        <f>IF(INDEX(Starfsmenn!$D$6:$D$10005,ROW()-5)="","",INDEX(Starfsmenn!$D$6:$D$10005,ROW()-5))</f>
        <v/>
      </c>
      <c r="E50" s="77">
        <f>IF(INDEX(Starfsmenn!$E$6:$E$10005,ROW()-5)="","",INDEX(Starfsmenn!$E$6:$E$10005,ROW()-5))</f>
        <v/>
      </c>
      <c r="F50" s="68">
        <f>IFERROR(IF(INDEX(Starfsmenn!$C$6:$C$10005,ROW()-5)="","",INDEX('Flokkun starfa'!$G$108:$GX$108,MATCH(INDEX(Starfsmenn!$C$6:$C$10005,ROW()-5),'Flokkun starfa'!$G$5:$GX$5,0)+1)),"")</f>
        <v/>
      </c>
      <c r="G50" s="77">
        <f>IFERROR(INDEX('Flokkun starfsmanna'!$GV$7:$GV$10006,ROW()-5),0)</f>
        <v/>
      </c>
      <c r="H50" s="63">
        <f>IFERROR(IF(AND(F50="",G50=""),"",IF(F50="",0,F50)+IF(G50="",0,G50)),"")</f>
        <v/>
      </c>
      <c r="I50" s="86">
        <f>IF(INDEX(Starfsmenn!$G$6:$G$10005,ROW()-5)="","",INDEX(Starfsmenn!$G$6:$G$10005,ROW()-5))</f>
        <v/>
      </c>
      <c r="J50" s="86">
        <f>IF(INDEX(Starfsmenn!$I$6:$I$10005,ROW()-5)="","",INDEX(Starfsmenn!$I$6:$I$10005,ROW()-5))</f>
        <v/>
      </c>
      <c r="K50" s="86">
        <f>IF(INDEX(Starfsmenn!$K$6:$K$10005,ROW()-5)="","",INDEX(Starfsmenn!$K$6:$K$10005,ROW()-5))</f>
        <v/>
      </c>
      <c r="L50" s="87">
        <f>IFERROR(IF(AND(I50="",J50="",K50=""),"",IF(I50="",0,I50)+IF(J50="",0,J50)+IF(K50="",0,K50)),"")</f>
        <v/>
      </c>
      <c r="M50" s="86">
        <f>IF(INDEX(Starfsmenn!$M$6:$M$10005,ROW()-5)="","",INDEX(Starfsmenn!$M$6:$M$10005,ROW()-5))</f>
        <v/>
      </c>
      <c r="N50" s="87">
        <f>IF(INDEX(Starfsmenn!$N$6:$N$10005,ROW()-5)="","",INDEX(Starfsmenn!$N$6:$N$10005,ROW()-5))</f>
        <v/>
      </c>
    </row>
    <row r="51" ht="15" customHeight="1" s="47">
      <c r="A51" s="65">
        <f>ROW()-5</f>
        <v/>
      </c>
      <c r="B51" s="67">
        <f>IF(INDEX(Starfsmenn!$B$6:$B$10005,ROW()-5)="","",INDEX(Starfsmenn!$B$6:$B$10005,ROW()-5))</f>
        <v/>
      </c>
      <c r="C51" s="67">
        <f>IF(INDEX(Starfsmenn!$C$6:$C$10005,ROW()-5)="","",INDEX(Starfsmenn!$C$6:$C$10005,ROW()-5))</f>
        <v/>
      </c>
      <c r="D51" s="85">
        <f>IF(INDEX(Starfsmenn!$D$6:$D$10005,ROW()-5)="","",INDEX(Starfsmenn!$D$6:$D$10005,ROW()-5))</f>
        <v/>
      </c>
      <c r="E51" s="77">
        <f>IF(INDEX(Starfsmenn!$E$6:$E$10005,ROW()-5)="","",INDEX(Starfsmenn!$E$6:$E$10005,ROW()-5))</f>
        <v/>
      </c>
      <c r="F51" s="68">
        <f>IFERROR(IF(INDEX(Starfsmenn!$C$6:$C$10005,ROW()-5)="","",INDEX('Flokkun starfa'!$G$108:$GX$108,MATCH(INDEX(Starfsmenn!$C$6:$C$10005,ROW()-5),'Flokkun starfa'!$G$5:$GX$5,0)+1)),"")</f>
        <v/>
      </c>
      <c r="G51" s="77">
        <f>IFERROR(INDEX('Flokkun starfsmanna'!$GV$7:$GV$10006,ROW()-5),0)</f>
        <v/>
      </c>
      <c r="H51" s="63">
        <f>IFERROR(IF(AND(F51="",G51=""),"",IF(F51="",0,F51)+IF(G51="",0,G51)),"")</f>
        <v/>
      </c>
      <c r="I51" s="86">
        <f>IF(INDEX(Starfsmenn!$G$6:$G$10005,ROW()-5)="","",INDEX(Starfsmenn!$G$6:$G$10005,ROW()-5))</f>
        <v/>
      </c>
      <c r="J51" s="86">
        <f>IF(INDEX(Starfsmenn!$I$6:$I$10005,ROW()-5)="","",INDEX(Starfsmenn!$I$6:$I$10005,ROW()-5))</f>
        <v/>
      </c>
      <c r="K51" s="86">
        <f>IF(INDEX(Starfsmenn!$K$6:$K$10005,ROW()-5)="","",INDEX(Starfsmenn!$K$6:$K$10005,ROW()-5))</f>
        <v/>
      </c>
      <c r="L51" s="87">
        <f>IFERROR(IF(AND(I51="",J51="",K51=""),"",IF(I51="",0,I51)+IF(J51="",0,J51)+IF(K51="",0,K51)),"")</f>
        <v/>
      </c>
      <c r="M51" s="86">
        <f>IF(INDEX(Starfsmenn!$M$6:$M$10005,ROW()-5)="","",INDEX(Starfsmenn!$M$6:$M$10005,ROW()-5))</f>
        <v/>
      </c>
      <c r="N51" s="87">
        <f>IF(INDEX(Starfsmenn!$N$6:$N$10005,ROW()-5)="","",INDEX(Starfsmenn!$N$6:$N$10005,ROW()-5))</f>
        <v/>
      </c>
    </row>
    <row r="52" ht="15" customHeight="1" s="47">
      <c r="A52" s="65">
        <f>ROW()-5</f>
        <v/>
      </c>
      <c r="B52" s="67">
        <f>IF(INDEX(Starfsmenn!$B$6:$B$10005,ROW()-5)="","",INDEX(Starfsmenn!$B$6:$B$10005,ROW()-5))</f>
        <v/>
      </c>
      <c r="C52" s="67">
        <f>IF(INDEX(Starfsmenn!$C$6:$C$10005,ROW()-5)="","",INDEX(Starfsmenn!$C$6:$C$10005,ROW()-5))</f>
        <v/>
      </c>
      <c r="D52" s="85">
        <f>IF(INDEX(Starfsmenn!$D$6:$D$10005,ROW()-5)="","",INDEX(Starfsmenn!$D$6:$D$10005,ROW()-5))</f>
        <v/>
      </c>
      <c r="E52" s="77">
        <f>IF(INDEX(Starfsmenn!$E$6:$E$10005,ROW()-5)="","",INDEX(Starfsmenn!$E$6:$E$10005,ROW()-5))</f>
        <v/>
      </c>
      <c r="F52" s="68">
        <f>IFERROR(IF(INDEX(Starfsmenn!$C$6:$C$10005,ROW()-5)="","",INDEX('Flokkun starfa'!$G$108:$GX$108,MATCH(INDEX(Starfsmenn!$C$6:$C$10005,ROW()-5),'Flokkun starfa'!$G$5:$GX$5,0)+1)),"")</f>
        <v/>
      </c>
      <c r="G52" s="77">
        <f>IFERROR(INDEX('Flokkun starfsmanna'!$GV$7:$GV$10006,ROW()-5),0)</f>
        <v/>
      </c>
      <c r="H52" s="63">
        <f>IFERROR(IF(AND(F52="",G52=""),"",IF(F52="",0,F52)+IF(G52="",0,G52)),"")</f>
        <v/>
      </c>
      <c r="I52" s="86">
        <f>IF(INDEX(Starfsmenn!$G$6:$G$10005,ROW()-5)="","",INDEX(Starfsmenn!$G$6:$G$10005,ROW()-5))</f>
        <v/>
      </c>
      <c r="J52" s="86">
        <f>IF(INDEX(Starfsmenn!$I$6:$I$10005,ROW()-5)="","",INDEX(Starfsmenn!$I$6:$I$10005,ROW()-5))</f>
        <v/>
      </c>
      <c r="K52" s="86">
        <f>IF(INDEX(Starfsmenn!$K$6:$K$10005,ROW()-5)="","",INDEX(Starfsmenn!$K$6:$K$10005,ROW()-5))</f>
        <v/>
      </c>
      <c r="L52" s="87">
        <f>IFERROR(IF(AND(I52="",J52="",K52=""),"",IF(I52="",0,I52)+IF(J52="",0,J52)+IF(K52="",0,K52)),"")</f>
        <v/>
      </c>
      <c r="M52" s="86">
        <f>IF(INDEX(Starfsmenn!$M$6:$M$10005,ROW()-5)="","",INDEX(Starfsmenn!$M$6:$M$10005,ROW()-5))</f>
        <v/>
      </c>
      <c r="N52" s="87">
        <f>IF(INDEX(Starfsmenn!$N$6:$N$10005,ROW()-5)="","",INDEX(Starfsmenn!$N$6:$N$10005,ROW()-5))</f>
        <v/>
      </c>
    </row>
    <row r="53" ht="15" customHeight="1" s="47">
      <c r="A53" s="65">
        <f>ROW()-5</f>
        <v/>
      </c>
      <c r="B53" s="67">
        <f>IF(INDEX(Starfsmenn!$B$6:$B$10005,ROW()-5)="","",INDEX(Starfsmenn!$B$6:$B$10005,ROW()-5))</f>
        <v/>
      </c>
      <c r="C53" s="67">
        <f>IF(INDEX(Starfsmenn!$C$6:$C$10005,ROW()-5)="","",INDEX(Starfsmenn!$C$6:$C$10005,ROW()-5))</f>
        <v/>
      </c>
      <c r="D53" s="85">
        <f>IF(INDEX(Starfsmenn!$D$6:$D$10005,ROW()-5)="","",INDEX(Starfsmenn!$D$6:$D$10005,ROW()-5))</f>
        <v/>
      </c>
      <c r="E53" s="77">
        <f>IF(INDEX(Starfsmenn!$E$6:$E$10005,ROW()-5)="","",INDEX(Starfsmenn!$E$6:$E$10005,ROW()-5))</f>
        <v/>
      </c>
      <c r="F53" s="68">
        <f>IFERROR(IF(INDEX(Starfsmenn!$C$6:$C$10005,ROW()-5)="","",INDEX('Flokkun starfa'!$G$108:$GX$108,MATCH(INDEX(Starfsmenn!$C$6:$C$10005,ROW()-5),'Flokkun starfa'!$G$5:$GX$5,0)+1)),"")</f>
        <v/>
      </c>
      <c r="G53" s="77">
        <f>IFERROR(INDEX('Flokkun starfsmanna'!$GV$7:$GV$10006,ROW()-5),0)</f>
        <v/>
      </c>
      <c r="H53" s="63">
        <f>IFERROR(IF(AND(F53="",G53=""),"",IF(F53="",0,F53)+IF(G53="",0,G53)),"")</f>
        <v/>
      </c>
      <c r="I53" s="86">
        <f>IF(INDEX(Starfsmenn!$G$6:$G$10005,ROW()-5)="","",INDEX(Starfsmenn!$G$6:$G$10005,ROW()-5))</f>
        <v/>
      </c>
      <c r="J53" s="86">
        <f>IF(INDEX(Starfsmenn!$I$6:$I$10005,ROW()-5)="","",INDEX(Starfsmenn!$I$6:$I$10005,ROW()-5))</f>
        <v/>
      </c>
      <c r="K53" s="86">
        <f>IF(INDEX(Starfsmenn!$K$6:$K$10005,ROW()-5)="","",INDEX(Starfsmenn!$K$6:$K$10005,ROW()-5))</f>
        <v/>
      </c>
      <c r="L53" s="87">
        <f>IFERROR(IF(AND(I53="",J53="",K53=""),"",IF(I53="",0,I53)+IF(J53="",0,J53)+IF(K53="",0,K53)),"")</f>
        <v/>
      </c>
      <c r="M53" s="86">
        <f>IF(INDEX(Starfsmenn!$M$6:$M$10005,ROW()-5)="","",INDEX(Starfsmenn!$M$6:$M$10005,ROW()-5))</f>
        <v/>
      </c>
      <c r="N53" s="87">
        <f>IF(INDEX(Starfsmenn!$N$6:$N$10005,ROW()-5)="","",INDEX(Starfsmenn!$N$6:$N$10005,ROW()-5))</f>
        <v/>
      </c>
    </row>
    <row r="54" ht="15" customHeight="1" s="47">
      <c r="A54" s="65">
        <f>ROW()-5</f>
        <v/>
      </c>
      <c r="B54" s="67">
        <f>IF(INDEX(Starfsmenn!$B$6:$B$10005,ROW()-5)="","",INDEX(Starfsmenn!$B$6:$B$10005,ROW()-5))</f>
        <v/>
      </c>
      <c r="C54" s="67">
        <f>IF(INDEX(Starfsmenn!$C$6:$C$10005,ROW()-5)="","",INDEX(Starfsmenn!$C$6:$C$10005,ROW()-5))</f>
        <v/>
      </c>
      <c r="D54" s="85">
        <f>IF(INDEX(Starfsmenn!$D$6:$D$10005,ROW()-5)="","",INDEX(Starfsmenn!$D$6:$D$10005,ROW()-5))</f>
        <v/>
      </c>
      <c r="E54" s="77">
        <f>IF(INDEX(Starfsmenn!$E$6:$E$10005,ROW()-5)="","",INDEX(Starfsmenn!$E$6:$E$10005,ROW()-5))</f>
        <v/>
      </c>
      <c r="F54" s="68">
        <f>IFERROR(IF(INDEX(Starfsmenn!$C$6:$C$10005,ROW()-5)="","",INDEX('Flokkun starfa'!$G$108:$GX$108,MATCH(INDEX(Starfsmenn!$C$6:$C$10005,ROW()-5),'Flokkun starfa'!$G$5:$GX$5,0)+1)),"")</f>
        <v/>
      </c>
      <c r="G54" s="77">
        <f>IFERROR(INDEX('Flokkun starfsmanna'!$GV$7:$GV$10006,ROW()-5),0)</f>
        <v/>
      </c>
      <c r="H54" s="63">
        <f>IFERROR(IF(AND(F54="",G54=""),"",IF(F54="",0,F54)+IF(G54="",0,G54)),"")</f>
        <v/>
      </c>
      <c r="I54" s="86">
        <f>IF(INDEX(Starfsmenn!$G$6:$G$10005,ROW()-5)="","",INDEX(Starfsmenn!$G$6:$G$10005,ROW()-5))</f>
        <v/>
      </c>
      <c r="J54" s="86">
        <f>IF(INDEX(Starfsmenn!$I$6:$I$10005,ROW()-5)="","",INDEX(Starfsmenn!$I$6:$I$10005,ROW()-5))</f>
        <v/>
      </c>
      <c r="K54" s="86">
        <f>IF(INDEX(Starfsmenn!$K$6:$K$10005,ROW()-5)="","",INDEX(Starfsmenn!$K$6:$K$10005,ROW()-5))</f>
        <v/>
      </c>
      <c r="L54" s="87">
        <f>IFERROR(IF(AND(I54="",J54="",K54=""),"",IF(I54="",0,I54)+IF(J54="",0,J54)+IF(K54="",0,K54)),"")</f>
        <v/>
      </c>
      <c r="M54" s="86">
        <f>IF(INDEX(Starfsmenn!$M$6:$M$10005,ROW()-5)="","",INDEX(Starfsmenn!$M$6:$M$10005,ROW()-5))</f>
        <v/>
      </c>
      <c r="N54" s="87">
        <f>IF(INDEX(Starfsmenn!$N$6:$N$10005,ROW()-5)="","",INDEX(Starfsmenn!$N$6:$N$10005,ROW()-5))</f>
        <v/>
      </c>
    </row>
    <row r="55" ht="15" customHeight="1" s="47">
      <c r="A55" s="65">
        <f>ROW()-5</f>
        <v/>
      </c>
      <c r="B55" s="67">
        <f>IF(INDEX(Starfsmenn!$B$6:$B$10005,ROW()-5)="","",INDEX(Starfsmenn!$B$6:$B$10005,ROW()-5))</f>
        <v/>
      </c>
      <c r="C55" s="67">
        <f>IF(INDEX(Starfsmenn!$C$6:$C$10005,ROW()-5)="","",INDEX(Starfsmenn!$C$6:$C$10005,ROW()-5))</f>
        <v/>
      </c>
      <c r="D55" s="85">
        <f>IF(INDEX(Starfsmenn!$D$6:$D$10005,ROW()-5)="","",INDEX(Starfsmenn!$D$6:$D$10005,ROW()-5))</f>
        <v/>
      </c>
      <c r="E55" s="77">
        <f>IF(INDEX(Starfsmenn!$E$6:$E$10005,ROW()-5)="","",INDEX(Starfsmenn!$E$6:$E$10005,ROW()-5))</f>
        <v/>
      </c>
      <c r="F55" s="68">
        <f>IFERROR(IF(INDEX(Starfsmenn!$C$6:$C$10005,ROW()-5)="","",INDEX('Flokkun starfa'!$G$108:$GX$108,MATCH(INDEX(Starfsmenn!$C$6:$C$10005,ROW()-5),'Flokkun starfa'!$G$5:$GX$5,0)+1)),"")</f>
        <v/>
      </c>
      <c r="G55" s="77">
        <f>IFERROR(INDEX('Flokkun starfsmanna'!$GV$7:$GV$10006,ROW()-5),0)</f>
        <v/>
      </c>
      <c r="H55" s="63">
        <f>IFERROR(IF(AND(F55="",G55=""),"",IF(F55="",0,F55)+IF(G55="",0,G55)),"")</f>
        <v/>
      </c>
      <c r="I55" s="86">
        <f>IF(INDEX(Starfsmenn!$G$6:$G$10005,ROW()-5)="","",INDEX(Starfsmenn!$G$6:$G$10005,ROW()-5))</f>
        <v/>
      </c>
      <c r="J55" s="86">
        <f>IF(INDEX(Starfsmenn!$I$6:$I$10005,ROW()-5)="","",INDEX(Starfsmenn!$I$6:$I$10005,ROW()-5))</f>
        <v/>
      </c>
      <c r="K55" s="86">
        <f>IF(INDEX(Starfsmenn!$K$6:$K$10005,ROW()-5)="","",INDEX(Starfsmenn!$K$6:$K$10005,ROW()-5))</f>
        <v/>
      </c>
      <c r="L55" s="87">
        <f>IFERROR(IF(AND(I55="",J55="",K55=""),"",IF(I55="",0,I55)+IF(J55="",0,J55)+IF(K55="",0,K55)),"")</f>
        <v/>
      </c>
      <c r="M55" s="86">
        <f>IF(INDEX(Starfsmenn!$M$6:$M$10005,ROW()-5)="","",INDEX(Starfsmenn!$M$6:$M$10005,ROW()-5))</f>
        <v/>
      </c>
      <c r="N55" s="87">
        <f>IF(INDEX(Starfsmenn!$N$6:$N$10005,ROW()-5)="","",INDEX(Starfsmenn!$N$6:$N$10005,ROW()-5))</f>
        <v/>
      </c>
    </row>
    <row r="58" ht="15.75" customHeight="1" s="47">
      <c r="B58" s="50" t="s">
        <v>195</v>
      </c>
    </row>
    <row r="59" ht="15" customHeight="1" s="47">
      <c r="B59" s="88" t="s">
        <v>196</v>
      </c>
      <c r="E59" s="89">
        <f>IFERROR(AVERAGEIF(H6:H10005,"&gt;0"),0)</f>
        <v/>
      </c>
    </row>
    <row r="60" ht="15" customHeight="1" s="47">
      <c r="B60" s="88" t="s">
        <v>197</v>
      </c>
      <c r="E60" s="89">
        <f>IFERROR(AVERAGEIFS(H6:H10005,D6:D10005,"Kona",H6:H10005,"&gt;0"),0)</f>
        <v/>
      </c>
    </row>
    <row r="61" ht="15" customHeight="1" s="47">
      <c r="B61" s="88" t="s">
        <v>198</v>
      </c>
      <c r="E61" s="89">
        <f>IFERROR(AVERAGEIFS(H6:H10005,D6:D10005,"Karl",H6:H10005,"&gt;0"),0)</f>
        <v/>
      </c>
    </row>
    <row r="62" ht="15" customHeight="1" s="47">
      <c r="B62" s="88" t="s">
        <v>199</v>
      </c>
      <c r="E62" s="90">
        <f>IFERROR(AVERAGEIF(L6:L10005,"&gt;0"),0)</f>
        <v/>
      </c>
    </row>
    <row r="63" ht="15" customHeight="1" s="47">
      <c r="B63" s="88" t="s">
        <v>200</v>
      </c>
      <c r="E63" s="90">
        <f>IFERROR(AVERAGEIFS(L6:L10005,D6:D10005,"Kona",L6:L10005,"&gt;0"),0)</f>
        <v/>
      </c>
    </row>
    <row r="64" ht="15" customHeight="1" s="47">
      <c r="B64" s="88" t="s">
        <v>201</v>
      </c>
      <c r="E64" s="90">
        <f>IFERROR(AVERAGEIFS(L6:L10005,D6:D10005,"Karl",L6:L10005,"&gt;0"),0)</f>
        <v/>
      </c>
    </row>
    <row r="65" ht="15" customHeight="1" s="47">
      <c r="B65" s="88" t="s">
        <v>202</v>
      </c>
      <c r="E65" s="91">
        <f>SUMPRODUCT(--(Starfsmenn!$B$6:$B$10005&lt;&gt;""))</f>
        <v/>
      </c>
    </row>
  </sheetData>
  <mergeCells count="9">
    <mergeCell ref="B59:D59"/>
    <mergeCell ref="B60:D60"/>
    <mergeCell ref="B63:D63"/>
    <mergeCell ref="B61:D61"/>
    <mergeCell ref="B65:D65"/>
    <mergeCell ref="B62:D62"/>
    <mergeCell ref="B3:N3"/>
    <mergeCell ref="B2:N2"/>
    <mergeCell ref="B64:D6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2026-04-22T21:25:05Z</dcterms:created>
  <dcterms:modified xmlns:dcterms="http://purl.org/dc/terms/" xmlns:xsi="http://www.w3.org/2001/XMLSchema-instance" xsi:type="dcterms:W3CDTF">2026-07-03T10:06:57Z</dcterms:modified>
  <cp:revision>0</cp:revision>
</cp:coreProperties>
</file>